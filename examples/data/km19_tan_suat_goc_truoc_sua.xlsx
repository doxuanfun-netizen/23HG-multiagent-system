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o_Doi_Tan_Suat_Be_Tong" sheetId="1" state="visible" r:id="rId1"/>
    <sheet xmlns:r="http://schemas.openxmlformats.org/officeDocument/2006/relationships" name="Theo_Doi_Tan_Suat_Cot_Thep" sheetId="2" state="visible" r:id="rId2"/>
    <sheet xmlns:r="http://schemas.openxmlformats.org/officeDocument/2006/relationships" name="Tong_Hop_Tan_Suat_Vat_Lie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0.000"/>
    <numFmt numFmtId="166" formatCode="#,##0.000"/>
    <numFmt numFmtId="167" formatCode="0.0"/>
  </numFmts>
  <fonts count="13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b val="1"/>
      <color rgb="00C00000"/>
      <sz val="9"/>
    </font>
    <font>
      <name val="Arial"/>
      <b val="1"/>
      <color rgb="000070C0"/>
      <sz val="9"/>
    </font>
    <font>
      <name val="Arial"/>
      <b val="1"/>
      <color rgb="001B365D"/>
      <sz val="9.5"/>
    </font>
    <font>
      <name val="Arial"/>
      <sz val="8.5"/>
    </font>
    <font>
      <name val="Arial"/>
      <b val="1"/>
      <color rgb="00C00000"/>
      <sz val="8.5"/>
    </font>
    <font>
      <name val="Arial"/>
      <b val="1"/>
      <color rgb="00008000"/>
      <sz val="8.5"/>
    </font>
    <font>
      <name val="Arial"/>
      <b val="1"/>
      <color rgb="001B365D"/>
      <sz val="10"/>
    </font>
    <font>
      <name val="Arial"/>
      <b val="1"/>
      <color rgb="00203764"/>
      <sz val="9"/>
    </font>
    <font>
      <name val="Arial"/>
      <b val="1"/>
      <sz val="8.5"/>
    </font>
    <font>
      <name val="Arial"/>
      <b val="1"/>
      <color rgb="001B365D"/>
      <sz val="13"/>
    </font>
    <font>
      <name val="Arial"/>
      <i val="1"/>
      <color rgb="00595959"/>
      <sz val="9.5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DF2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4" fontId="1" fillId="4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 wrapText="1"/>
    </xf>
    <xf numFmtId="167" fontId="5" fillId="0" borderId="1" applyAlignment="1" pivotButton="0" quotePrefix="0" xfId="0">
      <alignment horizontal="center" vertical="center" wrapText="1"/>
    </xf>
    <xf numFmtId="166" fontId="1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right" vertical="center"/>
    </xf>
    <xf numFmtId="3" fontId="10" fillId="0" borderId="1" applyAlignment="1" pivotButton="0" quotePrefix="0" xfId="0">
      <alignment horizontal="right" vertical="center"/>
    </xf>
    <xf numFmtId="4" fontId="1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7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6" customWidth="1" min="2" max="2"/>
    <col width="13" customWidth="1" min="3" max="3"/>
    <col width="12" customWidth="1" min="4" max="4"/>
    <col width="13" customWidth="1" min="5" max="5"/>
    <col width="13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3" customWidth="1" min="13" max="13"/>
    <col width="13" customWidth="1" min="14" max="14"/>
    <col width="13" customWidth="1" min="15" max="15"/>
    <col width="12" customWidth="1" min="16" max="16"/>
    <col width="12" customWidth="1" min="17" max="17"/>
    <col width="12" customWidth="1" min="18" max="18"/>
    <col width="18" customWidth="1" min="19" max="19"/>
    <col width="10" customWidth="1" min="20" max="20"/>
  </cols>
  <sheetData>
    <row r="1" ht="24" customHeight="1">
      <c r="A1" s="1" t="inlineStr">
        <is>
          <t>STT</t>
        </is>
      </c>
      <c r="B1" s="1" t="inlineStr">
        <is>
          <t>HẠNG MỤC CÔNG VIỆC</t>
        </is>
      </c>
      <c r="C1" s="1" t="inlineStr">
        <is>
          <t>N/T/N</t>
        </is>
      </c>
      <c r="D1" s="1" t="inlineStr">
        <is>
          <t>KL/T.tế
(m3)</t>
        </is>
      </c>
      <c r="E1" s="1" t="inlineStr">
        <is>
          <t>Tuổi Bt</t>
        </is>
      </c>
      <c r="F1" s="1" t="n"/>
      <c r="G1" s="1" t="inlineStr">
        <is>
          <t>30Mpa-18±2 (Cọc nhồi)</t>
        </is>
      </c>
      <c r="H1" s="1" t="n"/>
      <c r="I1" s="1" t="n"/>
      <c r="J1" s="1" t="inlineStr">
        <is>
          <t>30Mpa-14±2 (Bệ, thân, mố, trụ, dầm)</t>
        </is>
      </c>
      <c r="K1" s="1" t="n"/>
      <c r="L1" s="1" t="n"/>
      <c r="M1" s="1" t="inlineStr">
        <is>
          <t>Khối lượng vật tư lũy kế</t>
        </is>
      </c>
      <c r="N1" s="1" t="n"/>
      <c r="O1" s="1" t="n"/>
      <c r="P1" s="2" t="inlineStr">
        <is>
          <t>Tần suất lấy mẫu thí nghiệm</t>
        </is>
      </c>
      <c r="Q1" s="3" t="n"/>
      <c r="R1" s="2" t="n"/>
      <c r="S1" s="1" t="inlineStr">
        <is>
          <t>Số lô</t>
        </is>
      </c>
      <c r="T1" s="1" t="inlineStr">
        <is>
          <t>KL
(Tấn)</t>
        </is>
      </c>
    </row>
    <row r="2" ht="28" customHeight="1">
      <c r="A2" s="1" t="n"/>
      <c r="B2" s="1" t="n"/>
      <c r="C2" s="1" t="n"/>
      <c r="D2" s="1" t="n"/>
      <c r="E2" s="1" t="inlineStr">
        <is>
          <t>R7</t>
        </is>
      </c>
      <c r="F2" s="1" t="inlineStr">
        <is>
          <t>R28</t>
        </is>
      </c>
      <c r="G2" s="1" t="inlineStr">
        <is>
          <t>Xi măng
0,445</t>
        </is>
      </c>
      <c r="H2" s="1" t="inlineStr">
        <is>
          <t>Cát
0,525</t>
        </is>
      </c>
      <c r="I2" s="1" t="inlineStr">
        <is>
          <t>Đá
0,696</t>
        </is>
      </c>
      <c r="J2" s="1" t="inlineStr">
        <is>
          <t>Xi măng
0,425</t>
        </is>
      </c>
      <c r="K2" s="1" t="inlineStr">
        <is>
          <t>Cát
0,555</t>
        </is>
      </c>
      <c r="L2" s="1" t="inlineStr">
        <is>
          <t>Đá
0,700</t>
        </is>
      </c>
      <c r="M2" s="1" t="inlineStr">
        <is>
          <t>Xi măng
(Tấn)</t>
        </is>
      </c>
      <c r="N2" s="1" t="inlineStr">
        <is>
          <t>Cát
(m3)</t>
        </is>
      </c>
      <c r="O2" s="1" t="inlineStr">
        <is>
          <t>Đá
(m3)</t>
        </is>
      </c>
      <c r="P2" s="2" t="inlineStr">
        <is>
          <t>Xi măng
50 tấn
Lần</t>
        </is>
      </c>
      <c r="Q2" s="3" t="inlineStr">
        <is>
          <t>Cát
200m3
Lần</t>
        </is>
      </c>
      <c r="R2" s="2" t="inlineStr">
        <is>
          <t>Đá
350m3
Lần</t>
        </is>
      </c>
      <c r="S2" s="1" t="n"/>
      <c r="T2" s="1" t="n"/>
    </row>
    <row r="3" ht="22" customHeight="1">
      <c r="A3" s="4" t="inlineStr">
        <is>
          <t>I. HẠNG MỤC CỌC KHOAN NHỒI D1.2M (C30 ĐỘ SỤT 18±2CM) - 26 CỌC (L=872M)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</row>
    <row r="4" ht="20" customHeight="1">
      <c r="A4" s="6" t="n">
        <v>1</v>
      </c>
      <c r="B4" s="7" t="inlineStr">
        <is>
          <t>Bê tông cọc khoan nhồi - C1 mố M1 (L=20m)</t>
        </is>
      </c>
      <c r="C4" s="8" t="n"/>
      <c r="D4" s="9" t="n">
        <v>24.71</v>
      </c>
      <c r="E4" s="8">
        <f>IF(C4="","",C4+7)</f>
        <v/>
      </c>
      <c r="F4" s="8">
        <f>IF(C4="","",C4+28)</f>
        <v/>
      </c>
      <c r="G4" s="10" t="n">
        <v>0.445</v>
      </c>
      <c r="H4" s="10" t="n">
        <v>0.525</v>
      </c>
      <c r="I4" s="10" t="n">
        <v>0.696</v>
      </c>
      <c r="J4" s="6" t="inlineStr"/>
      <c r="K4" s="6" t="inlineStr"/>
      <c r="L4" s="6" t="inlineStr"/>
      <c r="M4" s="9">
        <f>IF(D4="","",ROUND(IF(G4&gt;0,D4*G4,D4*J4),2))</f>
        <v/>
      </c>
      <c r="N4" s="9">
        <f>IF(D4="","",ROUND(IF(H4&gt;0,D4*H4,D4*K4),2))</f>
        <v/>
      </c>
      <c r="O4" s="9">
        <f>IF(D4="","",ROUND(IF(I4&gt;0,D4*I4,D4*L4),2))</f>
        <v/>
      </c>
      <c r="P4" s="11">
        <f>IF(M4="","",IF(INT(M4/50)&gt;0,"Lần " &amp; INT(M4/50),""))</f>
        <v/>
      </c>
      <c r="Q4" s="12">
        <f>IF(N4="","",IF(INT(N4/200)&gt;0,"Lần " &amp; INT(N4/200),""))</f>
        <v/>
      </c>
      <c r="R4" s="11">
        <f>IF(O4="","",IF(INT(O4/350)&gt;0,"Lần " &amp; INT(O4/350),""))</f>
        <v/>
      </c>
      <c r="S4" s="6" t="inlineStr"/>
      <c r="T4" s="9" t="inlineStr"/>
    </row>
    <row r="5" ht="20" customHeight="1">
      <c r="A5" s="6" t="n">
        <v>2</v>
      </c>
      <c r="B5" s="7" t="inlineStr">
        <is>
          <t>Bê tông cọc khoan nhồi - C2 mố M1 (L=20m)</t>
        </is>
      </c>
      <c r="C5" s="8" t="n"/>
      <c r="D5" s="9" t="n">
        <v>24.71</v>
      </c>
      <c r="E5" s="8">
        <f>IF(C5="","",C5+7)</f>
        <v/>
      </c>
      <c r="F5" s="8">
        <f>IF(C5="","",C5+28)</f>
        <v/>
      </c>
      <c r="G5" s="10" t="n">
        <v>0.445</v>
      </c>
      <c r="H5" s="10" t="n">
        <v>0.525</v>
      </c>
      <c r="I5" s="10" t="n">
        <v>0.696</v>
      </c>
      <c r="J5" s="6" t="inlineStr"/>
      <c r="K5" s="6" t="inlineStr"/>
      <c r="L5" s="6" t="inlineStr"/>
      <c r="M5" s="9">
        <f>IF(D5="","",ROUND(M4+IF(G5&gt;0,D5*G5,D5*J5),2))</f>
        <v/>
      </c>
      <c r="N5" s="9">
        <f>IF(D5="","",ROUND(N4+IF(H5&gt;0,D5*H5,D5*K5),2))</f>
        <v/>
      </c>
      <c r="O5" s="9">
        <f>IF(D5="","",ROUND(O4+IF(I5&gt;0,D5*I5,D5*L5),2))</f>
        <v/>
      </c>
      <c r="P5" s="11">
        <f>IF(M5="","",IF(INT(M5/50)&gt;INT(M4/50),"Lần " &amp; INT(M5/50),""))</f>
        <v/>
      </c>
      <c r="Q5" s="12">
        <f>IF(N5="","",IF(INT(N5/200)&gt;INT(N4/200),"Lần " &amp; INT(N5/200),""))</f>
        <v/>
      </c>
      <c r="R5" s="11">
        <f>IF(O5="","",IF(INT(O5/350)&gt;INT(O4/350),"Lần " &amp; INT(O5/350),""))</f>
        <v/>
      </c>
      <c r="S5" s="6" t="inlineStr"/>
      <c r="T5" s="9" t="inlineStr"/>
    </row>
    <row r="6" ht="20" customHeight="1">
      <c r="A6" s="6" t="n">
        <v>3</v>
      </c>
      <c r="B6" s="7" t="inlineStr">
        <is>
          <t>Bê tông cọc khoan nhồi - C3 mố M1 (L=20m)</t>
        </is>
      </c>
      <c r="C6" s="8" t="n"/>
      <c r="D6" s="9" t="n">
        <v>24.71</v>
      </c>
      <c r="E6" s="8">
        <f>IF(C6="","",C6+7)</f>
        <v/>
      </c>
      <c r="F6" s="8">
        <f>IF(C6="","",C6+28)</f>
        <v/>
      </c>
      <c r="G6" s="10" t="n">
        <v>0.445</v>
      </c>
      <c r="H6" s="10" t="n">
        <v>0.525</v>
      </c>
      <c r="I6" s="10" t="n">
        <v>0.696</v>
      </c>
      <c r="J6" s="6" t="inlineStr"/>
      <c r="K6" s="6" t="inlineStr"/>
      <c r="L6" s="6" t="inlineStr"/>
      <c r="M6" s="9">
        <f>IF(D6="","",ROUND(M5+IF(G6&gt;0,D6*G6,D6*J6),2))</f>
        <v/>
      </c>
      <c r="N6" s="9">
        <f>IF(D6="","",ROUND(N5+IF(H6&gt;0,D6*H6,D6*K6),2))</f>
        <v/>
      </c>
      <c r="O6" s="9">
        <f>IF(D6="","",ROUND(O5+IF(I6&gt;0,D6*I6,D6*L6),2))</f>
        <v/>
      </c>
      <c r="P6" s="11">
        <f>IF(M6="","",IF(INT(M6/50)&gt;INT(M5/50),"Lần " &amp; INT(M6/50),""))</f>
        <v/>
      </c>
      <c r="Q6" s="12">
        <f>IF(N6="","",IF(INT(N6/200)&gt;INT(N5/200),"Lần " &amp; INT(N6/200),""))</f>
        <v/>
      </c>
      <c r="R6" s="11">
        <f>IF(O6="","",IF(INT(O6/350)&gt;INT(O5/350),"Lần " &amp; INT(O6/350),""))</f>
        <v/>
      </c>
      <c r="S6" s="6" t="inlineStr"/>
      <c r="T6" s="9" t="inlineStr"/>
    </row>
    <row r="7" ht="20" customHeight="1">
      <c r="A7" s="6" t="n">
        <v>4</v>
      </c>
      <c r="B7" s="7" t="inlineStr">
        <is>
          <t>Bê tông cọc khoan nhồi - C1 trụ T1 (L=40m)</t>
        </is>
      </c>
      <c r="C7" s="8" t="n"/>
      <c r="D7" s="9" t="n">
        <v>47.01</v>
      </c>
      <c r="E7" s="8">
        <f>IF(C7="","",C7+7)</f>
        <v/>
      </c>
      <c r="F7" s="8">
        <f>IF(C7="","",C7+28)</f>
        <v/>
      </c>
      <c r="G7" s="10" t="n">
        <v>0.445</v>
      </c>
      <c r="H7" s="10" t="n">
        <v>0.525</v>
      </c>
      <c r="I7" s="10" t="n">
        <v>0.696</v>
      </c>
      <c r="J7" s="6" t="inlineStr"/>
      <c r="K7" s="6" t="inlineStr"/>
      <c r="L7" s="6" t="inlineStr"/>
      <c r="M7" s="9">
        <f>IF(D7="","",ROUND(M6+IF(G7&gt;0,D7*G7,D7*J7),2))</f>
        <v/>
      </c>
      <c r="N7" s="9">
        <f>IF(D7="","",ROUND(N6+IF(H7&gt;0,D7*H7,D7*K7),2))</f>
        <v/>
      </c>
      <c r="O7" s="9">
        <f>IF(D7="","",ROUND(O6+IF(I7&gt;0,D7*I7,D7*L7),2))</f>
        <v/>
      </c>
      <c r="P7" s="11">
        <f>IF(M7="","",IF(INT(M7/50)&gt;INT(M6/50),"Lần " &amp; INT(M7/50),""))</f>
        <v/>
      </c>
      <c r="Q7" s="12">
        <f>IF(N7="","",IF(INT(N7/200)&gt;INT(N6/200),"Lần " &amp; INT(N7/200),""))</f>
        <v/>
      </c>
      <c r="R7" s="11">
        <f>IF(O7="","",IF(INT(O7/350)&gt;INT(O6/350),"Lần " &amp; INT(O7/350),""))</f>
        <v/>
      </c>
      <c r="S7" s="6" t="inlineStr"/>
      <c r="T7" s="9" t="inlineStr"/>
    </row>
    <row r="8" ht="20" customHeight="1">
      <c r="A8" s="6" t="n">
        <v>5</v>
      </c>
      <c r="B8" s="7" t="inlineStr">
        <is>
          <t>Bê tông cọc khoan nhồi - C2 trụ T1 (L=40m)</t>
        </is>
      </c>
      <c r="C8" s="8" t="n"/>
      <c r="D8" s="9" t="n">
        <v>47.01</v>
      </c>
      <c r="E8" s="8">
        <f>IF(C8="","",C8+7)</f>
        <v/>
      </c>
      <c r="F8" s="8">
        <f>IF(C8="","",C8+28)</f>
        <v/>
      </c>
      <c r="G8" s="10" t="n">
        <v>0.445</v>
      </c>
      <c r="H8" s="10" t="n">
        <v>0.525</v>
      </c>
      <c r="I8" s="10" t="n">
        <v>0.696</v>
      </c>
      <c r="J8" s="6" t="inlineStr"/>
      <c r="K8" s="6" t="inlineStr"/>
      <c r="L8" s="6" t="inlineStr"/>
      <c r="M8" s="9">
        <f>IF(D8="","",ROUND(M7+IF(G8&gt;0,D8*G8,D8*J8),2))</f>
        <v/>
      </c>
      <c r="N8" s="9">
        <f>IF(D8="","",ROUND(N7+IF(H8&gt;0,D8*H8,D8*K8),2))</f>
        <v/>
      </c>
      <c r="O8" s="9">
        <f>IF(D8="","",ROUND(O7+IF(I8&gt;0,D8*I8,D8*L8),2))</f>
        <v/>
      </c>
      <c r="P8" s="11">
        <f>IF(M8="","",IF(INT(M8/50)&gt;INT(M7/50),"Lần " &amp; INT(M8/50),""))</f>
        <v/>
      </c>
      <c r="Q8" s="12">
        <f>IF(N8="","",IF(INT(N8/200)&gt;INT(N7/200),"Lần " &amp; INT(N8/200),""))</f>
        <v/>
      </c>
      <c r="R8" s="11">
        <f>IF(O8="","",IF(INT(O8/350)&gt;INT(O7/350),"Lần " &amp; INT(O8/350),""))</f>
        <v/>
      </c>
      <c r="S8" s="6" t="inlineStr"/>
      <c r="T8" s="9" t="inlineStr"/>
    </row>
    <row r="9" ht="20" customHeight="1">
      <c r="A9" s="6" t="n">
        <v>6</v>
      </c>
      <c r="B9" s="7" t="inlineStr">
        <is>
          <t>Bê tông cọc khoan nhồi - C3 trụ T1 (L=40m)</t>
        </is>
      </c>
      <c r="C9" s="8" t="n"/>
      <c r="D9" s="9" t="n">
        <v>47.01</v>
      </c>
      <c r="E9" s="8">
        <f>IF(C9="","",C9+7)</f>
        <v/>
      </c>
      <c r="F9" s="8">
        <f>IF(C9="","",C9+28)</f>
        <v/>
      </c>
      <c r="G9" s="10" t="n">
        <v>0.445</v>
      </c>
      <c r="H9" s="10" t="n">
        <v>0.525</v>
      </c>
      <c r="I9" s="10" t="n">
        <v>0.696</v>
      </c>
      <c r="J9" s="6" t="inlineStr"/>
      <c r="K9" s="6" t="inlineStr"/>
      <c r="L9" s="6" t="inlineStr"/>
      <c r="M9" s="9">
        <f>IF(D9="","",ROUND(M8+IF(G9&gt;0,D9*G9,D9*J9),2))</f>
        <v/>
      </c>
      <c r="N9" s="9">
        <f>IF(D9="","",ROUND(N8+IF(H9&gt;0,D9*H9,D9*K9),2))</f>
        <v/>
      </c>
      <c r="O9" s="9">
        <f>IF(D9="","",ROUND(O8+IF(I9&gt;0,D9*I9,D9*L9),2))</f>
        <v/>
      </c>
      <c r="P9" s="11">
        <f>IF(M9="","",IF(INT(M9/50)&gt;INT(M8/50),"Lần " &amp; INT(M9/50),""))</f>
        <v/>
      </c>
      <c r="Q9" s="12">
        <f>IF(N9="","",IF(INT(N9/200)&gt;INT(N8/200),"Lần " &amp; INT(N9/200),""))</f>
        <v/>
      </c>
      <c r="R9" s="11">
        <f>IF(O9="","",IF(INT(O9/350)&gt;INT(O8/350),"Lần " &amp; INT(O9/350),""))</f>
        <v/>
      </c>
      <c r="S9" s="6" t="inlineStr"/>
      <c r="T9" s="9" t="inlineStr"/>
    </row>
    <row r="10" ht="20" customHeight="1">
      <c r="A10" s="6" t="n">
        <v>7</v>
      </c>
      <c r="B10" s="7" t="inlineStr">
        <is>
          <t>Bê tông cọc khoan nhồi - C4 trụ T1 (L=40m)</t>
        </is>
      </c>
      <c r="C10" s="8" t="n"/>
      <c r="D10" s="9" t="n">
        <v>47.01</v>
      </c>
      <c r="E10" s="8">
        <f>IF(C10="","",C10+7)</f>
        <v/>
      </c>
      <c r="F10" s="8">
        <f>IF(C10="","",C10+28)</f>
        <v/>
      </c>
      <c r="G10" s="10" t="n">
        <v>0.445</v>
      </c>
      <c r="H10" s="10" t="n">
        <v>0.525</v>
      </c>
      <c r="I10" s="10" t="n">
        <v>0.696</v>
      </c>
      <c r="J10" s="6" t="inlineStr"/>
      <c r="K10" s="6" t="inlineStr"/>
      <c r="L10" s="6" t="inlineStr"/>
      <c r="M10" s="9">
        <f>IF(D10="","",ROUND(M9+IF(G10&gt;0,D10*G10,D10*J10),2))</f>
        <v/>
      </c>
      <c r="N10" s="9">
        <f>IF(D10="","",ROUND(N9+IF(H10&gt;0,D10*H10,D10*K10),2))</f>
        <v/>
      </c>
      <c r="O10" s="9">
        <f>IF(D10="","",ROUND(O9+IF(I10&gt;0,D10*I10,D10*L10),2))</f>
        <v/>
      </c>
      <c r="P10" s="11">
        <f>IF(M10="","",IF(INT(M10/50)&gt;INT(M9/50),"Lần " &amp; INT(M10/50),""))</f>
        <v/>
      </c>
      <c r="Q10" s="12">
        <f>IF(N10="","",IF(INT(N10/200)&gt;INT(N9/200),"Lần " &amp; INT(N10/200),""))</f>
        <v/>
      </c>
      <c r="R10" s="11">
        <f>IF(O10="","",IF(INT(O10/350)&gt;INT(O9/350),"Lần " &amp; INT(O10/350),""))</f>
        <v/>
      </c>
      <c r="S10" s="6" t="inlineStr"/>
      <c r="T10" s="9" t="inlineStr"/>
    </row>
    <row r="11" ht="20" customHeight="1">
      <c r="A11" s="6" t="n">
        <v>8</v>
      </c>
      <c r="B11" s="7" t="inlineStr">
        <is>
          <t>Bê tông cọc khoan nhồi - C5 trụ T1 (L=40m)</t>
        </is>
      </c>
      <c r="C11" s="8" t="n"/>
      <c r="D11" s="9" t="n">
        <v>47.01</v>
      </c>
      <c r="E11" s="8">
        <f>IF(C11="","",C11+7)</f>
        <v/>
      </c>
      <c r="F11" s="8">
        <f>IF(C11="","",C11+28)</f>
        <v/>
      </c>
      <c r="G11" s="10" t="n">
        <v>0.445</v>
      </c>
      <c r="H11" s="10" t="n">
        <v>0.525</v>
      </c>
      <c r="I11" s="10" t="n">
        <v>0.696</v>
      </c>
      <c r="J11" s="6" t="inlineStr"/>
      <c r="K11" s="6" t="inlineStr"/>
      <c r="L11" s="6" t="inlineStr"/>
      <c r="M11" s="9">
        <f>IF(D11="","",ROUND(M10+IF(G11&gt;0,D11*G11,D11*J11),2))</f>
        <v/>
      </c>
      <c r="N11" s="9">
        <f>IF(D11="","",ROUND(N10+IF(H11&gt;0,D11*H11,D11*K11),2))</f>
        <v/>
      </c>
      <c r="O11" s="9">
        <f>IF(D11="","",ROUND(O10+IF(I11&gt;0,D11*I11,D11*L11),2))</f>
        <v/>
      </c>
      <c r="P11" s="11">
        <f>IF(M11="","",IF(INT(M11/50)&gt;INT(M10/50),"Lần " &amp; INT(M11/50),""))</f>
        <v/>
      </c>
      <c r="Q11" s="12">
        <f>IF(N11="","",IF(INT(N11/200)&gt;INT(N10/200),"Lần " &amp; INT(N11/200),""))</f>
        <v/>
      </c>
      <c r="R11" s="11">
        <f>IF(O11="","",IF(INT(O11/350)&gt;INT(O10/350),"Lần " &amp; INT(O11/350),""))</f>
        <v/>
      </c>
      <c r="S11" s="6" t="inlineStr"/>
      <c r="T11" s="9" t="inlineStr"/>
    </row>
    <row r="12" ht="20" customHeight="1">
      <c r="A12" s="6" t="n">
        <v>9</v>
      </c>
      <c r="B12" s="7" t="inlineStr">
        <is>
          <t>Bê tông cọc khoan nhồi - C6 trụ T1 (L=40m)</t>
        </is>
      </c>
      <c r="C12" s="8" t="n"/>
      <c r="D12" s="9" t="n">
        <v>47.01</v>
      </c>
      <c r="E12" s="8">
        <f>IF(C12="","",C12+7)</f>
        <v/>
      </c>
      <c r="F12" s="8">
        <f>IF(C12="","",C12+28)</f>
        <v/>
      </c>
      <c r="G12" s="10" t="n">
        <v>0.445</v>
      </c>
      <c r="H12" s="10" t="n">
        <v>0.525</v>
      </c>
      <c r="I12" s="10" t="n">
        <v>0.696</v>
      </c>
      <c r="J12" s="6" t="inlineStr"/>
      <c r="K12" s="6" t="inlineStr"/>
      <c r="L12" s="6" t="inlineStr"/>
      <c r="M12" s="9">
        <f>IF(D12="","",ROUND(M11+IF(G12&gt;0,D12*G12,D12*J12),2))</f>
        <v/>
      </c>
      <c r="N12" s="9">
        <f>IF(D12="","",ROUND(N11+IF(H12&gt;0,D12*H12,D12*K12),2))</f>
        <v/>
      </c>
      <c r="O12" s="9">
        <f>IF(D12="","",ROUND(O11+IF(I12&gt;0,D12*I12,D12*L12),2))</f>
        <v/>
      </c>
      <c r="P12" s="11">
        <f>IF(M12="","",IF(INT(M12/50)&gt;INT(M11/50),"Lần " &amp; INT(M12/50),""))</f>
        <v/>
      </c>
      <c r="Q12" s="12">
        <f>IF(N12="","",IF(INT(N12/200)&gt;INT(N11/200),"Lần " &amp; INT(N12/200),""))</f>
        <v/>
      </c>
      <c r="R12" s="11">
        <f>IF(O12="","",IF(INT(O12/350)&gt;INT(O11/350),"Lần " &amp; INT(O12/350),""))</f>
        <v/>
      </c>
      <c r="S12" s="6" t="inlineStr"/>
      <c r="T12" s="9" t="inlineStr"/>
    </row>
    <row r="13" ht="20" customHeight="1">
      <c r="A13" s="6" t="n">
        <v>10</v>
      </c>
      <c r="B13" s="7" t="inlineStr">
        <is>
          <t>Bê tông cọc khoan nhồi - C7 trụ T1 (L=40m)</t>
        </is>
      </c>
      <c r="C13" s="8" t="n"/>
      <c r="D13" s="9" t="n">
        <v>47.01</v>
      </c>
      <c r="E13" s="8">
        <f>IF(C13="","",C13+7)</f>
        <v/>
      </c>
      <c r="F13" s="8">
        <f>IF(C13="","",C13+28)</f>
        <v/>
      </c>
      <c r="G13" s="10" t="n">
        <v>0.445</v>
      </c>
      <c r="H13" s="10" t="n">
        <v>0.525</v>
      </c>
      <c r="I13" s="10" t="n">
        <v>0.696</v>
      </c>
      <c r="J13" s="6" t="inlineStr"/>
      <c r="K13" s="6" t="inlineStr"/>
      <c r="L13" s="6" t="inlineStr"/>
      <c r="M13" s="9">
        <f>IF(D13="","",ROUND(M12+IF(G13&gt;0,D13*G13,D13*J13),2))</f>
        <v/>
      </c>
      <c r="N13" s="9">
        <f>IF(D13="","",ROUND(N12+IF(H13&gt;0,D13*H13,D13*K13),2))</f>
        <v/>
      </c>
      <c r="O13" s="9">
        <f>IF(D13="","",ROUND(O12+IF(I13&gt;0,D13*I13,D13*L13),2))</f>
        <v/>
      </c>
      <c r="P13" s="11">
        <f>IF(M13="","",IF(INT(M13/50)&gt;INT(M12/50),"Lần " &amp; INT(M13/50),""))</f>
        <v/>
      </c>
      <c r="Q13" s="12">
        <f>IF(N13="","",IF(INT(N13/200)&gt;INT(N12/200),"Lần " &amp; INT(N13/200),""))</f>
        <v/>
      </c>
      <c r="R13" s="11">
        <f>IF(O13="","",IF(INT(O13/350)&gt;INT(O12/350),"Lần " &amp; INT(O13/350),""))</f>
        <v/>
      </c>
      <c r="S13" s="6" t="inlineStr"/>
      <c r="T13" s="9" t="inlineStr"/>
    </row>
    <row r="14" ht="20" customHeight="1">
      <c r="A14" s="6" t="n">
        <v>11</v>
      </c>
      <c r="B14" s="7" t="inlineStr">
        <is>
          <t>Bê tông cọc khoan nhồi - C8 trụ T1 (L=40m)</t>
        </is>
      </c>
      <c r="C14" s="8" t="n"/>
      <c r="D14" s="9" t="n">
        <v>47.01</v>
      </c>
      <c r="E14" s="8">
        <f>IF(C14="","",C14+7)</f>
        <v/>
      </c>
      <c r="F14" s="8">
        <f>IF(C14="","",C14+28)</f>
        <v/>
      </c>
      <c r="G14" s="10" t="n">
        <v>0.445</v>
      </c>
      <c r="H14" s="10" t="n">
        <v>0.525</v>
      </c>
      <c r="I14" s="10" t="n">
        <v>0.696</v>
      </c>
      <c r="J14" s="6" t="inlineStr"/>
      <c r="K14" s="6" t="inlineStr"/>
      <c r="L14" s="6" t="inlineStr"/>
      <c r="M14" s="9">
        <f>IF(D14="","",ROUND(M13+IF(G14&gt;0,D14*G14,D14*J14),2))</f>
        <v/>
      </c>
      <c r="N14" s="9">
        <f>IF(D14="","",ROUND(N13+IF(H14&gt;0,D14*H14,D14*K14),2))</f>
        <v/>
      </c>
      <c r="O14" s="9">
        <f>IF(D14="","",ROUND(O13+IF(I14&gt;0,D14*I14,D14*L14),2))</f>
        <v/>
      </c>
      <c r="P14" s="11">
        <f>IF(M14="","",IF(INT(M14/50)&gt;INT(M13/50),"Lần " &amp; INT(M14/50),""))</f>
        <v/>
      </c>
      <c r="Q14" s="12">
        <f>IF(N14="","",IF(INT(N14/200)&gt;INT(N13/200),"Lần " &amp; INT(N14/200),""))</f>
        <v/>
      </c>
      <c r="R14" s="11">
        <f>IF(O14="","",IF(INT(O14/350)&gt;INT(O13/350),"Lần " &amp; INT(O14/350),""))</f>
        <v/>
      </c>
      <c r="S14" s="6" t="inlineStr"/>
      <c r="T14" s="9" t="inlineStr"/>
    </row>
    <row r="15" ht="20" customHeight="1">
      <c r="A15" s="6" t="n">
        <v>12</v>
      </c>
      <c r="B15" s="7" t="inlineStr">
        <is>
          <t>Bê tông cọc khoan nhồi - C1 trụ T2 (L=30m)</t>
        </is>
      </c>
      <c r="C15" s="8" t="n"/>
      <c r="D15" s="9" t="n">
        <v>35.86</v>
      </c>
      <c r="E15" s="8">
        <f>IF(C15="","",C15+7)</f>
        <v/>
      </c>
      <c r="F15" s="8">
        <f>IF(C15="","",C15+28)</f>
        <v/>
      </c>
      <c r="G15" s="10" t="n">
        <v>0.445</v>
      </c>
      <c r="H15" s="10" t="n">
        <v>0.525</v>
      </c>
      <c r="I15" s="10" t="n">
        <v>0.696</v>
      </c>
      <c r="J15" s="6" t="inlineStr"/>
      <c r="K15" s="6" t="inlineStr"/>
      <c r="L15" s="6" t="inlineStr"/>
      <c r="M15" s="9">
        <f>IF(D15="","",ROUND(M14+IF(G15&gt;0,D15*G15,D15*J15),2))</f>
        <v/>
      </c>
      <c r="N15" s="9">
        <f>IF(D15="","",ROUND(N14+IF(H15&gt;0,D15*H15,D15*K15),2))</f>
        <v/>
      </c>
      <c r="O15" s="9">
        <f>IF(D15="","",ROUND(O14+IF(I15&gt;0,D15*I15,D15*L15),2))</f>
        <v/>
      </c>
      <c r="P15" s="11">
        <f>IF(M15="","",IF(INT(M15/50)&gt;INT(M14/50),"Lần " &amp; INT(M15/50),""))</f>
        <v/>
      </c>
      <c r="Q15" s="12">
        <f>IF(N15="","",IF(INT(N15/200)&gt;INT(N14/200),"Lần " &amp; INT(N15/200),""))</f>
        <v/>
      </c>
      <c r="R15" s="11">
        <f>IF(O15="","",IF(INT(O15/350)&gt;INT(O14/350),"Lần " &amp; INT(O15/350),""))</f>
        <v/>
      </c>
      <c r="S15" s="6" t="inlineStr"/>
      <c r="T15" s="9" t="inlineStr"/>
    </row>
    <row r="16" ht="20" customHeight="1">
      <c r="A16" s="6" t="n">
        <v>13</v>
      </c>
      <c r="B16" s="7" t="inlineStr">
        <is>
          <t>Bê tông cọc khoan nhồi - C2 trụ T2 (L=30m)</t>
        </is>
      </c>
      <c r="C16" s="8" t="n"/>
      <c r="D16" s="9" t="n">
        <v>35.86</v>
      </c>
      <c r="E16" s="8">
        <f>IF(C16="","",C16+7)</f>
        <v/>
      </c>
      <c r="F16" s="8">
        <f>IF(C16="","",C16+28)</f>
        <v/>
      </c>
      <c r="G16" s="10" t="n">
        <v>0.445</v>
      </c>
      <c r="H16" s="10" t="n">
        <v>0.525</v>
      </c>
      <c r="I16" s="10" t="n">
        <v>0.696</v>
      </c>
      <c r="J16" s="6" t="inlineStr"/>
      <c r="K16" s="6" t="inlineStr"/>
      <c r="L16" s="6" t="inlineStr"/>
      <c r="M16" s="9">
        <f>IF(D16="","",ROUND(M15+IF(G16&gt;0,D16*G16,D16*J16),2))</f>
        <v/>
      </c>
      <c r="N16" s="9">
        <f>IF(D16="","",ROUND(N15+IF(H16&gt;0,D16*H16,D16*K16),2))</f>
        <v/>
      </c>
      <c r="O16" s="9">
        <f>IF(D16="","",ROUND(O15+IF(I16&gt;0,D16*I16,D16*L16),2))</f>
        <v/>
      </c>
      <c r="P16" s="11">
        <f>IF(M16="","",IF(INT(M16/50)&gt;INT(M15/50),"Lần " &amp; INT(M16/50),""))</f>
        <v/>
      </c>
      <c r="Q16" s="12">
        <f>IF(N16="","",IF(INT(N16/200)&gt;INT(N15/200),"Lần " &amp; INT(N16/200),""))</f>
        <v/>
      </c>
      <c r="R16" s="11">
        <f>IF(O16="","",IF(INT(O16/350)&gt;INT(O15/350),"Lần " &amp; INT(O16/350),""))</f>
        <v/>
      </c>
      <c r="S16" s="6" t="inlineStr"/>
      <c r="T16" s="9" t="inlineStr"/>
    </row>
    <row r="17" ht="20" customHeight="1">
      <c r="A17" s="6" t="n">
        <v>14</v>
      </c>
      <c r="B17" s="7" t="inlineStr">
        <is>
          <t>Bê tông cọc khoan nhồi - C3 trụ T2 (L=30m)</t>
        </is>
      </c>
      <c r="C17" s="8" t="n"/>
      <c r="D17" s="9" t="n">
        <v>35.86</v>
      </c>
      <c r="E17" s="8">
        <f>IF(C17="","",C17+7)</f>
        <v/>
      </c>
      <c r="F17" s="8">
        <f>IF(C17="","",C17+28)</f>
        <v/>
      </c>
      <c r="G17" s="10" t="n">
        <v>0.445</v>
      </c>
      <c r="H17" s="10" t="n">
        <v>0.525</v>
      </c>
      <c r="I17" s="10" t="n">
        <v>0.696</v>
      </c>
      <c r="J17" s="6" t="inlineStr"/>
      <c r="K17" s="6" t="inlineStr"/>
      <c r="L17" s="6" t="inlineStr"/>
      <c r="M17" s="9">
        <f>IF(D17="","",ROUND(M16+IF(G17&gt;0,D17*G17,D17*J17),2))</f>
        <v/>
      </c>
      <c r="N17" s="9">
        <f>IF(D17="","",ROUND(N16+IF(H17&gt;0,D17*H17,D17*K17),2))</f>
        <v/>
      </c>
      <c r="O17" s="9">
        <f>IF(D17="","",ROUND(O16+IF(I17&gt;0,D17*I17,D17*L17),2))</f>
        <v/>
      </c>
      <c r="P17" s="11">
        <f>IF(M17="","",IF(INT(M17/50)&gt;INT(M16/50),"Lần " &amp; INT(M17/50),""))</f>
        <v/>
      </c>
      <c r="Q17" s="12">
        <f>IF(N17="","",IF(INT(N17/200)&gt;INT(N16/200),"Lần " &amp; INT(N17/200),""))</f>
        <v/>
      </c>
      <c r="R17" s="11">
        <f>IF(O17="","",IF(INT(O17/350)&gt;INT(O16/350),"Lần " &amp; INT(O17/350),""))</f>
        <v/>
      </c>
      <c r="S17" s="6" t="inlineStr"/>
      <c r="T17" s="9" t="inlineStr"/>
    </row>
    <row r="18" ht="20" customHeight="1">
      <c r="A18" s="6" t="n">
        <v>15</v>
      </c>
      <c r="B18" s="7" t="inlineStr">
        <is>
          <t>Bê tông cọc khoan nhồi - C4 trụ T2 (L=30m)</t>
        </is>
      </c>
      <c r="C18" s="8" t="n"/>
      <c r="D18" s="9" t="n">
        <v>35.86</v>
      </c>
      <c r="E18" s="8">
        <f>IF(C18="","",C18+7)</f>
        <v/>
      </c>
      <c r="F18" s="8">
        <f>IF(C18="","",C18+28)</f>
        <v/>
      </c>
      <c r="G18" s="10" t="n">
        <v>0.445</v>
      </c>
      <c r="H18" s="10" t="n">
        <v>0.525</v>
      </c>
      <c r="I18" s="10" t="n">
        <v>0.696</v>
      </c>
      <c r="J18" s="6" t="inlineStr"/>
      <c r="K18" s="6" t="inlineStr"/>
      <c r="L18" s="6" t="inlineStr"/>
      <c r="M18" s="9">
        <f>IF(D18="","",ROUND(M17+IF(G18&gt;0,D18*G18,D18*J18),2))</f>
        <v/>
      </c>
      <c r="N18" s="9">
        <f>IF(D18="","",ROUND(N17+IF(H18&gt;0,D18*H18,D18*K18),2))</f>
        <v/>
      </c>
      <c r="O18" s="9">
        <f>IF(D18="","",ROUND(O17+IF(I18&gt;0,D18*I18,D18*L18),2))</f>
        <v/>
      </c>
      <c r="P18" s="11">
        <f>IF(M18="","",IF(INT(M18/50)&gt;INT(M17/50),"Lần " &amp; INT(M18/50),""))</f>
        <v/>
      </c>
      <c r="Q18" s="12">
        <f>IF(N18="","",IF(INT(N18/200)&gt;INT(N17/200),"Lần " &amp; INT(N18/200),""))</f>
        <v/>
      </c>
      <c r="R18" s="11">
        <f>IF(O18="","",IF(INT(O18/350)&gt;INT(O17/350),"Lần " &amp; INT(O18/350),""))</f>
        <v/>
      </c>
      <c r="S18" s="6" t="inlineStr"/>
      <c r="T18" s="9" t="inlineStr"/>
    </row>
    <row r="19" ht="20" customHeight="1">
      <c r="A19" s="6" t="n">
        <v>16</v>
      </c>
      <c r="B19" s="7" t="inlineStr">
        <is>
          <t>Bê tông cọc khoan nhồi - C5 trụ T2 (L=30m)</t>
        </is>
      </c>
      <c r="C19" s="8" t="n"/>
      <c r="D19" s="9" t="n">
        <v>35.86</v>
      </c>
      <c r="E19" s="8">
        <f>IF(C19="","",C19+7)</f>
        <v/>
      </c>
      <c r="F19" s="8">
        <f>IF(C19="","",C19+28)</f>
        <v/>
      </c>
      <c r="G19" s="10" t="n">
        <v>0.445</v>
      </c>
      <c r="H19" s="10" t="n">
        <v>0.525</v>
      </c>
      <c r="I19" s="10" t="n">
        <v>0.696</v>
      </c>
      <c r="J19" s="6" t="inlineStr"/>
      <c r="K19" s="6" t="inlineStr"/>
      <c r="L19" s="6" t="inlineStr"/>
      <c r="M19" s="9">
        <f>IF(D19="","",ROUND(M18+IF(G19&gt;0,D19*G19,D19*J19),2))</f>
        <v/>
      </c>
      <c r="N19" s="9">
        <f>IF(D19="","",ROUND(N18+IF(H19&gt;0,D19*H19,D19*K19),2))</f>
        <v/>
      </c>
      <c r="O19" s="9">
        <f>IF(D19="","",ROUND(O18+IF(I19&gt;0,D19*I19,D19*L19),2))</f>
        <v/>
      </c>
      <c r="P19" s="11">
        <f>IF(M19="","",IF(INT(M19/50)&gt;INT(M18/50),"Lần " &amp; INT(M19/50),""))</f>
        <v/>
      </c>
      <c r="Q19" s="12">
        <f>IF(N19="","",IF(INT(N19/200)&gt;INT(N18/200),"Lần " &amp; INT(N19/200),""))</f>
        <v/>
      </c>
      <c r="R19" s="11">
        <f>IF(O19="","",IF(INT(O19/350)&gt;INT(O18/350),"Lần " &amp; INT(O19/350),""))</f>
        <v/>
      </c>
      <c r="S19" s="6" t="inlineStr"/>
      <c r="T19" s="9" t="inlineStr"/>
    </row>
    <row r="20" ht="20" customHeight="1">
      <c r="A20" s="6" t="n">
        <v>17</v>
      </c>
      <c r="B20" s="7" t="inlineStr">
        <is>
          <t>Bê tông cọc khoan nhồi - C6 trụ T2 (L=30m)</t>
        </is>
      </c>
      <c r="C20" s="8" t="n"/>
      <c r="D20" s="9" t="n">
        <v>35.86</v>
      </c>
      <c r="E20" s="8">
        <f>IF(C20="","",C20+7)</f>
        <v/>
      </c>
      <c r="F20" s="8">
        <f>IF(C20="","",C20+28)</f>
        <v/>
      </c>
      <c r="G20" s="10" t="n">
        <v>0.445</v>
      </c>
      <c r="H20" s="10" t="n">
        <v>0.525</v>
      </c>
      <c r="I20" s="10" t="n">
        <v>0.696</v>
      </c>
      <c r="J20" s="6" t="inlineStr"/>
      <c r="K20" s="6" t="inlineStr"/>
      <c r="L20" s="6" t="inlineStr"/>
      <c r="M20" s="9">
        <f>IF(D20="","",ROUND(M19+IF(G20&gt;0,D20*G20,D20*J20),2))</f>
        <v/>
      </c>
      <c r="N20" s="9">
        <f>IF(D20="","",ROUND(N19+IF(H20&gt;0,D20*H20,D20*K20),2))</f>
        <v/>
      </c>
      <c r="O20" s="9">
        <f>IF(D20="","",ROUND(O19+IF(I20&gt;0,D20*I20,D20*L20),2))</f>
        <v/>
      </c>
      <c r="P20" s="11">
        <f>IF(M20="","",IF(INT(M20/50)&gt;INT(M19/50),"Lần " &amp; INT(M20/50),""))</f>
        <v/>
      </c>
      <c r="Q20" s="12">
        <f>IF(N20="","",IF(INT(N20/200)&gt;INT(N19/200),"Lần " &amp; INT(N20/200),""))</f>
        <v/>
      </c>
      <c r="R20" s="11">
        <f>IF(O20="","",IF(INT(O20/350)&gt;INT(O19/350),"Lần " &amp; INT(O20/350),""))</f>
        <v/>
      </c>
      <c r="S20" s="6" t="inlineStr"/>
      <c r="T20" s="9" t="inlineStr"/>
    </row>
    <row r="21" ht="20" customHeight="1">
      <c r="A21" s="6" t="n">
        <v>18</v>
      </c>
      <c r="B21" s="7" t="inlineStr">
        <is>
          <t>Bê tông cọc khoan nhồi - C7 trụ T2 (L=30m)</t>
        </is>
      </c>
      <c r="C21" s="8" t="n"/>
      <c r="D21" s="9" t="n">
        <v>35.86</v>
      </c>
      <c r="E21" s="8">
        <f>IF(C21="","",C21+7)</f>
        <v/>
      </c>
      <c r="F21" s="8">
        <f>IF(C21="","",C21+28)</f>
        <v/>
      </c>
      <c r="G21" s="10" t="n">
        <v>0.445</v>
      </c>
      <c r="H21" s="10" t="n">
        <v>0.525</v>
      </c>
      <c r="I21" s="10" t="n">
        <v>0.696</v>
      </c>
      <c r="J21" s="6" t="inlineStr"/>
      <c r="K21" s="6" t="inlineStr"/>
      <c r="L21" s="6" t="inlineStr"/>
      <c r="M21" s="9">
        <f>IF(D21="","",ROUND(M20+IF(G21&gt;0,D21*G21,D21*J21),2))</f>
        <v/>
      </c>
      <c r="N21" s="9">
        <f>IF(D21="","",ROUND(N20+IF(H21&gt;0,D21*H21,D21*K21),2))</f>
        <v/>
      </c>
      <c r="O21" s="9">
        <f>IF(D21="","",ROUND(O20+IF(I21&gt;0,D21*I21,D21*L21),2))</f>
        <v/>
      </c>
      <c r="P21" s="11">
        <f>IF(M21="","",IF(INT(M21/50)&gt;INT(M20/50),"Lần " &amp; INT(M21/50),""))</f>
        <v/>
      </c>
      <c r="Q21" s="12">
        <f>IF(N21="","",IF(INT(N21/200)&gt;INT(N20/200),"Lần " &amp; INT(N21/200),""))</f>
        <v/>
      </c>
      <c r="R21" s="11">
        <f>IF(O21="","",IF(INT(O21/350)&gt;INT(O20/350),"Lần " &amp; INT(O21/350),""))</f>
        <v/>
      </c>
      <c r="S21" s="6" t="inlineStr"/>
      <c r="T21" s="9" t="inlineStr"/>
    </row>
    <row r="22" ht="20" customHeight="1">
      <c r="A22" s="6" t="n">
        <v>19</v>
      </c>
      <c r="B22" s="7" t="inlineStr">
        <is>
          <t>Bê tông cọc khoan nhồi - C8 trụ T2 (L=30m)</t>
        </is>
      </c>
      <c r="C22" s="8" t="n"/>
      <c r="D22" s="9" t="n">
        <v>35.86</v>
      </c>
      <c r="E22" s="8">
        <f>IF(C22="","",C22+7)</f>
        <v/>
      </c>
      <c r="F22" s="8">
        <f>IF(C22="","",C22+28)</f>
        <v/>
      </c>
      <c r="G22" s="10" t="n">
        <v>0.445</v>
      </c>
      <c r="H22" s="10" t="n">
        <v>0.525</v>
      </c>
      <c r="I22" s="10" t="n">
        <v>0.696</v>
      </c>
      <c r="J22" s="6" t="inlineStr"/>
      <c r="K22" s="6" t="inlineStr"/>
      <c r="L22" s="6" t="inlineStr"/>
      <c r="M22" s="9">
        <f>IF(D22="","",ROUND(M21+IF(G22&gt;0,D22*G22,D22*J22),2))</f>
        <v/>
      </c>
      <c r="N22" s="9">
        <f>IF(D22="","",ROUND(N21+IF(H22&gt;0,D22*H22,D22*K22),2))</f>
        <v/>
      </c>
      <c r="O22" s="9">
        <f>IF(D22="","",ROUND(O21+IF(I22&gt;0,D22*I22,D22*L22),2))</f>
        <v/>
      </c>
      <c r="P22" s="11">
        <f>IF(M22="","",IF(INT(M22/50)&gt;INT(M21/50),"Lần " &amp; INT(M22/50),""))</f>
        <v/>
      </c>
      <c r="Q22" s="12">
        <f>IF(N22="","",IF(INT(N22/200)&gt;INT(N21/200),"Lần " &amp; INT(N22/200),""))</f>
        <v/>
      </c>
      <c r="R22" s="11">
        <f>IF(O22="","",IF(INT(O22/350)&gt;INT(O21/350),"Lần " &amp; INT(O22/350),""))</f>
        <v/>
      </c>
      <c r="S22" s="6" t="inlineStr"/>
      <c r="T22" s="9" t="inlineStr"/>
    </row>
    <row r="23" ht="20" customHeight="1">
      <c r="A23" s="6" t="n">
        <v>20</v>
      </c>
      <c r="B23" s="7" t="inlineStr">
        <is>
          <t>Bê tông cọc khoan nhồi - C1 mố M2 (L=36m)</t>
        </is>
      </c>
      <c r="C23" s="8" t="n"/>
      <c r="D23" s="9" t="n">
        <v>42.83</v>
      </c>
      <c r="E23" s="8">
        <f>IF(C23="","",C23+7)</f>
        <v/>
      </c>
      <c r="F23" s="8">
        <f>IF(C23="","",C23+28)</f>
        <v/>
      </c>
      <c r="G23" s="10" t="n">
        <v>0.445</v>
      </c>
      <c r="H23" s="10" t="n">
        <v>0.525</v>
      </c>
      <c r="I23" s="10" t="n">
        <v>0.696</v>
      </c>
      <c r="J23" s="6" t="inlineStr"/>
      <c r="K23" s="6" t="inlineStr"/>
      <c r="L23" s="6" t="inlineStr"/>
      <c r="M23" s="9">
        <f>IF(D23="","",ROUND(M22+IF(G23&gt;0,D23*G23,D23*J23),2))</f>
        <v/>
      </c>
      <c r="N23" s="9">
        <f>IF(D23="","",ROUND(N22+IF(H23&gt;0,D23*H23,D23*K23),2))</f>
        <v/>
      </c>
      <c r="O23" s="9">
        <f>IF(D23="","",ROUND(O22+IF(I23&gt;0,D23*I23,D23*L23),2))</f>
        <v/>
      </c>
      <c r="P23" s="11">
        <f>IF(M23="","",IF(INT(M23/50)&gt;INT(M22/50),"Lần " &amp; INT(M23/50),""))</f>
        <v/>
      </c>
      <c r="Q23" s="12">
        <f>IF(N23="","",IF(INT(N23/200)&gt;INT(N22/200),"Lần " &amp; INT(N23/200),""))</f>
        <v/>
      </c>
      <c r="R23" s="11">
        <f>IF(O23="","",IF(INT(O23/350)&gt;INT(O22/350),"Lần " &amp; INT(O23/350),""))</f>
        <v/>
      </c>
      <c r="S23" s="6" t="inlineStr"/>
      <c r="T23" s="9" t="inlineStr"/>
    </row>
    <row r="24" ht="20" customHeight="1">
      <c r="A24" s="6" t="n">
        <v>21</v>
      </c>
      <c r="B24" s="7" t="inlineStr">
        <is>
          <t>Bê tông cọc khoan nhồi - C2 mố M2 (L=36m)</t>
        </is>
      </c>
      <c r="C24" s="8" t="n"/>
      <c r="D24" s="9" t="n">
        <v>42.83</v>
      </c>
      <c r="E24" s="8">
        <f>IF(C24="","",C24+7)</f>
        <v/>
      </c>
      <c r="F24" s="8">
        <f>IF(C24="","",C24+28)</f>
        <v/>
      </c>
      <c r="G24" s="10" t="n">
        <v>0.445</v>
      </c>
      <c r="H24" s="10" t="n">
        <v>0.525</v>
      </c>
      <c r="I24" s="10" t="n">
        <v>0.696</v>
      </c>
      <c r="J24" s="6" t="inlineStr"/>
      <c r="K24" s="6" t="inlineStr"/>
      <c r="L24" s="6" t="inlineStr"/>
      <c r="M24" s="9">
        <f>IF(D24="","",ROUND(M23+IF(G24&gt;0,D24*G24,D24*J24),2))</f>
        <v/>
      </c>
      <c r="N24" s="9">
        <f>IF(D24="","",ROUND(N23+IF(H24&gt;0,D24*H24,D24*K24),2))</f>
        <v/>
      </c>
      <c r="O24" s="9">
        <f>IF(D24="","",ROUND(O23+IF(I24&gt;0,D24*I24,D24*L24),2))</f>
        <v/>
      </c>
      <c r="P24" s="11">
        <f>IF(M24="","",IF(INT(M24/50)&gt;INT(M23/50),"Lần " &amp; INT(M24/50),""))</f>
        <v/>
      </c>
      <c r="Q24" s="12">
        <f>IF(N24="","",IF(INT(N24/200)&gt;INT(N23/200),"Lần " &amp; INT(N24/200),""))</f>
        <v/>
      </c>
      <c r="R24" s="11">
        <f>IF(O24="","",IF(INT(O24/350)&gt;INT(O23/350),"Lần " &amp; INT(O24/350),""))</f>
        <v/>
      </c>
      <c r="S24" s="6" t="inlineStr"/>
      <c r="T24" s="9" t="inlineStr"/>
    </row>
    <row r="25" ht="20" customHeight="1">
      <c r="A25" s="6" t="n">
        <v>22</v>
      </c>
      <c r="B25" s="7" t="inlineStr">
        <is>
          <t>Bê tông cọc khoan nhồi - C3 mố M2 (L=36m)</t>
        </is>
      </c>
      <c r="C25" s="8" t="n"/>
      <c r="D25" s="9" t="n">
        <v>42.83</v>
      </c>
      <c r="E25" s="8">
        <f>IF(C25="","",C25+7)</f>
        <v/>
      </c>
      <c r="F25" s="8">
        <f>IF(C25="","",C25+28)</f>
        <v/>
      </c>
      <c r="G25" s="10" t="n">
        <v>0.445</v>
      </c>
      <c r="H25" s="10" t="n">
        <v>0.525</v>
      </c>
      <c r="I25" s="10" t="n">
        <v>0.696</v>
      </c>
      <c r="J25" s="6" t="inlineStr"/>
      <c r="K25" s="6" t="inlineStr"/>
      <c r="L25" s="6" t="inlineStr"/>
      <c r="M25" s="9">
        <f>IF(D25="","",ROUND(M24+IF(G25&gt;0,D25*G25,D25*J25),2))</f>
        <v/>
      </c>
      <c r="N25" s="9">
        <f>IF(D25="","",ROUND(N24+IF(H25&gt;0,D25*H25,D25*K25),2))</f>
        <v/>
      </c>
      <c r="O25" s="9">
        <f>IF(D25="","",ROUND(O24+IF(I25&gt;0,D25*I25,D25*L25),2))</f>
        <v/>
      </c>
      <c r="P25" s="11">
        <f>IF(M25="","",IF(INT(M25/50)&gt;INT(M24/50),"Lần " &amp; INT(M25/50),""))</f>
        <v/>
      </c>
      <c r="Q25" s="12">
        <f>IF(N25="","",IF(INT(N25/200)&gt;INT(N24/200),"Lần " &amp; INT(N25/200),""))</f>
        <v/>
      </c>
      <c r="R25" s="11">
        <f>IF(O25="","",IF(INT(O25/350)&gt;INT(O24/350),"Lần " &amp; INT(O25/350),""))</f>
        <v/>
      </c>
      <c r="S25" s="6" t="inlineStr"/>
      <c r="T25" s="9" t="inlineStr"/>
    </row>
    <row r="26" ht="20" customHeight="1">
      <c r="A26" s="6" t="n">
        <v>23</v>
      </c>
      <c r="B26" s="7" t="inlineStr">
        <is>
          <t>Bê tông cọc khoan nhồi - C4 mố M2 (L=36m)</t>
        </is>
      </c>
      <c r="C26" s="8" t="n"/>
      <c r="D26" s="9" t="n">
        <v>42.83</v>
      </c>
      <c r="E26" s="8">
        <f>IF(C26="","",C26+7)</f>
        <v/>
      </c>
      <c r="F26" s="8">
        <f>IF(C26="","",C26+28)</f>
        <v/>
      </c>
      <c r="G26" s="10" t="n">
        <v>0.445</v>
      </c>
      <c r="H26" s="10" t="n">
        <v>0.525</v>
      </c>
      <c r="I26" s="10" t="n">
        <v>0.696</v>
      </c>
      <c r="J26" s="6" t="inlineStr"/>
      <c r="K26" s="6" t="inlineStr"/>
      <c r="L26" s="6" t="inlineStr"/>
      <c r="M26" s="9">
        <f>IF(D26="","",ROUND(M25+IF(G26&gt;0,D26*G26,D26*J26),2))</f>
        <v/>
      </c>
      <c r="N26" s="9">
        <f>IF(D26="","",ROUND(N25+IF(H26&gt;0,D26*H26,D26*K26),2))</f>
        <v/>
      </c>
      <c r="O26" s="9">
        <f>IF(D26="","",ROUND(O25+IF(I26&gt;0,D26*I26,D26*L26),2))</f>
        <v/>
      </c>
      <c r="P26" s="11">
        <f>IF(M26="","",IF(INT(M26/50)&gt;INT(M25/50),"Lần " &amp; INT(M26/50),""))</f>
        <v/>
      </c>
      <c r="Q26" s="12">
        <f>IF(N26="","",IF(INT(N26/200)&gt;INT(N25/200),"Lần " &amp; INT(N26/200),""))</f>
        <v/>
      </c>
      <c r="R26" s="11">
        <f>IF(O26="","",IF(INT(O26/350)&gt;INT(O25/350),"Lần " &amp; INT(O26/350),""))</f>
        <v/>
      </c>
      <c r="S26" s="6" t="inlineStr"/>
      <c r="T26" s="9" t="inlineStr"/>
    </row>
    <row r="27" ht="20" customHeight="1">
      <c r="A27" s="6" t="n">
        <v>24</v>
      </c>
      <c r="B27" s="7" t="inlineStr">
        <is>
          <t>Bê tông cọc khoan nhồi - C5 mố M2 (L=36m)</t>
        </is>
      </c>
      <c r="C27" s="8" t="n"/>
      <c r="D27" s="9" t="n">
        <v>42.83</v>
      </c>
      <c r="E27" s="8">
        <f>IF(C27="","",C27+7)</f>
        <v/>
      </c>
      <c r="F27" s="8">
        <f>IF(C27="","",C27+28)</f>
        <v/>
      </c>
      <c r="G27" s="10" t="n">
        <v>0.445</v>
      </c>
      <c r="H27" s="10" t="n">
        <v>0.525</v>
      </c>
      <c r="I27" s="10" t="n">
        <v>0.696</v>
      </c>
      <c r="J27" s="6" t="inlineStr"/>
      <c r="K27" s="6" t="inlineStr"/>
      <c r="L27" s="6" t="inlineStr"/>
      <c r="M27" s="9">
        <f>IF(D27="","",ROUND(M26+IF(G27&gt;0,D27*G27,D27*J27),2))</f>
        <v/>
      </c>
      <c r="N27" s="9">
        <f>IF(D27="","",ROUND(N26+IF(H27&gt;0,D27*H27,D27*K27),2))</f>
        <v/>
      </c>
      <c r="O27" s="9">
        <f>IF(D27="","",ROUND(O26+IF(I27&gt;0,D27*I27,D27*L27),2))</f>
        <v/>
      </c>
      <c r="P27" s="11">
        <f>IF(M27="","",IF(INT(M27/50)&gt;INT(M26/50),"Lần " &amp; INT(M27/50),""))</f>
        <v/>
      </c>
      <c r="Q27" s="12">
        <f>IF(N27="","",IF(INT(N27/200)&gt;INT(N26/200),"Lần " &amp; INT(N27/200),""))</f>
        <v/>
      </c>
      <c r="R27" s="11">
        <f>IF(O27="","",IF(INT(O27/350)&gt;INT(O26/350),"Lần " &amp; INT(O27/350),""))</f>
        <v/>
      </c>
      <c r="S27" s="6" t="inlineStr"/>
      <c r="T27" s="9" t="inlineStr"/>
    </row>
    <row r="28" ht="20" customHeight="1">
      <c r="A28" s="6" t="n">
        <v>25</v>
      </c>
      <c r="B28" s="7" t="inlineStr">
        <is>
          <t>Bê tông cọc khoan nhồi - C6 mố M2 (L=36m)</t>
        </is>
      </c>
      <c r="C28" s="8" t="n"/>
      <c r="D28" s="9" t="n">
        <v>42.83</v>
      </c>
      <c r="E28" s="8">
        <f>IF(C28="","",C28+7)</f>
        <v/>
      </c>
      <c r="F28" s="8">
        <f>IF(C28="","",C28+28)</f>
        <v/>
      </c>
      <c r="G28" s="10" t="n">
        <v>0.445</v>
      </c>
      <c r="H28" s="10" t="n">
        <v>0.525</v>
      </c>
      <c r="I28" s="10" t="n">
        <v>0.696</v>
      </c>
      <c r="J28" s="6" t="inlineStr"/>
      <c r="K28" s="6" t="inlineStr"/>
      <c r="L28" s="6" t="inlineStr"/>
      <c r="M28" s="9">
        <f>IF(D28="","",ROUND(M27+IF(G28&gt;0,D28*G28,D28*J28),2))</f>
        <v/>
      </c>
      <c r="N28" s="9">
        <f>IF(D28="","",ROUND(N27+IF(H28&gt;0,D28*H28,D28*K28),2))</f>
        <v/>
      </c>
      <c r="O28" s="9">
        <f>IF(D28="","",ROUND(O27+IF(I28&gt;0,D28*I28,D28*L28),2))</f>
        <v/>
      </c>
      <c r="P28" s="11">
        <f>IF(M28="","",IF(INT(M28/50)&gt;INT(M27/50),"Lần " &amp; INT(M28/50),""))</f>
        <v/>
      </c>
      <c r="Q28" s="12">
        <f>IF(N28="","",IF(INT(N28/200)&gt;INT(N27/200),"Lần " &amp; INT(N28/200),""))</f>
        <v/>
      </c>
      <c r="R28" s="11">
        <f>IF(O28="","",IF(INT(O28/350)&gt;INT(O27/350),"Lần " &amp; INT(O28/350),""))</f>
        <v/>
      </c>
      <c r="S28" s="6" t="inlineStr"/>
      <c r="T28" s="9" t="inlineStr"/>
    </row>
    <row r="29" ht="20" customHeight="1">
      <c r="A29" s="6" t="n">
        <v>26</v>
      </c>
      <c r="B29" s="7" t="inlineStr">
        <is>
          <t>Bê tông cọc khoan nhồi - C7 mố M2 (L=36m)</t>
        </is>
      </c>
      <c r="C29" s="8" t="n"/>
      <c r="D29" s="9" t="n">
        <v>42.83</v>
      </c>
      <c r="E29" s="8">
        <f>IF(C29="","",C29+7)</f>
        <v/>
      </c>
      <c r="F29" s="8">
        <f>IF(C29="","",C29+28)</f>
        <v/>
      </c>
      <c r="G29" s="10" t="n">
        <v>0.445</v>
      </c>
      <c r="H29" s="10" t="n">
        <v>0.525</v>
      </c>
      <c r="I29" s="10" t="n">
        <v>0.696</v>
      </c>
      <c r="J29" s="6" t="inlineStr"/>
      <c r="K29" s="6" t="inlineStr"/>
      <c r="L29" s="6" t="inlineStr"/>
      <c r="M29" s="9">
        <f>IF(D29="","",ROUND(M28+IF(G29&gt;0,D29*G29,D29*J29),2))</f>
        <v/>
      </c>
      <c r="N29" s="9">
        <f>IF(D29="","",ROUND(N28+IF(H29&gt;0,D29*H29,D29*K29),2))</f>
        <v/>
      </c>
      <c r="O29" s="9">
        <f>IF(D29="","",ROUND(O28+IF(I29&gt;0,D29*I29,D29*L29),2))</f>
        <v/>
      </c>
      <c r="P29" s="11">
        <f>IF(M29="","",IF(INT(M29/50)&gt;INT(M28/50),"Lần " &amp; INT(M29/50),""))</f>
        <v/>
      </c>
      <c r="Q29" s="12">
        <f>IF(N29="","",IF(INT(N29/200)&gt;INT(N28/200),"Lần " &amp; INT(N29/200),""))</f>
        <v/>
      </c>
      <c r="R29" s="11">
        <f>IF(O29="","",IF(INT(O29/350)&gt;INT(O28/350),"Lần " &amp; INT(O29/350),""))</f>
        <v/>
      </c>
      <c r="S29" s="6" t="inlineStr"/>
      <c r="T29" s="9" t="inlineStr"/>
    </row>
    <row r="30" ht="22" customHeight="1">
      <c r="A30" s="4" t="inlineStr">
        <is>
          <t>II. HẠNG MỤC BÊ TÔNG BỆ MỐ &amp; BỆ TRỤ (C30 ĐỘ SỤT 14±2CM)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</row>
    <row r="31" ht="20" customHeight="1">
      <c r="A31" s="6" t="n">
        <v>27</v>
      </c>
      <c r="B31" s="7" t="inlineStr">
        <is>
          <t>Bê tông lót móng bệ mố M1 (M100 đá 4x6)</t>
        </is>
      </c>
      <c r="C31" s="8" t="n"/>
      <c r="D31" s="9" t="n">
        <v>9.550000000000001</v>
      </c>
      <c r="E31" s="8">
        <f>IF(C31="","",C31+7)</f>
        <v/>
      </c>
      <c r="F31" s="8">
        <f>IF(C31="","",C31+28)</f>
        <v/>
      </c>
      <c r="G31" s="6" t="inlineStr"/>
      <c r="H31" s="6" t="inlineStr"/>
      <c r="I31" s="6" t="inlineStr"/>
      <c r="J31" s="10" t="n">
        <v>0.425</v>
      </c>
      <c r="K31" s="10" t="n">
        <v>0.555</v>
      </c>
      <c r="L31" s="10" t="n">
        <v>0.7</v>
      </c>
      <c r="M31" s="9">
        <f>IF(D31="","",ROUND(M29+IF(G31&gt;0,D31*G31,D31*J31),2))</f>
        <v/>
      </c>
      <c r="N31" s="9">
        <f>IF(D31="","",ROUND(N29+IF(H31&gt;0,D31*H31,D31*K31),2))</f>
        <v/>
      </c>
      <c r="O31" s="9">
        <f>IF(D31="","",ROUND(O29+IF(I31&gt;0,D31*I31,D31*L31),2))</f>
        <v/>
      </c>
      <c r="P31" s="11">
        <f>IF(M31="","",IF(INT(M31/50)&gt;INT(M29/50),"Lần " &amp; INT(M31/50),""))</f>
        <v/>
      </c>
      <c r="Q31" s="12">
        <f>IF(N31="","",IF(INT(N31/200)&gt;INT(N29/200),"Lần " &amp; INT(N31/200),""))</f>
        <v/>
      </c>
      <c r="R31" s="11">
        <f>IF(O31="","",IF(INT(O31/350)&gt;INT(O29/350),"Lần " &amp; INT(O31/350),""))</f>
        <v/>
      </c>
      <c r="S31" s="6" t="inlineStr"/>
      <c r="T31" s="9" t="inlineStr"/>
    </row>
    <row r="32" ht="20" customHeight="1">
      <c r="A32" s="6" t="n">
        <v>28</v>
      </c>
      <c r="B32" s="7" t="inlineStr">
        <is>
          <t>Bê tông bệ mố M1 (C30 đá 1x2)</t>
        </is>
      </c>
      <c r="C32" s="8" t="n"/>
      <c r="D32" s="9" t="n">
        <v>74.5</v>
      </c>
      <c r="E32" s="8">
        <f>IF(C32="","",C32+7)</f>
        <v/>
      </c>
      <c r="F32" s="8">
        <f>IF(C32="","",C32+28)</f>
        <v/>
      </c>
      <c r="G32" s="6" t="inlineStr"/>
      <c r="H32" s="6" t="inlineStr"/>
      <c r="I32" s="6" t="inlineStr"/>
      <c r="J32" s="10" t="n">
        <v>0.425</v>
      </c>
      <c r="K32" s="10" t="n">
        <v>0.555</v>
      </c>
      <c r="L32" s="10" t="n">
        <v>0.7</v>
      </c>
      <c r="M32" s="9">
        <f>IF(D32="","",ROUND(M31+IF(G32&gt;0,D32*G32,D32*J32),2))</f>
        <v/>
      </c>
      <c r="N32" s="9">
        <f>IF(D32="","",ROUND(N31+IF(H32&gt;0,D32*H32,D32*K32),2))</f>
        <v/>
      </c>
      <c r="O32" s="9">
        <f>IF(D32="","",ROUND(O31+IF(I32&gt;0,D32*I32,D32*L32),2))</f>
        <v/>
      </c>
      <c r="P32" s="11">
        <f>IF(M32="","",IF(INT(M32/50)&gt;INT(M31/50),"Lần " &amp; INT(M32/50),""))</f>
        <v/>
      </c>
      <c r="Q32" s="12">
        <f>IF(N32="","",IF(INT(N32/200)&gt;INT(N31/200),"Lần " &amp; INT(N32/200),""))</f>
        <v/>
      </c>
      <c r="R32" s="11">
        <f>IF(O32="","",IF(INT(O32/350)&gt;INT(O31/350),"Lần " &amp; INT(O32/350),""))</f>
        <v/>
      </c>
      <c r="S32" s="6" t="inlineStr"/>
      <c r="T32" s="9" t="inlineStr"/>
    </row>
    <row r="33" ht="20" customHeight="1">
      <c r="A33" s="6" t="n">
        <v>29</v>
      </c>
      <c r="B33" s="7" t="inlineStr">
        <is>
          <t>Bê tông lót móng bệ trụ T1 (M100 đá 4x6)</t>
        </is>
      </c>
      <c r="C33" s="8" t="n"/>
      <c r="D33" s="9" t="n">
        <v>12.5</v>
      </c>
      <c r="E33" s="8">
        <f>IF(C33="","",C33+7)</f>
        <v/>
      </c>
      <c r="F33" s="8">
        <f>IF(C33="","",C33+28)</f>
        <v/>
      </c>
      <c r="G33" s="6" t="inlineStr"/>
      <c r="H33" s="6" t="inlineStr"/>
      <c r="I33" s="6" t="inlineStr"/>
      <c r="J33" s="10" t="n">
        <v>0.425</v>
      </c>
      <c r="K33" s="10" t="n">
        <v>0.555</v>
      </c>
      <c r="L33" s="10" t="n">
        <v>0.7</v>
      </c>
      <c r="M33" s="9">
        <f>IF(D33="","",ROUND(M32+IF(G33&gt;0,D33*G33,D33*J33),2))</f>
        <v/>
      </c>
      <c r="N33" s="9">
        <f>IF(D33="","",ROUND(N32+IF(H33&gt;0,D33*H33,D33*K33),2))</f>
        <v/>
      </c>
      <c r="O33" s="9">
        <f>IF(D33="","",ROUND(O32+IF(I33&gt;0,D33*I33,D33*L33),2))</f>
        <v/>
      </c>
      <c r="P33" s="11">
        <f>IF(M33="","",IF(INT(M33/50)&gt;INT(M32/50),"Lần " &amp; INT(M33/50),""))</f>
        <v/>
      </c>
      <c r="Q33" s="12">
        <f>IF(N33="","",IF(INT(N33/200)&gt;INT(N32/200),"Lần " &amp; INT(N33/200),""))</f>
        <v/>
      </c>
      <c r="R33" s="11">
        <f>IF(O33="","",IF(INT(O33/350)&gt;INT(O32/350),"Lần " &amp; INT(O33/350),""))</f>
        <v/>
      </c>
      <c r="S33" s="6" t="inlineStr"/>
      <c r="T33" s="9" t="inlineStr"/>
    </row>
    <row r="34" ht="20" customHeight="1">
      <c r="A34" s="6" t="n">
        <v>30</v>
      </c>
      <c r="B34" s="7" t="inlineStr">
        <is>
          <t>Bê tông bệ trụ T1 - Đợt 1 (C30 đá 1x2)</t>
        </is>
      </c>
      <c r="C34" s="8" t="n"/>
      <c r="D34" s="9" t="n">
        <v>82.5</v>
      </c>
      <c r="E34" s="8">
        <f>IF(C34="","",C34+7)</f>
        <v/>
      </c>
      <c r="F34" s="8">
        <f>IF(C34="","",C34+28)</f>
        <v/>
      </c>
      <c r="G34" s="6" t="inlineStr"/>
      <c r="H34" s="6" t="inlineStr"/>
      <c r="I34" s="6" t="inlineStr"/>
      <c r="J34" s="10" t="n">
        <v>0.425</v>
      </c>
      <c r="K34" s="10" t="n">
        <v>0.555</v>
      </c>
      <c r="L34" s="10" t="n">
        <v>0.7</v>
      </c>
      <c r="M34" s="9">
        <f>IF(D34="","",ROUND(M33+IF(G34&gt;0,D34*G34,D34*J34),2))</f>
        <v/>
      </c>
      <c r="N34" s="9">
        <f>IF(D34="","",ROUND(N33+IF(H34&gt;0,D34*H34,D34*K34),2))</f>
        <v/>
      </c>
      <c r="O34" s="9">
        <f>IF(D34="","",ROUND(O33+IF(I34&gt;0,D34*I34,D34*L34),2))</f>
        <v/>
      </c>
      <c r="P34" s="11">
        <f>IF(M34="","",IF(INT(M34/50)&gt;INT(M33/50),"Lần " &amp; INT(M34/50),""))</f>
        <v/>
      </c>
      <c r="Q34" s="12">
        <f>IF(N34="","",IF(INT(N34/200)&gt;INT(N33/200),"Lần " &amp; INT(N34/200),""))</f>
        <v/>
      </c>
      <c r="R34" s="11">
        <f>IF(O34="","",IF(INT(O34/350)&gt;INT(O33/350),"Lần " &amp; INT(O34/350),""))</f>
        <v/>
      </c>
      <c r="S34" s="6" t="inlineStr"/>
      <c r="T34" s="9" t="inlineStr"/>
    </row>
    <row r="35" ht="20" customHeight="1">
      <c r="A35" s="6" t="n">
        <v>31</v>
      </c>
      <c r="B35" s="7" t="inlineStr">
        <is>
          <t>Bê tông bệ trụ T1 - Đợt 2 (C30 đá 1x2)</t>
        </is>
      </c>
      <c r="C35" s="8" t="n"/>
      <c r="D35" s="9" t="n">
        <v>82.5</v>
      </c>
      <c r="E35" s="8">
        <f>IF(C35="","",C35+7)</f>
        <v/>
      </c>
      <c r="F35" s="8">
        <f>IF(C35="","",C35+28)</f>
        <v/>
      </c>
      <c r="G35" s="6" t="inlineStr"/>
      <c r="H35" s="6" t="inlineStr"/>
      <c r="I35" s="6" t="inlineStr"/>
      <c r="J35" s="10" t="n">
        <v>0.425</v>
      </c>
      <c r="K35" s="10" t="n">
        <v>0.555</v>
      </c>
      <c r="L35" s="10" t="n">
        <v>0.7</v>
      </c>
      <c r="M35" s="9">
        <f>IF(D35="","",ROUND(M34+IF(G35&gt;0,D35*G35,D35*J35),2))</f>
        <v/>
      </c>
      <c r="N35" s="9">
        <f>IF(D35="","",ROUND(N34+IF(H35&gt;0,D35*H35,D35*K35),2))</f>
        <v/>
      </c>
      <c r="O35" s="9">
        <f>IF(D35="","",ROUND(O34+IF(I35&gt;0,D35*I35,D35*L35),2))</f>
        <v/>
      </c>
      <c r="P35" s="11">
        <f>IF(M35="","",IF(INT(M35/50)&gt;INT(M34/50),"Lần " &amp; INT(M35/50),""))</f>
        <v/>
      </c>
      <c r="Q35" s="12">
        <f>IF(N35="","",IF(INT(N35/200)&gt;INT(N34/200),"Lần " &amp; INT(N35/200),""))</f>
        <v/>
      </c>
      <c r="R35" s="11">
        <f>IF(O35="","",IF(INT(O35/350)&gt;INT(O34/350),"Lần " &amp; INT(O35/350),""))</f>
        <v/>
      </c>
      <c r="S35" s="6" t="inlineStr"/>
      <c r="T35" s="9" t="inlineStr"/>
    </row>
    <row r="36" ht="20" customHeight="1">
      <c r="A36" s="6" t="n">
        <v>32</v>
      </c>
      <c r="B36" s="7" t="inlineStr">
        <is>
          <t>Bê tông lót móng bệ trụ T2 (M100 đá 4x6)</t>
        </is>
      </c>
      <c r="C36" s="8" t="n"/>
      <c r="D36" s="9" t="n">
        <v>12.5</v>
      </c>
      <c r="E36" s="8">
        <f>IF(C36="","",C36+7)</f>
        <v/>
      </c>
      <c r="F36" s="8">
        <f>IF(C36="","",C36+28)</f>
        <v/>
      </c>
      <c r="G36" s="6" t="inlineStr"/>
      <c r="H36" s="6" t="inlineStr"/>
      <c r="I36" s="6" t="inlineStr"/>
      <c r="J36" s="10" t="n">
        <v>0.425</v>
      </c>
      <c r="K36" s="10" t="n">
        <v>0.555</v>
      </c>
      <c r="L36" s="10" t="n">
        <v>0.7</v>
      </c>
      <c r="M36" s="9">
        <f>IF(D36="","",ROUND(M35+IF(G36&gt;0,D36*G36,D36*J36),2))</f>
        <v/>
      </c>
      <c r="N36" s="9">
        <f>IF(D36="","",ROUND(N35+IF(H36&gt;0,D36*H36,D36*K36),2))</f>
        <v/>
      </c>
      <c r="O36" s="9">
        <f>IF(D36="","",ROUND(O35+IF(I36&gt;0,D36*I36,D36*L36),2))</f>
        <v/>
      </c>
      <c r="P36" s="11">
        <f>IF(M36="","",IF(INT(M36/50)&gt;INT(M35/50),"Lần " &amp; INT(M36/50),""))</f>
        <v/>
      </c>
      <c r="Q36" s="12">
        <f>IF(N36="","",IF(INT(N36/200)&gt;INT(N35/200),"Lần " &amp; INT(N36/200),""))</f>
        <v/>
      </c>
      <c r="R36" s="11">
        <f>IF(O36="","",IF(INT(O36/350)&gt;INT(O35/350),"Lần " &amp; INT(O36/350),""))</f>
        <v/>
      </c>
      <c r="S36" s="6" t="inlineStr"/>
      <c r="T36" s="9" t="inlineStr"/>
    </row>
    <row r="37" ht="20" customHeight="1">
      <c r="A37" s="6" t="n">
        <v>33</v>
      </c>
      <c r="B37" s="7" t="inlineStr">
        <is>
          <t>Bê tông bệ trụ T2 - Đợt 1 (C30 đá 1x2)</t>
        </is>
      </c>
      <c r="C37" s="8" t="n"/>
      <c r="D37" s="9" t="n">
        <v>82.5</v>
      </c>
      <c r="E37" s="8">
        <f>IF(C37="","",C37+7)</f>
        <v/>
      </c>
      <c r="F37" s="8">
        <f>IF(C37="","",C37+28)</f>
        <v/>
      </c>
      <c r="G37" s="6" t="inlineStr"/>
      <c r="H37" s="6" t="inlineStr"/>
      <c r="I37" s="6" t="inlineStr"/>
      <c r="J37" s="10" t="n">
        <v>0.425</v>
      </c>
      <c r="K37" s="10" t="n">
        <v>0.555</v>
      </c>
      <c r="L37" s="10" t="n">
        <v>0.7</v>
      </c>
      <c r="M37" s="9">
        <f>IF(D37="","",ROUND(M36+IF(G37&gt;0,D37*G37,D37*J37),2))</f>
        <v/>
      </c>
      <c r="N37" s="9">
        <f>IF(D37="","",ROUND(N36+IF(H37&gt;0,D37*H37,D37*K37),2))</f>
        <v/>
      </c>
      <c r="O37" s="9">
        <f>IF(D37="","",ROUND(O36+IF(I37&gt;0,D37*I37,D37*L37),2))</f>
        <v/>
      </c>
      <c r="P37" s="11">
        <f>IF(M37="","",IF(INT(M37/50)&gt;INT(M36/50),"Lần " &amp; INT(M37/50),""))</f>
        <v/>
      </c>
      <c r="Q37" s="12">
        <f>IF(N37="","",IF(INT(N37/200)&gt;INT(N36/200),"Lần " &amp; INT(N37/200),""))</f>
        <v/>
      </c>
      <c r="R37" s="11">
        <f>IF(O37="","",IF(INT(O37/350)&gt;INT(O36/350),"Lần " &amp; INT(O37/350),""))</f>
        <v/>
      </c>
      <c r="S37" s="6" t="inlineStr"/>
      <c r="T37" s="9" t="inlineStr"/>
    </row>
    <row r="38" ht="20" customHeight="1">
      <c r="A38" s="6" t="n">
        <v>34</v>
      </c>
      <c r="B38" s="7" t="inlineStr">
        <is>
          <t>Bê tông bệ trụ T2 - Đợt 2 (C30 đá 1x2)</t>
        </is>
      </c>
      <c r="C38" s="8" t="n"/>
      <c r="D38" s="9" t="n">
        <v>82.5</v>
      </c>
      <c r="E38" s="8">
        <f>IF(C38="","",C38+7)</f>
        <v/>
      </c>
      <c r="F38" s="8">
        <f>IF(C38="","",C38+28)</f>
        <v/>
      </c>
      <c r="G38" s="6" t="inlineStr"/>
      <c r="H38" s="6" t="inlineStr"/>
      <c r="I38" s="6" t="inlineStr"/>
      <c r="J38" s="10" t="n">
        <v>0.425</v>
      </c>
      <c r="K38" s="10" t="n">
        <v>0.555</v>
      </c>
      <c r="L38" s="10" t="n">
        <v>0.7</v>
      </c>
      <c r="M38" s="9">
        <f>IF(D38="","",ROUND(M37+IF(G38&gt;0,D38*G38,D38*J38),2))</f>
        <v/>
      </c>
      <c r="N38" s="9">
        <f>IF(D38="","",ROUND(N37+IF(H38&gt;0,D38*H38,D38*K38),2))</f>
        <v/>
      </c>
      <c r="O38" s="9">
        <f>IF(D38="","",ROUND(O37+IF(I38&gt;0,D38*I38,D38*L38),2))</f>
        <v/>
      </c>
      <c r="P38" s="11">
        <f>IF(M38="","",IF(INT(M38/50)&gt;INT(M37/50),"Lần " &amp; INT(M38/50),""))</f>
        <v/>
      </c>
      <c r="Q38" s="12">
        <f>IF(N38="","",IF(INT(N38/200)&gt;INT(N37/200),"Lần " &amp; INT(N38/200),""))</f>
        <v/>
      </c>
      <c r="R38" s="11">
        <f>IF(O38="","",IF(INT(O38/350)&gt;INT(O37/350),"Lần " &amp; INT(O38/350),""))</f>
        <v/>
      </c>
      <c r="S38" s="6" t="inlineStr"/>
      <c r="T38" s="9" t="inlineStr"/>
    </row>
    <row r="39" ht="20" customHeight="1">
      <c r="A39" s="6" t="n">
        <v>35</v>
      </c>
      <c r="B39" s="7" t="inlineStr">
        <is>
          <t>Bê tông lót móng bệ mố M2 (M100 đá 4x6)</t>
        </is>
      </c>
      <c r="C39" s="8" t="n"/>
      <c r="D39" s="9" t="n">
        <v>9.550000000000001</v>
      </c>
      <c r="E39" s="8">
        <f>IF(C39="","",C39+7)</f>
        <v/>
      </c>
      <c r="F39" s="8">
        <f>IF(C39="","",C39+28)</f>
        <v/>
      </c>
      <c r="G39" s="6" t="inlineStr"/>
      <c r="H39" s="6" t="inlineStr"/>
      <c r="I39" s="6" t="inlineStr"/>
      <c r="J39" s="10" t="n">
        <v>0.425</v>
      </c>
      <c r="K39" s="10" t="n">
        <v>0.555</v>
      </c>
      <c r="L39" s="10" t="n">
        <v>0.7</v>
      </c>
      <c r="M39" s="9">
        <f>IF(D39="","",ROUND(M38+IF(G39&gt;0,D39*G39,D39*J39),2))</f>
        <v/>
      </c>
      <c r="N39" s="9">
        <f>IF(D39="","",ROUND(N38+IF(H39&gt;0,D39*H39,D39*K39),2))</f>
        <v/>
      </c>
      <c r="O39" s="9">
        <f>IF(D39="","",ROUND(O38+IF(I39&gt;0,D39*I39,D39*L39),2))</f>
        <v/>
      </c>
      <c r="P39" s="11">
        <f>IF(M39="","",IF(INT(M39/50)&gt;INT(M38/50),"Lần " &amp; INT(M39/50),""))</f>
        <v/>
      </c>
      <c r="Q39" s="12">
        <f>IF(N39="","",IF(INT(N39/200)&gt;INT(N38/200),"Lần " &amp; INT(N39/200),""))</f>
        <v/>
      </c>
      <c r="R39" s="11">
        <f>IF(O39="","",IF(INT(O39/350)&gt;INT(O38/350),"Lần " &amp; INT(O39/350),""))</f>
        <v/>
      </c>
      <c r="S39" s="6" t="inlineStr"/>
      <c r="T39" s="9" t="inlineStr"/>
    </row>
    <row r="40" ht="20" customHeight="1">
      <c r="A40" s="6" t="n">
        <v>36</v>
      </c>
      <c r="B40" s="7" t="inlineStr">
        <is>
          <t>Bê tông bệ mố M2 (C30 đá 1x2)</t>
        </is>
      </c>
      <c r="C40" s="8" t="n"/>
      <c r="D40" s="9" t="n">
        <v>74.5</v>
      </c>
      <c r="E40" s="8">
        <f>IF(C40="","",C40+7)</f>
        <v/>
      </c>
      <c r="F40" s="8">
        <f>IF(C40="","",C40+28)</f>
        <v/>
      </c>
      <c r="G40" s="6" t="inlineStr"/>
      <c r="H40" s="6" t="inlineStr"/>
      <c r="I40" s="6" t="inlineStr"/>
      <c r="J40" s="10" t="n">
        <v>0.425</v>
      </c>
      <c r="K40" s="10" t="n">
        <v>0.555</v>
      </c>
      <c r="L40" s="10" t="n">
        <v>0.7</v>
      </c>
      <c r="M40" s="9">
        <f>IF(D40="","",ROUND(M39+IF(G40&gt;0,D40*G40,D40*J40),2))</f>
        <v/>
      </c>
      <c r="N40" s="9">
        <f>IF(D40="","",ROUND(N39+IF(H40&gt;0,D40*H40,D40*K40),2))</f>
        <v/>
      </c>
      <c r="O40" s="9">
        <f>IF(D40="","",ROUND(O39+IF(I40&gt;0,D40*I40,D40*L40),2))</f>
        <v/>
      </c>
      <c r="P40" s="11">
        <f>IF(M40="","",IF(INT(M40/50)&gt;INT(M39/50),"Lần " &amp; INT(M40/50),""))</f>
        <v/>
      </c>
      <c r="Q40" s="12">
        <f>IF(N40="","",IF(INT(N40/200)&gt;INT(N39/200),"Lần " &amp; INT(N40/200),""))</f>
        <v/>
      </c>
      <c r="R40" s="11">
        <f>IF(O40="","",IF(INT(O40/350)&gt;INT(O39/350),"Lần " &amp; INT(O40/350),""))</f>
        <v/>
      </c>
      <c r="S40" s="6" t="inlineStr"/>
      <c r="T40" s="9" t="inlineStr"/>
    </row>
    <row r="41" ht="22" customHeight="1">
      <c r="A41" s="4" t="inlineStr">
        <is>
          <t>III. HẠNG MỤC THÂN TRỤ, THÂN MỐ &amp; XÀ MŨ (CÁC ĐỐT LÊN HOÀN THIỆN)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</row>
    <row r="42" ht="20" customHeight="1">
      <c r="A42" s="6" t="n">
        <v>37</v>
      </c>
      <c r="B42" s="7" t="inlineStr">
        <is>
          <t>Bê tông thân trụ T1 - Đốt 1 (C30 đá 1x2)</t>
        </is>
      </c>
      <c r="C42" s="8" t="n"/>
      <c r="D42" s="9" t="n">
        <v>42</v>
      </c>
      <c r="E42" s="8">
        <f>IF(C42="","",C42+7)</f>
        <v/>
      </c>
      <c r="F42" s="8">
        <f>IF(C42="","",C42+28)</f>
        <v/>
      </c>
      <c r="G42" s="6" t="inlineStr"/>
      <c r="H42" s="6" t="inlineStr"/>
      <c r="I42" s="6" t="inlineStr"/>
      <c r="J42" s="10" t="n">
        <v>0.425</v>
      </c>
      <c r="K42" s="10" t="n">
        <v>0.555</v>
      </c>
      <c r="L42" s="10" t="n">
        <v>0.7</v>
      </c>
      <c r="M42" s="9">
        <f>IF(D42="","",ROUND(M40+IF(G42&gt;0,D42*G42,D42*J42),2))</f>
        <v/>
      </c>
      <c r="N42" s="9">
        <f>IF(D42="","",ROUND(N40+IF(H42&gt;0,D42*H42,D42*K42),2))</f>
        <v/>
      </c>
      <c r="O42" s="9">
        <f>IF(D42="","",ROUND(O40+IF(I42&gt;0,D42*I42,D42*L42),2))</f>
        <v/>
      </c>
      <c r="P42" s="11">
        <f>IF(M42="","",IF(INT(M42/50)&gt;INT(M40/50),"Lần " &amp; INT(M42/50),""))</f>
        <v/>
      </c>
      <c r="Q42" s="12">
        <f>IF(N42="","",IF(INT(N42/200)&gt;INT(N40/200),"Lần " &amp; INT(N42/200),""))</f>
        <v/>
      </c>
      <c r="R42" s="11">
        <f>IF(O42="","",IF(INT(O42/350)&gt;INT(O40/350),"Lần " &amp; INT(O42/350),""))</f>
        <v/>
      </c>
      <c r="S42" s="6" t="inlineStr"/>
      <c r="T42" s="9" t="inlineStr"/>
    </row>
    <row r="43" ht="20" customHeight="1">
      <c r="A43" s="6" t="n">
        <v>38</v>
      </c>
      <c r="B43" s="7" t="inlineStr">
        <is>
          <t>Bê tông thân trụ T1 - Đốt 2 (C30 đá 1x2)</t>
        </is>
      </c>
      <c r="C43" s="8" t="n"/>
      <c r="D43" s="9" t="n">
        <v>42</v>
      </c>
      <c r="E43" s="8">
        <f>IF(C43="","",C43+7)</f>
        <v/>
      </c>
      <c r="F43" s="8">
        <f>IF(C43="","",C43+28)</f>
        <v/>
      </c>
      <c r="G43" s="6" t="inlineStr"/>
      <c r="H43" s="6" t="inlineStr"/>
      <c r="I43" s="6" t="inlineStr"/>
      <c r="J43" s="10" t="n">
        <v>0.425</v>
      </c>
      <c r="K43" s="10" t="n">
        <v>0.555</v>
      </c>
      <c r="L43" s="10" t="n">
        <v>0.7</v>
      </c>
      <c r="M43" s="9">
        <f>IF(D43="","",ROUND(M42+IF(G43&gt;0,D43*G43,D43*J43),2))</f>
        <v/>
      </c>
      <c r="N43" s="9">
        <f>IF(D43="","",ROUND(N42+IF(H43&gt;0,D43*H43,D43*K43),2))</f>
        <v/>
      </c>
      <c r="O43" s="9">
        <f>IF(D43="","",ROUND(O42+IF(I43&gt;0,D43*I43,D43*L43),2))</f>
        <v/>
      </c>
      <c r="P43" s="11">
        <f>IF(M43="","",IF(INT(M43/50)&gt;INT(M42/50),"Lần " &amp; INT(M43/50),""))</f>
        <v/>
      </c>
      <c r="Q43" s="12">
        <f>IF(N43="","",IF(INT(N43/200)&gt;INT(N42/200),"Lần " &amp; INT(N43/200),""))</f>
        <v/>
      </c>
      <c r="R43" s="11">
        <f>IF(O43="","",IF(INT(O43/350)&gt;INT(O42/350),"Lần " &amp; INT(O43/350),""))</f>
        <v/>
      </c>
      <c r="S43" s="6" t="inlineStr"/>
      <c r="T43" s="9" t="inlineStr"/>
    </row>
    <row r="44" ht="20" customHeight="1">
      <c r="A44" s="6" t="n">
        <v>39</v>
      </c>
      <c r="B44" s="7" t="inlineStr">
        <is>
          <t>Bê tông thân trụ T1 - Đốt 3 (C30 đá 1x2)</t>
        </is>
      </c>
      <c r="C44" s="8" t="n"/>
      <c r="D44" s="9" t="n">
        <v>38</v>
      </c>
      <c r="E44" s="8">
        <f>IF(C44="","",C44+7)</f>
        <v/>
      </c>
      <c r="F44" s="8">
        <f>IF(C44="","",C44+28)</f>
        <v/>
      </c>
      <c r="G44" s="6" t="inlineStr"/>
      <c r="H44" s="6" t="inlineStr"/>
      <c r="I44" s="6" t="inlineStr"/>
      <c r="J44" s="10" t="n">
        <v>0.425</v>
      </c>
      <c r="K44" s="10" t="n">
        <v>0.555</v>
      </c>
      <c r="L44" s="10" t="n">
        <v>0.7</v>
      </c>
      <c r="M44" s="9">
        <f>IF(D44="","",ROUND(M43+IF(G44&gt;0,D44*G44,D44*J44),2))</f>
        <v/>
      </c>
      <c r="N44" s="9">
        <f>IF(D44="","",ROUND(N43+IF(H44&gt;0,D44*H44,D44*K44),2))</f>
        <v/>
      </c>
      <c r="O44" s="9">
        <f>IF(D44="","",ROUND(O43+IF(I44&gt;0,D44*I44,D44*L44),2))</f>
        <v/>
      </c>
      <c r="P44" s="11">
        <f>IF(M44="","",IF(INT(M44/50)&gt;INT(M43/50),"Lần " &amp; INT(M44/50),""))</f>
        <v/>
      </c>
      <c r="Q44" s="12">
        <f>IF(N44="","",IF(INT(N44/200)&gt;INT(N43/200),"Lần " &amp; INT(N44/200),""))</f>
        <v/>
      </c>
      <c r="R44" s="11">
        <f>IF(O44="","",IF(INT(O44/350)&gt;INT(O43/350),"Lần " &amp; INT(O44/350),""))</f>
        <v/>
      </c>
      <c r="S44" s="6" t="inlineStr"/>
      <c r="T44" s="9" t="inlineStr"/>
    </row>
    <row r="45" ht="20" customHeight="1">
      <c r="A45" s="6" t="n">
        <v>40</v>
      </c>
      <c r="B45" s="7" t="inlineStr">
        <is>
          <t>Bê tông xà mũ trụ T1 &amp; đá kê gối (C35/C30 đá 1x2)</t>
        </is>
      </c>
      <c r="C45" s="8" t="n"/>
      <c r="D45" s="9" t="n">
        <v>45</v>
      </c>
      <c r="E45" s="8">
        <f>IF(C45="","",C45+7)</f>
        <v/>
      </c>
      <c r="F45" s="8">
        <f>IF(C45="","",C45+28)</f>
        <v/>
      </c>
      <c r="G45" s="6" t="inlineStr"/>
      <c r="H45" s="6" t="inlineStr"/>
      <c r="I45" s="6" t="inlineStr"/>
      <c r="J45" s="10" t="n">
        <v>0.425</v>
      </c>
      <c r="K45" s="10" t="n">
        <v>0.555</v>
      </c>
      <c r="L45" s="10" t="n">
        <v>0.7</v>
      </c>
      <c r="M45" s="9">
        <f>IF(D45="","",ROUND(M44+IF(G45&gt;0,D45*G45,D45*J45),2))</f>
        <v/>
      </c>
      <c r="N45" s="9">
        <f>IF(D45="","",ROUND(N44+IF(H45&gt;0,D45*H45,D45*K45),2))</f>
        <v/>
      </c>
      <c r="O45" s="9">
        <f>IF(D45="","",ROUND(O44+IF(I45&gt;0,D45*I45,D45*L45),2))</f>
        <v/>
      </c>
      <c r="P45" s="11">
        <f>IF(M45="","",IF(INT(M45/50)&gt;INT(M44/50),"Lần " &amp; INT(M45/50),""))</f>
        <v/>
      </c>
      <c r="Q45" s="12">
        <f>IF(N45="","",IF(INT(N45/200)&gt;INT(N44/200),"Lần " &amp; INT(N45/200),""))</f>
        <v/>
      </c>
      <c r="R45" s="11">
        <f>IF(O45="","",IF(INT(O45/350)&gt;INT(O44/350),"Lần " &amp; INT(O45/350),""))</f>
        <v/>
      </c>
      <c r="S45" s="6" t="inlineStr"/>
      <c r="T45" s="9" t="inlineStr"/>
    </row>
    <row r="46" ht="20" customHeight="1">
      <c r="A46" s="6" t="n">
        <v>41</v>
      </c>
      <c r="B46" s="7" t="inlineStr">
        <is>
          <t>Bê tông thân trụ T2 - Đốt 1 (C30 đá 1x2)</t>
        </is>
      </c>
      <c r="C46" s="8" t="n"/>
      <c r="D46" s="9" t="n">
        <v>45</v>
      </c>
      <c r="E46" s="8">
        <f>IF(C46="","",C46+7)</f>
        <v/>
      </c>
      <c r="F46" s="8">
        <f>IF(C46="","",C46+28)</f>
        <v/>
      </c>
      <c r="G46" s="6" t="inlineStr"/>
      <c r="H46" s="6" t="inlineStr"/>
      <c r="I46" s="6" t="inlineStr"/>
      <c r="J46" s="10" t="n">
        <v>0.425</v>
      </c>
      <c r="K46" s="10" t="n">
        <v>0.555</v>
      </c>
      <c r="L46" s="10" t="n">
        <v>0.7</v>
      </c>
      <c r="M46" s="9">
        <f>IF(D46="","",ROUND(M45+IF(G46&gt;0,D46*G46,D46*J46),2))</f>
        <v/>
      </c>
      <c r="N46" s="9">
        <f>IF(D46="","",ROUND(N45+IF(H46&gt;0,D46*H46,D46*K46),2))</f>
        <v/>
      </c>
      <c r="O46" s="9">
        <f>IF(D46="","",ROUND(O45+IF(I46&gt;0,D46*I46,D46*L46),2))</f>
        <v/>
      </c>
      <c r="P46" s="11">
        <f>IF(M46="","",IF(INT(M46/50)&gt;INT(M45/50),"Lần " &amp; INT(M46/50),""))</f>
        <v/>
      </c>
      <c r="Q46" s="12">
        <f>IF(N46="","",IF(INT(N46/200)&gt;INT(N45/200),"Lần " &amp; INT(N46/200),""))</f>
        <v/>
      </c>
      <c r="R46" s="11">
        <f>IF(O46="","",IF(INT(O46/350)&gt;INT(O45/350),"Lần " &amp; INT(O46/350),""))</f>
        <v/>
      </c>
      <c r="S46" s="6" t="inlineStr"/>
      <c r="T46" s="9" t="inlineStr"/>
    </row>
    <row r="47" ht="20" customHeight="1">
      <c r="A47" s="6" t="n">
        <v>42</v>
      </c>
      <c r="B47" s="7" t="inlineStr">
        <is>
          <t>Bê tông thân trụ T2 - Đốt 2 (C30 đá 1x2)</t>
        </is>
      </c>
      <c r="C47" s="8" t="n"/>
      <c r="D47" s="9" t="n">
        <v>45</v>
      </c>
      <c r="E47" s="8">
        <f>IF(C47="","",C47+7)</f>
        <v/>
      </c>
      <c r="F47" s="8">
        <f>IF(C47="","",C47+28)</f>
        <v/>
      </c>
      <c r="G47" s="6" t="inlineStr"/>
      <c r="H47" s="6" t="inlineStr"/>
      <c r="I47" s="6" t="inlineStr"/>
      <c r="J47" s="10" t="n">
        <v>0.425</v>
      </c>
      <c r="K47" s="10" t="n">
        <v>0.555</v>
      </c>
      <c r="L47" s="10" t="n">
        <v>0.7</v>
      </c>
      <c r="M47" s="9">
        <f>IF(D47="","",ROUND(M46+IF(G47&gt;0,D47*G47,D47*J47),2))</f>
        <v/>
      </c>
      <c r="N47" s="9">
        <f>IF(D47="","",ROUND(N46+IF(H47&gt;0,D47*H47,D47*K47),2))</f>
        <v/>
      </c>
      <c r="O47" s="9">
        <f>IF(D47="","",ROUND(O46+IF(I47&gt;0,D47*I47,D47*L47),2))</f>
        <v/>
      </c>
      <c r="P47" s="11">
        <f>IF(M47="","",IF(INT(M47/50)&gt;INT(M46/50),"Lần " &amp; INT(M47/50),""))</f>
        <v/>
      </c>
      <c r="Q47" s="12">
        <f>IF(N47="","",IF(INT(N47/200)&gt;INT(N46/200),"Lần " &amp; INT(N47/200),""))</f>
        <v/>
      </c>
      <c r="R47" s="11">
        <f>IF(O47="","",IF(INT(O47/350)&gt;INT(O46/350),"Lần " &amp; INT(O47/350),""))</f>
        <v/>
      </c>
      <c r="S47" s="6" t="inlineStr"/>
      <c r="T47" s="9" t="inlineStr"/>
    </row>
    <row r="48" ht="20" customHeight="1">
      <c r="A48" s="6" t="n">
        <v>43</v>
      </c>
      <c r="B48" s="7" t="inlineStr">
        <is>
          <t>Bê tông thân trụ T2 - Đốt 3 (C30 đá 1x2)</t>
        </is>
      </c>
      <c r="C48" s="8" t="n"/>
      <c r="D48" s="9" t="n">
        <v>42</v>
      </c>
      <c r="E48" s="8">
        <f>IF(C48="","",C48+7)</f>
        <v/>
      </c>
      <c r="F48" s="8">
        <f>IF(C48="","",C48+28)</f>
        <v/>
      </c>
      <c r="G48" s="6" t="inlineStr"/>
      <c r="H48" s="6" t="inlineStr"/>
      <c r="I48" s="6" t="inlineStr"/>
      <c r="J48" s="10" t="n">
        <v>0.425</v>
      </c>
      <c r="K48" s="10" t="n">
        <v>0.555</v>
      </c>
      <c r="L48" s="10" t="n">
        <v>0.7</v>
      </c>
      <c r="M48" s="9">
        <f>IF(D48="","",ROUND(M47+IF(G48&gt;0,D48*G48,D48*J48),2))</f>
        <v/>
      </c>
      <c r="N48" s="9">
        <f>IF(D48="","",ROUND(N47+IF(H48&gt;0,D48*H48,D48*K48),2))</f>
        <v/>
      </c>
      <c r="O48" s="9">
        <f>IF(D48="","",ROUND(O47+IF(I48&gt;0,D48*I48,D48*L48),2))</f>
        <v/>
      </c>
      <c r="P48" s="11">
        <f>IF(M48="","",IF(INT(M48/50)&gt;INT(M47/50),"Lần " &amp; INT(M48/50),""))</f>
        <v/>
      </c>
      <c r="Q48" s="12">
        <f>IF(N48="","",IF(INT(N48/200)&gt;INT(N47/200),"Lần " &amp; INT(N48/200),""))</f>
        <v/>
      </c>
      <c r="R48" s="11">
        <f>IF(O48="","",IF(INT(O48/350)&gt;INT(O47/350),"Lần " &amp; INT(O48/350),""))</f>
        <v/>
      </c>
      <c r="S48" s="6" t="inlineStr"/>
      <c r="T48" s="9" t="inlineStr"/>
    </row>
    <row r="49" ht="20" customHeight="1">
      <c r="A49" s="6" t="n">
        <v>44</v>
      </c>
      <c r="B49" s="7" t="inlineStr">
        <is>
          <t>Bê tông xà mũ trụ T2 &amp; đá kê gối (C35/C30 đá 1x2)</t>
        </is>
      </c>
      <c r="C49" s="8" t="n"/>
      <c r="D49" s="9" t="n">
        <v>45</v>
      </c>
      <c r="E49" s="8">
        <f>IF(C49="","",C49+7)</f>
        <v/>
      </c>
      <c r="F49" s="8">
        <f>IF(C49="","",C49+28)</f>
        <v/>
      </c>
      <c r="G49" s="6" t="inlineStr"/>
      <c r="H49" s="6" t="inlineStr"/>
      <c r="I49" s="6" t="inlineStr"/>
      <c r="J49" s="10" t="n">
        <v>0.425</v>
      </c>
      <c r="K49" s="10" t="n">
        <v>0.555</v>
      </c>
      <c r="L49" s="10" t="n">
        <v>0.7</v>
      </c>
      <c r="M49" s="9">
        <f>IF(D49="","",ROUND(M48+IF(G49&gt;0,D49*G49,D49*J49),2))</f>
        <v/>
      </c>
      <c r="N49" s="9">
        <f>IF(D49="","",ROUND(N48+IF(H49&gt;0,D49*H49,D49*K49),2))</f>
        <v/>
      </c>
      <c r="O49" s="9">
        <f>IF(D49="","",ROUND(O48+IF(I49&gt;0,D49*I49,D49*L49),2))</f>
        <v/>
      </c>
      <c r="P49" s="11">
        <f>IF(M49="","",IF(INT(M49/50)&gt;INT(M48/50),"Lần " &amp; INT(M49/50),""))</f>
        <v/>
      </c>
      <c r="Q49" s="12">
        <f>IF(N49="","",IF(INT(N49/200)&gt;INT(N48/200),"Lần " &amp; INT(N49/200),""))</f>
        <v/>
      </c>
      <c r="R49" s="11">
        <f>IF(O49="","",IF(INT(O49/350)&gt;INT(O48/350),"Lần " &amp; INT(O49/350),""))</f>
        <v/>
      </c>
      <c r="S49" s="6" t="inlineStr"/>
      <c r="T49" s="9" t="inlineStr"/>
    </row>
    <row r="50" ht="20" customHeight="1">
      <c r="A50" s="6" t="n">
        <v>45</v>
      </c>
      <c r="B50" s="7" t="inlineStr">
        <is>
          <t>Bê tông tường thân mố M1 - Đợt 1 (C30 đá 1x2)</t>
        </is>
      </c>
      <c r="C50" s="8" t="n"/>
      <c r="D50" s="9" t="n">
        <v>45</v>
      </c>
      <c r="E50" s="8">
        <f>IF(C50="","",C50+7)</f>
        <v/>
      </c>
      <c r="F50" s="8">
        <f>IF(C50="","",C50+28)</f>
        <v/>
      </c>
      <c r="G50" s="6" t="inlineStr"/>
      <c r="H50" s="6" t="inlineStr"/>
      <c r="I50" s="6" t="inlineStr"/>
      <c r="J50" s="10" t="n">
        <v>0.425</v>
      </c>
      <c r="K50" s="10" t="n">
        <v>0.555</v>
      </c>
      <c r="L50" s="10" t="n">
        <v>0.7</v>
      </c>
      <c r="M50" s="9">
        <f>IF(D50="","",ROUND(M49+IF(G50&gt;0,D50*G50,D50*J50),2))</f>
        <v/>
      </c>
      <c r="N50" s="9">
        <f>IF(D50="","",ROUND(N49+IF(H50&gt;0,D50*H50,D50*K50),2))</f>
        <v/>
      </c>
      <c r="O50" s="9">
        <f>IF(D50="","",ROUND(O49+IF(I50&gt;0,D50*I50,D50*L50),2))</f>
        <v/>
      </c>
      <c r="P50" s="11">
        <f>IF(M50="","",IF(INT(M50/50)&gt;INT(M49/50),"Lần " &amp; INT(M50/50),""))</f>
        <v/>
      </c>
      <c r="Q50" s="12">
        <f>IF(N50="","",IF(INT(N50/200)&gt;INT(N49/200),"Lần " &amp; INT(N50/200),""))</f>
        <v/>
      </c>
      <c r="R50" s="11">
        <f>IF(O50="","",IF(INT(O50/350)&gt;INT(O49/350),"Lần " &amp; INT(O50/350),""))</f>
        <v/>
      </c>
      <c r="S50" s="6" t="inlineStr"/>
      <c r="T50" s="9" t="inlineStr"/>
    </row>
    <row r="51" ht="20" customHeight="1">
      <c r="A51" s="6" t="n">
        <v>46</v>
      </c>
      <c r="B51" s="7" t="inlineStr">
        <is>
          <t>Bê tông tường thân mố M1 - Đợt 2 (C30 đá 1x2)</t>
        </is>
      </c>
      <c r="C51" s="8" t="n"/>
      <c r="D51" s="9" t="n">
        <v>39.44</v>
      </c>
      <c r="E51" s="8">
        <f>IF(C51="","",C51+7)</f>
        <v/>
      </c>
      <c r="F51" s="8">
        <f>IF(C51="","",C51+28)</f>
        <v/>
      </c>
      <c r="G51" s="6" t="inlineStr"/>
      <c r="H51" s="6" t="inlineStr"/>
      <c r="I51" s="6" t="inlineStr"/>
      <c r="J51" s="10" t="n">
        <v>0.425</v>
      </c>
      <c r="K51" s="10" t="n">
        <v>0.555</v>
      </c>
      <c r="L51" s="10" t="n">
        <v>0.7</v>
      </c>
      <c r="M51" s="9">
        <f>IF(D51="","",ROUND(M50+IF(G51&gt;0,D51*G51,D51*J51),2))</f>
        <v/>
      </c>
      <c r="N51" s="9">
        <f>IF(D51="","",ROUND(N50+IF(H51&gt;0,D51*H51,D51*K51),2))</f>
        <v/>
      </c>
      <c r="O51" s="9">
        <f>IF(D51="","",ROUND(O50+IF(I51&gt;0,D51*I51,D51*L51),2))</f>
        <v/>
      </c>
      <c r="P51" s="11">
        <f>IF(M51="","",IF(INT(M51/50)&gt;INT(M50/50),"Lần " &amp; INT(M51/50),""))</f>
        <v/>
      </c>
      <c r="Q51" s="12">
        <f>IF(N51="","",IF(INT(N51/200)&gt;INT(N50/200),"Lần " &amp; INT(N51/200),""))</f>
        <v/>
      </c>
      <c r="R51" s="11">
        <f>IF(O51="","",IF(INT(O51/350)&gt;INT(O50/350),"Lần " &amp; INT(O51/350),""))</f>
        <v/>
      </c>
      <c r="S51" s="6" t="inlineStr"/>
      <c r="T51" s="9" t="inlineStr"/>
    </row>
    <row r="52" ht="20" customHeight="1">
      <c r="A52" s="6" t="n">
        <v>47</v>
      </c>
      <c r="B52" s="7" t="inlineStr">
        <is>
          <t>Bê tông tường đỉnh mố M1 &amp; đá kê gối (C30)</t>
        </is>
      </c>
      <c r="C52" s="8" t="n"/>
      <c r="D52" s="9" t="n">
        <v>14.33</v>
      </c>
      <c r="E52" s="8">
        <f>IF(C52="","",C52+7)</f>
        <v/>
      </c>
      <c r="F52" s="8">
        <f>IF(C52="","",C52+28)</f>
        <v/>
      </c>
      <c r="G52" s="6" t="inlineStr"/>
      <c r="H52" s="6" t="inlineStr"/>
      <c r="I52" s="6" t="inlineStr"/>
      <c r="J52" s="10" t="n">
        <v>0.425</v>
      </c>
      <c r="K52" s="10" t="n">
        <v>0.555</v>
      </c>
      <c r="L52" s="10" t="n">
        <v>0.7</v>
      </c>
      <c r="M52" s="9">
        <f>IF(D52="","",ROUND(M51+IF(G52&gt;0,D52*G52,D52*J52),2))</f>
        <v/>
      </c>
      <c r="N52" s="9">
        <f>IF(D52="","",ROUND(N51+IF(H52&gt;0,D52*H52,D52*K52),2))</f>
        <v/>
      </c>
      <c r="O52" s="9">
        <f>IF(D52="","",ROUND(O51+IF(I52&gt;0,D52*I52,D52*L52),2))</f>
        <v/>
      </c>
      <c r="P52" s="11">
        <f>IF(M52="","",IF(INT(M52/50)&gt;INT(M51/50),"Lần " &amp; INT(M52/50),""))</f>
        <v/>
      </c>
      <c r="Q52" s="12">
        <f>IF(N52="","",IF(INT(N52/200)&gt;INT(N51/200),"Lần " &amp; INT(N52/200),""))</f>
        <v/>
      </c>
      <c r="R52" s="11">
        <f>IF(O52="","",IF(INT(O52/350)&gt;INT(O51/350),"Lần " &amp; INT(O52/350),""))</f>
        <v/>
      </c>
      <c r="S52" s="6" t="inlineStr"/>
      <c r="T52" s="9" t="inlineStr"/>
    </row>
    <row r="53" ht="20" customHeight="1">
      <c r="A53" s="6" t="n">
        <v>48</v>
      </c>
      <c r="B53" s="7" t="inlineStr">
        <is>
          <t>Bê tông tường cánh mố M1 (C30 đá 1x2)</t>
        </is>
      </c>
      <c r="C53" s="8" t="n"/>
      <c r="D53" s="9" t="n">
        <v>10.13</v>
      </c>
      <c r="E53" s="8">
        <f>IF(C53="","",C53+7)</f>
        <v/>
      </c>
      <c r="F53" s="8">
        <f>IF(C53="","",C53+28)</f>
        <v/>
      </c>
      <c r="G53" s="6" t="inlineStr"/>
      <c r="H53" s="6" t="inlineStr"/>
      <c r="I53" s="6" t="inlineStr"/>
      <c r="J53" s="10" t="n">
        <v>0.425</v>
      </c>
      <c r="K53" s="10" t="n">
        <v>0.555</v>
      </c>
      <c r="L53" s="10" t="n">
        <v>0.7</v>
      </c>
      <c r="M53" s="9">
        <f>IF(D53="","",ROUND(M52+IF(G53&gt;0,D53*G53,D53*J53),2))</f>
        <v/>
      </c>
      <c r="N53" s="9">
        <f>IF(D53="","",ROUND(N52+IF(H53&gt;0,D53*H53,D53*K53),2))</f>
        <v/>
      </c>
      <c r="O53" s="9">
        <f>IF(D53="","",ROUND(O52+IF(I53&gt;0,D53*I53,D53*L53),2))</f>
        <v/>
      </c>
      <c r="P53" s="11">
        <f>IF(M53="","",IF(INT(M53/50)&gt;INT(M52/50),"Lần " &amp; INT(M53/50),""))</f>
        <v/>
      </c>
      <c r="Q53" s="12">
        <f>IF(N53="","",IF(INT(N53/200)&gt;INT(N52/200),"Lần " &amp; INT(N53/200),""))</f>
        <v/>
      </c>
      <c r="R53" s="11">
        <f>IF(O53="","",IF(INT(O53/350)&gt;INT(O52/350),"Lần " &amp; INT(O53/350),""))</f>
        <v/>
      </c>
      <c r="S53" s="6" t="inlineStr"/>
      <c r="T53" s="9" t="inlineStr"/>
    </row>
    <row r="54" ht="20" customHeight="1">
      <c r="A54" s="6" t="n">
        <v>49</v>
      </c>
      <c r="B54" s="7" t="inlineStr">
        <is>
          <t>Bê tông tường thân mố M2 - Đợt 1 (C30 đá 1x2)</t>
        </is>
      </c>
      <c r="C54" s="8" t="n"/>
      <c r="D54" s="9" t="n">
        <v>45</v>
      </c>
      <c r="E54" s="8">
        <f>IF(C54="","",C54+7)</f>
        <v/>
      </c>
      <c r="F54" s="8">
        <f>IF(C54="","",C54+28)</f>
        <v/>
      </c>
      <c r="G54" s="6" t="inlineStr"/>
      <c r="H54" s="6" t="inlineStr"/>
      <c r="I54" s="6" t="inlineStr"/>
      <c r="J54" s="10" t="n">
        <v>0.425</v>
      </c>
      <c r="K54" s="10" t="n">
        <v>0.555</v>
      </c>
      <c r="L54" s="10" t="n">
        <v>0.7</v>
      </c>
      <c r="M54" s="9">
        <f>IF(D54="","",ROUND(M53+IF(G54&gt;0,D54*G54,D54*J54),2))</f>
        <v/>
      </c>
      <c r="N54" s="9">
        <f>IF(D54="","",ROUND(N53+IF(H54&gt;0,D54*H54,D54*K54),2))</f>
        <v/>
      </c>
      <c r="O54" s="9">
        <f>IF(D54="","",ROUND(O53+IF(I54&gt;0,D54*I54,D54*L54),2))</f>
        <v/>
      </c>
      <c r="P54" s="11">
        <f>IF(M54="","",IF(INT(M54/50)&gt;INT(M53/50),"Lần " &amp; INT(M54/50),""))</f>
        <v/>
      </c>
      <c r="Q54" s="12">
        <f>IF(N54="","",IF(INT(N54/200)&gt;INT(N53/200),"Lần " &amp; INT(N54/200),""))</f>
        <v/>
      </c>
      <c r="R54" s="11">
        <f>IF(O54="","",IF(INT(O54/350)&gt;INT(O53/350),"Lần " &amp; INT(O54/350),""))</f>
        <v/>
      </c>
      <c r="S54" s="6" t="inlineStr"/>
      <c r="T54" s="9" t="inlineStr"/>
    </row>
    <row r="55" ht="20" customHeight="1">
      <c r="A55" s="6" t="n">
        <v>50</v>
      </c>
      <c r="B55" s="7" t="inlineStr">
        <is>
          <t>Bê tông tường thân mố M2 - Đợt 2 (C30 đá 1x2)</t>
        </is>
      </c>
      <c r="C55" s="8" t="n"/>
      <c r="D55" s="9" t="n">
        <v>39.44</v>
      </c>
      <c r="E55" s="8">
        <f>IF(C55="","",C55+7)</f>
        <v/>
      </c>
      <c r="F55" s="8">
        <f>IF(C55="","",C55+28)</f>
        <v/>
      </c>
      <c r="G55" s="6" t="inlineStr"/>
      <c r="H55" s="6" t="inlineStr"/>
      <c r="I55" s="6" t="inlineStr"/>
      <c r="J55" s="10" t="n">
        <v>0.425</v>
      </c>
      <c r="K55" s="10" t="n">
        <v>0.555</v>
      </c>
      <c r="L55" s="10" t="n">
        <v>0.7</v>
      </c>
      <c r="M55" s="9">
        <f>IF(D55="","",ROUND(M54+IF(G55&gt;0,D55*G55,D55*J55),2))</f>
        <v/>
      </c>
      <c r="N55" s="9">
        <f>IF(D55="","",ROUND(N54+IF(H55&gt;0,D55*H55,D55*K55),2))</f>
        <v/>
      </c>
      <c r="O55" s="9">
        <f>IF(D55="","",ROUND(O54+IF(I55&gt;0,D55*I55,D55*L55),2))</f>
        <v/>
      </c>
      <c r="P55" s="11">
        <f>IF(M55="","",IF(INT(M55/50)&gt;INT(M54/50),"Lần " &amp; INT(M55/50),""))</f>
        <v/>
      </c>
      <c r="Q55" s="12">
        <f>IF(N55="","",IF(INT(N55/200)&gt;INT(N54/200),"Lần " &amp; INT(N55/200),""))</f>
        <v/>
      </c>
      <c r="R55" s="11">
        <f>IF(O55="","",IF(INT(O55/350)&gt;INT(O54/350),"Lần " &amp; INT(O55/350),""))</f>
        <v/>
      </c>
      <c r="S55" s="6" t="inlineStr"/>
      <c r="T55" s="9" t="inlineStr"/>
    </row>
    <row r="56" ht="20" customHeight="1">
      <c r="A56" s="6" t="n">
        <v>51</v>
      </c>
      <c r="B56" s="7" t="inlineStr">
        <is>
          <t>Bê tông tường đỉnh mố M2 &amp; đá kê gối (C30)</t>
        </is>
      </c>
      <c r="C56" s="8" t="n"/>
      <c r="D56" s="9" t="n">
        <v>14.33</v>
      </c>
      <c r="E56" s="8">
        <f>IF(C56="","",C56+7)</f>
        <v/>
      </c>
      <c r="F56" s="8">
        <f>IF(C56="","",C56+28)</f>
        <v/>
      </c>
      <c r="G56" s="6" t="inlineStr"/>
      <c r="H56" s="6" t="inlineStr"/>
      <c r="I56" s="6" t="inlineStr"/>
      <c r="J56" s="10" t="n">
        <v>0.425</v>
      </c>
      <c r="K56" s="10" t="n">
        <v>0.555</v>
      </c>
      <c r="L56" s="10" t="n">
        <v>0.7</v>
      </c>
      <c r="M56" s="9">
        <f>IF(D56="","",ROUND(M55+IF(G56&gt;0,D56*G56,D56*J56),2))</f>
        <v/>
      </c>
      <c r="N56" s="9">
        <f>IF(D56="","",ROUND(N55+IF(H56&gt;0,D56*H56,D56*K56),2))</f>
        <v/>
      </c>
      <c r="O56" s="9">
        <f>IF(D56="","",ROUND(O55+IF(I56&gt;0,D56*I56,D56*L56),2))</f>
        <v/>
      </c>
      <c r="P56" s="11">
        <f>IF(M56="","",IF(INT(M56/50)&gt;INT(M55/50),"Lần " &amp; INT(M56/50),""))</f>
        <v/>
      </c>
      <c r="Q56" s="12">
        <f>IF(N56="","",IF(INT(N56/200)&gt;INT(N55/200),"Lần " &amp; INT(N56/200),""))</f>
        <v/>
      </c>
      <c r="R56" s="11">
        <f>IF(O56="","",IF(INT(O56/350)&gt;INT(O55/350),"Lần " &amp; INT(O56/350),""))</f>
        <v/>
      </c>
      <c r="S56" s="6" t="inlineStr"/>
      <c r="T56" s="9" t="inlineStr"/>
    </row>
    <row r="57" ht="20" customHeight="1">
      <c r="A57" s="6" t="n">
        <v>52</v>
      </c>
      <c r="B57" s="7" t="inlineStr">
        <is>
          <t>Bê tông tường cánh mố M2 (C30 đá 1x2)</t>
        </is>
      </c>
      <c r="C57" s="8" t="n"/>
      <c r="D57" s="9" t="n">
        <v>10.13</v>
      </c>
      <c r="E57" s="8">
        <f>IF(C57="","",C57+7)</f>
        <v/>
      </c>
      <c r="F57" s="8">
        <f>IF(C57="","",C57+28)</f>
        <v/>
      </c>
      <c r="G57" s="6" t="inlineStr"/>
      <c r="H57" s="6" t="inlineStr"/>
      <c r="I57" s="6" t="inlineStr"/>
      <c r="J57" s="10" t="n">
        <v>0.425</v>
      </c>
      <c r="K57" s="10" t="n">
        <v>0.555</v>
      </c>
      <c r="L57" s="10" t="n">
        <v>0.7</v>
      </c>
      <c r="M57" s="9">
        <f>IF(D57="","",ROUND(M56+IF(G57&gt;0,D57*G57,D57*J57),2))</f>
        <v/>
      </c>
      <c r="N57" s="9">
        <f>IF(D57="","",ROUND(N56+IF(H57&gt;0,D57*H57,D57*K57),2))</f>
        <v/>
      </c>
      <c r="O57" s="9">
        <f>IF(D57="","",ROUND(O56+IF(I57&gt;0,D57*I57,D57*L57),2))</f>
        <v/>
      </c>
      <c r="P57" s="11">
        <f>IF(M57="","",IF(INT(M57/50)&gt;INT(M56/50),"Lần " &amp; INT(M57/50),""))</f>
        <v/>
      </c>
      <c r="Q57" s="12">
        <f>IF(N57="","",IF(INT(N57/200)&gt;INT(N56/200),"Lần " &amp; INT(N57/200),""))</f>
        <v/>
      </c>
      <c r="R57" s="11">
        <f>IF(O57="","",IF(INT(O57/350)&gt;INT(O56/350),"Lần " &amp; INT(O57/350),""))</f>
        <v/>
      </c>
      <c r="S57" s="6" t="inlineStr"/>
      <c r="T57" s="9" t="inlineStr"/>
    </row>
    <row r="58" ht="22" customHeight="1">
      <c r="A58" s="4" t="inlineStr">
        <is>
          <t>IV. HẠNG MỤC DẦM CHỦ SUPER-T L=38.2M (15 PHIẾN DẦM C45/C35)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</row>
    <row r="59" ht="20" customHeight="1">
      <c r="A59" s="6" t="n">
        <v>53</v>
      </c>
      <c r="B59" s="7" t="inlineStr">
        <is>
          <t>Bê tông dầm Super-T Nhịp 1 - Phiến D1 (C45 đá 1x2)</t>
        </is>
      </c>
      <c r="C59" s="8" t="n"/>
      <c r="D59" s="9" t="n">
        <v>28.99</v>
      </c>
      <c r="E59" s="8">
        <f>IF(C59="","",C59+7)</f>
        <v/>
      </c>
      <c r="F59" s="8">
        <f>IF(C59="","",C59+28)</f>
        <v/>
      </c>
      <c r="G59" s="6" t="inlineStr"/>
      <c r="H59" s="6" t="inlineStr"/>
      <c r="I59" s="6" t="inlineStr"/>
      <c r="J59" s="10" t="n">
        <v>0.425</v>
      </c>
      <c r="K59" s="10" t="n">
        <v>0.555</v>
      </c>
      <c r="L59" s="10" t="n">
        <v>0.7</v>
      </c>
      <c r="M59" s="9">
        <f>IF(D59="","",ROUND(M57+IF(G59&gt;0,D59*G59,D59*J59),2))</f>
        <v/>
      </c>
      <c r="N59" s="9">
        <f>IF(D59="","",ROUND(N57+IF(H59&gt;0,D59*H59,D59*K59),2))</f>
        <v/>
      </c>
      <c r="O59" s="9">
        <f>IF(D59="","",ROUND(O57+IF(I59&gt;0,D59*I59,D59*L59),2))</f>
        <v/>
      </c>
      <c r="P59" s="11">
        <f>IF(M59="","",IF(INT(M59/50)&gt;INT(M57/50),"Lần " &amp; INT(M59/50),""))</f>
        <v/>
      </c>
      <c r="Q59" s="12">
        <f>IF(N59="","",IF(INT(N59/200)&gt;INT(N57/200),"Lần " &amp; INT(N59/200),""))</f>
        <v/>
      </c>
      <c r="R59" s="11">
        <f>IF(O59="","",IF(INT(O59/350)&gt;INT(O57/350),"Lần " &amp; INT(O59/350),""))</f>
        <v/>
      </c>
      <c r="S59" s="6" t="inlineStr"/>
      <c r="T59" s="9" t="inlineStr"/>
    </row>
    <row r="60" ht="20" customHeight="1">
      <c r="A60" s="6" t="n">
        <v>54</v>
      </c>
      <c r="B60" s="7" t="inlineStr">
        <is>
          <t>Bê tông dầm Super-T Nhịp 1 - Phiến D2 (C45 đá 1x2)</t>
        </is>
      </c>
      <c r="C60" s="8" t="n"/>
      <c r="D60" s="9" t="n">
        <v>28.99</v>
      </c>
      <c r="E60" s="8">
        <f>IF(C60="","",C60+7)</f>
        <v/>
      </c>
      <c r="F60" s="8">
        <f>IF(C60="","",C60+28)</f>
        <v/>
      </c>
      <c r="G60" s="6" t="inlineStr"/>
      <c r="H60" s="6" t="inlineStr"/>
      <c r="I60" s="6" t="inlineStr"/>
      <c r="J60" s="10" t="n">
        <v>0.425</v>
      </c>
      <c r="K60" s="10" t="n">
        <v>0.555</v>
      </c>
      <c r="L60" s="10" t="n">
        <v>0.7</v>
      </c>
      <c r="M60" s="9">
        <f>IF(D60="","",ROUND(M59+IF(G60&gt;0,D60*G60,D60*J60),2))</f>
        <v/>
      </c>
      <c r="N60" s="9">
        <f>IF(D60="","",ROUND(N59+IF(H60&gt;0,D60*H60,D60*K60),2))</f>
        <v/>
      </c>
      <c r="O60" s="9">
        <f>IF(D60="","",ROUND(O59+IF(I60&gt;0,D60*I60,D60*L60),2))</f>
        <v/>
      </c>
      <c r="P60" s="11">
        <f>IF(M60="","",IF(INT(M60/50)&gt;INT(M59/50),"Lần " &amp; INT(M60/50),""))</f>
        <v/>
      </c>
      <c r="Q60" s="12">
        <f>IF(N60="","",IF(INT(N60/200)&gt;INT(N59/200),"Lần " &amp; INT(N60/200),""))</f>
        <v/>
      </c>
      <c r="R60" s="11">
        <f>IF(O60="","",IF(INT(O60/350)&gt;INT(O59/350),"Lần " &amp; INT(O60/350),""))</f>
        <v/>
      </c>
      <c r="S60" s="6" t="inlineStr"/>
      <c r="T60" s="9" t="inlineStr"/>
    </row>
    <row r="61" ht="20" customHeight="1">
      <c r="A61" s="6" t="n">
        <v>55</v>
      </c>
      <c r="B61" s="7" t="inlineStr">
        <is>
          <t>Bê tông dầm Super-T Nhịp 1 - Phiến D3 (C45 đá 1x2)</t>
        </is>
      </c>
      <c r="C61" s="8" t="n"/>
      <c r="D61" s="9" t="n">
        <v>28.99</v>
      </c>
      <c r="E61" s="8">
        <f>IF(C61="","",C61+7)</f>
        <v/>
      </c>
      <c r="F61" s="8">
        <f>IF(C61="","",C61+28)</f>
        <v/>
      </c>
      <c r="G61" s="6" t="inlineStr"/>
      <c r="H61" s="6" t="inlineStr"/>
      <c r="I61" s="6" t="inlineStr"/>
      <c r="J61" s="10" t="n">
        <v>0.425</v>
      </c>
      <c r="K61" s="10" t="n">
        <v>0.555</v>
      </c>
      <c r="L61" s="10" t="n">
        <v>0.7</v>
      </c>
      <c r="M61" s="9">
        <f>IF(D61="","",ROUND(M60+IF(G61&gt;0,D61*G61,D61*J61),2))</f>
        <v/>
      </c>
      <c r="N61" s="9">
        <f>IF(D61="","",ROUND(N60+IF(H61&gt;0,D61*H61,D61*K61),2))</f>
        <v/>
      </c>
      <c r="O61" s="9">
        <f>IF(D61="","",ROUND(O60+IF(I61&gt;0,D61*I61,D61*L61),2))</f>
        <v/>
      </c>
      <c r="P61" s="11">
        <f>IF(M61="","",IF(INT(M61/50)&gt;INT(M60/50),"Lần " &amp; INT(M61/50),""))</f>
        <v/>
      </c>
      <c r="Q61" s="12">
        <f>IF(N61="","",IF(INT(N61/200)&gt;INT(N60/200),"Lần " &amp; INT(N61/200),""))</f>
        <v/>
      </c>
      <c r="R61" s="11">
        <f>IF(O61="","",IF(INT(O61/350)&gt;INT(O60/350),"Lần " &amp; INT(O61/350),""))</f>
        <v/>
      </c>
      <c r="S61" s="6" t="inlineStr"/>
      <c r="T61" s="9" t="inlineStr"/>
    </row>
    <row r="62" ht="20" customHeight="1">
      <c r="A62" s="6" t="n">
        <v>56</v>
      </c>
      <c r="B62" s="7" t="inlineStr">
        <is>
          <t>Bê tông dầm Super-T Nhịp 1 - Phiến D4 (C45 đá 1x2)</t>
        </is>
      </c>
      <c r="C62" s="8" t="n"/>
      <c r="D62" s="9" t="n">
        <v>28.99</v>
      </c>
      <c r="E62" s="8">
        <f>IF(C62="","",C62+7)</f>
        <v/>
      </c>
      <c r="F62" s="8">
        <f>IF(C62="","",C62+28)</f>
        <v/>
      </c>
      <c r="G62" s="6" t="inlineStr"/>
      <c r="H62" s="6" t="inlineStr"/>
      <c r="I62" s="6" t="inlineStr"/>
      <c r="J62" s="10" t="n">
        <v>0.425</v>
      </c>
      <c r="K62" s="10" t="n">
        <v>0.555</v>
      </c>
      <c r="L62" s="10" t="n">
        <v>0.7</v>
      </c>
      <c r="M62" s="9">
        <f>IF(D62="","",ROUND(M61+IF(G62&gt;0,D62*G62,D62*J62),2))</f>
        <v/>
      </c>
      <c r="N62" s="9">
        <f>IF(D62="","",ROUND(N61+IF(H62&gt;0,D62*H62,D62*K62),2))</f>
        <v/>
      </c>
      <c r="O62" s="9">
        <f>IF(D62="","",ROUND(O61+IF(I62&gt;0,D62*I62,D62*L62),2))</f>
        <v/>
      </c>
      <c r="P62" s="11">
        <f>IF(M62="","",IF(INT(M62/50)&gt;INT(M61/50),"Lần " &amp; INT(M62/50),""))</f>
        <v/>
      </c>
      <c r="Q62" s="12">
        <f>IF(N62="","",IF(INT(N62/200)&gt;INT(N61/200),"Lần " &amp; INT(N62/200),""))</f>
        <v/>
      </c>
      <c r="R62" s="11">
        <f>IF(O62="","",IF(INT(O62/350)&gt;INT(O61/350),"Lần " &amp; INT(O62/350),""))</f>
        <v/>
      </c>
      <c r="S62" s="6" t="inlineStr"/>
      <c r="T62" s="9" t="inlineStr"/>
    </row>
    <row r="63" ht="20" customHeight="1">
      <c r="A63" s="6" t="n">
        <v>57</v>
      </c>
      <c r="B63" s="7" t="inlineStr">
        <is>
          <t>Bê tông dầm Super-T Nhịp 1 - Phiến D5 (C45 đá 1x2)</t>
        </is>
      </c>
      <c r="C63" s="8" t="n"/>
      <c r="D63" s="9" t="n">
        <v>28.99</v>
      </c>
      <c r="E63" s="8">
        <f>IF(C63="","",C63+7)</f>
        <v/>
      </c>
      <c r="F63" s="8">
        <f>IF(C63="","",C63+28)</f>
        <v/>
      </c>
      <c r="G63" s="6" t="inlineStr"/>
      <c r="H63" s="6" t="inlineStr"/>
      <c r="I63" s="6" t="inlineStr"/>
      <c r="J63" s="10" t="n">
        <v>0.425</v>
      </c>
      <c r="K63" s="10" t="n">
        <v>0.555</v>
      </c>
      <c r="L63" s="10" t="n">
        <v>0.7</v>
      </c>
      <c r="M63" s="9">
        <f>IF(D63="","",ROUND(M62+IF(G63&gt;0,D63*G63,D63*J63),2))</f>
        <v/>
      </c>
      <c r="N63" s="9">
        <f>IF(D63="","",ROUND(N62+IF(H63&gt;0,D63*H63,D63*K63),2))</f>
        <v/>
      </c>
      <c r="O63" s="9">
        <f>IF(D63="","",ROUND(O62+IF(I63&gt;0,D63*I63,D63*L63),2))</f>
        <v/>
      </c>
      <c r="P63" s="11">
        <f>IF(M63="","",IF(INT(M63/50)&gt;INT(M62/50),"Lần " &amp; INT(M63/50),""))</f>
        <v/>
      </c>
      <c r="Q63" s="12">
        <f>IF(N63="","",IF(INT(N63/200)&gt;INT(N62/200),"Lần " &amp; INT(N63/200),""))</f>
        <v/>
      </c>
      <c r="R63" s="11">
        <f>IF(O63="","",IF(INT(O63/350)&gt;INT(O62/350),"Lần " &amp; INT(O63/350),""))</f>
        <v/>
      </c>
      <c r="S63" s="6" t="inlineStr"/>
      <c r="T63" s="9" t="inlineStr"/>
    </row>
    <row r="64" ht="20" customHeight="1">
      <c r="A64" s="6" t="n">
        <v>58</v>
      </c>
      <c r="B64" s="7" t="inlineStr">
        <is>
          <t>Bê tông dầm Super-T Nhịp 2 - Phiến D1 (C45 đá 1x2)</t>
        </is>
      </c>
      <c r="C64" s="8" t="n"/>
      <c r="D64" s="9" t="n">
        <v>28.99</v>
      </c>
      <c r="E64" s="8">
        <f>IF(C64="","",C64+7)</f>
        <v/>
      </c>
      <c r="F64" s="8">
        <f>IF(C64="","",C64+28)</f>
        <v/>
      </c>
      <c r="G64" s="6" t="inlineStr"/>
      <c r="H64" s="6" t="inlineStr"/>
      <c r="I64" s="6" t="inlineStr"/>
      <c r="J64" s="10" t="n">
        <v>0.425</v>
      </c>
      <c r="K64" s="10" t="n">
        <v>0.555</v>
      </c>
      <c r="L64" s="10" t="n">
        <v>0.7</v>
      </c>
      <c r="M64" s="9">
        <f>IF(D64="","",ROUND(M63+IF(G64&gt;0,D64*G64,D64*J64),2))</f>
        <v/>
      </c>
      <c r="N64" s="9">
        <f>IF(D64="","",ROUND(N63+IF(H64&gt;0,D64*H64,D64*K64),2))</f>
        <v/>
      </c>
      <c r="O64" s="9">
        <f>IF(D64="","",ROUND(O63+IF(I64&gt;0,D64*I64,D64*L64),2))</f>
        <v/>
      </c>
      <c r="P64" s="11">
        <f>IF(M64="","",IF(INT(M64/50)&gt;INT(M63/50),"Lần " &amp; INT(M64/50),""))</f>
        <v/>
      </c>
      <c r="Q64" s="12">
        <f>IF(N64="","",IF(INT(N64/200)&gt;INT(N63/200),"Lần " &amp; INT(N64/200),""))</f>
        <v/>
      </c>
      <c r="R64" s="11">
        <f>IF(O64="","",IF(INT(O64/350)&gt;INT(O63/350),"Lần " &amp; INT(O64/350),""))</f>
        <v/>
      </c>
      <c r="S64" s="6" t="inlineStr"/>
      <c r="T64" s="9" t="inlineStr"/>
    </row>
    <row r="65" ht="20" customHeight="1">
      <c r="A65" s="6" t="n">
        <v>59</v>
      </c>
      <c r="B65" s="7" t="inlineStr">
        <is>
          <t>Bê tông dầm Super-T Nhịp 2 - Phiến D2 (C45 đá 1x2)</t>
        </is>
      </c>
      <c r="C65" s="8" t="n"/>
      <c r="D65" s="9" t="n">
        <v>28.99</v>
      </c>
      <c r="E65" s="8">
        <f>IF(C65="","",C65+7)</f>
        <v/>
      </c>
      <c r="F65" s="8">
        <f>IF(C65="","",C65+28)</f>
        <v/>
      </c>
      <c r="G65" s="6" t="inlineStr"/>
      <c r="H65" s="6" t="inlineStr"/>
      <c r="I65" s="6" t="inlineStr"/>
      <c r="J65" s="10" t="n">
        <v>0.425</v>
      </c>
      <c r="K65" s="10" t="n">
        <v>0.555</v>
      </c>
      <c r="L65" s="10" t="n">
        <v>0.7</v>
      </c>
      <c r="M65" s="9">
        <f>IF(D65="","",ROUND(M64+IF(G65&gt;0,D65*G65,D65*J65),2))</f>
        <v/>
      </c>
      <c r="N65" s="9">
        <f>IF(D65="","",ROUND(N64+IF(H65&gt;0,D65*H65,D65*K65),2))</f>
        <v/>
      </c>
      <c r="O65" s="9">
        <f>IF(D65="","",ROUND(O64+IF(I65&gt;0,D65*I65,D65*L65),2))</f>
        <v/>
      </c>
      <c r="P65" s="11">
        <f>IF(M65="","",IF(INT(M65/50)&gt;INT(M64/50),"Lần " &amp; INT(M65/50),""))</f>
        <v/>
      </c>
      <c r="Q65" s="12">
        <f>IF(N65="","",IF(INT(N65/200)&gt;INT(N64/200),"Lần " &amp; INT(N65/200),""))</f>
        <v/>
      </c>
      <c r="R65" s="11">
        <f>IF(O65="","",IF(INT(O65/350)&gt;INT(O64/350),"Lần " &amp; INT(O65/350),""))</f>
        <v/>
      </c>
      <c r="S65" s="6" t="inlineStr"/>
      <c r="T65" s="9" t="inlineStr"/>
    </row>
    <row r="66" ht="20" customHeight="1">
      <c r="A66" s="6" t="n">
        <v>60</v>
      </c>
      <c r="B66" s="7" t="inlineStr">
        <is>
          <t>Bê tông dầm Super-T Nhịp 2 - Phiến D3 (C45 đá 1x2)</t>
        </is>
      </c>
      <c r="C66" s="8" t="n"/>
      <c r="D66" s="9" t="n">
        <v>28.99</v>
      </c>
      <c r="E66" s="8">
        <f>IF(C66="","",C66+7)</f>
        <v/>
      </c>
      <c r="F66" s="8">
        <f>IF(C66="","",C66+28)</f>
        <v/>
      </c>
      <c r="G66" s="6" t="inlineStr"/>
      <c r="H66" s="6" t="inlineStr"/>
      <c r="I66" s="6" t="inlineStr"/>
      <c r="J66" s="10" t="n">
        <v>0.425</v>
      </c>
      <c r="K66" s="10" t="n">
        <v>0.555</v>
      </c>
      <c r="L66" s="10" t="n">
        <v>0.7</v>
      </c>
      <c r="M66" s="9">
        <f>IF(D66="","",ROUND(M65+IF(G66&gt;0,D66*G66,D66*J66),2))</f>
        <v/>
      </c>
      <c r="N66" s="9">
        <f>IF(D66="","",ROUND(N65+IF(H66&gt;0,D66*H66,D66*K66),2))</f>
        <v/>
      </c>
      <c r="O66" s="9">
        <f>IF(D66="","",ROUND(O65+IF(I66&gt;0,D66*I66,D66*L66),2))</f>
        <v/>
      </c>
      <c r="P66" s="11">
        <f>IF(M66="","",IF(INT(M66/50)&gt;INT(M65/50),"Lần " &amp; INT(M66/50),""))</f>
        <v/>
      </c>
      <c r="Q66" s="12">
        <f>IF(N66="","",IF(INT(N66/200)&gt;INT(N65/200),"Lần " &amp; INT(N66/200),""))</f>
        <v/>
      </c>
      <c r="R66" s="11">
        <f>IF(O66="","",IF(INT(O66/350)&gt;INT(O65/350),"Lần " &amp; INT(O66/350),""))</f>
        <v/>
      </c>
      <c r="S66" s="6" t="inlineStr"/>
      <c r="T66" s="9" t="inlineStr"/>
    </row>
    <row r="67" ht="20" customHeight="1">
      <c r="A67" s="6" t="n">
        <v>61</v>
      </c>
      <c r="B67" s="7" t="inlineStr">
        <is>
          <t>Bê tông dầm Super-T Nhịp 2 - Phiến D4 (C45 đá 1x2)</t>
        </is>
      </c>
      <c r="C67" s="8" t="n"/>
      <c r="D67" s="9" t="n">
        <v>28.99</v>
      </c>
      <c r="E67" s="8">
        <f>IF(C67="","",C67+7)</f>
        <v/>
      </c>
      <c r="F67" s="8">
        <f>IF(C67="","",C67+28)</f>
        <v/>
      </c>
      <c r="G67" s="6" t="inlineStr"/>
      <c r="H67" s="6" t="inlineStr"/>
      <c r="I67" s="6" t="inlineStr"/>
      <c r="J67" s="10" t="n">
        <v>0.425</v>
      </c>
      <c r="K67" s="10" t="n">
        <v>0.555</v>
      </c>
      <c r="L67" s="10" t="n">
        <v>0.7</v>
      </c>
      <c r="M67" s="9">
        <f>IF(D67="","",ROUND(M66+IF(G67&gt;0,D67*G67,D67*J67),2))</f>
        <v/>
      </c>
      <c r="N67" s="9">
        <f>IF(D67="","",ROUND(N66+IF(H67&gt;0,D67*H67,D67*K67),2))</f>
        <v/>
      </c>
      <c r="O67" s="9">
        <f>IF(D67="","",ROUND(O66+IF(I67&gt;0,D67*I67,D67*L67),2))</f>
        <v/>
      </c>
      <c r="P67" s="11">
        <f>IF(M67="","",IF(INT(M67/50)&gt;INT(M66/50),"Lần " &amp; INT(M67/50),""))</f>
        <v/>
      </c>
      <c r="Q67" s="12">
        <f>IF(N67="","",IF(INT(N67/200)&gt;INT(N66/200),"Lần " &amp; INT(N67/200),""))</f>
        <v/>
      </c>
      <c r="R67" s="11">
        <f>IF(O67="","",IF(INT(O67/350)&gt;INT(O66/350),"Lần " &amp; INT(O67/350),""))</f>
        <v/>
      </c>
      <c r="S67" s="6" t="inlineStr"/>
      <c r="T67" s="9" t="inlineStr"/>
    </row>
    <row r="68" ht="20" customHeight="1">
      <c r="A68" s="6" t="n">
        <v>62</v>
      </c>
      <c r="B68" s="7" t="inlineStr">
        <is>
          <t>Bê tông dầm Super-T Nhịp 2 - Phiến D5 (C45 đá 1x2)</t>
        </is>
      </c>
      <c r="C68" s="8" t="n"/>
      <c r="D68" s="9" t="n">
        <v>28.99</v>
      </c>
      <c r="E68" s="8">
        <f>IF(C68="","",C68+7)</f>
        <v/>
      </c>
      <c r="F68" s="8">
        <f>IF(C68="","",C68+28)</f>
        <v/>
      </c>
      <c r="G68" s="6" t="inlineStr"/>
      <c r="H68" s="6" t="inlineStr"/>
      <c r="I68" s="6" t="inlineStr"/>
      <c r="J68" s="10" t="n">
        <v>0.425</v>
      </c>
      <c r="K68" s="10" t="n">
        <v>0.555</v>
      </c>
      <c r="L68" s="10" t="n">
        <v>0.7</v>
      </c>
      <c r="M68" s="9">
        <f>IF(D68="","",ROUND(M67+IF(G68&gt;0,D68*G68,D68*J68),2))</f>
        <v/>
      </c>
      <c r="N68" s="9">
        <f>IF(D68="","",ROUND(N67+IF(H68&gt;0,D68*H68,D68*K68),2))</f>
        <v/>
      </c>
      <c r="O68" s="9">
        <f>IF(D68="","",ROUND(O67+IF(I68&gt;0,D68*I68,D68*L68),2))</f>
        <v/>
      </c>
      <c r="P68" s="11">
        <f>IF(M68="","",IF(INT(M68/50)&gt;INT(M67/50),"Lần " &amp; INT(M68/50),""))</f>
        <v/>
      </c>
      <c r="Q68" s="12">
        <f>IF(N68="","",IF(INT(N68/200)&gt;INT(N67/200),"Lần " &amp; INT(N68/200),""))</f>
        <v/>
      </c>
      <c r="R68" s="11">
        <f>IF(O68="","",IF(INT(O68/350)&gt;INT(O67/350),"Lần " &amp; INT(O68/350),""))</f>
        <v/>
      </c>
      <c r="S68" s="6" t="inlineStr"/>
      <c r="T68" s="9" t="inlineStr"/>
    </row>
    <row r="69" ht="20" customHeight="1">
      <c r="A69" s="6" t="n">
        <v>63</v>
      </c>
      <c r="B69" s="7" t="inlineStr">
        <is>
          <t>Bê tông dầm Super-T Nhịp 3 - Phiến D1 (C45 đá 1x2)</t>
        </is>
      </c>
      <c r="C69" s="8" t="n"/>
      <c r="D69" s="9" t="n">
        <v>28.99</v>
      </c>
      <c r="E69" s="8">
        <f>IF(C69="","",C69+7)</f>
        <v/>
      </c>
      <c r="F69" s="8">
        <f>IF(C69="","",C69+28)</f>
        <v/>
      </c>
      <c r="G69" s="6" t="inlineStr"/>
      <c r="H69" s="6" t="inlineStr"/>
      <c r="I69" s="6" t="inlineStr"/>
      <c r="J69" s="10" t="n">
        <v>0.425</v>
      </c>
      <c r="K69" s="10" t="n">
        <v>0.555</v>
      </c>
      <c r="L69" s="10" t="n">
        <v>0.7</v>
      </c>
      <c r="M69" s="9">
        <f>IF(D69="","",ROUND(M68+IF(G69&gt;0,D69*G69,D69*J69),2))</f>
        <v/>
      </c>
      <c r="N69" s="9">
        <f>IF(D69="","",ROUND(N68+IF(H69&gt;0,D69*H69,D69*K69),2))</f>
        <v/>
      </c>
      <c r="O69" s="9">
        <f>IF(D69="","",ROUND(O68+IF(I69&gt;0,D69*I69,D69*L69),2))</f>
        <v/>
      </c>
      <c r="P69" s="11">
        <f>IF(M69="","",IF(INT(M69/50)&gt;INT(M68/50),"Lần " &amp; INT(M69/50),""))</f>
        <v/>
      </c>
      <c r="Q69" s="12">
        <f>IF(N69="","",IF(INT(N69/200)&gt;INT(N68/200),"Lần " &amp; INT(N69/200),""))</f>
        <v/>
      </c>
      <c r="R69" s="11">
        <f>IF(O69="","",IF(INT(O69/350)&gt;INT(O68/350),"Lần " &amp; INT(O69/350),""))</f>
        <v/>
      </c>
      <c r="S69" s="6" t="inlineStr"/>
      <c r="T69" s="9" t="inlineStr"/>
    </row>
    <row r="70" ht="20" customHeight="1">
      <c r="A70" s="6" t="n">
        <v>64</v>
      </c>
      <c r="B70" s="7" t="inlineStr">
        <is>
          <t>Bê tông dầm Super-T Nhịp 3 - Phiến D2 (C45 đá 1x2)</t>
        </is>
      </c>
      <c r="C70" s="8" t="n"/>
      <c r="D70" s="9" t="n">
        <v>28.99</v>
      </c>
      <c r="E70" s="8">
        <f>IF(C70="","",C70+7)</f>
        <v/>
      </c>
      <c r="F70" s="8">
        <f>IF(C70="","",C70+28)</f>
        <v/>
      </c>
      <c r="G70" s="6" t="inlineStr"/>
      <c r="H70" s="6" t="inlineStr"/>
      <c r="I70" s="6" t="inlineStr"/>
      <c r="J70" s="10" t="n">
        <v>0.425</v>
      </c>
      <c r="K70" s="10" t="n">
        <v>0.555</v>
      </c>
      <c r="L70" s="10" t="n">
        <v>0.7</v>
      </c>
      <c r="M70" s="9">
        <f>IF(D70="","",ROUND(M69+IF(G70&gt;0,D70*G70,D70*J70),2))</f>
        <v/>
      </c>
      <c r="N70" s="9">
        <f>IF(D70="","",ROUND(N69+IF(H70&gt;0,D70*H70,D70*K70),2))</f>
        <v/>
      </c>
      <c r="O70" s="9">
        <f>IF(D70="","",ROUND(O69+IF(I70&gt;0,D70*I70,D70*L70),2))</f>
        <v/>
      </c>
      <c r="P70" s="11">
        <f>IF(M70="","",IF(INT(M70/50)&gt;INT(M69/50),"Lần " &amp; INT(M70/50),""))</f>
        <v/>
      </c>
      <c r="Q70" s="12">
        <f>IF(N70="","",IF(INT(N70/200)&gt;INT(N69/200),"Lần " &amp; INT(N70/200),""))</f>
        <v/>
      </c>
      <c r="R70" s="11">
        <f>IF(O70="","",IF(INT(O70/350)&gt;INT(O69/350),"Lần " &amp; INT(O70/350),""))</f>
        <v/>
      </c>
      <c r="S70" s="6" t="inlineStr"/>
      <c r="T70" s="9" t="inlineStr"/>
    </row>
    <row r="71" ht="20" customHeight="1">
      <c r="A71" s="6" t="n">
        <v>65</v>
      </c>
      <c r="B71" s="7" t="inlineStr">
        <is>
          <t>Bê tông dầm Super-T Nhịp 3 - Phiến D3 (C45 đá 1x2)</t>
        </is>
      </c>
      <c r="C71" s="8" t="n"/>
      <c r="D71" s="9" t="n">
        <v>28.99</v>
      </c>
      <c r="E71" s="8">
        <f>IF(C71="","",C71+7)</f>
        <v/>
      </c>
      <c r="F71" s="8">
        <f>IF(C71="","",C71+28)</f>
        <v/>
      </c>
      <c r="G71" s="6" t="inlineStr"/>
      <c r="H71" s="6" t="inlineStr"/>
      <c r="I71" s="6" t="inlineStr"/>
      <c r="J71" s="10" t="n">
        <v>0.425</v>
      </c>
      <c r="K71" s="10" t="n">
        <v>0.555</v>
      </c>
      <c r="L71" s="10" t="n">
        <v>0.7</v>
      </c>
      <c r="M71" s="9">
        <f>IF(D71="","",ROUND(M70+IF(G71&gt;0,D71*G71,D71*J71),2))</f>
        <v/>
      </c>
      <c r="N71" s="9">
        <f>IF(D71="","",ROUND(N70+IF(H71&gt;0,D71*H71,D71*K71),2))</f>
        <v/>
      </c>
      <c r="O71" s="9">
        <f>IF(D71="","",ROUND(O70+IF(I71&gt;0,D71*I71,D71*L71),2))</f>
        <v/>
      </c>
      <c r="P71" s="11">
        <f>IF(M71="","",IF(INT(M71/50)&gt;INT(M70/50),"Lần " &amp; INT(M71/50),""))</f>
        <v/>
      </c>
      <c r="Q71" s="12">
        <f>IF(N71="","",IF(INT(N71/200)&gt;INT(N70/200),"Lần " &amp; INT(N71/200),""))</f>
        <v/>
      </c>
      <c r="R71" s="11">
        <f>IF(O71="","",IF(INT(O71/350)&gt;INT(O70/350),"Lần " &amp; INT(O71/350),""))</f>
        <v/>
      </c>
      <c r="S71" s="6" t="inlineStr"/>
      <c r="T71" s="9" t="inlineStr"/>
    </row>
    <row r="72" ht="20" customHeight="1">
      <c r="A72" s="6" t="n">
        <v>66</v>
      </c>
      <c r="B72" s="7" t="inlineStr">
        <is>
          <t>Bê tông dầm Super-T Nhịp 3 - Phiến D4 (C45 đá 1x2)</t>
        </is>
      </c>
      <c r="C72" s="8" t="n"/>
      <c r="D72" s="9" t="n">
        <v>28.99</v>
      </c>
      <c r="E72" s="8">
        <f>IF(C72="","",C72+7)</f>
        <v/>
      </c>
      <c r="F72" s="8">
        <f>IF(C72="","",C72+28)</f>
        <v/>
      </c>
      <c r="G72" s="6" t="inlineStr"/>
      <c r="H72" s="6" t="inlineStr"/>
      <c r="I72" s="6" t="inlineStr"/>
      <c r="J72" s="10" t="n">
        <v>0.425</v>
      </c>
      <c r="K72" s="10" t="n">
        <v>0.555</v>
      </c>
      <c r="L72" s="10" t="n">
        <v>0.7</v>
      </c>
      <c r="M72" s="9">
        <f>IF(D72="","",ROUND(M71+IF(G72&gt;0,D72*G72,D72*J72),2))</f>
        <v/>
      </c>
      <c r="N72" s="9">
        <f>IF(D72="","",ROUND(N71+IF(H72&gt;0,D72*H72,D72*K72),2))</f>
        <v/>
      </c>
      <c r="O72" s="9">
        <f>IF(D72="","",ROUND(O71+IF(I72&gt;0,D72*I72,D72*L72),2))</f>
        <v/>
      </c>
      <c r="P72" s="11">
        <f>IF(M72="","",IF(INT(M72/50)&gt;INT(M71/50),"Lần " &amp; INT(M72/50),""))</f>
        <v/>
      </c>
      <c r="Q72" s="12">
        <f>IF(N72="","",IF(INT(N72/200)&gt;INT(N71/200),"Lần " &amp; INT(N72/200),""))</f>
        <v/>
      </c>
      <c r="R72" s="11">
        <f>IF(O72="","",IF(INT(O72/350)&gt;INT(O71/350),"Lần " &amp; INT(O72/350),""))</f>
        <v/>
      </c>
      <c r="S72" s="6" t="inlineStr"/>
      <c r="T72" s="9" t="inlineStr"/>
    </row>
    <row r="73" ht="20" customHeight="1">
      <c r="A73" s="6" t="n">
        <v>67</v>
      </c>
      <c r="B73" s="7" t="inlineStr">
        <is>
          <t>Bê tông dầm Super-T Nhịp 3 - Phiến D5 (C45 đá 1x2)</t>
        </is>
      </c>
      <c r="C73" s="8" t="n"/>
      <c r="D73" s="9" t="n">
        <v>28.99</v>
      </c>
      <c r="E73" s="8">
        <f>IF(C73="","",C73+7)</f>
        <v/>
      </c>
      <c r="F73" s="8">
        <f>IF(C73="","",C73+28)</f>
        <v/>
      </c>
      <c r="G73" s="6" t="inlineStr"/>
      <c r="H73" s="6" t="inlineStr"/>
      <c r="I73" s="6" t="inlineStr"/>
      <c r="J73" s="10" t="n">
        <v>0.425</v>
      </c>
      <c r="K73" s="10" t="n">
        <v>0.555</v>
      </c>
      <c r="L73" s="10" t="n">
        <v>0.7</v>
      </c>
      <c r="M73" s="9">
        <f>IF(D73="","",ROUND(M72+IF(G73&gt;0,D73*G73,D73*J73),2))</f>
        <v/>
      </c>
      <c r="N73" s="9">
        <f>IF(D73="","",ROUND(N72+IF(H73&gt;0,D73*H73,D73*K73),2))</f>
        <v/>
      </c>
      <c r="O73" s="9">
        <f>IF(D73="","",ROUND(O72+IF(I73&gt;0,D73*I73,D73*L73),2))</f>
        <v/>
      </c>
      <c r="P73" s="11">
        <f>IF(M73="","",IF(INT(M73/50)&gt;INT(M72/50),"Lần " &amp; INT(M73/50),""))</f>
        <v/>
      </c>
      <c r="Q73" s="12">
        <f>IF(N73="","",IF(INT(N73/200)&gt;INT(N72/200),"Lần " &amp; INT(N73/200),""))</f>
        <v/>
      </c>
      <c r="R73" s="11">
        <f>IF(O73="","",IF(INT(O73/350)&gt;INT(O72/350),"Lần " &amp; INT(O73/350),""))</f>
        <v/>
      </c>
      <c r="S73" s="6" t="inlineStr"/>
      <c r="T73" s="9" t="inlineStr"/>
    </row>
    <row r="74" ht="22" customHeight="1">
      <c r="A74" s="4" t="inlineStr">
        <is>
          <t>V. HẠNG MỤC DẦM NGANG, BẢN MẶT CẦU &amp; KẾT CẤU HOÀN THIỆN</t>
        </is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</row>
    <row r="75" ht="20" customHeight="1">
      <c r="A75" s="6" t="n">
        <v>68</v>
      </c>
      <c r="B75" s="7" t="inlineStr">
        <is>
          <t>Bê tông dầm ngang mố M1 &amp; Trụ T1 (C35 đá 1x2)</t>
        </is>
      </c>
      <c r="C75" s="8" t="n"/>
      <c r="D75" s="9" t="n">
        <v>6.46</v>
      </c>
      <c r="E75" s="8">
        <f>IF(C75="","",C75+7)</f>
        <v/>
      </c>
      <c r="F75" s="8">
        <f>IF(C75="","",C75+28)</f>
        <v/>
      </c>
      <c r="G75" s="6" t="inlineStr"/>
      <c r="H75" s="6" t="inlineStr"/>
      <c r="I75" s="6" t="inlineStr"/>
      <c r="J75" s="10" t="n">
        <v>0.425</v>
      </c>
      <c r="K75" s="10" t="n">
        <v>0.555</v>
      </c>
      <c r="L75" s="10" t="n">
        <v>0.7</v>
      </c>
      <c r="M75" s="9">
        <f>IF(D75="","",ROUND(M73+IF(G75&gt;0,D75*G75,D75*J75),2))</f>
        <v/>
      </c>
      <c r="N75" s="9">
        <f>IF(D75="","",ROUND(N73+IF(H75&gt;0,D75*H75,D75*K75),2))</f>
        <v/>
      </c>
      <c r="O75" s="9">
        <f>IF(D75="","",ROUND(O73+IF(I75&gt;0,D75*I75,D75*L75),2))</f>
        <v/>
      </c>
      <c r="P75" s="11">
        <f>IF(M75="","",IF(INT(M75/50)&gt;INT(M73/50),"Lần " &amp; INT(M75/50),""))</f>
        <v/>
      </c>
      <c r="Q75" s="12">
        <f>IF(N75="","",IF(INT(N75/200)&gt;INT(N73/200),"Lần " &amp; INT(N75/200),""))</f>
        <v/>
      </c>
      <c r="R75" s="11">
        <f>IF(O75="","",IF(INT(O75/350)&gt;INT(O73/350),"Lần " &amp; INT(O75/350),""))</f>
        <v/>
      </c>
      <c r="S75" s="6" t="inlineStr"/>
      <c r="T75" s="9" t="inlineStr"/>
    </row>
    <row r="76" ht="20" customHeight="1">
      <c r="A76" s="6" t="n">
        <v>69</v>
      </c>
      <c r="B76" s="7" t="inlineStr">
        <is>
          <t>Bê tông dầm ngang Trụ T1 &amp; Trụ T2 (C35 đá 1x2)</t>
        </is>
      </c>
      <c r="C76" s="8" t="n"/>
      <c r="D76" s="9" t="n">
        <v>6.46</v>
      </c>
      <c r="E76" s="8">
        <f>IF(C76="","",C76+7)</f>
        <v/>
      </c>
      <c r="F76" s="8">
        <f>IF(C76="","",C76+28)</f>
        <v/>
      </c>
      <c r="G76" s="6" t="inlineStr"/>
      <c r="H76" s="6" t="inlineStr"/>
      <c r="I76" s="6" t="inlineStr"/>
      <c r="J76" s="10" t="n">
        <v>0.425</v>
      </c>
      <c r="K76" s="10" t="n">
        <v>0.555</v>
      </c>
      <c r="L76" s="10" t="n">
        <v>0.7</v>
      </c>
      <c r="M76" s="9">
        <f>IF(D76="","",ROUND(M75+IF(G76&gt;0,D76*G76,D76*J76),2))</f>
        <v/>
      </c>
      <c r="N76" s="9">
        <f>IF(D76="","",ROUND(N75+IF(H76&gt;0,D76*H76,D76*K76),2))</f>
        <v/>
      </c>
      <c r="O76" s="9">
        <f>IF(D76="","",ROUND(O75+IF(I76&gt;0,D76*I76,D76*L76),2))</f>
        <v/>
      </c>
      <c r="P76" s="11">
        <f>IF(M76="","",IF(INT(M76/50)&gt;INT(M75/50),"Lần " &amp; INT(M76/50),""))</f>
        <v/>
      </c>
      <c r="Q76" s="12">
        <f>IF(N76="","",IF(INT(N76/200)&gt;INT(N75/200),"Lần " &amp; INT(N76/200),""))</f>
        <v/>
      </c>
      <c r="R76" s="11">
        <f>IF(O76="","",IF(INT(O76/350)&gt;INT(O75/350),"Lần " &amp; INT(O76/350),""))</f>
        <v/>
      </c>
      <c r="S76" s="6" t="inlineStr"/>
      <c r="T76" s="9" t="inlineStr"/>
    </row>
    <row r="77" ht="20" customHeight="1">
      <c r="A77" s="6" t="n">
        <v>70</v>
      </c>
      <c r="B77" s="7" t="inlineStr">
        <is>
          <t>Bê tông dầm ngang Trụ T2 &amp; Mố M2 (C35 đá 1x2)</t>
        </is>
      </c>
      <c r="C77" s="8" t="n"/>
      <c r="D77" s="9" t="n">
        <v>6.46</v>
      </c>
      <c r="E77" s="8">
        <f>IF(C77="","",C77+7)</f>
        <v/>
      </c>
      <c r="F77" s="8">
        <f>IF(C77="","",C77+28)</f>
        <v/>
      </c>
      <c r="G77" s="6" t="inlineStr"/>
      <c r="H77" s="6" t="inlineStr"/>
      <c r="I77" s="6" t="inlineStr"/>
      <c r="J77" s="10" t="n">
        <v>0.425</v>
      </c>
      <c r="K77" s="10" t="n">
        <v>0.555</v>
      </c>
      <c r="L77" s="10" t="n">
        <v>0.7</v>
      </c>
      <c r="M77" s="9">
        <f>IF(D77="","",ROUND(M76+IF(G77&gt;0,D77*G77,D77*J77),2))</f>
        <v/>
      </c>
      <c r="N77" s="9">
        <f>IF(D77="","",ROUND(N76+IF(H77&gt;0,D77*H77,D77*K77),2))</f>
        <v/>
      </c>
      <c r="O77" s="9">
        <f>IF(D77="","",ROUND(O76+IF(I77&gt;0,D77*I77,D77*L77),2))</f>
        <v/>
      </c>
      <c r="P77" s="11">
        <f>IF(M77="","",IF(INT(M77/50)&gt;INT(M76/50),"Lần " &amp; INT(M77/50),""))</f>
        <v/>
      </c>
      <c r="Q77" s="12">
        <f>IF(N77="","",IF(INT(N77/200)&gt;INT(N76/200),"Lần " &amp; INT(N77/200),""))</f>
        <v/>
      </c>
      <c r="R77" s="11">
        <f>IF(O77="","",IF(INT(O77/350)&gt;INT(O76/350),"Lần " &amp; INT(O77/350),""))</f>
        <v/>
      </c>
      <c r="S77" s="6" t="inlineStr"/>
      <c r="T77" s="9" t="inlineStr"/>
    </row>
    <row r="78" ht="20" customHeight="1">
      <c r="A78" s="6" t="n">
        <v>71</v>
      </c>
      <c r="B78" s="7" t="inlineStr">
        <is>
          <t>Bê tông mối nối ướt liên tục nhiệt dầm Super-T (C45)</t>
        </is>
      </c>
      <c r="C78" s="8" t="n"/>
      <c r="D78" s="9" t="n">
        <v>8.5</v>
      </c>
      <c r="E78" s="8">
        <f>IF(C78="","",C78+7)</f>
        <v/>
      </c>
      <c r="F78" s="8">
        <f>IF(C78="","",C78+28)</f>
        <v/>
      </c>
      <c r="G78" s="6" t="inlineStr"/>
      <c r="H78" s="6" t="inlineStr"/>
      <c r="I78" s="6" t="inlineStr"/>
      <c r="J78" s="10" t="n">
        <v>0.425</v>
      </c>
      <c r="K78" s="10" t="n">
        <v>0.555</v>
      </c>
      <c r="L78" s="10" t="n">
        <v>0.7</v>
      </c>
      <c r="M78" s="9">
        <f>IF(D78="","",ROUND(M77+IF(G78&gt;0,D78*G78,D78*J78),2))</f>
        <v/>
      </c>
      <c r="N78" s="9">
        <f>IF(D78="","",ROUND(N77+IF(H78&gt;0,D78*H78,D78*K78),2))</f>
        <v/>
      </c>
      <c r="O78" s="9">
        <f>IF(D78="","",ROUND(O77+IF(I78&gt;0,D78*I78,D78*L78),2))</f>
        <v/>
      </c>
      <c r="P78" s="11">
        <f>IF(M78="","",IF(INT(M78/50)&gt;INT(M77/50),"Lần " &amp; INT(M78/50),""))</f>
        <v/>
      </c>
      <c r="Q78" s="12">
        <f>IF(N78="","",IF(INT(N78/200)&gt;INT(N77/200),"Lần " &amp; INT(N78/200),""))</f>
        <v/>
      </c>
      <c r="R78" s="11">
        <f>IF(O78="","",IF(INT(O78/350)&gt;INT(O77/350),"Lần " &amp; INT(O78/350),""))</f>
        <v/>
      </c>
      <c r="S78" s="6" t="inlineStr"/>
      <c r="T78" s="9" t="inlineStr"/>
    </row>
    <row r="79" ht="20" customHeight="1">
      <c r="A79" s="6" t="n">
        <v>72</v>
      </c>
      <c r="B79" s="7" t="inlineStr">
        <is>
          <t>Bê tông bản mặt cầu Nhịp 1 (C35 đá 1x2)</t>
        </is>
      </c>
      <c r="C79" s="8" t="n"/>
      <c r="D79" s="9" t="n">
        <v>85</v>
      </c>
      <c r="E79" s="8">
        <f>IF(C79="","",C79+7)</f>
        <v/>
      </c>
      <c r="F79" s="8">
        <f>IF(C79="","",C79+28)</f>
        <v/>
      </c>
      <c r="G79" s="6" t="inlineStr"/>
      <c r="H79" s="6" t="inlineStr"/>
      <c r="I79" s="6" t="inlineStr"/>
      <c r="J79" s="10" t="n">
        <v>0.425</v>
      </c>
      <c r="K79" s="10" t="n">
        <v>0.555</v>
      </c>
      <c r="L79" s="10" t="n">
        <v>0.7</v>
      </c>
      <c r="M79" s="9">
        <f>IF(D79="","",ROUND(M78+IF(G79&gt;0,D79*G79,D79*J79),2))</f>
        <v/>
      </c>
      <c r="N79" s="9">
        <f>IF(D79="","",ROUND(N78+IF(H79&gt;0,D79*H79,D79*K79),2))</f>
        <v/>
      </c>
      <c r="O79" s="9">
        <f>IF(D79="","",ROUND(O78+IF(I79&gt;0,D79*I79,D79*L79),2))</f>
        <v/>
      </c>
      <c r="P79" s="11">
        <f>IF(M79="","",IF(INT(M79/50)&gt;INT(M78/50),"Lần " &amp; INT(M79/50),""))</f>
        <v/>
      </c>
      <c r="Q79" s="12">
        <f>IF(N79="","",IF(INT(N79/200)&gt;INT(N78/200),"Lần " &amp; INT(N79/200),""))</f>
        <v/>
      </c>
      <c r="R79" s="11">
        <f>IF(O79="","",IF(INT(O79/350)&gt;INT(O78/350),"Lần " &amp; INT(O79/350),""))</f>
        <v/>
      </c>
      <c r="S79" s="6" t="inlineStr"/>
      <c r="T79" s="9" t="inlineStr"/>
    </row>
    <row r="80" ht="20" customHeight="1">
      <c r="A80" s="6" t="n">
        <v>73</v>
      </c>
      <c r="B80" s="7" t="inlineStr">
        <is>
          <t>Bê tông bản mặt cầu Nhịp 2 (C35 đá 1x2)</t>
        </is>
      </c>
      <c r="C80" s="8" t="n"/>
      <c r="D80" s="9" t="n">
        <v>85</v>
      </c>
      <c r="E80" s="8">
        <f>IF(C80="","",C80+7)</f>
        <v/>
      </c>
      <c r="F80" s="8">
        <f>IF(C80="","",C80+28)</f>
        <v/>
      </c>
      <c r="G80" s="6" t="inlineStr"/>
      <c r="H80" s="6" t="inlineStr"/>
      <c r="I80" s="6" t="inlineStr"/>
      <c r="J80" s="10" t="n">
        <v>0.425</v>
      </c>
      <c r="K80" s="10" t="n">
        <v>0.555</v>
      </c>
      <c r="L80" s="10" t="n">
        <v>0.7</v>
      </c>
      <c r="M80" s="9">
        <f>IF(D80="","",ROUND(M79+IF(G80&gt;0,D80*G80,D80*J80),2))</f>
        <v/>
      </c>
      <c r="N80" s="9">
        <f>IF(D80="","",ROUND(N79+IF(H80&gt;0,D80*H80,D80*K80),2))</f>
        <v/>
      </c>
      <c r="O80" s="9">
        <f>IF(D80="","",ROUND(O79+IF(I80&gt;0,D80*I80,D80*L80),2))</f>
        <v/>
      </c>
      <c r="P80" s="11">
        <f>IF(M80="","",IF(INT(M80/50)&gt;INT(M79/50),"Lần " &amp; INT(M80/50),""))</f>
        <v/>
      </c>
      <c r="Q80" s="12">
        <f>IF(N80="","",IF(INT(N80/200)&gt;INT(N79/200),"Lần " &amp; INT(N80/200),""))</f>
        <v/>
      </c>
      <c r="R80" s="11">
        <f>IF(O80="","",IF(INT(O80/350)&gt;INT(O79/350),"Lần " &amp; INT(O80/350),""))</f>
        <v/>
      </c>
      <c r="S80" s="6" t="inlineStr"/>
      <c r="T80" s="9" t="inlineStr"/>
    </row>
    <row r="81" ht="20" customHeight="1">
      <c r="A81" s="6" t="n">
        <v>74</v>
      </c>
      <c r="B81" s="7" t="inlineStr">
        <is>
          <t>Bê tông bản mặt cầu Nhịp 3 (C35 đá 1x2)</t>
        </is>
      </c>
      <c r="C81" s="8" t="n"/>
      <c r="D81" s="9" t="n">
        <v>85</v>
      </c>
      <c r="E81" s="8">
        <f>IF(C81="","",C81+7)</f>
        <v/>
      </c>
      <c r="F81" s="8">
        <f>IF(C81="","",C81+28)</f>
        <v/>
      </c>
      <c r="G81" s="6" t="inlineStr"/>
      <c r="H81" s="6" t="inlineStr"/>
      <c r="I81" s="6" t="inlineStr"/>
      <c r="J81" s="10" t="n">
        <v>0.425</v>
      </c>
      <c r="K81" s="10" t="n">
        <v>0.555</v>
      </c>
      <c r="L81" s="10" t="n">
        <v>0.7</v>
      </c>
      <c r="M81" s="9">
        <f>IF(D81="","",ROUND(M80+IF(G81&gt;0,D81*G81,D81*J81),2))</f>
        <v/>
      </c>
      <c r="N81" s="9">
        <f>IF(D81="","",ROUND(N80+IF(H81&gt;0,D81*H81,D81*K81),2))</f>
        <v/>
      </c>
      <c r="O81" s="9">
        <f>IF(D81="","",ROUND(O80+IF(I81&gt;0,D81*I81,D81*L81),2))</f>
        <v/>
      </c>
      <c r="P81" s="11">
        <f>IF(M81="","",IF(INT(M81/50)&gt;INT(M80/50),"Lần " &amp; INT(M81/50),""))</f>
        <v/>
      </c>
      <c r="Q81" s="12">
        <f>IF(N81="","",IF(INT(N81/200)&gt;INT(N80/200),"Lần " &amp; INT(N81/200),""))</f>
        <v/>
      </c>
      <c r="R81" s="11">
        <f>IF(O81="","",IF(INT(O81/350)&gt;INT(O80/350),"Lần " &amp; INT(O81/350),""))</f>
        <v/>
      </c>
      <c r="S81" s="6" t="inlineStr"/>
      <c r="T81" s="9" t="inlineStr"/>
    </row>
    <row r="82" ht="20" customHeight="1">
      <c r="A82" s="6" t="n">
        <v>75</v>
      </c>
      <c r="B82" s="7" t="inlineStr">
        <is>
          <t>Bê tông bản quá độ mố M1 (C30 đá 1x2)</t>
        </is>
      </c>
      <c r="C82" s="8" t="n"/>
      <c r="D82" s="9" t="n">
        <v>16</v>
      </c>
      <c r="E82" s="8">
        <f>IF(C82="","",C82+7)</f>
        <v/>
      </c>
      <c r="F82" s="8">
        <f>IF(C82="","",C82+28)</f>
        <v/>
      </c>
      <c r="G82" s="6" t="inlineStr"/>
      <c r="H82" s="6" t="inlineStr"/>
      <c r="I82" s="6" t="inlineStr"/>
      <c r="J82" s="10" t="n">
        <v>0.425</v>
      </c>
      <c r="K82" s="10" t="n">
        <v>0.555</v>
      </c>
      <c r="L82" s="10" t="n">
        <v>0.7</v>
      </c>
      <c r="M82" s="9">
        <f>IF(D82="","",ROUND(M81+IF(G82&gt;0,D82*G82,D82*J82),2))</f>
        <v/>
      </c>
      <c r="N82" s="9">
        <f>IF(D82="","",ROUND(N81+IF(H82&gt;0,D82*H82,D82*K82),2))</f>
        <v/>
      </c>
      <c r="O82" s="9">
        <f>IF(D82="","",ROUND(O81+IF(I82&gt;0,D82*I82,D82*L82),2))</f>
        <v/>
      </c>
      <c r="P82" s="11">
        <f>IF(M82="","",IF(INT(M82/50)&gt;INT(M81/50),"Lần " &amp; INT(M82/50),""))</f>
        <v/>
      </c>
      <c r="Q82" s="12">
        <f>IF(N82="","",IF(INT(N82/200)&gt;INT(N81/200),"Lần " &amp; INT(N82/200),""))</f>
        <v/>
      </c>
      <c r="R82" s="11">
        <f>IF(O82="","",IF(INT(O82/350)&gt;INT(O81/350),"Lần " &amp; INT(O82/350),""))</f>
        <v/>
      </c>
      <c r="S82" s="6" t="inlineStr"/>
      <c r="T82" s="9" t="inlineStr"/>
    </row>
    <row r="83" ht="20" customHeight="1">
      <c r="A83" s="6" t="n">
        <v>76</v>
      </c>
      <c r="B83" s="7" t="inlineStr">
        <is>
          <t>Bê tông bản quá độ mố M2 (C30 đá 1x2)</t>
        </is>
      </c>
      <c r="C83" s="8" t="n"/>
      <c r="D83" s="9" t="n">
        <v>16</v>
      </c>
      <c r="E83" s="8">
        <f>IF(C83="","",C83+7)</f>
        <v/>
      </c>
      <c r="F83" s="8">
        <f>IF(C83="","",C83+28)</f>
        <v/>
      </c>
      <c r="G83" s="6" t="inlineStr"/>
      <c r="H83" s="6" t="inlineStr"/>
      <c r="I83" s="6" t="inlineStr"/>
      <c r="J83" s="10" t="n">
        <v>0.425</v>
      </c>
      <c r="K83" s="10" t="n">
        <v>0.555</v>
      </c>
      <c r="L83" s="10" t="n">
        <v>0.7</v>
      </c>
      <c r="M83" s="9">
        <f>IF(D83="","",ROUND(M82+IF(G83&gt;0,D83*G83,D83*J83),2))</f>
        <v/>
      </c>
      <c r="N83" s="9">
        <f>IF(D83="","",ROUND(N82+IF(H83&gt;0,D83*H83,D83*K83),2))</f>
        <v/>
      </c>
      <c r="O83" s="9">
        <f>IF(D83="","",ROUND(O82+IF(I83&gt;0,D83*I83,D83*L83),2))</f>
        <v/>
      </c>
      <c r="P83" s="11">
        <f>IF(M83="","",IF(INT(M83/50)&gt;INT(M82/50),"Lần " &amp; INT(M83/50),""))</f>
        <v/>
      </c>
      <c r="Q83" s="12">
        <f>IF(N83="","",IF(INT(N83/200)&gt;INT(N82/200),"Lần " &amp; INT(N83/200),""))</f>
        <v/>
      </c>
      <c r="R83" s="11">
        <f>IF(O83="","",IF(INT(O83/350)&gt;INT(O82/350),"Lần " &amp; INT(O83/350),""))</f>
        <v/>
      </c>
      <c r="S83" s="6" t="inlineStr"/>
      <c r="T83" s="9" t="inlineStr"/>
    </row>
    <row r="84" ht="20" customHeight="1">
      <c r="A84" s="6" t="n">
        <v>77</v>
      </c>
      <c r="B84" s="7" t="inlineStr">
        <is>
          <t>Bê tông gờ lan can mố M1 &amp; Nhịp 1 (C30 đá 1x2)</t>
        </is>
      </c>
      <c r="C84" s="8" t="n"/>
      <c r="D84" s="9" t="n">
        <v>9.5</v>
      </c>
      <c r="E84" s="8">
        <f>IF(C84="","",C84+7)</f>
        <v/>
      </c>
      <c r="F84" s="8">
        <f>IF(C84="","",C84+28)</f>
        <v/>
      </c>
      <c r="G84" s="6" t="inlineStr"/>
      <c r="H84" s="6" t="inlineStr"/>
      <c r="I84" s="6" t="inlineStr"/>
      <c r="J84" s="10" t="n">
        <v>0.425</v>
      </c>
      <c r="K84" s="10" t="n">
        <v>0.555</v>
      </c>
      <c r="L84" s="10" t="n">
        <v>0.7</v>
      </c>
      <c r="M84" s="9">
        <f>IF(D84="","",ROUND(M83+IF(G84&gt;0,D84*G84,D84*J84),2))</f>
        <v/>
      </c>
      <c r="N84" s="9">
        <f>IF(D84="","",ROUND(N83+IF(H84&gt;0,D84*H84,D84*K84),2))</f>
        <v/>
      </c>
      <c r="O84" s="9">
        <f>IF(D84="","",ROUND(O83+IF(I84&gt;0,D84*I84,D84*L84),2))</f>
        <v/>
      </c>
      <c r="P84" s="11">
        <f>IF(M84="","",IF(INT(M84/50)&gt;INT(M83/50),"Lần " &amp; INT(M84/50),""))</f>
        <v/>
      </c>
      <c r="Q84" s="12">
        <f>IF(N84="","",IF(INT(N84/200)&gt;INT(N83/200),"Lần " &amp; INT(N84/200),""))</f>
        <v/>
      </c>
      <c r="R84" s="11">
        <f>IF(O84="","",IF(INT(O84/350)&gt;INT(O83/350),"Lần " &amp; INT(O84/350),""))</f>
        <v/>
      </c>
      <c r="S84" s="6" t="inlineStr"/>
      <c r="T84" s="9" t="inlineStr"/>
    </row>
    <row r="85" ht="20" customHeight="1">
      <c r="A85" s="6" t="n">
        <v>78</v>
      </c>
      <c r="B85" s="7" t="inlineStr">
        <is>
          <t>Bê tông gờ lan can Nhịp 2, Nhịp 3 &amp; mố M2 (C30)</t>
        </is>
      </c>
      <c r="C85" s="8" t="n"/>
      <c r="D85" s="9" t="n">
        <v>9.5</v>
      </c>
      <c r="E85" s="8">
        <f>IF(C85="","",C85+7)</f>
        <v/>
      </c>
      <c r="F85" s="8">
        <f>IF(C85="","",C85+28)</f>
        <v/>
      </c>
      <c r="G85" s="6" t="inlineStr"/>
      <c r="H85" s="6" t="inlineStr"/>
      <c r="I85" s="6" t="inlineStr"/>
      <c r="J85" s="10" t="n">
        <v>0.425</v>
      </c>
      <c r="K85" s="10" t="n">
        <v>0.555</v>
      </c>
      <c r="L85" s="10" t="n">
        <v>0.7</v>
      </c>
      <c r="M85" s="9">
        <f>IF(D85="","",ROUND(M84+IF(G85&gt;0,D85*G85,D85*J85),2))</f>
        <v/>
      </c>
      <c r="N85" s="9">
        <f>IF(D85="","",ROUND(N84+IF(H85&gt;0,D85*H85,D85*K85),2))</f>
        <v/>
      </c>
      <c r="O85" s="9">
        <f>IF(D85="","",ROUND(O84+IF(I85&gt;0,D85*I85,D85*L85),2))</f>
        <v/>
      </c>
      <c r="P85" s="11">
        <f>IF(M85="","",IF(INT(M85/50)&gt;INT(M84/50),"Lần " &amp; INT(M85/50),""))</f>
        <v/>
      </c>
      <c r="Q85" s="12">
        <f>IF(N85="","",IF(INT(N85/200)&gt;INT(N84/200),"Lần " &amp; INT(N85/200),""))</f>
        <v/>
      </c>
      <c r="R85" s="11">
        <f>IF(O85="","",IF(INT(O85/350)&gt;INT(O84/350),"Lần " &amp; INT(O85/350),""))</f>
        <v/>
      </c>
      <c r="S85" s="6" t="inlineStr"/>
      <c r="T85" s="9" t="inlineStr"/>
    </row>
    <row r="86" ht="20" customHeight="1">
      <c r="A86" s="6" t="n">
        <v>79</v>
      </c>
      <c r="B86" s="7" t="inlineStr">
        <is>
          <t>Bê tông khe co giãn răng lược D=100mm mố M1 &amp; M2 (C40)</t>
        </is>
      </c>
      <c r="C86" s="8" t="n"/>
      <c r="D86" s="9" t="n">
        <v>4.67</v>
      </c>
      <c r="E86" s="8">
        <f>IF(C86="","",C86+7)</f>
        <v/>
      </c>
      <c r="F86" s="8">
        <f>IF(C86="","",C86+28)</f>
        <v/>
      </c>
      <c r="G86" s="6" t="inlineStr"/>
      <c r="H86" s="6" t="inlineStr"/>
      <c r="I86" s="6" t="inlineStr"/>
      <c r="J86" s="10" t="n">
        <v>0.425</v>
      </c>
      <c r="K86" s="10" t="n">
        <v>0.555</v>
      </c>
      <c r="L86" s="10" t="n">
        <v>0.7</v>
      </c>
      <c r="M86" s="9">
        <f>IF(D86="","",ROUND(M85+IF(G86&gt;0,D86*G86,D86*J86),2))</f>
        <v/>
      </c>
      <c r="N86" s="9">
        <f>IF(D86="","",ROUND(N85+IF(H86&gt;0,D86*H86,D86*K86),2))</f>
        <v/>
      </c>
      <c r="O86" s="9">
        <f>IF(D86="","",ROUND(O85+IF(I86&gt;0,D86*I86,D86*L86),2))</f>
        <v/>
      </c>
      <c r="P86" s="11">
        <f>IF(M86="","",IF(INT(M86/50)&gt;INT(M85/50),"Lần " &amp; INT(M86/50),""))</f>
        <v/>
      </c>
      <c r="Q86" s="12">
        <f>IF(N86="","",IF(INT(N86/200)&gt;INT(N85/200),"Lần " &amp; INT(N86/200),""))</f>
        <v/>
      </c>
      <c r="R86" s="11">
        <f>IF(O86="","",IF(INT(O86/350)&gt;INT(O85/350),"Lần " &amp; INT(O86/350),""))</f>
        <v/>
      </c>
      <c r="S86" s="6" t="inlineStr"/>
      <c r="T86" s="9" t="inlineStr"/>
    </row>
    <row r="87" ht="24" customHeight="1">
      <c r="A87" s="13" t="inlineStr">
        <is>
          <t>TỔNG CỘNG TOÀN CẦU</t>
        </is>
      </c>
      <c r="B87" s="14" t="n"/>
      <c r="C87" s="14" t="n"/>
      <c r="D87" s="15">
        <f>SUM(D4:D86)</f>
        <v/>
      </c>
      <c r="E87" s="14" t="n"/>
      <c r="F87" s="14" t="n"/>
      <c r="G87" s="14" t="n"/>
      <c r="H87" s="14" t="n"/>
      <c r="I87" s="14" t="n"/>
      <c r="J87" s="14" t="n"/>
      <c r="K87" s="14" t="n"/>
      <c r="L87" s="14" t="n"/>
      <c r="M87" s="15">
        <f>M86</f>
        <v/>
      </c>
      <c r="N87" s="15">
        <f>N86</f>
        <v/>
      </c>
      <c r="O87" s="15">
        <f>O86</f>
        <v/>
      </c>
      <c r="P87" s="14" t="n"/>
      <c r="Q87" s="14" t="n"/>
      <c r="R87" s="14" t="n"/>
      <c r="S87" s="14" t="n"/>
      <c r="T87" s="14" t="n"/>
    </row>
  </sheetData>
  <mergeCells count="17">
    <mergeCell ref="J1:L1"/>
    <mergeCell ref="P1:R1"/>
    <mergeCell ref="A58:T58"/>
    <mergeCell ref="A74:T74"/>
    <mergeCell ref="A87:C87"/>
    <mergeCell ref="E1:F1"/>
    <mergeCell ref="A3:T3"/>
    <mergeCell ref="A30:T30"/>
    <mergeCell ref="M1:O1"/>
    <mergeCell ref="C1:C2"/>
    <mergeCell ref="B1:B2"/>
    <mergeCell ref="D1:D2"/>
    <mergeCell ref="T1:T2"/>
    <mergeCell ref="A41:T41"/>
    <mergeCell ref="G1:I1"/>
    <mergeCell ref="S1:S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831"/>
  <sheetViews>
    <sheetView showGridLines="1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6" customWidth="1" min="2" max="2"/>
    <col width="30" customWidth="1" min="3" max="3"/>
    <col width="12" customWidth="1" min="4" max="4"/>
    <col width="11" customWidth="1" min="5" max="5"/>
    <col width="13" customWidth="1" min="6" max="6"/>
    <col width="22" customWidth="1" min="7" max="7"/>
    <col width="13" customWidth="1" min="8" max="8"/>
    <col width="10" customWidth="1" min="9" max="9"/>
    <col width="12" customWidth="1" min="10" max="10"/>
    <col width="13" customWidth="1" min="11" max="11"/>
    <col width="13" customWidth="1" min="12" max="12"/>
    <col width="13" customWidth="1" min="13" max="13"/>
    <col width="20" customWidth="1" min="14" max="14"/>
    <col width="22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8" customWidth="1" min="38" max="38"/>
  </cols>
  <sheetData>
    <row r="1" ht="24" customHeight="1">
      <c r="A1" s="1" t="inlineStr">
        <is>
          <t>STT</t>
        </is>
      </c>
      <c r="B1" s="1" t="inlineStr">
        <is>
          <t>HẠNG MỤC CẤU KIỆN</t>
        </is>
      </c>
      <c r="C1" s="1" t="inlineStr">
        <is>
          <t>BỘ PHẬN / VỊ TRÍ CHI TIẾT</t>
        </is>
      </c>
      <c r="D1" s="1" t="inlineStr">
        <is>
          <t>KÝ HIỆU
THANH</t>
        </is>
      </c>
      <c r="E1" s="1" t="inlineStr">
        <is>
          <t>ĐƯỜNG KÍNH
Ø (mm)</t>
        </is>
      </c>
      <c r="F1" s="1" t="inlineStr">
        <is>
          <t>MÁC THÉP /
TIÊU CHUẨN</t>
        </is>
      </c>
      <c r="G1" s="1" t="inlineStr">
        <is>
          <t>HÌNH DẠNG /
QUY CÁCH</t>
        </is>
      </c>
      <c r="H1" s="1" t="inlineStr">
        <is>
          <t>CHIỀU DÀI
1 THANH (m)</t>
        </is>
      </c>
      <c r="I1" s="1" t="inlineStr">
        <is>
          <t>SỐ LƯỢNG
(Thanh)</t>
        </is>
      </c>
      <c r="J1" s="1" t="inlineStr">
        <is>
          <t>TRỌNG LƯỢNG
1M (kg/m)</t>
        </is>
      </c>
      <c r="K1" s="1" t="inlineStr">
        <is>
          <t>TỔNG KL
(kg)</t>
        </is>
      </c>
      <c r="L1" s="1" t="inlineStr">
        <is>
          <t>KHỐI LƯỢNG
(Tấn)</t>
        </is>
      </c>
      <c r="M1" s="1" t="inlineStr">
        <is>
          <t>N/T/N
LẮP DỰNG</t>
        </is>
      </c>
      <c r="N1" s="1" t="inlineStr">
        <is>
          <t>SỐ LÔ / HEAT NO
CO-CQ RIÊNG TỪNG Ø</t>
        </is>
      </c>
      <c r="O1" s="2" t="inlineStr">
        <is>
          <t>CẢNH BÁO LẤY MẪU TN
KÉO/UỐN (20T/LẦN)</t>
        </is>
      </c>
      <c r="P1" s="3" t="inlineStr">
        <is>
          <t>KHỐI LƯỢNG LŨY KẾ THEO TỪNG LOẠI ĐƯỜNG KÍNH Ø (TẤN)</t>
        </is>
      </c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2" t="inlineStr">
        <is>
          <t>TẦN SUẤT THÍ NGHIỆM CƠ LÝ KÉO / UỐN RIÊNG TỪNG Ø (20 TẤN / LẦN - TCVN 1651:2018)</t>
        </is>
      </c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1" t="inlineStr">
        <is>
          <t>ĐÁNH GIÁ &amp;
KẾT LUẬN</t>
        </is>
      </c>
    </row>
    <row r="2" ht="30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2" t="n"/>
      <c r="P2" s="3" t="inlineStr">
        <is>
          <t>Ø10 (kèm Ø8)
(CB240-T)</t>
        </is>
      </c>
      <c r="Q2" s="3" t="inlineStr">
        <is>
          <t>Ø12
(CB400-V)</t>
        </is>
      </c>
      <c r="R2" s="3" t="inlineStr">
        <is>
          <t>Ø14
(CB400-V)</t>
        </is>
      </c>
      <c r="S2" s="3" t="inlineStr">
        <is>
          <t>Ø16
(CB400-V)</t>
        </is>
      </c>
      <c r="T2" s="3" t="inlineStr">
        <is>
          <t>Ø18
(CB400-V)</t>
        </is>
      </c>
      <c r="U2" s="3" t="inlineStr">
        <is>
          <t>Ø20
(CB400-V)</t>
        </is>
      </c>
      <c r="V2" s="3" t="inlineStr">
        <is>
          <t>Ø22
(CB400-V)</t>
        </is>
      </c>
      <c r="W2" s="3" t="inlineStr">
        <is>
          <t>Ø25
(CB400-V)</t>
        </is>
      </c>
      <c r="X2" s="3" t="inlineStr">
        <is>
          <t>Ø28
(CB400-V)</t>
        </is>
      </c>
      <c r="Y2" s="3" t="inlineStr">
        <is>
          <t>Ø32
(CB400-V)</t>
        </is>
      </c>
      <c r="Z2" s="3" t="inlineStr">
        <is>
          <t>Cáp DƯL 15.2
(ASTM A416)</t>
        </is>
      </c>
      <c r="AA2" s="2" t="inlineStr">
        <is>
          <t>TN Ø10
20T / Lần</t>
        </is>
      </c>
      <c r="AB2" s="2" t="inlineStr">
        <is>
          <t>TN Ø12
20T / Lần</t>
        </is>
      </c>
      <c r="AC2" s="2" t="inlineStr">
        <is>
          <t>TN Ø14
20T / Lần</t>
        </is>
      </c>
      <c r="AD2" s="2" t="inlineStr">
        <is>
          <t>TN Ø16
20T / Lần</t>
        </is>
      </c>
      <c r="AE2" s="2" t="inlineStr">
        <is>
          <t>TN Ø18
20T / Lần</t>
        </is>
      </c>
      <c r="AF2" s="2" t="inlineStr">
        <is>
          <t>TN Ø20
20T / Lần</t>
        </is>
      </c>
      <c r="AG2" s="2" t="inlineStr">
        <is>
          <t>TN Ø22
20T / Lần</t>
        </is>
      </c>
      <c r="AH2" s="2" t="inlineStr">
        <is>
          <t>TN Ø25
20T / Lần</t>
        </is>
      </c>
      <c r="AI2" s="2" t="inlineStr">
        <is>
          <t>TN Ø28
20T / Lần</t>
        </is>
      </c>
      <c r="AJ2" s="2" t="inlineStr">
        <is>
          <t>TN Ø32
20T / Lần</t>
        </is>
      </c>
      <c r="AK2" s="2" t="inlineStr">
        <is>
          <t>TN Cáp 15.2
20T / Lần</t>
        </is>
      </c>
      <c r="AL2" s="1" t="n"/>
    </row>
    <row r="3" ht="23" customHeight="1">
      <c r="A3" s="16" t="inlineStr">
        <is>
          <t>PHẦN I: KẾT CẤU CỌC KHOAN NHỒI D1.2M (26 CỌC TOÀN CẦU: M1=3, T1=8, T2=8, M2=7)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</row>
    <row r="4" ht="20" customHeight="1">
      <c r="A4" s="17" t="inlineStr">
        <is>
          <t>--- CỌC KHOAN NHỒI C1 MỐ M1 (D1.2M, L=20.0M) ---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</row>
    <row r="5" ht="19" customHeight="1">
      <c r="A5" s="6" t="n">
        <v>1</v>
      </c>
      <c r="B5" s="7" t="inlineStr">
        <is>
          <t>Cọc khoan nhồi C1 Mố M1 (D1.2m, L=20.0m)</t>
        </is>
      </c>
      <c r="C5" s="7" t="inlineStr">
        <is>
          <t>Thép đai xoắn lồng cọc</t>
        </is>
      </c>
      <c r="D5" s="18" t="inlineStr">
        <is>
          <t>P1</t>
        </is>
      </c>
      <c r="E5" s="19" t="n">
        <v>10</v>
      </c>
      <c r="F5" s="6" t="inlineStr">
        <is>
          <t>CB240-T</t>
        </is>
      </c>
      <c r="G5" s="7" t="inlineStr">
        <is>
          <t>Đai xoắn tròn</t>
        </is>
      </c>
      <c r="H5" s="20" t="n">
        <v>96.604</v>
      </c>
      <c r="I5" s="21" t="n">
        <v>1</v>
      </c>
      <c r="J5" s="22" t="n">
        <v>0.617</v>
      </c>
      <c r="K5" s="9">
        <f>ROUND(H5*I5*J5, 2)</f>
        <v/>
      </c>
      <c r="L5" s="23">
        <f>ROUND(K5/1000, 3)</f>
        <v/>
      </c>
      <c r="M5" s="8" t="n"/>
      <c r="N5" s="6" t="n"/>
      <c r="O5" s="24" t="inlineStr"/>
      <c r="P5" s="20">
        <f>IF(AND(E5&lt;=10, F5&lt;&gt;"ASTM A416"), L5, 0)</f>
        <v/>
      </c>
      <c r="Q5" s="20">
        <f>IF(AND(E5=12, F5&lt;&gt;"ASTM A416"), L5, 0)</f>
        <v/>
      </c>
      <c r="R5" s="20">
        <f>IF(AND(E5=14, F5&lt;&gt;"ASTM A416"), L5, 0)</f>
        <v/>
      </c>
      <c r="S5" s="20">
        <f>IF(AND(E5=16, F5&lt;&gt;"ASTM A416"), L5, 0)</f>
        <v/>
      </c>
      <c r="T5" s="20">
        <f>IF(AND(E5=18, F5&lt;&gt;"ASTM A416"), L5, 0)</f>
        <v/>
      </c>
      <c r="U5" s="20">
        <f>IF(AND(E5=20, F5&lt;&gt;"ASTM A416"), L5, 0)</f>
        <v/>
      </c>
      <c r="V5" s="20">
        <f>IF(AND(E5=22, F5&lt;&gt;"ASTM A416"), L5, 0)</f>
        <v/>
      </c>
      <c r="W5" s="20">
        <f>IF(AND(E5=25, F5&lt;&gt;"ASTM A416"), L5, 0)</f>
        <v/>
      </c>
      <c r="X5" s="20">
        <f>IF(AND(E5=28, F5&lt;&gt;"ASTM A416"), L5, 0)</f>
        <v/>
      </c>
      <c r="Y5" s="20">
        <f>IF(AND(E5=32, F5&lt;&gt;"ASTM A416"), L5, 0)</f>
        <v/>
      </c>
      <c r="Z5" s="20">
        <f>IF(F5="ASTM A416", L5, 0)</f>
        <v/>
      </c>
      <c r="AA5" s="11">
        <f>IF(P5=0, "", IF(INT(P5/20)&gt;0, "Lần " &amp; INT(P5/20), ""))</f>
        <v/>
      </c>
      <c r="AB5" s="11">
        <f>IF(Q5=0, "", IF(INT(Q5/20)&gt;0, "Lần " &amp; INT(Q5/20), ""))</f>
        <v/>
      </c>
      <c r="AC5" s="11">
        <f>IF(R5=0, "", IF(INT(R5/20)&gt;0, "Lần " &amp; INT(R5/20), ""))</f>
        <v/>
      </c>
      <c r="AD5" s="11">
        <f>IF(S5=0, "", IF(INT(S5/20)&gt;0, "Lần " &amp; INT(S5/20), ""))</f>
        <v/>
      </c>
      <c r="AE5" s="11">
        <f>IF(T5=0, "", IF(INT(T5/20)&gt;0, "Lần " &amp; INT(T5/20), ""))</f>
        <v/>
      </c>
      <c r="AF5" s="11">
        <f>IF(U5=0, "", IF(INT(U5/20)&gt;0, "Lần " &amp; INT(U5/20), ""))</f>
        <v/>
      </c>
      <c r="AG5" s="11">
        <f>IF(V5=0, "", IF(INT(V5/20)&gt;0, "Lần " &amp; INT(V5/20), ""))</f>
        <v/>
      </c>
      <c r="AH5" s="11">
        <f>IF(W5=0, "", IF(INT(W5/20)&gt;0, "Lần " &amp; INT(W5/20), ""))</f>
        <v/>
      </c>
      <c r="AI5" s="11">
        <f>IF(X5=0, "", IF(INT(X5/20)&gt;0, "Lần " &amp; INT(X5/20), ""))</f>
        <v/>
      </c>
      <c r="AJ5" s="11">
        <f>IF(Y5=0, "", IF(INT(Y5/20)&gt;0, "Lần " &amp; INT(Y5/20), ""))</f>
        <v/>
      </c>
      <c r="AK5" s="11">
        <f>IF(Z5=0, "", IF(INT(Z5/20)&gt;0, "Lần " &amp; INT(Z5/20), ""))</f>
        <v/>
      </c>
      <c r="AL5" s="6" t="inlineStr">
        <is>
          <t>ĐẠT TCVN 1651:2018</t>
        </is>
      </c>
    </row>
    <row r="6" ht="19" customHeight="1">
      <c r="A6" s="6" t="n">
        <v>2</v>
      </c>
      <c r="B6" s="7" t="inlineStr">
        <is>
          <t>Cọc khoan nhồi C1 Mố M1 (D1.2m, L=20.0m)</t>
        </is>
      </c>
      <c r="C6" s="7" t="inlineStr">
        <is>
          <t>Thép đai xoắn lồng cọc</t>
        </is>
      </c>
      <c r="D6" s="18" t="inlineStr">
        <is>
          <t>P1A</t>
        </is>
      </c>
      <c r="E6" s="19" t="n">
        <v>10</v>
      </c>
      <c r="F6" s="6" t="inlineStr">
        <is>
          <t>CB240-T</t>
        </is>
      </c>
      <c r="G6" s="7" t="inlineStr">
        <is>
          <t>Đai xoắn tròn</t>
        </is>
      </c>
      <c r="H6" s="20" t="n">
        <v>373.535</v>
      </c>
      <c r="I6" s="21" t="n">
        <v>1</v>
      </c>
      <c r="J6" s="22" t="n">
        <v>0.617</v>
      </c>
      <c r="K6" s="9">
        <f>ROUND(H6*I6*J6, 2)</f>
        <v/>
      </c>
      <c r="L6" s="23">
        <f>ROUND(K6/1000, 3)</f>
        <v/>
      </c>
      <c r="M6" s="8" t="n"/>
      <c r="N6" s="6" t="n"/>
      <c r="O6" s="24">
        <f>IF(AND(E6&lt;=10, F6&lt;&gt;"ASTM A416", INT(P6/20)&gt;INT(P5/20)), "TN Ø10 (Lần " &amp; INT(P6/20) &amp; ")", IF(AND(E6=12, INT(Q6/20)&gt;INT(Q5/20)), "TN Ø12 (Lần " &amp; INT(Q6/20) &amp; ")", IF(AND(E6=14, INT(R6/20)&gt;INT(R5/20)), "TN Ø14 (Lần " &amp; INT(R6/20) &amp; ")", IF(AND(E6=16, INT(S6/20)&gt;INT(S5/20)), "TN Ø16 (Lần " &amp; INT(S6/20) &amp; ")", IF(AND(E6=18, INT(T6/20)&gt;INT(T5/20)), "TN Ø18 (Lần " &amp; INT(T6/20) &amp; ")", IF(AND(E6=20, INT(U6/20)&gt;INT(U5/20)), "TN Ø20 (Lần " &amp; INT(U6/20) &amp; ")", IF(AND(E6=22, INT(V6/20)&gt;INT(V5/20)), "TN Ø22 (Lần " &amp; INT(V6/20) &amp; ")", IF(AND(E6=25, INT(W6/20)&gt;INT(W5/20)), "TN Ø25 (Lần " &amp; INT(W6/20) &amp; ")", IF(AND(E6=28, INT(X6/20)&gt;INT(X5/20)), "TN Ø28 (Lần " &amp; INT(X6/20) &amp; ")", IF(AND(E6=32, INT(Y6/20)&gt;INT(Y5/20)), "TN Ø32 (Lần " &amp; INT(Y6/20) &amp; ")", IF(AND(F6="ASTM A416", INT(Z6/20)&gt;INT(Z5/20)), "TN Cáp 15.2 (Lần " &amp; INT(Z6/20) &amp; ")", "")))))))))))</f>
        <v/>
      </c>
      <c r="P6" s="20">
        <f>ROUND(P5 + IF(AND(E6&lt;=10, F6&lt;&gt;"ASTM A416"), L6, 0), 3)</f>
        <v/>
      </c>
      <c r="Q6" s="20">
        <f>ROUND(Q5 + IF(AND(E6=12, F6&lt;&gt;"ASTM A416"), L6, 0), 3)</f>
        <v/>
      </c>
      <c r="R6" s="20">
        <f>ROUND(R5 + IF(AND(E6=14, F6&lt;&gt;"ASTM A416"), L6, 0), 3)</f>
        <v/>
      </c>
      <c r="S6" s="20">
        <f>ROUND(S5 + IF(AND(E6=16, F6&lt;&gt;"ASTM A416"), L6, 0), 3)</f>
        <v/>
      </c>
      <c r="T6" s="20">
        <f>ROUND(T5 + IF(AND(E6=18, F6&lt;&gt;"ASTM A416"), L6, 0), 3)</f>
        <v/>
      </c>
      <c r="U6" s="20">
        <f>ROUND(U5 + IF(AND(E6=20, F6&lt;&gt;"ASTM A416"), L6, 0), 3)</f>
        <v/>
      </c>
      <c r="V6" s="20">
        <f>ROUND(V5 + IF(AND(E6=22, F6&lt;&gt;"ASTM A416"), L6, 0), 3)</f>
        <v/>
      </c>
      <c r="W6" s="20">
        <f>ROUND(W5 + IF(AND(E6=25, F6&lt;&gt;"ASTM A416"), L6, 0), 3)</f>
        <v/>
      </c>
      <c r="X6" s="20">
        <f>ROUND(X5 + IF(AND(E6=28, F6&lt;&gt;"ASTM A416"), L6, 0), 3)</f>
        <v/>
      </c>
      <c r="Y6" s="20">
        <f>ROUND(Y5 + IF(AND(E6=32, F6&lt;&gt;"ASTM A416"), L6, 0), 3)</f>
        <v/>
      </c>
      <c r="Z6" s="20">
        <f>ROUND(Z5 + IF(F6="ASTM A416", L6, 0), 3)</f>
        <v/>
      </c>
      <c r="AA6" s="11">
        <f>IF(INT(P6/20)&gt;INT(P5/20), "Lần " &amp; INT(P6/20), "")</f>
        <v/>
      </c>
      <c r="AB6" s="11">
        <f>IF(INT(Q6/20)&gt;INT(Q5/20), "Lần " &amp; INT(Q6/20), "")</f>
        <v/>
      </c>
      <c r="AC6" s="11">
        <f>IF(INT(R6/20)&gt;INT(R5/20), "Lần " &amp; INT(R6/20), "")</f>
        <v/>
      </c>
      <c r="AD6" s="11">
        <f>IF(INT(S6/20)&gt;INT(S5/20), "Lần " &amp; INT(S6/20), "")</f>
        <v/>
      </c>
      <c r="AE6" s="11">
        <f>IF(INT(T6/20)&gt;INT(T5/20), "Lần " &amp; INT(T6/20), "")</f>
        <v/>
      </c>
      <c r="AF6" s="11">
        <f>IF(INT(U6/20)&gt;INT(U5/20), "Lần " &amp; INT(U6/20), "")</f>
        <v/>
      </c>
      <c r="AG6" s="11">
        <f>IF(INT(V6/20)&gt;INT(V5/20), "Lần " &amp; INT(V6/20), "")</f>
        <v/>
      </c>
      <c r="AH6" s="11">
        <f>IF(INT(W6/20)&gt;INT(W5/20), "Lần " &amp; INT(W6/20), "")</f>
        <v/>
      </c>
      <c r="AI6" s="11">
        <f>IF(INT(X6/20)&gt;INT(X5/20), "Lần " &amp; INT(X6/20), "")</f>
        <v/>
      </c>
      <c r="AJ6" s="11">
        <f>IF(INT(Y6/20)&gt;INT(Y5/20), "Lần " &amp; INT(Y6/20), "")</f>
        <v/>
      </c>
      <c r="AK6" s="11">
        <f>IF(INT(Z6/20)&gt;INT(Z5/20), "Lần " &amp; INT(Z6/20), "")</f>
        <v/>
      </c>
      <c r="AL6" s="6" t="inlineStr">
        <is>
          <t>ĐẠT TCVN 1651:2018</t>
        </is>
      </c>
    </row>
    <row r="7" ht="19" customHeight="1">
      <c r="A7" s="6" t="n">
        <v>3</v>
      </c>
      <c r="B7" s="7" t="inlineStr">
        <is>
          <t>Cọc khoan nhồi C1 Mố M1 (D1.2m, L=20.0m)</t>
        </is>
      </c>
      <c r="C7" s="7" t="inlineStr">
        <is>
          <t>Thép đai xoắn lồng cọc</t>
        </is>
      </c>
      <c r="D7" s="18" t="inlineStr">
        <is>
          <t>P1C</t>
        </is>
      </c>
      <c r="E7" s="19" t="n">
        <v>10</v>
      </c>
      <c r="F7" s="6" t="inlineStr">
        <is>
          <t>CB240-T</t>
        </is>
      </c>
      <c r="G7" s="7" t="inlineStr">
        <is>
          <t>Đai xoắn tròn</t>
        </is>
      </c>
      <c r="H7" s="20" t="n">
        <v>3.592</v>
      </c>
      <c r="I7" s="21" t="n">
        <v>2</v>
      </c>
      <c r="J7" s="22" t="n">
        <v>0.617</v>
      </c>
      <c r="K7" s="9">
        <f>ROUND(H7*I7*J7, 2)</f>
        <v/>
      </c>
      <c r="L7" s="23">
        <f>ROUND(K7/1000, 3)</f>
        <v/>
      </c>
      <c r="M7" s="8" t="n"/>
      <c r="N7" s="6" t="n"/>
      <c r="O7" s="24">
        <f>IF(AND(E7&lt;=10, F7&lt;&gt;"ASTM A416", INT(P7/20)&gt;INT(P6/20)), "TN Ø10 (Lần " &amp; INT(P7/20) &amp; ")", IF(AND(E7=12, INT(Q7/20)&gt;INT(Q6/20)), "TN Ø12 (Lần " &amp; INT(Q7/20) &amp; ")", IF(AND(E7=14, INT(R7/20)&gt;INT(R6/20)), "TN Ø14 (Lần " &amp; INT(R7/20) &amp; ")", IF(AND(E7=16, INT(S7/20)&gt;INT(S6/20)), "TN Ø16 (Lần " &amp; INT(S7/20) &amp; ")", IF(AND(E7=18, INT(T7/20)&gt;INT(T6/20)), "TN Ø18 (Lần " &amp; INT(T7/20) &amp; ")", IF(AND(E7=20, INT(U7/20)&gt;INT(U6/20)), "TN Ø20 (Lần " &amp; INT(U7/20) &amp; ")", IF(AND(E7=22, INT(V7/20)&gt;INT(V6/20)), "TN Ø22 (Lần " &amp; INT(V7/20) &amp; ")", IF(AND(E7=25, INT(W7/20)&gt;INT(W6/20)), "TN Ø25 (Lần " &amp; INT(W7/20) &amp; ")", IF(AND(E7=28, INT(X7/20)&gt;INT(X6/20)), "TN Ø28 (Lần " &amp; INT(X7/20) &amp; ")", IF(AND(E7=32, INT(Y7/20)&gt;INT(Y6/20)), "TN Ø32 (Lần " &amp; INT(Y7/20) &amp; ")", IF(AND(F7="ASTM A416", INT(Z7/20)&gt;INT(Z6/20)), "TN Cáp 15.2 (Lần " &amp; INT(Z7/20) &amp; ")", "")))))))))))</f>
        <v/>
      </c>
      <c r="P7" s="20">
        <f>ROUND(P6 + IF(AND(E7&lt;=10, F7&lt;&gt;"ASTM A416"), L7, 0), 3)</f>
        <v/>
      </c>
      <c r="Q7" s="20">
        <f>ROUND(Q6 + IF(AND(E7=12, F7&lt;&gt;"ASTM A416"), L7, 0), 3)</f>
        <v/>
      </c>
      <c r="R7" s="20">
        <f>ROUND(R6 + IF(AND(E7=14, F7&lt;&gt;"ASTM A416"), L7, 0), 3)</f>
        <v/>
      </c>
      <c r="S7" s="20">
        <f>ROUND(S6 + IF(AND(E7=16, F7&lt;&gt;"ASTM A416"), L7, 0), 3)</f>
        <v/>
      </c>
      <c r="T7" s="20">
        <f>ROUND(T6 + IF(AND(E7=18, F7&lt;&gt;"ASTM A416"), L7, 0), 3)</f>
        <v/>
      </c>
      <c r="U7" s="20">
        <f>ROUND(U6 + IF(AND(E7=20, F7&lt;&gt;"ASTM A416"), L7, 0), 3)</f>
        <v/>
      </c>
      <c r="V7" s="20">
        <f>ROUND(V6 + IF(AND(E7=22, F7&lt;&gt;"ASTM A416"), L7, 0), 3)</f>
        <v/>
      </c>
      <c r="W7" s="20">
        <f>ROUND(W6 + IF(AND(E7=25, F7&lt;&gt;"ASTM A416"), L7, 0), 3)</f>
        <v/>
      </c>
      <c r="X7" s="20">
        <f>ROUND(X6 + IF(AND(E7=28, F7&lt;&gt;"ASTM A416"), L7, 0), 3)</f>
        <v/>
      </c>
      <c r="Y7" s="20">
        <f>ROUND(Y6 + IF(AND(E7=32, F7&lt;&gt;"ASTM A416"), L7, 0), 3)</f>
        <v/>
      </c>
      <c r="Z7" s="20">
        <f>ROUND(Z6 + IF(F7="ASTM A416", L7, 0), 3)</f>
        <v/>
      </c>
      <c r="AA7" s="11">
        <f>IF(INT(P7/20)&gt;INT(P6/20), "Lần " &amp; INT(P7/20), "")</f>
        <v/>
      </c>
      <c r="AB7" s="11">
        <f>IF(INT(Q7/20)&gt;INT(Q6/20), "Lần " &amp; INT(Q7/20), "")</f>
        <v/>
      </c>
      <c r="AC7" s="11">
        <f>IF(INT(R7/20)&gt;INT(R6/20), "Lần " &amp; INT(R7/20), "")</f>
        <v/>
      </c>
      <c r="AD7" s="11">
        <f>IF(INT(S7/20)&gt;INT(S6/20), "Lần " &amp; INT(S7/20), "")</f>
        <v/>
      </c>
      <c r="AE7" s="11">
        <f>IF(INT(T7/20)&gt;INT(T6/20), "Lần " &amp; INT(T7/20), "")</f>
        <v/>
      </c>
      <c r="AF7" s="11">
        <f>IF(INT(U7/20)&gt;INT(U6/20), "Lần " &amp; INT(U7/20), "")</f>
        <v/>
      </c>
      <c r="AG7" s="11">
        <f>IF(INT(V7/20)&gt;INT(V6/20), "Lần " &amp; INT(V7/20), "")</f>
        <v/>
      </c>
      <c r="AH7" s="11">
        <f>IF(INT(W7/20)&gt;INT(W6/20), "Lần " &amp; INT(W7/20), "")</f>
        <v/>
      </c>
      <c r="AI7" s="11">
        <f>IF(INT(X7/20)&gt;INT(X6/20), "Lần " &amp; INT(X7/20), "")</f>
        <v/>
      </c>
      <c r="AJ7" s="11">
        <f>IF(INT(Y7/20)&gt;INT(Y6/20), "Lần " &amp; INT(Y7/20), "")</f>
        <v/>
      </c>
      <c r="AK7" s="11">
        <f>IF(INT(Z7/20)&gt;INT(Z6/20), "Lần " &amp; INT(Z7/20), "")</f>
        <v/>
      </c>
      <c r="AL7" s="6" t="inlineStr">
        <is>
          <t>ĐẠT TCVN 1651:2018</t>
        </is>
      </c>
    </row>
    <row r="8" ht="19" customHeight="1">
      <c r="A8" s="6" t="n">
        <v>4</v>
      </c>
      <c r="B8" s="7" t="inlineStr">
        <is>
          <t>Cọc khoan nhồi C1 Mố M1 (D1.2m, L=20.0m)</t>
        </is>
      </c>
      <c r="C8" s="7" t="inlineStr">
        <is>
          <t>Thép đai xoắn lồng cọc</t>
        </is>
      </c>
      <c r="D8" s="18" t="inlineStr">
        <is>
          <t>P1D</t>
        </is>
      </c>
      <c r="E8" s="19" t="n">
        <v>10</v>
      </c>
      <c r="F8" s="6" t="inlineStr">
        <is>
          <t>CB240-T</t>
        </is>
      </c>
      <c r="G8" s="7" t="inlineStr">
        <is>
          <t>Đai xoắn tròn</t>
        </is>
      </c>
      <c r="H8" s="20" t="n">
        <v>19.721</v>
      </c>
      <c r="I8" s="21" t="n">
        <v>1</v>
      </c>
      <c r="J8" s="22" t="n">
        <v>0.617</v>
      </c>
      <c r="K8" s="9">
        <f>ROUND(H8*I8*J8, 2)</f>
        <v/>
      </c>
      <c r="L8" s="23">
        <f>ROUND(K8/1000, 3)</f>
        <v/>
      </c>
      <c r="M8" s="8" t="n"/>
      <c r="N8" s="6" t="n"/>
      <c r="O8" s="24">
        <f>IF(AND(E8&lt;=10, F8&lt;&gt;"ASTM A416", INT(P8/20)&gt;INT(P7/20)), "TN Ø10 (Lần " &amp; INT(P8/20) &amp; ")", IF(AND(E8=12, INT(Q8/20)&gt;INT(Q7/20)), "TN Ø12 (Lần " &amp; INT(Q8/20) &amp; ")", IF(AND(E8=14, INT(R8/20)&gt;INT(R7/20)), "TN Ø14 (Lần " &amp; INT(R8/20) &amp; ")", IF(AND(E8=16, INT(S8/20)&gt;INT(S7/20)), "TN Ø16 (Lần " &amp; INT(S8/20) &amp; ")", IF(AND(E8=18, INT(T8/20)&gt;INT(T7/20)), "TN Ø18 (Lần " &amp; INT(T8/20) &amp; ")", IF(AND(E8=20, INT(U8/20)&gt;INT(U7/20)), "TN Ø20 (Lần " &amp; INT(U8/20) &amp; ")", IF(AND(E8=22, INT(V8/20)&gt;INT(V7/20)), "TN Ø22 (Lần " &amp; INT(V8/20) &amp; ")", IF(AND(E8=25, INT(W8/20)&gt;INT(W7/20)), "TN Ø25 (Lần " &amp; INT(W8/20) &amp; ")", IF(AND(E8=28, INT(X8/20)&gt;INT(X7/20)), "TN Ø28 (Lần " &amp; INT(X8/20) &amp; ")", IF(AND(E8=32, INT(Y8/20)&gt;INT(Y7/20)), "TN Ø32 (Lần " &amp; INT(Y8/20) &amp; ")", IF(AND(F8="ASTM A416", INT(Z8/20)&gt;INT(Z7/20)), "TN Cáp 15.2 (Lần " &amp; INT(Z8/20) &amp; ")", "")))))))))))</f>
        <v/>
      </c>
      <c r="P8" s="20">
        <f>ROUND(P7 + IF(AND(E8&lt;=10, F8&lt;&gt;"ASTM A416"), L8, 0), 3)</f>
        <v/>
      </c>
      <c r="Q8" s="20">
        <f>ROUND(Q7 + IF(AND(E8=12, F8&lt;&gt;"ASTM A416"), L8, 0), 3)</f>
        <v/>
      </c>
      <c r="R8" s="20">
        <f>ROUND(R7 + IF(AND(E8=14, F8&lt;&gt;"ASTM A416"), L8, 0), 3)</f>
        <v/>
      </c>
      <c r="S8" s="20">
        <f>ROUND(S7 + IF(AND(E8=16, F8&lt;&gt;"ASTM A416"), L8, 0), 3)</f>
        <v/>
      </c>
      <c r="T8" s="20">
        <f>ROUND(T7 + IF(AND(E8=18, F8&lt;&gt;"ASTM A416"), L8, 0), 3)</f>
        <v/>
      </c>
      <c r="U8" s="20">
        <f>ROUND(U7 + IF(AND(E8=20, F8&lt;&gt;"ASTM A416"), L8, 0), 3)</f>
        <v/>
      </c>
      <c r="V8" s="20">
        <f>ROUND(V7 + IF(AND(E8=22, F8&lt;&gt;"ASTM A416"), L8, 0), 3)</f>
        <v/>
      </c>
      <c r="W8" s="20">
        <f>ROUND(W7 + IF(AND(E8=25, F8&lt;&gt;"ASTM A416"), L8, 0), 3)</f>
        <v/>
      </c>
      <c r="X8" s="20">
        <f>ROUND(X7 + IF(AND(E8=28, F8&lt;&gt;"ASTM A416"), L8, 0), 3)</f>
        <v/>
      </c>
      <c r="Y8" s="20">
        <f>ROUND(Y7 + IF(AND(E8=32, F8&lt;&gt;"ASTM A416"), L8, 0), 3)</f>
        <v/>
      </c>
      <c r="Z8" s="20">
        <f>ROUND(Z7 + IF(F8="ASTM A416", L8, 0), 3)</f>
        <v/>
      </c>
      <c r="AA8" s="11">
        <f>IF(INT(P8/20)&gt;INT(P7/20), "Lần " &amp; INT(P8/20), "")</f>
        <v/>
      </c>
      <c r="AB8" s="11">
        <f>IF(INT(Q8/20)&gt;INT(Q7/20), "Lần " &amp; INT(Q8/20), "")</f>
        <v/>
      </c>
      <c r="AC8" s="11">
        <f>IF(INT(R8/20)&gt;INT(R7/20), "Lần " &amp; INT(R8/20), "")</f>
        <v/>
      </c>
      <c r="AD8" s="11">
        <f>IF(INT(S8/20)&gt;INT(S7/20), "Lần " &amp; INT(S8/20), "")</f>
        <v/>
      </c>
      <c r="AE8" s="11">
        <f>IF(INT(T8/20)&gt;INT(T7/20), "Lần " &amp; INT(T8/20), "")</f>
        <v/>
      </c>
      <c r="AF8" s="11">
        <f>IF(INT(U8/20)&gt;INT(U7/20), "Lần " &amp; INT(U8/20), "")</f>
        <v/>
      </c>
      <c r="AG8" s="11">
        <f>IF(INT(V8/20)&gt;INT(V7/20), "Lần " &amp; INT(V8/20), "")</f>
        <v/>
      </c>
      <c r="AH8" s="11">
        <f>IF(INT(W8/20)&gt;INT(W7/20), "Lần " &amp; INT(W8/20), "")</f>
        <v/>
      </c>
      <c r="AI8" s="11">
        <f>IF(INT(X8/20)&gt;INT(X7/20), "Lần " &amp; INT(X8/20), "")</f>
        <v/>
      </c>
      <c r="AJ8" s="11">
        <f>IF(INT(Y8/20)&gt;INT(Y7/20), "Lần " &amp; INT(Y8/20), "")</f>
        <v/>
      </c>
      <c r="AK8" s="11">
        <f>IF(INT(Z8/20)&gt;INT(Z7/20), "Lần " &amp; INT(Z8/20), "")</f>
        <v/>
      </c>
      <c r="AL8" s="6" t="inlineStr">
        <is>
          <t>ĐẠT TCVN 1651:2018</t>
        </is>
      </c>
    </row>
    <row r="9" ht="19" customHeight="1">
      <c r="A9" s="6" t="n">
        <v>5</v>
      </c>
      <c r="B9" s="7" t="inlineStr">
        <is>
          <t>Cọc khoan nhồi C1 Mố M1 (D1.2m, L=20.0m)</t>
        </is>
      </c>
      <c r="C9" s="7" t="inlineStr">
        <is>
          <t>Cốt thép chủ chịu lực cọc</t>
        </is>
      </c>
      <c r="D9" s="18" t="inlineStr">
        <is>
          <t>P2B</t>
        </is>
      </c>
      <c r="E9" s="19" t="n">
        <v>25</v>
      </c>
      <c r="F9" s="6" t="inlineStr">
        <is>
          <t>CB400-V</t>
        </is>
      </c>
      <c r="G9" s="7" t="inlineStr">
        <is>
          <t>Thanh thẳng nối ren/hàn</t>
        </is>
      </c>
      <c r="H9" s="20" t="n">
        <v>2.985</v>
      </c>
      <c r="I9" s="21" t="n">
        <v>8</v>
      </c>
      <c r="J9" s="22" t="n">
        <v>3.85</v>
      </c>
      <c r="K9" s="9">
        <f>ROUND(H9*I9*J9, 2)</f>
        <v/>
      </c>
      <c r="L9" s="23">
        <f>ROUND(K9/1000, 3)</f>
        <v/>
      </c>
      <c r="M9" s="8" t="n"/>
      <c r="N9" s="6" t="n"/>
      <c r="O9" s="24">
        <f>IF(AND(E9&lt;=10, F9&lt;&gt;"ASTM A416", INT(P9/20)&gt;INT(P8/20)), "TN Ø10 (Lần " &amp; INT(P9/20) &amp; ")", IF(AND(E9=12, INT(Q9/20)&gt;INT(Q8/20)), "TN Ø12 (Lần " &amp; INT(Q9/20) &amp; ")", IF(AND(E9=14, INT(R9/20)&gt;INT(R8/20)), "TN Ø14 (Lần " &amp; INT(R9/20) &amp; ")", IF(AND(E9=16, INT(S9/20)&gt;INT(S8/20)), "TN Ø16 (Lần " &amp; INT(S9/20) &amp; ")", IF(AND(E9=18, INT(T9/20)&gt;INT(T8/20)), "TN Ø18 (Lần " &amp; INT(T9/20) &amp; ")", IF(AND(E9=20, INT(U9/20)&gt;INT(U8/20)), "TN Ø20 (Lần " &amp; INT(U9/20) &amp; ")", IF(AND(E9=22, INT(V9/20)&gt;INT(V8/20)), "TN Ø22 (Lần " &amp; INT(V9/20) &amp; ")", IF(AND(E9=25, INT(W9/20)&gt;INT(W8/20)), "TN Ø25 (Lần " &amp; INT(W9/20) &amp; ")", IF(AND(E9=28, INT(X9/20)&gt;INT(X8/20)), "TN Ø28 (Lần " &amp; INT(X9/20) &amp; ")", IF(AND(E9=32, INT(Y9/20)&gt;INT(Y8/20)), "TN Ø32 (Lần " &amp; INT(Y9/20) &amp; ")", IF(AND(F9="ASTM A416", INT(Z9/20)&gt;INT(Z8/20)), "TN Cáp 15.2 (Lần " &amp; INT(Z9/20) &amp; ")", "")))))))))))</f>
        <v/>
      </c>
      <c r="P9" s="20">
        <f>ROUND(P8 + IF(AND(E9&lt;=10, F9&lt;&gt;"ASTM A416"), L9, 0), 3)</f>
        <v/>
      </c>
      <c r="Q9" s="20">
        <f>ROUND(Q8 + IF(AND(E9=12, F9&lt;&gt;"ASTM A416"), L9, 0), 3)</f>
        <v/>
      </c>
      <c r="R9" s="20">
        <f>ROUND(R8 + IF(AND(E9=14, F9&lt;&gt;"ASTM A416"), L9, 0), 3)</f>
        <v/>
      </c>
      <c r="S9" s="20">
        <f>ROUND(S8 + IF(AND(E9=16, F9&lt;&gt;"ASTM A416"), L9, 0), 3)</f>
        <v/>
      </c>
      <c r="T9" s="20">
        <f>ROUND(T8 + IF(AND(E9=18, F9&lt;&gt;"ASTM A416"), L9, 0), 3)</f>
        <v/>
      </c>
      <c r="U9" s="20">
        <f>ROUND(U8 + IF(AND(E9=20, F9&lt;&gt;"ASTM A416"), L9, 0), 3)</f>
        <v/>
      </c>
      <c r="V9" s="20">
        <f>ROUND(V8 + IF(AND(E9=22, F9&lt;&gt;"ASTM A416"), L9, 0), 3)</f>
        <v/>
      </c>
      <c r="W9" s="20">
        <f>ROUND(W8 + IF(AND(E9=25, F9&lt;&gt;"ASTM A416"), L9, 0), 3)</f>
        <v/>
      </c>
      <c r="X9" s="20">
        <f>ROUND(X8 + IF(AND(E9=28, F9&lt;&gt;"ASTM A416"), L9, 0), 3)</f>
        <v/>
      </c>
      <c r="Y9" s="20">
        <f>ROUND(Y8 + IF(AND(E9=32, F9&lt;&gt;"ASTM A416"), L9, 0), 3)</f>
        <v/>
      </c>
      <c r="Z9" s="20">
        <f>ROUND(Z8 + IF(F9="ASTM A416", L9, 0), 3)</f>
        <v/>
      </c>
      <c r="AA9" s="11">
        <f>IF(INT(P9/20)&gt;INT(P8/20), "Lần " &amp; INT(P9/20), "")</f>
        <v/>
      </c>
      <c r="AB9" s="11">
        <f>IF(INT(Q9/20)&gt;INT(Q8/20), "Lần " &amp; INT(Q9/20), "")</f>
        <v/>
      </c>
      <c r="AC9" s="11">
        <f>IF(INT(R9/20)&gt;INT(R8/20), "Lần " &amp; INT(R9/20), "")</f>
        <v/>
      </c>
      <c r="AD9" s="11">
        <f>IF(INT(S9/20)&gt;INT(S8/20), "Lần " &amp; INT(S9/20), "")</f>
        <v/>
      </c>
      <c r="AE9" s="11">
        <f>IF(INT(T9/20)&gt;INT(T8/20), "Lần " &amp; INT(T9/20), "")</f>
        <v/>
      </c>
      <c r="AF9" s="11">
        <f>IF(INT(U9/20)&gt;INT(U8/20), "Lần " &amp; INT(U9/20), "")</f>
        <v/>
      </c>
      <c r="AG9" s="11">
        <f>IF(INT(V9/20)&gt;INT(V8/20), "Lần " &amp; INT(V9/20), "")</f>
        <v/>
      </c>
      <c r="AH9" s="11">
        <f>IF(INT(W9/20)&gt;INT(W8/20), "Lần " &amp; INT(W9/20), "")</f>
        <v/>
      </c>
      <c r="AI9" s="11">
        <f>IF(INT(X9/20)&gt;INT(X8/20), "Lần " &amp; INT(X9/20), "")</f>
        <v/>
      </c>
      <c r="AJ9" s="11">
        <f>IF(INT(Y9/20)&gt;INT(Y8/20), "Lần " &amp; INT(Y9/20), "")</f>
        <v/>
      </c>
      <c r="AK9" s="11">
        <f>IF(INT(Z9/20)&gt;INT(Z8/20), "Lần " &amp; INT(Z9/20), "")</f>
        <v/>
      </c>
      <c r="AL9" s="6" t="inlineStr">
        <is>
          <t>ĐẠT TCVN 1651:2018</t>
        </is>
      </c>
    </row>
    <row r="10" ht="19" customHeight="1">
      <c r="A10" s="6" t="n">
        <v>6</v>
      </c>
      <c r="B10" s="7" t="inlineStr">
        <is>
          <t>Cọc khoan nhồi C1 Mố M1 (D1.2m, L=20.0m)</t>
        </is>
      </c>
      <c r="C10" s="7" t="inlineStr">
        <is>
          <t>Cốt thép chủ chịu lực cọc</t>
        </is>
      </c>
      <c r="D10" s="18" t="inlineStr">
        <is>
          <t>P3</t>
        </is>
      </c>
      <c r="E10" s="19" t="n">
        <v>25</v>
      </c>
      <c r="F10" s="6" t="inlineStr">
        <is>
          <t>CB400-V</t>
        </is>
      </c>
      <c r="G10" s="7" t="inlineStr">
        <is>
          <t>Thanh thẳng nối ren/hàn</t>
        </is>
      </c>
      <c r="H10" s="20" t="n">
        <v>10.7</v>
      </c>
      <c r="I10" s="21" t="n">
        <v>12</v>
      </c>
      <c r="J10" s="22" t="n">
        <v>3.85</v>
      </c>
      <c r="K10" s="9">
        <f>ROUND(H10*I10*J10, 2)</f>
        <v/>
      </c>
      <c r="L10" s="23">
        <f>ROUND(K10/1000, 3)</f>
        <v/>
      </c>
      <c r="M10" s="8" t="n"/>
      <c r="N10" s="6" t="n"/>
      <c r="O10" s="24">
        <f>IF(AND(E10&lt;=10, F10&lt;&gt;"ASTM A416", INT(P10/20)&gt;INT(P9/20)), "TN Ø10 (Lần " &amp; INT(P10/20) &amp; ")", IF(AND(E10=12, INT(Q10/20)&gt;INT(Q9/20)), "TN Ø12 (Lần " &amp; INT(Q10/20) &amp; ")", IF(AND(E10=14, INT(R10/20)&gt;INT(R9/20)), "TN Ø14 (Lần " &amp; INT(R10/20) &amp; ")", IF(AND(E10=16, INT(S10/20)&gt;INT(S9/20)), "TN Ø16 (Lần " &amp; INT(S10/20) &amp; ")", IF(AND(E10=18, INT(T10/20)&gt;INT(T9/20)), "TN Ø18 (Lần " &amp; INT(T10/20) &amp; ")", IF(AND(E10=20, INT(U10/20)&gt;INT(U9/20)), "TN Ø20 (Lần " &amp; INT(U10/20) &amp; ")", IF(AND(E10=22, INT(V10/20)&gt;INT(V9/20)), "TN Ø22 (Lần " &amp; INT(V10/20) &amp; ")", IF(AND(E10=25, INT(W10/20)&gt;INT(W9/20)), "TN Ø25 (Lần " &amp; INT(W10/20) &amp; ")", IF(AND(E10=28, INT(X10/20)&gt;INT(X9/20)), "TN Ø28 (Lần " &amp; INT(X10/20) &amp; ")", IF(AND(E10=32, INT(Y10/20)&gt;INT(Y9/20)), "TN Ø32 (Lần " &amp; INT(Y10/20) &amp; ")", IF(AND(F10="ASTM A416", INT(Z10/20)&gt;INT(Z9/20)), "TN Cáp 15.2 (Lần " &amp; INT(Z10/20) &amp; ")", "")))))))))))</f>
        <v/>
      </c>
      <c r="P10" s="20">
        <f>ROUND(P9 + IF(AND(E10&lt;=10, F10&lt;&gt;"ASTM A416"), L10, 0), 3)</f>
        <v/>
      </c>
      <c r="Q10" s="20">
        <f>ROUND(Q9 + IF(AND(E10=12, F10&lt;&gt;"ASTM A416"), L10, 0), 3)</f>
        <v/>
      </c>
      <c r="R10" s="20">
        <f>ROUND(R9 + IF(AND(E10=14, F10&lt;&gt;"ASTM A416"), L10, 0), 3)</f>
        <v/>
      </c>
      <c r="S10" s="20">
        <f>ROUND(S9 + IF(AND(E10=16, F10&lt;&gt;"ASTM A416"), L10, 0), 3)</f>
        <v/>
      </c>
      <c r="T10" s="20">
        <f>ROUND(T9 + IF(AND(E10=18, F10&lt;&gt;"ASTM A416"), L10, 0), 3)</f>
        <v/>
      </c>
      <c r="U10" s="20">
        <f>ROUND(U9 + IF(AND(E10=20, F10&lt;&gt;"ASTM A416"), L10, 0), 3)</f>
        <v/>
      </c>
      <c r="V10" s="20">
        <f>ROUND(V9 + IF(AND(E10=22, F10&lt;&gt;"ASTM A416"), L10, 0), 3)</f>
        <v/>
      </c>
      <c r="W10" s="20">
        <f>ROUND(W9 + IF(AND(E10=25, F10&lt;&gt;"ASTM A416"), L10, 0), 3)</f>
        <v/>
      </c>
      <c r="X10" s="20">
        <f>ROUND(X9 + IF(AND(E10=28, F10&lt;&gt;"ASTM A416"), L10, 0), 3)</f>
        <v/>
      </c>
      <c r="Y10" s="20">
        <f>ROUND(Y9 + IF(AND(E10=32, F10&lt;&gt;"ASTM A416"), L10, 0), 3)</f>
        <v/>
      </c>
      <c r="Z10" s="20">
        <f>ROUND(Z9 + IF(F10="ASTM A416", L10, 0), 3)</f>
        <v/>
      </c>
      <c r="AA10" s="11">
        <f>IF(INT(P10/20)&gt;INT(P9/20), "Lần " &amp; INT(P10/20), "")</f>
        <v/>
      </c>
      <c r="AB10" s="11">
        <f>IF(INT(Q10/20)&gt;INT(Q9/20), "Lần " &amp; INT(Q10/20), "")</f>
        <v/>
      </c>
      <c r="AC10" s="11">
        <f>IF(INT(R10/20)&gt;INT(R9/20), "Lần " &amp; INT(R10/20), "")</f>
        <v/>
      </c>
      <c r="AD10" s="11">
        <f>IF(INT(S10/20)&gt;INT(S9/20), "Lần " &amp; INT(S10/20), "")</f>
        <v/>
      </c>
      <c r="AE10" s="11">
        <f>IF(INT(T10/20)&gt;INT(T9/20), "Lần " &amp; INT(T10/20), "")</f>
        <v/>
      </c>
      <c r="AF10" s="11">
        <f>IF(INT(U10/20)&gt;INT(U9/20), "Lần " &amp; INT(U10/20), "")</f>
        <v/>
      </c>
      <c r="AG10" s="11">
        <f>IF(INT(V10/20)&gt;INT(V9/20), "Lần " &amp; INT(V10/20), "")</f>
        <v/>
      </c>
      <c r="AH10" s="11">
        <f>IF(INT(W10/20)&gt;INT(W9/20), "Lần " &amp; INT(W10/20), "")</f>
        <v/>
      </c>
      <c r="AI10" s="11">
        <f>IF(INT(X10/20)&gt;INT(X9/20), "Lần " &amp; INT(X10/20), "")</f>
        <v/>
      </c>
      <c r="AJ10" s="11">
        <f>IF(INT(Y10/20)&gt;INT(Y9/20), "Lần " &amp; INT(Y10/20), "")</f>
        <v/>
      </c>
      <c r="AK10" s="11">
        <f>IF(INT(Z10/20)&gt;INT(Z9/20), "Lần " &amp; INT(Z10/20), "")</f>
        <v/>
      </c>
      <c r="AL10" s="6" t="inlineStr">
        <is>
          <t>ĐẠT TCVN 1651:2018</t>
        </is>
      </c>
    </row>
    <row r="11" ht="19" customHeight="1">
      <c r="A11" s="6" t="n">
        <v>7</v>
      </c>
      <c r="B11" s="7" t="inlineStr">
        <is>
          <t>Cọc khoan nhồi C1 Mố M1 (D1.2m, L=20.0m)</t>
        </is>
      </c>
      <c r="C11" s="7" t="inlineStr">
        <is>
          <t>Cốt thép chủ chịu lực cọc</t>
        </is>
      </c>
      <c r="D11" s="18" t="inlineStr">
        <is>
          <t>P4</t>
        </is>
      </c>
      <c r="E11" s="19" t="n">
        <v>25</v>
      </c>
      <c r="F11" s="6" t="inlineStr">
        <is>
          <t>CB400-V</t>
        </is>
      </c>
      <c r="G11" s="7" t="inlineStr">
        <is>
          <t>Thanh thẳng nối ren/hàn</t>
        </is>
      </c>
      <c r="H11" s="20" t="n">
        <v>11.7</v>
      </c>
      <c r="I11" s="21" t="n">
        <v>12</v>
      </c>
      <c r="J11" s="22" t="n">
        <v>3.85</v>
      </c>
      <c r="K11" s="9">
        <f>ROUND(H11*I11*J11, 2)</f>
        <v/>
      </c>
      <c r="L11" s="23">
        <f>ROUND(K11/1000, 3)</f>
        <v/>
      </c>
      <c r="M11" s="8" t="n"/>
      <c r="N11" s="6" t="n"/>
      <c r="O11" s="24">
        <f>IF(AND(E11&lt;=10, F11&lt;&gt;"ASTM A416", INT(P11/20)&gt;INT(P10/20)), "TN Ø10 (Lần " &amp; INT(P11/20) &amp; ")", IF(AND(E11=12, INT(Q11/20)&gt;INT(Q10/20)), "TN Ø12 (Lần " &amp; INT(Q11/20) &amp; ")", IF(AND(E11=14, INT(R11/20)&gt;INT(R10/20)), "TN Ø14 (Lần " &amp; INT(R11/20) &amp; ")", IF(AND(E11=16, INT(S11/20)&gt;INT(S10/20)), "TN Ø16 (Lần " &amp; INT(S11/20) &amp; ")", IF(AND(E11=18, INT(T11/20)&gt;INT(T10/20)), "TN Ø18 (Lần " &amp; INT(T11/20) &amp; ")", IF(AND(E11=20, INT(U11/20)&gt;INT(U10/20)), "TN Ø20 (Lần " &amp; INT(U11/20) &amp; ")", IF(AND(E11=22, INT(V11/20)&gt;INT(V10/20)), "TN Ø22 (Lần " &amp; INT(V11/20) &amp; ")", IF(AND(E11=25, INT(W11/20)&gt;INT(W10/20)), "TN Ø25 (Lần " &amp; INT(W11/20) &amp; ")", IF(AND(E11=28, INT(X11/20)&gt;INT(X10/20)), "TN Ø28 (Lần " &amp; INT(X11/20) &amp; ")", IF(AND(E11=32, INT(Y11/20)&gt;INT(Y10/20)), "TN Ø32 (Lần " &amp; INT(Y11/20) &amp; ")", IF(AND(F11="ASTM A416", INT(Z11/20)&gt;INT(Z10/20)), "TN Cáp 15.2 (Lần " &amp; INT(Z11/20) &amp; ")", "")))))))))))</f>
        <v/>
      </c>
      <c r="P11" s="20">
        <f>ROUND(P10 + IF(AND(E11&lt;=10, F11&lt;&gt;"ASTM A416"), L11, 0), 3)</f>
        <v/>
      </c>
      <c r="Q11" s="20">
        <f>ROUND(Q10 + IF(AND(E11=12, F11&lt;&gt;"ASTM A416"), L11, 0), 3)</f>
        <v/>
      </c>
      <c r="R11" s="20">
        <f>ROUND(R10 + IF(AND(E11=14, F11&lt;&gt;"ASTM A416"), L11, 0), 3)</f>
        <v/>
      </c>
      <c r="S11" s="20">
        <f>ROUND(S10 + IF(AND(E11=16, F11&lt;&gt;"ASTM A416"), L11, 0), 3)</f>
        <v/>
      </c>
      <c r="T11" s="20">
        <f>ROUND(T10 + IF(AND(E11=18, F11&lt;&gt;"ASTM A416"), L11, 0), 3)</f>
        <v/>
      </c>
      <c r="U11" s="20">
        <f>ROUND(U10 + IF(AND(E11=20, F11&lt;&gt;"ASTM A416"), L11, 0), 3)</f>
        <v/>
      </c>
      <c r="V11" s="20">
        <f>ROUND(V10 + IF(AND(E11=22, F11&lt;&gt;"ASTM A416"), L11, 0), 3)</f>
        <v/>
      </c>
      <c r="W11" s="20">
        <f>ROUND(W10 + IF(AND(E11=25, F11&lt;&gt;"ASTM A416"), L11, 0), 3)</f>
        <v/>
      </c>
      <c r="X11" s="20">
        <f>ROUND(X10 + IF(AND(E11=28, F11&lt;&gt;"ASTM A416"), L11, 0), 3)</f>
        <v/>
      </c>
      <c r="Y11" s="20">
        <f>ROUND(Y10 + IF(AND(E11=32, F11&lt;&gt;"ASTM A416"), L11, 0), 3)</f>
        <v/>
      </c>
      <c r="Z11" s="20">
        <f>ROUND(Z10 + IF(F11="ASTM A416", L11, 0), 3)</f>
        <v/>
      </c>
      <c r="AA11" s="11">
        <f>IF(INT(P11/20)&gt;INT(P10/20), "Lần " &amp; INT(P11/20), "")</f>
        <v/>
      </c>
      <c r="AB11" s="11">
        <f>IF(INT(Q11/20)&gt;INT(Q10/20), "Lần " &amp; INT(Q11/20), "")</f>
        <v/>
      </c>
      <c r="AC11" s="11">
        <f>IF(INT(R11/20)&gt;INT(R10/20), "Lần " &amp; INT(R11/20), "")</f>
        <v/>
      </c>
      <c r="AD11" s="11">
        <f>IF(INT(S11/20)&gt;INT(S10/20), "Lần " &amp; INT(S11/20), "")</f>
        <v/>
      </c>
      <c r="AE11" s="11">
        <f>IF(INT(T11/20)&gt;INT(T10/20), "Lần " &amp; INT(T11/20), "")</f>
        <v/>
      </c>
      <c r="AF11" s="11">
        <f>IF(INT(U11/20)&gt;INT(U10/20), "Lần " &amp; INT(U11/20), "")</f>
        <v/>
      </c>
      <c r="AG11" s="11">
        <f>IF(INT(V11/20)&gt;INT(V10/20), "Lần " &amp; INT(V11/20), "")</f>
        <v/>
      </c>
      <c r="AH11" s="11">
        <f>IF(INT(W11/20)&gt;INT(W10/20), "Lần " &amp; INT(W11/20), "")</f>
        <v/>
      </c>
      <c r="AI11" s="11">
        <f>IF(INT(X11/20)&gt;INT(X10/20), "Lần " &amp; INT(X11/20), "")</f>
        <v/>
      </c>
      <c r="AJ11" s="11">
        <f>IF(INT(Y11/20)&gt;INT(Y10/20), "Lần " &amp; INT(Y11/20), "")</f>
        <v/>
      </c>
      <c r="AK11" s="11">
        <f>IF(INT(Z11/20)&gt;INT(Z10/20), "Lần " &amp; INT(Z11/20), "")</f>
        <v/>
      </c>
      <c r="AL11" s="6" t="inlineStr">
        <is>
          <t>ĐẠT TCVN 1651:2018</t>
        </is>
      </c>
    </row>
    <row r="12" ht="19" customHeight="1">
      <c r="A12" s="6" t="n">
        <v>8</v>
      </c>
      <c r="B12" s="7" t="inlineStr">
        <is>
          <t>Cọc khoan nhồi C1 Mố M1 (D1.2m, L=20.0m)</t>
        </is>
      </c>
      <c r="C12" s="7" t="inlineStr">
        <is>
          <t>Cốt thép chủ chịu lực cọc</t>
        </is>
      </c>
      <c r="D12" s="18" t="inlineStr">
        <is>
          <t>P6</t>
        </is>
      </c>
      <c r="E12" s="19" t="n">
        <v>25</v>
      </c>
      <c r="F12" s="6" t="inlineStr">
        <is>
          <t>CB400-V</t>
        </is>
      </c>
      <c r="G12" s="7" t="inlineStr">
        <is>
          <t>Thanh thẳng nối ren/hàn</t>
        </is>
      </c>
      <c r="H12" s="20" t="n">
        <v>10.433</v>
      </c>
      <c r="I12" s="21" t="n">
        <v>12</v>
      </c>
      <c r="J12" s="22" t="n">
        <v>3.85</v>
      </c>
      <c r="K12" s="9">
        <f>ROUND(H12*I12*J12, 2)</f>
        <v/>
      </c>
      <c r="L12" s="23">
        <f>ROUND(K12/1000, 3)</f>
        <v/>
      </c>
      <c r="M12" s="8" t="n"/>
      <c r="N12" s="6" t="n"/>
      <c r="O12" s="24">
        <f>IF(AND(E12&lt;=10, F12&lt;&gt;"ASTM A416", INT(P12/20)&gt;INT(P11/20)), "TN Ø10 (Lần " &amp; INT(P12/20) &amp; ")", IF(AND(E12=12, INT(Q12/20)&gt;INT(Q11/20)), "TN Ø12 (Lần " &amp; INT(Q12/20) &amp; ")", IF(AND(E12=14, INT(R12/20)&gt;INT(R11/20)), "TN Ø14 (Lần " &amp; INT(R12/20) &amp; ")", IF(AND(E12=16, INT(S12/20)&gt;INT(S11/20)), "TN Ø16 (Lần " &amp; INT(S12/20) &amp; ")", IF(AND(E12=18, INT(T12/20)&gt;INT(T11/20)), "TN Ø18 (Lần " &amp; INT(T12/20) &amp; ")", IF(AND(E12=20, INT(U12/20)&gt;INT(U11/20)), "TN Ø20 (Lần " &amp; INT(U12/20) &amp; ")", IF(AND(E12=22, INT(V12/20)&gt;INT(V11/20)), "TN Ø22 (Lần " &amp; INT(V12/20) &amp; ")", IF(AND(E12=25, INT(W12/20)&gt;INT(W11/20)), "TN Ø25 (Lần " &amp; INT(W12/20) &amp; ")", IF(AND(E12=28, INT(X12/20)&gt;INT(X11/20)), "TN Ø28 (Lần " &amp; INT(X12/20) &amp; ")", IF(AND(E12=32, INT(Y12/20)&gt;INT(Y11/20)), "TN Ø32 (Lần " &amp; INT(Y12/20) &amp; ")", IF(AND(F12="ASTM A416", INT(Z12/20)&gt;INT(Z11/20)), "TN Cáp 15.2 (Lần " &amp; INT(Z12/20) &amp; ")", "")))))))))))</f>
        <v/>
      </c>
      <c r="P12" s="20">
        <f>ROUND(P11 + IF(AND(E12&lt;=10, F12&lt;&gt;"ASTM A416"), L12, 0), 3)</f>
        <v/>
      </c>
      <c r="Q12" s="20">
        <f>ROUND(Q11 + IF(AND(E12=12, F12&lt;&gt;"ASTM A416"), L12, 0), 3)</f>
        <v/>
      </c>
      <c r="R12" s="20">
        <f>ROUND(R11 + IF(AND(E12=14, F12&lt;&gt;"ASTM A416"), L12, 0), 3)</f>
        <v/>
      </c>
      <c r="S12" s="20">
        <f>ROUND(S11 + IF(AND(E12=16, F12&lt;&gt;"ASTM A416"), L12, 0), 3)</f>
        <v/>
      </c>
      <c r="T12" s="20">
        <f>ROUND(T11 + IF(AND(E12=18, F12&lt;&gt;"ASTM A416"), L12, 0), 3)</f>
        <v/>
      </c>
      <c r="U12" s="20">
        <f>ROUND(U11 + IF(AND(E12=20, F12&lt;&gt;"ASTM A416"), L12, 0), 3)</f>
        <v/>
      </c>
      <c r="V12" s="20">
        <f>ROUND(V11 + IF(AND(E12=22, F12&lt;&gt;"ASTM A416"), L12, 0), 3)</f>
        <v/>
      </c>
      <c r="W12" s="20">
        <f>ROUND(W11 + IF(AND(E12=25, F12&lt;&gt;"ASTM A416"), L12, 0), 3)</f>
        <v/>
      </c>
      <c r="X12" s="20">
        <f>ROUND(X11 + IF(AND(E12=28, F12&lt;&gt;"ASTM A416"), L12, 0), 3)</f>
        <v/>
      </c>
      <c r="Y12" s="20">
        <f>ROUND(Y11 + IF(AND(E12=32, F12&lt;&gt;"ASTM A416"), L12, 0), 3)</f>
        <v/>
      </c>
      <c r="Z12" s="20">
        <f>ROUND(Z11 + IF(F12="ASTM A416", L12, 0), 3)</f>
        <v/>
      </c>
      <c r="AA12" s="11">
        <f>IF(INT(P12/20)&gt;INT(P11/20), "Lần " &amp; INT(P12/20), "")</f>
        <v/>
      </c>
      <c r="AB12" s="11">
        <f>IF(INT(Q12/20)&gt;INT(Q11/20), "Lần " &amp; INT(Q12/20), "")</f>
        <v/>
      </c>
      <c r="AC12" s="11">
        <f>IF(INT(R12/20)&gt;INT(R11/20), "Lần " &amp; INT(R12/20), "")</f>
        <v/>
      </c>
      <c r="AD12" s="11">
        <f>IF(INT(S12/20)&gt;INT(S11/20), "Lần " &amp; INT(S12/20), "")</f>
        <v/>
      </c>
      <c r="AE12" s="11">
        <f>IF(INT(T12/20)&gt;INT(T11/20), "Lần " &amp; INT(T12/20), "")</f>
        <v/>
      </c>
      <c r="AF12" s="11">
        <f>IF(INT(U12/20)&gt;INT(U11/20), "Lần " &amp; INT(U12/20), "")</f>
        <v/>
      </c>
      <c r="AG12" s="11">
        <f>IF(INT(V12/20)&gt;INT(V11/20), "Lần " &amp; INT(V12/20), "")</f>
        <v/>
      </c>
      <c r="AH12" s="11">
        <f>IF(INT(W12/20)&gt;INT(W11/20), "Lần " &amp; INT(W12/20), "")</f>
        <v/>
      </c>
      <c r="AI12" s="11">
        <f>IF(INT(X12/20)&gt;INT(X11/20), "Lần " &amp; INT(X12/20), "")</f>
        <v/>
      </c>
      <c r="AJ12" s="11">
        <f>IF(INT(Y12/20)&gt;INT(Y11/20), "Lần " &amp; INT(Y12/20), "")</f>
        <v/>
      </c>
      <c r="AK12" s="11">
        <f>IF(INT(Z12/20)&gt;INT(Z11/20), "Lần " &amp; INT(Z12/20), "")</f>
        <v/>
      </c>
      <c r="AL12" s="6" t="inlineStr">
        <is>
          <t>ĐẠT TCVN 1651:2018</t>
        </is>
      </c>
    </row>
    <row r="13" ht="19" customHeight="1">
      <c r="A13" s="6" t="n">
        <v>9</v>
      </c>
      <c r="B13" s="7" t="inlineStr">
        <is>
          <t>Cọc khoan nhồi C1 Mố M1 (D1.2m, L=20.0m)</t>
        </is>
      </c>
      <c r="C13" s="7" t="inlineStr">
        <is>
          <t>Cốt thép chủ chịu lực cọc</t>
        </is>
      </c>
      <c r="D13" s="18" t="inlineStr">
        <is>
          <t>P7</t>
        </is>
      </c>
      <c r="E13" s="19" t="n">
        <v>25</v>
      </c>
      <c r="F13" s="6" t="inlineStr">
        <is>
          <t>CB400-V</t>
        </is>
      </c>
      <c r="G13" s="7" t="inlineStr">
        <is>
          <t>Thanh thẳng nối ren/hàn</t>
        </is>
      </c>
      <c r="H13" s="20" t="n">
        <v>11.433</v>
      </c>
      <c r="I13" s="21" t="n">
        <v>12</v>
      </c>
      <c r="J13" s="22" t="n">
        <v>3.85</v>
      </c>
      <c r="K13" s="9">
        <f>ROUND(H13*I13*J13, 2)</f>
        <v/>
      </c>
      <c r="L13" s="23">
        <f>ROUND(K13/1000, 3)</f>
        <v/>
      </c>
      <c r="M13" s="8" t="n"/>
      <c r="N13" s="6" t="n"/>
      <c r="O13" s="24">
        <f>IF(AND(E13&lt;=10, F13&lt;&gt;"ASTM A416", INT(P13/20)&gt;INT(P12/20)), "TN Ø10 (Lần " &amp; INT(P13/20) &amp; ")", IF(AND(E13=12, INT(Q13/20)&gt;INT(Q12/20)), "TN Ø12 (Lần " &amp; INT(Q13/20) &amp; ")", IF(AND(E13=14, INT(R13/20)&gt;INT(R12/20)), "TN Ø14 (Lần " &amp; INT(R13/20) &amp; ")", IF(AND(E13=16, INT(S13/20)&gt;INT(S12/20)), "TN Ø16 (Lần " &amp; INT(S13/20) &amp; ")", IF(AND(E13=18, INT(T13/20)&gt;INT(T12/20)), "TN Ø18 (Lần " &amp; INT(T13/20) &amp; ")", IF(AND(E13=20, INT(U13/20)&gt;INT(U12/20)), "TN Ø20 (Lần " &amp; INT(U13/20) &amp; ")", IF(AND(E13=22, INT(V13/20)&gt;INT(V12/20)), "TN Ø22 (Lần " &amp; INT(V13/20) &amp; ")", IF(AND(E13=25, INT(W13/20)&gt;INT(W12/20)), "TN Ø25 (Lần " &amp; INT(W13/20) &amp; ")", IF(AND(E13=28, INT(X13/20)&gt;INT(X12/20)), "TN Ø28 (Lần " &amp; INT(X13/20) &amp; ")", IF(AND(E13=32, INT(Y13/20)&gt;INT(Y12/20)), "TN Ø32 (Lần " &amp; INT(Y13/20) &amp; ")", IF(AND(F13="ASTM A416", INT(Z13/20)&gt;INT(Z12/20)), "TN Cáp 15.2 (Lần " &amp; INT(Z13/20) &amp; ")", "")))))))))))</f>
        <v/>
      </c>
      <c r="P13" s="20">
        <f>ROUND(P12 + IF(AND(E13&lt;=10, F13&lt;&gt;"ASTM A416"), L13, 0), 3)</f>
        <v/>
      </c>
      <c r="Q13" s="20">
        <f>ROUND(Q12 + IF(AND(E13=12, F13&lt;&gt;"ASTM A416"), L13, 0), 3)</f>
        <v/>
      </c>
      <c r="R13" s="20">
        <f>ROUND(R12 + IF(AND(E13=14, F13&lt;&gt;"ASTM A416"), L13, 0), 3)</f>
        <v/>
      </c>
      <c r="S13" s="20">
        <f>ROUND(S12 + IF(AND(E13=16, F13&lt;&gt;"ASTM A416"), L13, 0), 3)</f>
        <v/>
      </c>
      <c r="T13" s="20">
        <f>ROUND(T12 + IF(AND(E13=18, F13&lt;&gt;"ASTM A416"), L13, 0), 3)</f>
        <v/>
      </c>
      <c r="U13" s="20">
        <f>ROUND(U12 + IF(AND(E13=20, F13&lt;&gt;"ASTM A416"), L13, 0), 3)</f>
        <v/>
      </c>
      <c r="V13" s="20">
        <f>ROUND(V12 + IF(AND(E13=22, F13&lt;&gt;"ASTM A416"), L13, 0), 3)</f>
        <v/>
      </c>
      <c r="W13" s="20">
        <f>ROUND(W12 + IF(AND(E13=25, F13&lt;&gt;"ASTM A416"), L13, 0), 3)</f>
        <v/>
      </c>
      <c r="X13" s="20">
        <f>ROUND(X12 + IF(AND(E13=28, F13&lt;&gt;"ASTM A416"), L13, 0), 3)</f>
        <v/>
      </c>
      <c r="Y13" s="20">
        <f>ROUND(Y12 + IF(AND(E13=32, F13&lt;&gt;"ASTM A416"), L13, 0), 3)</f>
        <v/>
      </c>
      <c r="Z13" s="20">
        <f>ROUND(Z12 + IF(F13="ASTM A416", L13, 0), 3)</f>
        <v/>
      </c>
      <c r="AA13" s="11">
        <f>IF(INT(P13/20)&gt;INT(P12/20), "Lần " &amp; INT(P13/20), "")</f>
        <v/>
      </c>
      <c r="AB13" s="11">
        <f>IF(INT(Q13/20)&gt;INT(Q12/20), "Lần " &amp; INT(Q13/20), "")</f>
        <v/>
      </c>
      <c r="AC13" s="11">
        <f>IF(INT(R13/20)&gt;INT(R12/20), "Lần " &amp; INT(R13/20), "")</f>
        <v/>
      </c>
      <c r="AD13" s="11">
        <f>IF(INT(S13/20)&gt;INT(S12/20), "Lần " &amp; INT(S13/20), "")</f>
        <v/>
      </c>
      <c r="AE13" s="11">
        <f>IF(INT(T13/20)&gt;INT(T12/20), "Lần " &amp; INT(T13/20), "")</f>
        <v/>
      </c>
      <c r="AF13" s="11">
        <f>IF(INT(U13/20)&gt;INT(U12/20), "Lần " &amp; INT(U13/20), "")</f>
        <v/>
      </c>
      <c r="AG13" s="11">
        <f>IF(INT(V13/20)&gt;INT(V12/20), "Lần " &amp; INT(V13/20), "")</f>
        <v/>
      </c>
      <c r="AH13" s="11">
        <f>IF(INT(W13/20)&gt;INT(W12/20), "Lần " &amp; INT(W13/20), "")</f>
        <v/>
      </c>
      <c r="AI13" s="11">
        <f>IF(INT(X13/20)&gt;INT(X12/20), "Lần " &amp; INT(X13/20), "")</f>
        <v/>
      </c>
      <c r="AJ13" s="11">
        <f>IF(INT(Y13/20)&gt;INT(Y12/20), "Lần " &amp; INT(Y13/20), "")</f>
        <v/>
      </c>
      <c r="AK13" s="11">
        <f>IF(INT(Z13/20)&gt;INT(Z12/20), "Lần " &amp; INT(Z13/20), "")</f>
        <v/>
      </c>
      <c r="AL13" s="6" t="inlineStr">
        <is>
          <t>ĐẠT TCVN 1651:2018</t>
        </is>
      </c>
    </row>
    <row r="14" ht="19" customHeight="1">
      <c r="A14" s="6" t="n">
        <v>10</v>
      </c>
      <c r="B14" s="7" t="inlineStr">
        <is>
          <t>Cọc khoan nhồi C1 Mố M1 (D1.2m, L=20.0m)</t>
        </is>
      </c>
      <c r="C14" s="7" t="inlineStr">
        <is>
          <t>Đai tăng cường / Con kê bảo vệ</t>
        </is>
      </c>
      <c r="D14" s="18" t="inlineStr">
        <is>
          <t>P8</t>
        </is>
      </c>
      <c r="E14" s="19" t="n">
        <v>12</v>
      </c>
      <c r="F14" s="6" t="inlineStr">
        <is>
          <t>CB400-V</t>
        </is>
      </c>
      <c r="G14" s="7" t="inlineStr">
        <is>
          <t>Móc neo / Vòng đai</t>
        </is>
      </c>
      <c r="H14" s="20" t="n">
        <v>0.647</v>
      </c>
      <c r="I14" s="21" t="n">
        <v>8</v>
      </c>
      <c r="J14" s="22" t="n">
        <v>0.888</v>
      </c>
      <c r="K14" s="9">
        <f>ROUND(H14*I14*J14, 2)</f>
        <v/>
      </c>
      <c r="L14" s="23">
        <f>ROUND(K14/1000, 3)</f>
        <v/>
      </c>
      <c r="M14" s="8" t="n"/>
      <c r="N14" s="6" t="n"/>
      <c r="O14" s="24">
        <f>IF(AND(E14&lt;=10, F14&lt;&gt;"ASTM A416", INT(P14/20)&gt;INT(P13/20)), "TN Ø10 (Lần " &amp; INT(P14/20) &amp; ")", IF(AND(E14=12, INT(Q14/20)&gt;INT(Q13/20)), "TN Ø12 (Lần " &amp; INT(Q14/20) &amp; ")", IF(AND(E14=14, INT(R14/20)&gt;INT(R13/20)), "TN Ø14 (Lần " &amp; INT(R14/20) &amp; ")", IF(AND(E14=16, INT(S14/20)&gt;INT(S13/20)), "TN Ø16 (Lần " &amp; INT(S14/20) &amp; ")", IF(AND(E14=18, INT(T14/20)&gt;INT(T13/20)), "TN Ø18 (Lần " &amp; INT(T14/20) &amp; ")", IF(AND(E14=20, INT(U14/20)&gt;INT(U13/20)), "TN Ø20 (Lần " &amp; INT(U14/20) &amp; ")", IF(AND(E14=22, INT(V14/20)&gt;INT(V13/20)), "TN Ø22 (Lần " &amp; INT(V14/20) &amp; ")", IF(AND(E14=25, INT(W14/20)&gt;INT(W13/20)), "TN Ø25 (Lần " &amp; INT(W14/20) &amp; ")", IF(AND(E14=28, INT(X14/20)&gt;INT(X13/20)), "TN Ø28 (Lần " &amp; INT(X14/20) &amp; ")", IF(AND(E14=32, INT(Y14/20)&gt;INT(Y13/20)), "TN Ø32 (Lần " &amp; INT(Y14/20) &amp; ")", IF(AND(F14="ASTM A416", INT(Z14/20)&gt;INT(Z13/20)), "TN Cáp 15.2 (Lần " &amp; INT(Z14/20) &amp; ")", "")))))))))))</f>
        <v/>
      </c>
      <c r="P14" s="20">
        <f>ROUND(P13 + IF(AND(E14&lt;=10, F14&lt;&gt;"ASTM A416"), L14, 0), 3)</f>
        <v/>
      </c>
      <c r="Q14" s="20">
        <f>ROUND(Q13 + IF(AND(E14=12, F14&lt;&gt;"ASTM A416"), L14, 0), 3)</f>
        <v/>
      </c>
      <c r="R14" s="20">
        <f>ROUND(R13 + IF(AND(E14=14, F14&lt;&gt;"ASTM A416"), L14, 0), 3)</f>
        <v/>
      </c>
      <c r="S14" s="20">
        <f>ROUND(S13 + IF(AND(E14=16, F14&lt;&gt;"ASTM A416"), L14, 0), 3)</f>
        <v/>
      </c>
      <c r="T14" s="20">
        <f>ROUND(T13 + IF(AND(E14=18, F14&lt;&gt;"ASTM A416"), L14, 0), 3)</f>
        <v/>
      </c>
      <c r="U14" s="20">
        <f>ROUND(U13 + IF(AND(E14=20, F14&lt;&gt;"ASTM A416"), L14, 0), 3)</f>
        <v/>
      </c>
      <c r="V14" s="20">
        <f>ROUND(V13 + IF(AND(E14=22, F14&lt;&gt;"ASTM A416"), L14, 0), 3)</f>
        <v/>
      </c>
      <c r="W14" s="20">
        <f>ROUND(W13 + IF(AND(E14=25, F14&lt;&gt;"ASTM A416"), L14, 0), 3)</f>
        <v/>
      </c>
      <c r="X14" s="20">
        <f>ROUND(X13 + IF(AND(E14=28, F14&lt;&gt;"ASTM A416"), L14, 0), 3)</f>
        <v/>
      </c>
      <c r="Y14" s="20">
        <f>ROUND(Y13 + IF(AND(E14=32, F14&lt;&gt;"ASTM A416"), L14, 0), 3)</f>
        <v/>
      </c>
      <c r="Z14" s="20">
        <f>ROUND(Z13 + IF(F14="ASTM A416", L14, 0), 3)</f>
        <v/>
      </c>
      <c r="AA14" s="11">
        <f>IF(INT(P14/20)&gt;INT(P13/20), "Lần " &amp; INT(P14/20), "")</f>
        <v/>
      </c>
      <c r="AB14" s="11">
        <f>IF(INT(Q14/20)&gt;INT(Q13/20), "Lần " &amp; INT(Q14/20), "")</f>
        <v/>
      </c>
      <c r="AC14" s="11">
        <f>IF(INT(R14/20)&gt;INT(R13/20), "Lần " &amp; INT(R14/20), "")</f>
        <v/>
      </c>
      <c r="AD14" s="11">
        <f>IF(INT(S14/20)&gt;INT(S13/20), "Lần " &amp; INT(S14/20), "")</f>
        <v/>
      </c>
      <c r="AE14" s="11">
        <f>IF(INT(T14/20)&gt;INT(T13/20), "Lần " &amp; INT(T14/20), "")</f>
        <v/>
      </c>
      <c r="AF14" s="11">
        <f>IF(INT(U14/20)&gt;INT(U13/20), "Lần " &amp; INT(U14/20), "")</f>
        <v/>
      </c>
      <c r="AG14" s="11">
        <f>IF(INT(V14/20)&gt;INT(V13/20), "Lần " &amp; INT(V14/20), "")</f>
        <v/>
      </c>
      <c r="AH14" s="11">
        <f>IF(INT(W14/20)&gt;INT(W13/20), "Lần " &amp; INT(W14/20), "")</f>
        <v/>
      </c>
      <c r="AI14" s="11">
        <f>IF(INT(X14/20)&gt;INT(X13/20), "Lần " &amp; INT(X14/20), "")</f>
        <v/>
      </c>
      <c r="AJ14" s="11">
        <f>IF(INT(Y14/20)&gt;INT(Y13/20), "Lần " &amp; INT(Y14/20), "")</f>
        <v/>
      </c>
      <c r="AK14" s="11">
        <f>IF(INT(Z14/20)&gt;INT(Z13/20), "Lần " &amp; INT(Z14/20), "")</f>
        <v/>
      </c>
      <c r="AL14" s="6" t="inlineStr">
        <is>
          <t>ĐẠT TCVN 1651:2018</t>
        </is>
      </c>
    </row>
    <row r="15" ht="19" customHeight="1">
      <c r="A15" s="6" t="n">
        <v>11</v>
      </c>
      <c r="B15" s="7" t="inlineStr">
        <is>
          <t>Cọc khoan nhồi C1 Mố M1 (D1.2m, L=20.0m)</t>
        </is>
      </c>
      <c r="C15" s="7" t="inlineStr">
        <is>
          <t>Đai tăng cường / Con kê bảo vệ</t>
        </is>
      </c>
      <c r="D15" s="18" t="inlineStr">
        <is>
          <t>P9</t>
        </is>
      </c>
      <c r="E15" s="19" t="n">
        <v>12</v>
      </c>
      <c r="F15" s="6" t="inlineStr">
        <is>
          <t>CB400-V</t>
        </is>
      </c>
      <c r="G15" s="7" t="inlineStr">
        <is>
          <t>Móc neo / Vòng đai</t>
        </is>
      </c>
      <c r="H15" s="20" t="n">
        <v>0.379</v>
      </c>
      <c r="I15" s="21" t="n">
        <v>24</v>
      </c>
      <c r="J15" s="22" t="n">
        <v>0.888</v>
      </c>
      <c r="K15" s="9">
        <f>ROUND(H15*I15*J15, 2)</f>
        <v/>
      </c>
      <c r="L15" s="23">
        <f>ROUND(K15/1000, 3)</f>
        <v/>
      </c>
      <c r="M15" s="8" t="n"/>
      <c r="N15" s="6" t="n"/>
      <c r="O15" s="24">
        <f>IF(AND(E15&lt;=10, F15&lt;&gt;"ASTM A416", INT(P15/20)&gt;INT(P14/20)), "TN Ø10 (Lần " &amp; INT(P15/20) &amp; ")", IF(AND(E15=12, INT(Q15/20)&gt;INT(Q14/20)), "TN Ø12 (Lần " &amp; INT(Q15/20) &amp; ")", IF(AND(E15=14, INT(R15/20)&gt;INT(R14/20)), "TN Ø14 (Lần " &amp; INT(R15/20) &amp; ")", IF(AND(E15=16, INT(S15/20)&gt;INT(S14/20)), "TN Ø16 (Lần " &amp; INT(S15/20) &amp; ")", IF(AND(E15=18, INT(T15/20)&gt;INT(T14/20)), "TN Ø18 (Lần " &amp; INT(T15/20) &amp; ")", IF(AND(E15=20, INT(U15/20)&gt;INT(U14/20)), "TN Ø20 (Lần " &amp; INT(U15/20) &amp; ")", IF(AND(E15=22, INT(V15/20)&gt;INT(V14/20)), "TN Ø22 (Lần " &amp; INT(V15/20) &amp; ")", IF(AND(E15=25, INT(W15/20)&gt;INT(W14/20)), "TN Ø25 (Lần " &amp; INT(W15/20) &amp; ")", IF(AND(E15=28, INT(X15/20)&gt;INT(X14/20)), "TN Ø28 (Lần " &amp; INT(X15/20) &amp; ")", IF(AND(E15=32, INT(Y15/20)&gt;INT(Y14/20)), "TN Ø32 (Lần " &amp; INT(Y15/20) &amp; ")", IF(AND(F15="ASTM A416", INT(Z15/20)&gt;INT(Z14/20)), "TN Cáp 15.2 (Lần " &amp; INT(Z15/20) &amp; ")", "")))))))))))</f>
        <v/>
      </c>
      <c r="P15" s="20">
        <f>ROUND(P14 + IF(AND(E15&lt;=10, F15&lt;&gt;"ASTM A416"), L15, 0), 3)</f>
        <v/>
      </c>
      <c r="Q15" s="20">
        <f>ROUND(Q14 + IF(AND(E15=12, F15&lt;&gt;"ASTM A416"), L15, 0), 3)</f>
        <v/>
      </c>
      <c r="R15" s="20">
        <f>ROUND(R14 + IF(AND(E15=14, F15&lt;&gt;"ASTM A416"), L15, 0), 3)</f>
        <v/>
      </c>
      <c r="S15" s="20">
        <f>ROUND(S14 + IF(AND(E15=16, F15&lt;&gt;"ASTM A416"), L15, 0), 3)</f>
        <v/>
      </c>
      <c r="T15" s="20">
        <f>ROUND(T14 + IF(AND(E15=18, F15&lt;&gt;"ASTM A416"), L15, 0), 3)</f>
        <v/>
      </c>
      <c r="U15" s="20">
        <f>ROUND(U14 + IF(AND(E15=20, F15&lt;&gt;"ASTM A416"), L15, 0), 3)</f>
        <v/>
      </c>
      <c r="V15" s="20">
        <f>ROUND(V14 + IF(AND(E15=22, F15&lt;&gt;"ASTM A416"), L15, 0), 3)</f>
        <v/>
      </c>
      <c r="W15" s="20">
        <f>ROUND(W14 + IF(AND(E15=25, F15&lt;&gt;"ASTM A416"), L15, 0), 3)</f>
        <v/>
      </c>
      <c r="X15" s="20">
        <f>ROUND(X14 + IF(AND(E15=28, F15&lt;&gt;"ASTM A416"), L15, 0), 3)</f>
        <v/>
      </c>
      <c r="Y15" s="20">
        <f>ROUND(Y14 + IF(AND(E15=32, F15&lt;&gt;"ASTM A416"), L15, 0), 3)</f>
        <v/>
      </c>
      <c r="Z15" s="20">
        <f>ROUND(Z14 + IF(F15="ASTM A416", L15, 0), 3)</f>
        <v/>
      </c>
      <c r="AA15" s="11">
        <f>IF(INT(P15/20)&gt;INT(P14/20), "Lần " &amp; INT(P15/20), "")</f>
        <v/>
      </c>
      <c r="AB15" s="11">
        <f>IF(INT(Q15/20)&gt;INT(Q14/20), "Lần " &amp; INT(Q15/20), "")</f>
        <v/>
      </c>
      <c r="AC15" s="11">
        <f>IF(INT(R15/20)&gt;INT(R14/20), "Lần " &amp; INT(R15/20), "")</f>
        <v/>
      </c>
      <c r="AD15" s="11">
        <f>IF(INT(S15/20)&gt;INT(S14/20), "Lần " &amp; INT(S15/20), "")</f>
        <v/>
      </c>
      <c r="AE15" s="11">
        <f>IF(INT(T15/20)&gt;INT(T14/20), "Lần " &amp; INT(T15/20), "")</f>
        <v/>
      </c>
      <c r="AF15" s="11">
        <f>IF(INT(U15/20)&gt;INT(U14/20), "Lần " &amp; INT(U15/20), "")</f>
        <v/>
      </c>
      <c r="AG15" s="11">
        <f>IF(INT(V15/20)&gt;INT(V14/20), "Lần " &amp; INT(V15/20), "")</f>
        <v/>
      </c>
      <c r="AH15" s="11">
        <f>IF(INT(W15/20)&gt;INT(W14/20), "Lần " &amp; INT(W15/20), "")</f>
        <v/>
      </c>
      <c r="AI15" s="11">
        <f>IF(INT(X15/20)&gt;INT(X14/20), "Lần " &amp; INT(X15/20), "")</f>
        <v/>
      </c>
      <c r="AJ15" s="11">
        <f>IF(INT(Y15/20)&gt;INT(Y14/20), "Lần " &amp; INT(Y15/20), "")</f>
        <v/>
      </c>
      <c r="AK15" s="11">
        <f>IF(INT(Z15/20)&gt;INT(Z14/20), "Lần " &amp; INT(Z15/20), "")</f>
        <v/>
      </c>
      <c r="AL15" s="6" t="inlineStr">
        <is>
          <t>ĐẠT TCVN 1651:2018</t>
        </is>
      </c>
    </row>
    <row r="16" ht="19" customHeight="1">
      <c r="A16" s="6" t="n">
        <v>12</v>
      </c>
      <c r="B16" s="7" t="inlineStr">
        <is>
          <t>Cọc khoan nhồi C1 Mố M1 (D1.2m, L=20.0m)</t>
        </is>
      </c>
      <c r="C16" s="7" t="inlineStr">
        <is>
          <t>Thép đai xoắn lồng cọc</t>
        </is>
      </c>
      <c r="D16" s="18" t="inlineStr">
        <is>
          <t>P10</t>
        </is>
      </c>
      <c r="E16" s="19" t="n">
        <v>20</v>
      </c>
      <c r="F16" s="6" t="inlineStr">
        <is>
          <t>CB400-V</t>
        </is>
      </c>
      <c r="G16" s="7" t="inlineStr">
        <is>
          <t>Đai xoắn tròn</t>
        </is>
      </c>
      <c r="H16" s="20" t="n">
        <v>2.057</v>
      </c>
      <c r="I16" s="21" t="n">
        <v>1</v>
      </c>
      <c r="J16" s="22" t="n">
        <v>2.47</v>
      </c>
      <c r="K16" s="9">
        <f>ROUND(H16*I16*J16, 2)</f>
        <v/>
      </c>
      <c r="L16" s="23">
        <f>ROUND(K16/1000, 3)</f>
        <v/>
      </c>
      <c r="M16" s="8" t="n"/>
      <c r="N16" s="6" t="n"/>
      <c r="O16" s="24">
        <f>IF(AND(E16&lt;=10, F16&lt;&gt;"ASTM A416", INT(P16/20)&gt;INT(P15/20)), "TN Ø10 (Lần " &amp; INT(P16/20) &amp; ")", IF(AND(E16=12, INT(Q16/20)&gt;INT(Q15/20)), "TN Ø12 (Lần " &amp; INT(Q16/20) &amp; ")", IF(AND(E16=14, INT(R16/20)&gt;INT(R15/20)), "TN Ø14 (Lần " &amp; INT(R16/20) &amp; ")", IF(AND(E16=16, INT(S16/20)&gt;INT(S15/20)), "TN Ø16 (Lần " &amp; INT(S16/20) &amp; ")", IF(AND(E16=18, INT(T16/20)&gt;INT(T15/20)), "TN Ø18 (Lần " &amp; INT(T16/20) &amp; ")", IF(AND(E16=20, INT(U16/20)&gt;INT(U15/20)), "TN Ø20 (Lần " &amp; INT(U16/20) &amp; ")", IF(AND(E16=22, INT(V16/20)&gt;INT(V15/20)), "TN Ø22 (Lần " &amp; INT(V16/20) &amp; ")", IF(AND(E16=25, INT(W16/20)&gt;INT(W15/20)), "TN Ø25 (Lần " &amp; INT(W16/20) &amp; ")", IF(AND(E16=28, INT(X16/20)&gt;INT(X15/20)), "TN Ø28 (Lần " &amp; INT(X16/20) &amp; ")", IF(AND(E16=32, INT(Y16/20)&gt;INT(Y15/20)), "TN Ø32 (Lần " &amp; INT(Y16/20) &amp; ")", IF(AND(F16="ASTM A416", INT(Z16/20)&gt;INT(Z15/20)), "TN Cáp 15.2 (Lần " &amp; INT(Z16/20) &amp; ")", "")))))))))))</f>
        <v/>
      </c>
      <c r="P16" s="20">
        <f>ROUND(P15 + IF(AND(E16&lt;=10, F16&lt;&gt;"ASTM A416"), L16, 0), 3)</f>
        <v/>
      </c>
      <c r="Q16" s="20">
        <f>ROUND(Q15 + IF(AND(E16=12, F16&lt;&gt;"ASTM A416"), L16, 0), 3)</f>
        <v/>
      </c>
      <c r="R16" s="20">
        <f>ROUND(R15 + IF(AND(E16=14, F16&lt;&gt;"ASTM A416"), L16, 0), 3)</f>
        <v/>
      </c>
      <c r="S16" s="20">
        <f>ROUND(S15 + IF(AND(E16=16, F16&lt;&gt;"ASTM A416"), L16, 0), 3)</f>
        <v/>
      </c>
      <c r="T16" s="20">
        <f>ROUND(T15 + IF(AND(E16=18, F16&lt;&gt;"ASTM A416"), L16, 0), 3)</f>
        <v/>
      </c>
      <c r="U16" s="20">
        <f>ROUND(U15 + IF(AND(E16=20, F16&lt;&gt;"ASTM A416"), L16, 0), 3)</f>
        <v/>
      </c>
      <c r="V16" s="20">
        <f>ROUND(V15 + IF(AND(E16=22, F16&lt;&gt;"ASTM A416"), L16, 0), 3)</f>
        <v/>
      </c>
      <c r="W16" s="20">
        <f>ROUND(W15 + IF(AND(E16=25, F16&lt;&gt;"ASTM A416"), L16, 0), 3)</f>
        <v/>
      </c>
      <c r="X16" s="20">
        <f>ROUND(X15 + IF(AND(E16=28, F16&lt;&gt;"ASTM A416"), L16, 0), 3)</f>
        <v/>
      </c>
      <c r="Y16" s="20">
        <f>ROUND(Y15 + IF(AND(E16=32, F16&lt;&gt;"ASTM A416"), L16, 0), 3)</f>
        <v/>
      </c>
      <c r="Z16" s="20">
        <f>ROUND(Z15 + IF(F16="ASTM A416", L16, 0), 3)</f>
        <v/>
      </c>
      <c r="AA16" s="11">
        <f>IF(INT(P16/20)&gt;INT(P15/20), "Lần " &amp; INT(P16/20), "")</f>
        <v/>
      </c>
      <c r="AB16" s="11">
        <f>IF(INT(Q16/20)&gt;INT(Q15/20), "Lần " &amp; INT(Q16/20), "")</f>
        <v/>
      </c>
      <c r="AC16" s="11">
        <f>IF(INT(R16/20)&gt;INT(R15/20), "Lần " &amp; INT(R16/20), "")</f>
        <v/>
      </c>
      <c r="AD16" s="11">
        <f>IF(INT(S16/20)&gt;INT(S15/20), "Lần " &amp; INT(S16/20), "")</f>
        <v/>
      </c>
      <c r="AE16" s="11">
        <f>IF(INT(T16/20)&gt;INT(T15/20), "Lần " &amp; INT(T16/20), "")</f>
        <v/>
      </c>
      <c r="AF16" s="11">
        <f>IF(INT(U16/20)&gt;INT(U15/20), "Lần " &amp; INT(U16/20), "")</f>
        <v/>
      </c>
      <c r="AG16" s="11">
        <f>IF(INT(V16/20)&gt;INT(V15/20), "Lần " &amp; INT(V16/20), "")</f>
        <v/>
      </c>
      <c r="AH16" s="11">
        <f>IF(INT(W16/20)&gt;INT(W15/20), "Lần " &amp; INT(W16/20), "")</f>
        <v/>
      </c>
      <c r="AI16" s="11">
        <f>IF(INT(X16/20)&gt;INT(X15/20), "Lần " &amp; INT(X16/20), "")</f>
        <v/>
      </c>
      <c r="AJ16" s="11">
        <f>IF(INT(Y16/20)&gt;INT(Y15/20), "Lần " &amp; INT(Y16/20), "")</f>
        <v/>
      </c>
      <c r="AK16" s="11">
        <f>IF(INT(Z16/20)&gt;INT(Z15/20), "Lần " &amp; INT(Z16/20), "")</f>
        <v/>
      </c>
      <c r="AL16" s="6" t="inlineStr">
        <is>
          <t>ĐẠT TCVN 1651:2018</t>
        </is>
      </c>
    </row>
    <row r="17" ht="19" customHeight="1">
      <c r="A17" s="6" t="n">
        <v>13</v>
      </c>
      <c r="B17" s="7" t="inlineStr">
        <is>
          <t>Cọc khoan nhồi C1 Mố M1 (D1.2m, L=20.0m)</t>
        </is>
      </c>
      <c r="C17" s="7" t="inlineStr">
        <is>
          <t>Thanh thép treo lồng cọc</t>
        </is>
      </c>
      <c r="D17" s="18" t="inlineStr">
        <is>
          <t>P11</t>
        </is>
      </c>
      <c r="E17" s="19" t="n">
        <v>16</v>
      </c>
      <c r="F17" s="6" t="inlineStr">
        <is>
          <t>CB400-V</t>
        </is>
      </c>
      <c r="G17" s="7" t="inlineStr">
        <is>
          <t>Thanh treo lồng (bảng phụ tr.64)</t>
        </is>
      </c>
      <c r="H17" s="20" t="n">
        <v>2.604</v>
      </c>
      <c r="I17" s="21" t="n">
        <v>4</v>
      </c>
      <c r="J17" s="22" t="n">
        <v>1.58</v>
      </c>
      <c r="K17" s="9">
        <f>ROUND(H17*I17*J17, 2)</f>
        <v/>
      </c>
      <c r="L17" s="23">
        <f>ROUND(K17/1000, 3)</f>
        <v/>
      </c>
      <c r="M17" s="8" t="n"/>
      <c r="N17" s="6" t="n"/>
      <c r="O17" s="24">
        <f>IF(AND(E17&lt;=10, F17&lt;&gt;"ASTM A416", INT(P17/20)&gt;INT(P16/20)), "TN Ø10 (Lần " &amp; INT(P17/20) &amp; ")", IF(AND(E17=12, INT(Q17/20)&gt;INT(Q16/20)), "TN Ø12 (Lần " &amp; INT(Q17/20) &amp; ")", IF(AND(E17=14, INT(R17/20)&gt;INT(R16/20)), "TN Ø14 (Lần " &amp; INT(R17/20) &amp; ")", IF(AND(E17=16, INT(S17/20)&gt;INT(S16/20)), "TN Ø16 (Lần " &amp; INT(S17/20) &amp; ")", IF(AND(E17=18, INT(T17/20)&gt;INT(T16/20)), "TN Ø18 (Lần " &amp; INT(T17/20) &amp; ")", IF(AND(E17=20, INT(U17/20)&gt;INT(U16/20)), "TN Ø20 (Lần " &amp; INT(U17/20) &amp; ")", IF(AND(E17=22, INT(V17/20)&gt;INT(V16/20)), "TN Ø22 (Lần " &amp; INT(V17/20) &amp; ")", IF(AND(E17=25, INT(W17/20)&gt;INT(W16/20)), "TN Ø25 (Lần " &amp; INT(W17/20) &amp; ")", IF(AND(E17=28, INT(X17/20)&gt;INT(X16/20)), "TN Ø28 (Lần " &amp; INT(X17/20) &amp; ")", IF(AND(E17=32, INT(Y17/20)&gt;INT(Y16/20)), "TN Ø32 (Lần " &amp; INT(Y17/20) &amp; ")", IF(AND(F17="ASTM A416", INT(Z17/20)&gt;INT(Z16/20)), "TN Cáp 15.2 (Lần " &amp; INT(Z17/20) &amp; ")", "")))))))))))</f>
        <v/>
      </c>
      <c r="P17" s="20">
        <f>ROUND(P16 + IF(AND(E17&lt;=10, F17&lt;&gt;"ASTM A416"), L17, 0), 3)</f>
        <v/>
      </c>
      <c r="Q17" s="20">
        <f>ROUND(Q16 + IF(AND(E17=12, F17&lt;&gt;"ASTM A416"), L17, 0), 3)</f>
        <v/>
      </c>
      <c r="R17" s="20">
        <f>ROUND(R16 + IF(AND(E17=14, F17&lt;&gt;"ASTM A416"), L17, 0), 3)</f>
        <v/>
      </c>
      <c r="S17" s="20">
        <f>ROUND(S16 + IF(AND(E17=16, F17&lt;&gt;"ASTM A416"), L17, 0), 3)</f>
        <v/>
      </c>
      <c r="T17" s="20">
        <f>ROUND(T16 + IF(AND(E17=18, F17&lt;&gt;"ASTM A416"), L17, 0), 3)</f>
        <v/>
      </c>
      <c r="U17" s="20">
        <f>ROUND(U16 + IF(AND(E17=20, F17&lt;&gt;"ASTM A416"), L17, 0), 3)</f>
        <v/>
      </c>
      <c r="V17" s="20">
        <f>ROUND(V16 + IF(AND(E17=22, F17&lt;&gt;"ASTM A416"), L17, 0), 3)</f>
        <v/>
      </c>
      <c r="W17" s="20">
        <f>ROUND(W16 + IF(AND(E17=25, F17&lt;&gt;"ASTM A416"), L17, 0), 3)</f>
        <v/>
      </c>
      <c r="X17" s="20">
        <f>ROUND(X16 + IF(AND(E17=28, F17&lt;&gt;"ASTM A416"), L17, 0), 3)</f>
        <v/>
      </c>
      <c r="Y17" s="20">
        <f>ROUND(Y16 + IF(AND(E17=32, F17&lt;&gt;"ASTM A416"), L17, 0), 3)</f>
        <v/>
      </c>
      <c r="Z17" s="20">
        <f>ROUND(Z16 + IF(F17="ASTM A416", L17, 0), 3)</f>
        <v/>
      </c>
      <c r="AA17" s="11">
        <f>IF(INT(P17/20)&gt;INT(P16/20), "Lần " &amp; INT(P17/20), "")</f>
        <v/>
      </c>
      <c r="AB17" s="11">
        <f>IF(INT(Q17/20)&gt;INT(Q16/20), "Lần " &amp; INT(Q17/20), "")</f>
        <v/>
      </c>
      <c r="AC17" s="11">
        <f>IF(INT(R17/20)&gt;INT(R16/20), "Lần " &amp; INT(R17/20), "")</f>
        <v/>
      </c>
      <c r="AD17" s="11">
        <f>IF(INT(S17/20)&gt;INT(S16/20), "Lần " &amp; INT(S17/20), "")</f>
        <v/>
      </c>
      <c r="AE17" s="11">
        <f>IF(INT(T17/20)&gt;INT(T16/20), "Lần " &amp; INT(T17/20), "")</f>
        <v/>
      </c>
      <c r="AF17" s="11">
        <f>IF(INT(U17/20)&gt;INT(U16/20), "Lần " &amp; INT(U17/20), "")</f>
        <v/>
      </c>
      <c r="AG17" s="11">
        <f>IF(INT(V17/20)&gt;INT(V16/20), "Lần " &amp; INT(V17/20), "")</f>
        <v/>
      </c>
      <c r="AH17" s="11">
        <f>IF(INT(W17/20)&gt;INT(W16/20), "Lần " &amp; INT(W17/20), "")</f>
        <v/>
      </c>
      <c r="AI17" s="11">
        <f>IF(INT(X17/20)&gt;INT(X16/20), "Lần " &amp; INT(X17/20), "")</f>
        <v/>
      </c>
      <c r="AJ17" s="11">
        <f>IF(INT(Y17/20)&gt;INT(Y16/20), "Lần " &amp; INT(Y17/20), "")</f>
        <v/>
      </c>
      <c r="AK17" s="11">
        <f>IF(INT(Z17/20)&gt;INT(Z16/20), "Lần " &amp; INT(Z17/20), "")</f>
        <v/>
      </c>
      <c r="AL17" s="6" t="inlineStr">
        <is>
          <t>ĐẠT TCVN 1651:2018</t>
        </is>
      </c>
    </row>
    <row r="18" ht="19" customHeight="1">
      <c r="A18" s="6" t="n">
        <v>14</v>
      </c>
      <c r="B18" s="7" t="inlineStr">
        <is>
          <t>Cọc khoan nhồi C1 Mố M1 (D1.2m, L=20.0m)</t>
        </is>
      </c>
      <c r="C18" s="7" t="inlineStr">
        <is>
          <t>Thép đai xoắn lồng cọc</t>
        </is>
      </c>
      <c r="D18" s="18" t="inlineStr">
        <is>
          <t>P12</t>
        </is>
      </c>
      <c r="E18" s="19" t="n">
        <v>20</v>
      </c>
      <c r="F18" s="6" t="inlineStr">
        <is>
          <t>CB400-V</t>
        </is>
      </c>
      <c r="G18" s="7" t="inlineStr">
        <is>
          <t>Đai xoắn tròn</t>
        </is>
      </c>
      <c r="H18" s="20" t="n">
        <v>0.583</v>
      </c>
      <c r="I18" s="21" t="n">
        <v>32</v>
      </c>
      <c r="J18" s="22" t="n">
        <v>2.47</v>
      </c>
      <c r="K18" s="9">
        <f>ROUND(H18*I18*J18, 2)</f>
        <v/>
      </c>
      <c r="L18" s="23">
        <f>ROUND(K18/1000, 3)</f>
        <v/>
      </c>
      <c r="M18" s="8" t="n"/>
      <c r="N18" s="6" t="n"/>
      <c r="O18" s="24">
        <f>IF(AND(E18&lt;=10, F18&lt;&gt;"ASTM A416", INT(P18/20)&gt;INT(P17/20)), "TN Ø10 (Lần " &amp; INT(P18/20) &amp; ")", IF(AND(E18=12, INT(Q18/20)&gt;INT(Q17/20)), "TN Ø12 (Lần " &amp; INT(Q18/20) &amp; ")", IF(AND(E18=14, INT(R18/20)&gt;INT(R17/20)), "TN Ø14 (Lần " &amp; INT(R18/20) &amp; ")", IF(AND(E18=16, INT(S18/20)&gt;INT(S17/20)), "TN Ø16 (Lần " &amp; INT(S18/20) &amp; ")", IF(AND(E18=18, INT(T18/20)&gt;INT(T17/20)), "TN Ø18 (Lần " &amp; INT(T18/20) &amp; ")", IF(AND(E18=20, INT(U18/20)&gt;INT(U17/20)), "TN Ø20 (Lần " &amp; INT(U18/20) &amp; ")", IF(AND(E18=22, INT(V18/20)&gt;INT(V17/20)), "TN Ø22 (Lần " &amp; INT(V18/20) &amp; ")", IF(AND(E18=25, INT(W18/20)&gt;INT(W17/20)), "TN Ø25 (Lần " &amp; INT(W18/20) &amp; ")", IF(AND(E18=28, INT(X18/20)&gt;INT(X17/20)), "TN Ø28 (Lần " &amp; INT(X18/20) &amp; ")", IF(AND(E18=32, INT(Y18/20)&gt;INT(Y17/20)), "TN Ø32 (Lần " &amp; INT(Y18/20) &amp; ")", IF(AND(F18="ASTM A416", INT(Z18/20)&gt;INT(Z17/20)), "TN Cáp 15.2 (Lần " &amp; INT(Z18/20) &amp; ")", "")))))))))))</f>
        <v/>
      </c>
      <c r="P18" s="20">
        <f>ROUND(P17 + IF(AND(E18&lt;=10, F18&lt;&gt;"ASTM A416"), L18, 0), 3)</f>
        <v/>
      </c>
      <c r="Q18" s="20">
        <f>ROUND(Q17 + IF(AND(E18=12, F18&lt;&gt;"ASTM A416"), L18, 0), 3)</f>
        <v/>
      </c>
      <c r="R18" s="20">
        <f>ROUND(R17 + IF(AND(E18=14, F18&lt;&gt;"ASTM A416"), L18, 0), 3)</f>
        <v/>
      </c>
      <c r="S18" s="20">
        <f>ROUND(S17 + IF(AND(E18=16, F18&lt;&gt;"ASTM A416"), L18, 0), 3)</f>
        <v/>
      </c>
      <c r="T18" s="20">
        <f>ROUND(T17 + IF(AND(E18=18, F18&lt;&gt;"ASTM A416"), L18, 0), 3)</f>
        <v/>
      </c>
      <c r="U18" s="20">
        <f>ROUND(U17 + IF(AND(E18=20, F18&lt;&gt;"ASTM A416"), L18, 0), 3)</f>
        <v/>
      </c>
      <c r="V18" s="20">
        <f>ROUND(V17 + IF(AND(E18=22, F18&lt;&gt;"ASTM A416"), L18, 0), 3)</f>
        <v/>
      </c>
      <c r="W18" s="20">
        <f>ROUND(W17 + IF(AND(E18=25, F18&lt;&gt;"ASTM A416"), L18, 0), 3)</f>
        <v/>
      </c>
      <c r="X18" s="20">
        <f>ROUND(X17 + IF(AND(E18=28, F18&lt;&gt;"ASTM A416"), L18, 0), 3)</f>
        <v/>
      </c>
      <c r="Y18" s="20">
        <f>ROUND(Y17 + IF(AND(E18=32, F18&lt;&gt;"ASTM A416"), L18, 0), 3)</f>
        <v/>
      </c>
      <c r="Z18" s="20">
        <f>ROUND(Z17 + IF(F18="ASTM A416", L18, 0), 3)</f>
        <v/>
      </c>
      <c r="AA18" s="11">
        <f>IF(INT(P18/20)&gt;INT(P17/20), "Lần " &amp; INT(P18/20), "")</f>
        <v/>
      </c>
      <c r="AB18" s="11">
        <f>IF(INT(Q18/20)&gt;INT(Q17/20), "Lần " &amp; INT(Q18/20), "")</f>
        <v/>
      </c>
      <c r="AC18" s="11">
        <f>IF(INT(R18/20)&gt;INT(R17/20), "Lần " &amp; INT(R18/20), "")</f>
        <v/>
      </c>
      <c r="AD18" s="11">
        <f>IF(INT(S18/20)&gt;INT(S17/20), "Lần " &amp; INT(S18/20), "")</f>
        <v/>
      </c>
      <c r="AE18" s="11">
        <f>IF(INT(T18/20)&gt;INT(T17/20), "Lần " &amp; INT(T18/20), "")</f>
        <v/>
      </c>
      <c r="AF18" s="11">
        <f>IF(INT(U18/20)&gt;INT(U17/20), "Lần " &amp; INT(U18/20), "")</f>
        <v/>
      </c>
      <c r="AG18" s="11">
        <f>IF(INT(V18/20)&gt;INT(V17/20), "Lần " &amp; INT(V18/20), "")</f>
        <v/>
      </c>
      <c r="AH18" s="11">
        <f>IF(INT(W18/20)&gt;INT(W17/20), "Lần " &amp; INT(W18/20), "")</f>
        <v/>
      </c>
      <c r="AI18" s="11">
        <f>IF(INT(X18/20)&gt;INT(X17/20), "Lần " &amp; INT(X18/20), "")</f>
        <v/>
      </c>
      <c r="AJ18" s="11">
        <f>IF(INT(Y18/20)&gt;INT(Y17/20), "Lần " &amp; INT(Y18/20), "")</f>
        <v/>
      </c>
      <c r="AK18" s="11">
        <f>IF(INT(Z18/20)&gt;INT(Z17/20), "Lần " &amp; INT(Z18/20), "")</f>
        <v/>
      </c>
      <c r="AL18" s="6" t="inlineStr">
        <is>
          <t>ĐẠT TCVN 1651:2018</t>
        </is>
      </c>
    </row>
    <row r="19" ht="20" customHeight="1">
      <c r="A19" s="17" t="inlineStr">
        <is>
          <t>--- CỌC KHOAN NHỒI C2 MỐ M1 (D1.2M, L=20.0M) ---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</row>
    <row r="20" ht="19" customHeight="1">
      <c r="A20" s="6" t="n">
        <v>15</v>
      </c>
      <c r="B20" s="7" t="inlineStr">
        <is>
          <t>Cọc khoan nhồi C2 Mố M1 (D1.2m, L=20.0m)</t>
        </is>
      </c>
      <c r="C20" s="7" t="inlineStr">
        <is>
          <t>Thép đai xoắn lồng cọc</t>
        </is>
      </c>
      <c r="D20" s="18" t="inlineStr">
        <is>
          <t>P1</t>
        </is>
      </c>
      <c r="E20" s="19" t="n">
        <v>10</v>
      </c>
      <c r="F20" s="6" t="inlineStr">
        <is>
          <t>CB240-T</t>
        </is>
      </c>
      <c r="G20" s="7" t="inlineStr">
        <is>
          <t>Đai xoắn tròn</t>
        </is>
      </c>
      <c r="H20" s="20" t="n">
        <v>96.604</v>
      </c>
      <c r="I20" s="21" t="n">
        <v>1</v>
      </c>
      <c r="J20" s="22" t="n">
        <v>0.617</v>
      </c>
      <c r="K20" s="9">
        <f>ROUND(H20*I20*J20, 2)</f>
        <v/>
      </c>
      <c r="L20" s="23">
        <f>ROUND(K20/1000, 3)</f>
        <v/>
      </c>
      <c r="M20" s="8" t="n"/>
      <c r="N20" s="6" t="n"/>
      <c r="O20" s="24">
        <f>IF(AND(E20&lt;=10, F20&lt;&gt;"ASTM A416", INT(P20/20)&gt;INT(P18/20)), "TN Ø10 (Lần " &amp; INT(P20/20) &amp; ")", IF(AND(E20=12, INT(Q20/20)&gt;INT(Q18/20)), "TN Ø12 (Lần " &amp; INT(Q20/20) &amp; ")", IF(AND(E20=14, INT(R20/20)&gt;INT(R18/20)), "TN Ø14 (Lần " &amp; INT(R20/20) &amp; ")", IF(AND(E20=16, INT(S20/20)&gt;INT(S18/20)), "TN Ø16 (Lần " &amp; INT(S20/20) &amp; ")", IF(AND(E20=18, INT(T20/20)&gt;INT(T18/20)), "TN Ø18 (Lần " &amp; INT(T20/20) &amp; ")", IF(AND(E20=20, INT(U20/20)&gt;INT(U18/20)), "TN Ø20 (Lần " &amp; INT(U20/20) &amp; ")", IF(AND(E20=22, INT(V20/20)&gt;INT(V18/20)), "TN Ø22 (Lần " &amp; INT(V20/20) &amp; ")", IF(AND(E20=25, INT(W20/20)&gt;INT(W18/20)), "TN Ø25 (Lần " &amp; INT(W20/20) &amp; ")", IF(AND(E20=28, INT(X20/20)&gt;INT(X18/20)), "TN Ø28 (Lần " &amp; INT(X20/20) &amp; ")", IF(AND(E20=32, INT(Y20/20)&gt;INT(Y18/20)), "TN Ø32 (Lần " &amp; INT(Y20/20) &amp; ")", IF(AND(F20="ASTM A416", INT(Z20/20)&gt;INT(Z18/20)), "TN Cáp 15.2 (Lần " &amp; INT(Z20/20) &amp; ")", "")))))))))))</f>
        <v/>
      </c>
      <c r="P20" s="20">
        <f>ROUND(P18 + IF(AND(E20&lt;=10, F20&lt;&gt;"ASTM A416"), L20, 0), 3)</f>
        <v/>
      </c>
      <c r="Q20" s="20">
        <f>ROUND(Q18 + IF(AND(E20=12, F20&lt;&gt;"ASTM A416"), L20, 0), 3)</f>
        <v/>
      </c>
      <c r="R20" s="20">
        <f>ROUND(R18 + IF(AND(E20=14, F20&lt;&gt;"ASTM A416"), L20, 0), 3)</f>
        <v/>
      </c>
      <c r="S20" s="20">
        <f>ROUND(S18 + IF(AND(E20=16, F20&lt;&gt;"ASTM A416"), L20, 0), 3)</f>
        <v/>
      </c>
      <c r="T20" s="20">
        <f>ROUND(T18 + IF(AND(E20=18, F20&lt;&gt;"ASTM A416"), L20, 0), 3)</f>
        <v/>
      </c>
      <c r="U20" s="20">
        <f>ROUND(U18 + IF(AND(E20=20, F20&lt;&gt;"ASTM A416"), L20, 0), 3)</f>
        <v/>
      </c>
      <c r="V20" s="20">
        <f>ROUND(V18 + IF(AND(E20=22, F20&lt;&gt;"ASTM A416"), L20, 0), 3)</f>
        <v/>
      </c>
      <c r="W20" s="20">
        <f>ROUND(W18 + IF(AND(E20=25, F20&lt;&gt;"ASTM A416"), L20, 0), 3)</f>
        <v/>
      </c>
      <c r="X20" s="20">
        <f>ROUND(X18 + IF(AND(E20=28, F20&lt;&gt;"ASTM A416"), L20, 0), 3)</f>
        <v/>
      </c>
      <c r="Y20" s="20">
        <f>ROUND(Y18 + IF(AND(E20=32, F20&lt;&gt;"ASTM A416"), L20, 0), 3)</f>
        <v/>
      </c>
      <c r="Z20" s="20">
        <f>ROUND(Z18 + IF(F20="ASTM A416", L20, 0), 3)</f>
        <v/>
      </c>
      <c r="AA20" s="11">
        <f>IF(INT(P20/20)&gt;INT(P18/20), "Lần " &amp; INT(P20/20), "")</f>
        <v/>
      </c>
      <c r="AB20" s="11">
        <f>IF(INT(Q20/20)&gt;INT(Q18/20), "Lần " &amp; INT(Q20/20), "")</f>
        <v/>
      </c>
      <c r="AC20" s="11">
        <f>IF(INT(R20/20)&gt;INT(R18/20), "Lần " &amp; INT(R20/20), "")</f>
        <v/>
      </c>
      <c r="AD20" s="11">
        <f>IF(INT(S20/20)&gt;INT(S18/20), "Lần " &amp; INT(S20/20), "")</f>
        <v/>
      </c>
      <c r="AE20" s="11">
        <f>IF(INT(T20/20)&gt;INT(T18/20), "Lần " &amp; INT(T20/20), "")</f>
        <v/>
      </c>
      <c r="AF20" s="11">
        <f>IF(INT(U20/20)&gt;INT(U18/20), "Lần " &amp; INT(U20/20), "")</f>
        <v/>
      </c>
      <c r="AG20" s="11">
        <f>IF(INT(V20/20)&gt;INT(V18/20), "Lần " &amp; INT(V20/20), "")</f>
        <v/>
      </c>
      <c r="AH20" s="11">
        <f>IF(INT(W20/20)&gt;INT(W18/20), "Lần " &amp; INT(W20/20), "")</f>
        <v/>
      </c>
      <c r="AI20" s="11">
        <f>IF(INT(X20/20)&gt;INT(X18/20), "Lần " &amp; INT(X20/20), "")</f>
        <v/>
      </c>
      <c r="AJ20" s="11">
        <f>IF(INT(Y20/20)&gt;INT(Y18/20), "Lần " &amp; INT(Y20/20), "")</f>
        <v/>
      </c>
      <c r="AK20" s="11">
        <f>IF(INT(Z20/20)&gt;INT(Z18/20), "Lần " &amp; INT(Z20/20), "")</f>
        <v/>
      </c>
      <c r="AL20" s="6" t="inlineStr">
        <is>
          <t>ĐẠT TCVN 1651:2018</t>
        </is>
      </c>
    </row>
    <row r="21" ht="19" customHeight="1">
      <c r="A21" s="6" t="n">
        <v>16</v>
      </c>
      <c r="B21" s="7" t="inlineStr">
        <is>
          <t>Cọc khoan nhồi C2 Mố M1 (D1.2m, L=20.0m)</t>
        </is>
      </c>
      <c r="C21" s="7" t="inlineStr">
        <is>
          <t>Thép đai xoắn lồng cọc</t>
        </is>
      </c>
      <c r="D21" s="18" t="inlineStr">
        <is>
          <t>P1A</t>
        </is>
      </c>
      <c r="E21" s="19" t="n">
        <v>10</v>
      </c>
      <c r="F21" s="6" t="inlineStr">
        <is>
          <t>CB240-T</t>
        </is>
      </c>
      <c r="G21" s="7" t="inlineStr">
        <is>
          <t>Đai xoắn tròn</t>
        </is>
      </c>
      <c r="H21" s="20" t="n">
        <v>373.535</v>
      </c>
      <c r="I21" s="21" t="n">
        <v>1</v>
      </c>
      <c r="J21" s="22" t="n">
        <v>0.617</v>
      </c>
      <c r="K21" s="9">
        <f>ROUND(H21*I21*J21, 2)</f>
        <v/>
      </c>
      <c r="L21" s="23">
        <f>ROUND(K21/1000, 3)</f>
        <v/>
      </c>
      <c r="M21" s="8" t="n"/>
      <c r="N21" s="6" t="n"/>
      <c r="O21" s="24">
        <f>IF(AND(E21&lt;=10, F21&lt;&gt;"ASTM A416", INT(P21/20)&gt;INT(P20/20)), "TN Ø10 (Lần " &amp; INT(P21/20) &amp; ")", IF(AND(E21=12, INT(Q21/20)&gt;INT(Q20/20)), "TN Ø12 (Lần " &amp; INT(Q21/20) &amp; ")", IF(AND(E21=14, INT(R21/20)&gt;INT(R20/20)), "TN Ø14 (Lần " &amp; INT(R21/20) &amp; ")", IF(AND(E21=16, INT(S21/20)&gt;INT(S20/20)), "TN Ø16 (Lần " &amp; INT(S21/20) &amp; ")", IF(AND(E21=18, INT(T21/20)&gt;INT(T20/20)), "TN Ø18 (Lần " &amp; INT(T21/20) &amp; ")", IF(AND(E21=20, INT(U21/20)&gt;INT(U20/20)), "TN Ø20 (Lần " &amp; INT(U21/20) &amp; ")", IF(AND(E21=22, INT(V21/20)&gt;INT(V20/20)), "TN Ø22 (Lần " &amp; INT(V21/20) &amp; ")", IF(AND(E21=25, INT(W21/20)&gt;INT(W20/20)), "TN Ø25 (Lần " &amp; INT(W21/20) &amp; ")", IF(AND(E21=28, INT(X21/20)&gt;INT(X20/20)), "TN Ø28 (Lần " &amp; INT(X21/20) &amp; ")", IF(AND(E21=32, INT(Y21/20)&gt;INT(Y20/20)), "TN Ø32 (Lần " &amp; INT(Y21/20) &amp; ")", IF(AND(F21="ASTM A416", INT(Z21/20)&gt;INT(Z20/20)), "TN Cáp 15.2 (Lần " &amp; INT(Z21/20) &amp; ")", "")))))))))))</f>
        <v/>
      </c>
      <c r="P21" s="20">
        <f>ROUND(P20 + IF(AND(E21&lt;=10, F21&lt;&gt;"ASTM A416"), L21, 0), 3)</f>
        <v/>
      </c>
      <c r="Q21" s="20">
        <f>ROUND(Q20 + IF(AND(E21=12, F21&lt;&gt;"ASTM A416"), L21, 0), 3)</f>
        <v/>
      </c>
      <c r="R21" s="20">
        <f>ROUND(R20 + IF(AND(E21=14, F21&lt;&gt;"ASTM A416"), L21, 0), 3)</f>
        <v/>
      </c>
      <c r="S21" s="20">
        <f>ROUND(S20 + IF(AND(E21=16, F21&lt;&gt;"ASTM A416"), L21, 0), 3)</f>
        <v/>
      </c>
      <c r="T21" s="20">
        <f>ROUND(T20 + IF(AND(E21=18, F21&lt;&gt;"ASTM A416"), L21, 0), 3)</f>
        <v/>
      </c>
      <c r="U21" s="20">
        <f>ROUND(U20 + IF(AND(E21=20, F21&lt;&gt;"ASTM A416"), L21, 0), 3)</f>
        <v/>
      </c>
      <c r="V21" s="20">
        <f>ROUND(V20 + IF(AND(E21=22, F21&lt;&gt;"ASTM A416"), L21, 0), 3)</f>
        <v/>
      </c>
      <c r="W21" s="20">
        <f>ROUND(W20 + IF(AND(E21=25, F21&lt;&gt;"ASTM A416"), L21, 0), 3)</f>
        <v/>
      </c>
      <c r="X21" s="20">
        <f>ROUND(X20 + IF(AND(E21=28, F21&lt;&gt;"ASTM A416"), L21, 0), 3)</f>
        <v/>
      </c>
      <c r="Y21" s="20">
        <f>ROUND(Y20 + IF(AND(E21=32, F21&lt;&gt;"ASTM A416"), L21, 0), 3)</f>
        <v/>
      </c>
      <c r="Z21" s="20">
        <f>ROUND(Z20 + IF(F21="ASTM A416", L21, 0), 3)</f>
        <v/>
      </c>
      <c r="AA21" s="11">
        <f>IF(INT(P21/20)&gt;INT(P20/20), "Lần " &amp; INT(P21/20), "")</f>
        <v/>
      </c>
      <c r="AB21" s="11">
        <f>IF(INT(Q21/20)&gt;INT(Q20/20), "Lần " &amp; INT(Q21/20), "")</f>
        <v/>
      </c>
      <c r="AC21" s="11">
        <f>IF(INT(R21/20)&gt;INT(R20/20), "Lần " &amp; INT(R21/20), "")</f>
        <v/>
      </c>
      <c r="AD21" s="11">
        <f>IF(INT(S21/20)&gt;INT(S20/20), "Lần " &amp; INT(S21/20), "")</f>
        <v/>
      </c>
      <c r="AE21" s="11">
        <f>IF(INT(T21/20)&gt;INT(T20/20), "Lần " &amp; INT(T21/20), "")</f>
        <v/>
      </c>
      <c r="AF21" s="11">
        <f>IF(INT(U21/20)&gt;INT(U20/20), "Lần " &amp; INT(U21/20), "")</f>
        <v/>
      </c>
      <c r="AG21" s="11">
        <f>IF(INT(V21/20)&gt;INT(V20/20), "Lần " &amp; INT(V21/20), "")</f>
        <v/>
      </c>
      <c r="AH21" s="11">
        <f>IF(INT(W21/20)&gt;INT(W20/20), "Lần " &amp; INT(W21/20), "")</f>
        <v/>
      </c>
      <c r="AI21" s="11">
        <f>IF(INT(X21/20)&gt;INT(X20/20), "Lần " &amp; INT(X21/20), "")</f>
        <v/>
      </c>
      <c r="AJ21" s="11">
        <f>IF(INT(Y21/20)&gt;INT(Y20/20), "Lần " &amp; INT(Y21/20), "")</f>
        <v/>
      </c>
      <c r="AK21" s="11">
        <f>IF(INT(Z21/20)&gt;INT(Z20/20), "Lần " &amp; INT(Z21/20), "")</f>
        <v/>
      </c>
      <c r="AL21" s="6" t="inlineStr">
        <is>
          <t>ĐẠT TCVN 1651:2018</t>
        </is>
      </c>
    </row>
    <row r="22" ht="19" customHeight="1">
      <c r="A22" s="6" t="n">
        <v>17</v>
      </c>
      <c r="B22" s="7" t="inlineStr">
        <is>
          <t>Cọc khoan nhồi C2 Mố M1 (D1.2m, L=20.0m)</t>
        </is>
      </c>
      <c r="C22" s="7" t="inlineStr">
        <is>
          <t>Thép đai xoắn lồng cọc</t>
        </is>
      </c>
      <c r="D22" s="18" t="inlineStr">
        <is>
          <t>P1C</t>
        </is>
      </c>
      <c r="E22" s="19" t="n">
        <v>10</v>
      </c>
      <c r="F22" s="6" t="inlineStr">
        <is>
          <t>CB240-T</t>
        </is>
      </c>
      <c r="G22" s="7" t="inlineStr">
        <is>
          <t>Đai xoắn tròn</t>
        </is>
      </c>
      <c r="H22" s="20" t="n">
        <v>3.592</v>
      </c>
      <c r="I22" s="21" t="n">
        <v>2</v>
      </c>
      <c r="J22" s="22" t="n">
        <v>0.617</v>
      </c>
      <c r="K22" s="9">
        <f>ROUND(H22*I22*J22, 2)</f>
        <v/>
      </c>
      <c r="L22" s="23">
        <f>ROUND(K22/1000, 3)</f>
        <v/>
      </c>
      <c r="M22" s="8" t="n"/>
      <c r="N22" s="6" t="n"/>
      <c r="O22" s="24">
        <f>IF(AND(E22&lt;=10, F22&lt;&gt;"ASTM A416", INT(P22/20)&gt;INT(P21/20)), "TN Ø10 (Lần " &amp; INT(P22/20) &amp; ")", IF(AND(E22=12, INT(Q22/20)&gt;INT(Q21/20)), "TN Ø12 (Lần " &amp; INT(Q22/20) &amp; ")", IF(AND(E22=14, INT(R22/20)&gt;INT(R21/20)), "TN Ø14 (Lần " &amp; INT(R22/20) &amp; ")", IF(AND(E22=16, INT(S22/20)&gt;INT(S21/20)), "TN Ø16 (Lần " &amp; INT(S22/20) &amp; ")", IF(AND(E22=18, INT(T22/20)&gt;INT(T21/20)), "TN Ø18 (Lần " &amp; INT(T22/20) &amp; ")", IF(AND(E22=20, INT(U22/20)&gt;INT(U21/20)), "TN Ø20 (Lần " &amp; INT(U22/20) &amp; ")", IF(AND(E22=22, INT(V22/20)&gt;INT(V21/20)), "TN Ø22 (Lần " &amp; INT(V22/20) &amp; ")", IF(AND(E22=25, INT(W22/20)&gt;INT(W21/20)), "TN Ø25 (Lần " &amp; INT(W22/20) &amp; ")", IF(AND(E22=28, INT(X22/20)&gt;INT(X21/20)), "TN Ø28 (Lần " &amp; INT(X22/20) &amp; ")", IF(AND(E22=32, INT(Y22/20)&gt;INT(Y21/20)), "TN Ø32 (Lần " &amp; INT(Y22/20) &amp; ")", IF(AND(F22="ASTM A416", INT(Z22/20)&gt;INT(Z21/20)), "TN Cáp 15.2 (Lần " &amp; INT(Z22/20) &amp; ")", "")))))))))))</f>
        <v/>
      </c>
      <c r="P22" s="20">
        <f>ROUND(P21 + IF(AND(E22&lt;=10, F22&lt;&gt;"ASTM A416"), L22, 0), 3)</f>
        <v/>
      </c>
      <c r="Q22" s="20">
        <f>ROUND(Q21 + IF(AND(E22=12, F22&lt;&gt;"ASTM A416"), L22, 0), 3)</f>
        <v/>
      </c>
      <c r="R22" s="20">
        <f>ROUND(R21 + IF(AND(E22=14, F22&lt;&gt;"ASTM A416"), L22, 0), 3)</f>
        <v/>
      </c>
      <c r="S22" s="20">
        <f>ROUND(S21 + IF(AND(E22=16, F22&lt;&gt;"ASTM A416"), L22, 0), 3)</f>
        <v/>
      </c>
      <c r="T22" s="20">
        <f>ROUND(T21 + IF(AND(E22=18, F22&lt;&gt;"ASTM A416"), L22, 0), 3)</f>
        <v/>
      </c>
      <c r="U22" s="20">
        <f>ROUND(U21 + IF(AND(E22=20, F22&lt;&gt;"ASTM A416"), L22, 0), 3)</f>
        <v/>
      </c>
      <c r="V22" s="20">
        <f>ROUND(V21 + IF(AND(E22=22, F22&lt;&gt;"ASTM A416"), L22, 0), 3)</f>
        <v/>
      </c>
      <c r="W22" s="20">
        <f>ROUND(W21 + IF(AND(E22=25, F22&lt;&gt;"ASTM A416"), L22, 0), 3)</f>
        <v/>
      </c>
      <c r="X22" s="20">
        <f>ROUND(X21 + IF(AND(E22=28, F22&lt;&gt;"ASTM A416"), L22, 0), 3)</f>
        <v/>
      </c>
      <c r="Y22" s="20">
        <f>ROUND(Y21 + IF(AND(E22=32, F22&lt;&gt;"ASTM A416"), L22, 0), 3)</f>
        <v/>
      </c>
      <c r="Z22" s="20">
        <f>ROUND(Z21 + IF(F22="ASTM A416", L22, 0), 3)</f>
        <v/>
      </c>
      <c r="AA22" s="11">
        <f>IF(INT(P22/20)&gt;INT(P21/20), "Lần " &amp; INT(P22/20), "")</f>
        <v/>
      </c>
      <c r="AB22" s="11">
        <f>IF(INT(Q22/20)&gt;INT(Q21/20), "Lần " &amp; INT(Q22/20), "")</f>
        <v/>
      </c>
      <c r="AC22" s="11">
        <f>IF(INT(R22/20)&gt;INT(R21/20), "Lần " &amp; INT(R22/20), "")</f>
        <v/>
      </c>
      <c r="AD22" s="11">
        <f>IF(INT(S22/20)&gt;INT(S21/20), "Lần " &amp; INT(S22/20), "")</f>
        <v/>
      </c>
      <c r="AE22" s="11">
        <f>IF(INT(T22/20)&gt;INT(T21/20), "Lần " &amp; INT(T22/20), "")</f>
        <v/>
      </c>
      <c r="AF22" s="11">
        <f>IF(INT(U22/20)&gt;INT(U21/20), "Lần " &amp; INT(U22/20), "")</f>
        <v/>
      </c>
      <c r="AG22" s="11">
        <f>IF(INT(V22/20)&gt;INT(V21/20), "Lần " &amp; INT(V22/20), "")</f>
        <v/>
      </c>
      <c r="AH22" s="11">
        <f>IF(INT(W22/20)&gt;INT(W21/20), "Lần " &amp; INT(W22/20), "")</f>
        <v/>
      </c>
      <c r="AI22" s="11">
        <f>IF(INT(X22/20)&gt;INT(X21/20), "Lần " &amp; INT(X22/20), "")</f>
        <v/>
      </c>
      <c r="AJ22" s="11">
        <f>IF(INT(Y22/20)&gt;INT(Y21/20), "Lần " &amp; INT(Y22/20), "")</f>
        <v/>
      </c>
      <c r="AK22" s="11">
        <f>IF(INT(Z22/20)&gt;INT(Z21/20), "Lần " &amp; INT(Z22/20), "")</f>
        <v/>
      </c>
      <c r="AL22" s="6" t="inlineStr">
        <is>
          <t>ĐẠT TCVN 1651:2018</t>
        </is>
      </c>
    </row>
    <row r="23" ht="19" customHeight="1">
      <c r="A23" s="6" t="n">
        <v>18</v>
      </c>
      <c r="B23" s="7" t="inlineStr">
        <is>
          <t>Cọc khoan nhồi C2 Mố M1 (D1.2m, L=20.0m)</t>
        </is>
      </c>
      <c r="C23" s="7" t="inlineStr">
        <is>
          <t>Thép đai xoắn lồng cọc</t>
        </is>
      </c>
      <c r="D23" s="18" t="inlineStr">
        <is>
          <t>P1D</t>
        </is>
      </c>
      <c r="E23" s="19" t="n">
        <v>10</v>
      </c>
      <c r="F23" s="6" t="inlineStr">
        <is>
          <t>CB240-T</t>
        </is>
      </c>
      <c r="G23" s="7" t="inlineStr">
        <is>
          <t>Đai xoắn tròn</t>
        </is>
      </c>
      <c r="H23" s="20" t="n">
        <v>19.721</v>
      </c>
      <c r="I23" s="21" t="n">
        <v>1</v>
      </c>
      <c r="J23" s="22" t="n">
        <v>0.617</v>
      </c>
      <c r="K23" s="9">
        <f>ROUND(H23*I23*J23, 2)</f>
        <v/>
      </c>
      <c r="L23" s="23">
        <f>ROUND(K23/1000, 3)</f>
        <v/>
      </c>
      <c r="M23" s="8" t="n"/>
      <c r="N23" s="6" t="n"/>
      <c r="O23" s="24">
        <f>IF(AND(E23&lt;=10, F23&lt;&gt;"ASTM A416", INT(P23/20)&gt;INT(P22/20)), "TN Ø10 (Lần " &amp; INT(P23/20) &amp; ")", IF(AND(E23=12, INT(Q23/20)&gt;INT(Q22/20)), "TN Ø12 (Lần " &amp; INT(Q23/20) &amp; ")", IF(AND(E23=14, INT(R23/20)&gt;INT(R22/20)), "TN Ø14 (Lần " &amp; INT(R23/20) &amp; ")", IF(AND(E23=16, INT(S23/20)&gt;INT(S22/20)), "TN Ø16 (Lần " &amp; INT(S23/20) &amp; ")", IF(AND(E23=18, INT(T23/20)&gt;INT(T22/20)), "TN Ø18 (Lần " &amp; INT(T23/20) &amp; ")", IF(AND(E23=20, INT(U23/20)&gt;INT(U22/20)), "TN Ø20 (Lần " &amp; INT(U23/20) &amp; ")", IF(AND(E23=22, INT(V23/20)&gt;INT(V22/20)), "TN Ø22 (Lần " &amp; INT(V23/20) &amp; ")", IF(AND(E23=25, INT(W23/20)&gt;INT(W22/20)), "TN Ø25 (Lần " &amp; INT(W23/20) &amp; ")", IF(AND(E23=28, INT(X23/20)&gt;INT(X22/20)), "TN Ø28 (Lần " &amp; INT(X23/20) &amp; ")", IF(AND(E23=32, INT(Y23/20)&gt;INT(Y22/20)), "TN Ø32 (Lần " &amp; INT(Y23/20) &amp; ")", IF(AND(F23="ASTM A416", INT(Z23/20)&gt;INT(Z22/20)), "TN Cáp 15.2 (Lần " &amp; INT(Z23/20) &amp; ")", "")))))))))))</f>
        <v/>
      </c>
      <c r="P23" s="20">
        <f>ROUND(P22 + IF(AND(E23&lt;=10, F23&lt;&gt;"ASTM A416"), L23, 0), 3)</f>
        <v/>
      </c>
      <c r="Q23" s="20">
        <f>ROUND(Q22 + IF(AND(E23=12, F23&lt;&gt;"ASTM A416"), L23, 0), 3)</f>
        <v/>
      </c>
      <c r="R23" s="20">
        <f>ROUND(R22 + IF(AND(E23=14, F23&lt;&gt;"ASTM A416"), L23, 0), 3)</f>
        <v/>
      </c>
      <c r="S23" s="20">
        <f>ROUND(S22 + IF(AND(E23=16, F23&lt;&gt;"ASTM A416"), L23, 0), 3)</f>
        <v/>
      </c>
      <c r="T23" s="20">
        <f>ROUND(T22 + IF(AND(E23=18, F23&lt;&gt;"ASTM A416"), L23, 0), 3)</f>
        <v/>
      </c>
      <c r="U23" s="20">
        <f>ROUND(U22 + IF(AND(E23=20, F23&lt;&gt;"ASTM A416"), L23, 0), 3)</f>
        <v/>
      </c>
      <c r="V23" s="20">
        <f>ROUND(V22 + IF(AND(E23=22, F23&lt;&gt;"ASTM A416"), L23, 0), 3)</f>
        <v/>
      </c>
      <c r="W23" s="20">
        <f>ROUND(W22 + IF(AND(E23=25, F23&lt;&gt;"ASTM A416"), L23, 0), 3)</f>
        <v/>
      </c>
      <c r="X23" s="20">
        <f>ROUND(X22 + IF(AND(E23=28, F23&lt;&gt;"ASTM A416"), L23, 0), 3)</f>
        <v/>
      </c>
      <c r="Y23" s="20">
        <f>ROUND(Y22 + IF(AND(E23=32, F23&lt;&gt;"ASTM A416"), L23, 0), 3)</f>
        <v/>
      </c>
      <c r="Z23" s="20">
        <f>ROUND(Z22 + IF(F23="ASTM A416", L23, 0), 3)</f>
        <v/>
      </c>
      <c r="AA23" s="11">
        <f>IF(INT(P23/20)&gt;INT(P22/20), "Lần " &amp; INT(P23/20), "")</f>
        <v/>
      </c>
      <c r="AB23" s="11">
        <f>IF(INT(Q23/20)&gt;INT(Q22/20), "Lần " &amp; INT(Q23/20), "")</f>
        <v/>
      </c>
      <c r="AC23" s="11">
        <f>IF(INT(R23/20)&gt;INT(R22/20), "Lần " &amp; INT(R23/20), "")</f>
        <v/>
      </c>
      <c r="AD23" s="11">
        <f>IF(INT(S23/20)&gt;INT(S22/20), "Lần " &amp; INT(S23/20), "")</f>
        <v/>
      </c>
      <c r="AE23" s="11">
        <f>IF(INT(T23/20)&gt;INT(T22/20), "Lần " &amp; INT(T23/20), "")</f>
        <v/>
      </c>
      <c r="AF23" s="11">
        <f>IF(INT(U23/20)&gt;INT(U22/20), "Lần " &amp; INT(U23/20), "")</f>
        <v/>
      </c>
      <c r="AG23" s="11">
        <f>IF(INT(V23/20)&gt;INT(V22/20), "Lần " &amp; INT(V23/20), "")</f>
        <v/>
      </c>
      <c r="AH23" s="11">
        <f>IF(INT(W23/20)&gt;INT(W22/20), "Lần " &amp; INT(W23/20), "")</f>
        <v/>
      </c>
      <c r="AI23" s="11">
        <f>IF(INT(X23/20)&gt;INT(X22/20), "Lần " &amp; INT(X23/20), "")</f>
        <v/>
      </c>
      <c r="AJ23" s="11">
        <f>IF(INT(Y23/20)&gt;INT(Y22/20), "Lần " &amp; INT(Y23/20), "")</f>
        <v/>
      </c>
      <c r="AK23" s="11">
        <f>IF(INT(Z23/20)&gt;INT(Z22/20), "Lần " &amp; INT(Z23/20), "")</f>
        <v/>
      </c>
      <c r="AL23" s="6" t="inlineStr">
        <is>
          <t>ĐẠT TCVN 1651:2018</t>
        </is>
      </c>
    </row>
    <row r="24" ht="19" customHeight="1">
      <c r="A24" s="6" t="n">
        <v>19</v>
      </c>
      <c r="B24" s="7" t="inlineStr">
        <is>
          <t>Cọc khoan nhồi C2 Mố M1 (D1.2m, L=20.0m)</t>
        </is>
      </c>
      <c r="C24" s="7" t="inlineStr">
        <is>
          <t>Cốt thép chủ chịu lực cọc</t>
        </is>
      </c>
      <c r="D24" s="18" t="inlineStr">
        <is>
          <t>P2B</t>
        </is>
      </c>
      <c r="E24" s="19" t="n">
        <v>25</v>
      </c>
      <c r="F24" s="6" t="inlineStr">
        <is>
          <t>CB400-V</t>
        </is>
      </c>
      <c r="G24" s="7" t="inlineStr">
        <is>
          <t>Thanh thẳng nối ren/hàn</t>
        </is>
      </c>
      <c r="H24" s="20" t="n">
        <v>2.985</v>
      </c>
      <c r="I24" s="21" t="n">
        <v>8</v>
      </c>
      <c r="J24" s="22" t="n">
        <v>3.85</v>
      </c>
      <c r="K24" s="9">
        <f>ROUND(H24*I24*J24, 2)</f>
        <v/>
      </c>
      <c r="L24" s="23">
        <f>ROUND(K24/1000, 3)</f>
        <v/>
      </c>
      <c r="M24" s="8" t="n"/>
      <c r="N24" s="6" t="n"/>
      <c r="O24" s="24">
        <f>IF(AND(E24&lt;=10, F24&lt;&gt;"ASTM A416", INT(P24/20)&gt;INT(P23/20)), "TN Ø10 (Lần " &amp; INT(P24/20) &amp; ")", IF(AND(E24=12, INT(Q24/20)&gt;INT(Q23/20)), "TN Ø12 (Lần " &amp; INT(Q24/20) &amp; ")", IF(AND(E24=14, INT(R24/20)&gt;INT(R23/20)), "TN Ø14 (Lần " &amp; INT(R24/20) &amp; ")", IF(AND(E24=16, INT(S24/20)&gt;INT(S23/20)), "TN Ø16 (Lần " &amp; INT(S24/20) &amp; ")", IF(AND(E24=18, INT(T24/20)&gt;INT(T23/20)), "TN Ø18 (Lần " &amp; INT(T24/20) &amp; ")", IF(AND(E24=20, INT(U24/20)&gt;INT(U23/20)), "TN Ø20 (Lần " &amp; INT(U24/20) &amp; ")", IF(AND(E24=22, INT(V24/20)&gt;INT(V23/20)), "TN Ø22 (Lần " &amp; INT(V24/20) &amp; ")", IF(AND(E24=25, INT(W24/20)&gt;INT(W23/20)), "TN Ø25 (Lần " &amp; INT(W24/20) &amp; ")", IF(AND(E24=28, INT(X24/20)&gt;INT(X23/20)), "TN Ø28 (Lần " &amp; INT(X24/20) &amp; ")", IF(AND(E24=32, INT(Y24/20)&gt;INT(Y23/20)), "TN Ø32 (Lần " &amp; INT(Y24/20) &amp; ")", IF(AND(F24="ASTM A416", INT(Z24/20)&gt;INT(Z23/20)), "TN Cáp 15.2 (Lần " &amp; INT(Z24/20) &amp; ")", "")))))))))))</f>
        <v/>
      </c>
      <c r="P24" s="20">
        <f>ROUND(P23 + IF(AND(E24&lt;=10, F24&lt;&gt;"ASTM A416"), L24, 0), 3)</f>
        <v/>
      </c>
      <c r="Q24" s="20">
        <f>ROUND(Q23 + IF(AND(E24=12, F24&lt;&gt;"ASTM A416"), L24, 0), 3)</f>
        <v/>
      </c>
      <c r="R24" s="20">
        <f>ROUND(R23 + IF(AND(E24=14, F24&lt;&gt;"ASTM A416"), L24, 0), 3)</f>
        <v/>
      </c>
      <c r="S24" s="20">
        <f>ROUND(S23 + IF(AND(E24=16, F24&lt;&gt;"ASTM A416"), L24, 0), 3)</f>
        <v/>
      </c>
      <c r="T24" s="20">
        <f>ROUND(T23 + IF(AND(E24=18, F24&lt;&gt;"ASTM A416"), L24, 0), 3)</f>
        <v/>
      </c>
      <c r="U24" s="20">
        <f>ROUND(U23 + IF(AND(E24=20, F24&lt;&gt;"ASTM A416"), L24, 0), 3)</f>
        <v/>
      </c>
      <c r="V24" s="20">
        <f>ROUND(V23 + IF(AND(E24=22, F24&lt;&gt;"ASTM A416"), L24, 0), 3)</f>
        <v/>
      </c>
      <c r="W24" s="20">
        <f>ROUND(W23 + IF(AND(E24=25, F24&lt;&gt;"ASTM A416"), L24, 0), 3)</f>
        <v/>
      </c>
      <c r="X24" s="20">
        <f>ROUND(X23 + IF(AND(E24=28, F24&lt;&gt;"ASTM A416"), L24, 0), 3)</f>
        <v/>
      </c>
      <c r="Y24" s="20">
        <f>ROUND(Y23 + IF(AND(E24=32, F24&lt;&gt;"ASTM A416"), L24, 0), 3)</f>
        <v/>
      </c>
      <c r="Z24" s="20">
        <f>ROUND(Z23 + IF(F24="ASTM A416", L24, 0), 3)</f>
        <v/>
      </c>
      <c r="AA24" s="11">
        <f>IF(INT(P24/20)&gt;INT(P23/20), "Lần " &amp; INT(P24/20), "")</f>
        <v/>
      </c>
      <c r="AB24" s="11">
        <f>IF(INT(Q24/20)&gt;INT(Q23/20), "Lần " &amp; INT(Q24/20), "")</f>
        <v/>
      </c>
      <c r="AC24" s="11">
        <f>IF(INT(R24/20)&gt;INT(R23/20), "Lần " &amp; INT(R24/20), "")</f>
        <v/>
      </c>
      <c r="AD24" s="11">
        <f>IF(INT(S24/20)&gt;INT(S23/20), "Lần " &amp; INT(S24/20), "")</f>
        <v/>
      </c>
      <c r="AE24" s="11">
        <f>IF(INT(T24/20)&gt;INT(T23/20), "Lần " &amp; INT(T24/20), "")</f>
        <v/>
      </c>
      <c r="AF24" s="11">
        <f>IF(INT(U24/20)&gt;INT(U23/20), "Lần " &amp; INT(U24/20), "")</f>
        <v/>
      </c>
      <c r="AG24" s="11">
        <f>IF(INT(V24/20)&gt;INT(V23/20), "Lần " &amp; INT(V24/20), "")</f>
        <v/>
      </c>
      <c r="AH24" s="11">
        <f>IF(INT(W24/20)&gt;INT(W23/20), "Lần " &amp; INT(W24/20), "")</f>
        <v/>
      </c>
      <c r="AI24" s="11">
        <f>IF(INT(X24/20)&gt;INT(X23/20), "Lần " &amp; INT(X24/20), "")</f>
        <v/>
      </c>
      <c r="AJ24" s="11">
        <f>IF(INT(Y24/20)&gt;INT(Y23/20), "Lần " &amp; INT(Y24/20), "")</f>
        <v/>
      </c>
      <c r="AK24" s="11">
        <f>IF(INT(Z24/20)&gt;INT(Z23/20), "Lần " &amp; INT(Z24/20), "")</f>
        <v/>
      </c>
      <c r="AL24" s="6" t="inlineStr">
        <is>
          <t>ĐẠT TCVN 1651:2018</t>
        </is>
      </c>
    </row>
    <row r="25" ht="19" customHeight="1">
      <c r="A25" s="6" t="n">
        <v>20</v>
      </c>
      <c r="B25" s="7" t="inlineStr">
        <is>
          <t>Cọc khoan nhồi C2 Mố M1 (D1.2m, L=20.0m)</t>
        </is>
      </c>
      <c r="C25" s="7" t="inlineStr">
        <is>
          <t>Cốt thép chủ chịu lực cọc</t>
        </is>
      </c>
      <c r="D25" s="18" t="inlineStr">
        <is>
          <t>P3</t>
        </is>
      </c>
      <c r="E25" s="19" t="n">
        <v>25</v>
      </c>
      <c r="F25" s="6" t="inlineStr">
        <is>
          <t>CB400-V</t>
        </is>
      </c>
      <c r="G25" s="7" t="inlineStr">
        <is>
          <t>Thanh thẳng nối ren/hàn</t>
        </is>
      </c>
      <c r="H25" s="20" t="n">
        <v>10.7</v>
      </c>
      <c r="I25" s="21" t="n">
        <v>12</v>
      </c>
      <c r="J25" s="22" t="n">
        <v>3.85</v>
      </c>
      <c r="K25" s="9">
        <f>ROUND(H25*I25*J25, 2)</f>
        <v/>
      </c>
      <c r="L25" s="23">
        <f>ROUND(K25/1000, 3)</f>
        <v/>
      </c>
      <c r="M25" s="8" t="n"/>
      <c r="N25" s="6" t="n"/>
      <c r="O25" s="24">
        <f>IF(AND(E25&lt;=10, F25&lt;&gt;"ASTM A416", INT(P25/20)&gt;INT(P24/20)), "TN Ø10 (Lần " &amp; INT(P25/20) &amp; ")", IF(AND(E25=12, INT(Q25/20)&gt;INT(Q24/20)), "TN Ø12 (Lần " &amp; INT(Q25/20) &amp; ")", IF(AND(E25=14, INT(R25/20)&gt;INT(R24/20)), "TN Ø14 (Lần " &amp; INT(R25/20) &amp; ")", IF(AND(E25=16, INT(S25/20)&gt;INT(S24/20)), "TN Ø16 (Lần " &amp; INT(S25/20) &amp; ")", IF(AND(E25=18, INT(T25/20)&gt;INT(T24/20)), "TN Ø18 (Lần " &amp; INT(T25/20) &amp; ")", IF(AND(E25=20, INT(U25/20)&gt;INT(U24/20)), "TN Ø20 (Lần " &amp; INT(U25/20) &amp; ")", IF(AND(E25=22, INT(V25/20)&gt;INT(V24/20)), "TN Ø22 (Lần " &amp; INT(V25/20) &amp; ")", IF(AND(E25=25, INT(W25/20)&gt;INT(W24/20)), "TN Ø25 (Lần " &amp; INT(W25/20) &amp; ")", IF(AND(E25=28, INT(X25/20)&gt;INT(X24/20)), "TN Ø28 (Lần " &amp; INT(X25/20) &amp; ")", IF(AND(E25=32, INT(Y25/20)&gt;INT(Y24/20)), "TN Ø32 (Lần " &amp; INT(Y25/20) &amp; ")", IF(AND(F25="ASTM A416", INT(Z25/20)&gt;INT(Z24/20)), "TN Cáp 15.2 (Lần " &amp; INT(Z25/20) &amp; ")", "")))))))))))</f>
        <v/>
      </c>
      <c r="P25" s="20">
        <f>ROUND(P24 + IF(AND(E25&lt;=10, F25&lt;&gt;"ASTM A416"), L25, 0), 3)</f>
        <v/>
      </c>
      <c r="Q25" s="20">
        <f>ROUND(Q24 + IF(AND(E25=12, F25&lt;&gt;"ASTM A416"), L25, 0), 3)</f>
        <v/>
      </c>
      <c r="R25" s="20">
        <f>ROUND(R24 + IF(AND(E25=14, F25&lt;&gt;"ASTM A416"), L25, 0), 3)</f>
        <v/>
      </c>
      <c r="S25" s="20">
        <f>ROUND(S24 + IF(AND(E25=16, F25&lt;&gt;"ASTM A416"), L25, 0), 3)</f>
        <v/>
      </c>
      <c r="T25" s="20">
        <f>ROUND(T24 + IF(AND(E25=18, F25&lt;&gt;"ASTM A416"), L25, 0), 3)</f>
        <v/>
      </c>
      <c r="U25" s="20">
        <f>ROUND(U24 + IF(AND(E25=20, F25&lt;&gt;"ASTM A416"), L25, 0), 3)</f>
        <v/>
      </c>
      <c r="V25" s="20">
        <f>ROUND(V24 + IF(AND(E25=22, F25&lt;&gt;"ASTM A416"), L25, 0), 3)</f>
        <v/>
      </c>
      <c r="W25" s="20">
        <f>ROUND(W24 + IF(AND(E25=25, F25&lt;&gt;"ASTM A416"), L25, 0), 3)</f>
        <v/>
      </c>
      <c r="X25" s="20">
        <f>ROUND(X24 + IF(AND(E25=28, F25&lt;&gt;"ASTM A416"), L25, 0), 3)</f>
        <v/>
      </c>
      <c r="Y25" s="20">
        <f>ROUND(Y24 + IF(AND(E25=32, F25&lt;&gt;"ASTM A416"), L25, 0), 3)</f>
        <v/>
      </c>
      <c r="Z25" s="20">
        <f>ROUND(Z24 + IF(F25="ASTM A416", L25, 0), 3)</f>
        <v/>
      </c>
      <c r="AA25" s="11">
        <f>IF(INT(P25/20)&gt;INT(P24/20), "Lần " &amp; INT(P25/20), "")</f>
        <v/>
      </c>
      <c r="AB25" s="11">
        <f>IF(INT(Q25/20)&gt;INT(Q24/20), "Lần " &amp; INT(Q25/20), "")</f>
        <v/>
      </c>
      <c r="AC25" s="11">
        <f>IF(INT(R25/20)&gt;INT(R24/20), "Lần " &amp; INT(R25/20), "")</f>
        <v/>
      </c>
      <c r="AD25" s="11">
        <f>IF(INT(S25/20)&gt;INT(S24/20), "Lần " &amp; INT(S25/20), "")</f>
        <v/>
      </c>
      <c r="AE25" s="11">
        <f>IF(INT(T25/20)&gt;INT(T24/20), "Lần " &amp; INT(T25/20), "")</f>
        <v/>
      </c>
      <c r="AF25" s="11">
        <f>IF(INT(U25/20)&gt;INT(U24/20), "Lần " &amp; INT(U25/20), "")</f>
        <v/>
      </c>
      <c r="AG25" s="11">
        <f>IF(INT(V25/20)&gt;INT(V24/20), "Lần " &amp; INT(V25/20), "")</f>
        <v/>
      </c>
      <c r="AH25" s="11">
        <f>IF(INT(W25/20)&gt;INT(W24/20), "Lần " &amp; INT(W25/20), "")</f>
        <v/>
      </c>
      <c r="AI25" s="11">
        <f>IF(INT(X25/20)&gt;INT(X24/20), "Lần " &amp; INT(X25/20), "")</f>
        <v/>
      </c>
      <c r="AJ25" s="11">
        <f>IF(INT(Y25/20)&gt;INT(Y24/20), "Lần " &amp; INT(Y25/20), "")</f>
        <v/>
      </c>
      <c r="AK25" s="11">
        <f>IF(INT(Z25/20)&gt;INT(Z24/20), "Lần " &amp; INT(Z25/20), "")</f>
        <v/>
      </c>
      <c r="AL25" s="6" t="inlineStr">
        <is>
          <t>ĐẠT TCVN 1651:2018</t>
        </is>
      </c>
    </row>
    <row r="26" ht="19" customHeight="1">
      <c r="A26" s="6" t="n">
        <v>21</v>
      </c>
      <c r="B26" s="7" t="inlineStr">
        <is>
          <t>Cọc khoan nhồi C2 Mố M1 (D1.2m, L=20.0m)</t>
        </is>
      </c>
      <c r="C26" s="7" t="inlineStr">
        <is>
          <t>Cốt thép chủ chịu lực cọc</t>
        </is>
      </c>
      <c r="D26" s="18" t="inlineStr">
        <is>
          <t>P4</t>
        </is>
      </c>
      <c r="E26" s="19" t="n">
        <v>25</v>
      </c>
      <c r="F26" s="6" t="inlineStr">
        <is>
          <t>CB400-V</t>
        </is>
      </c>
      <c r="G26" s="7" t="inlineStr">
        <is>
          <t>Thanh thẳng nối ren/hàn</t>
        </is>
      </c>
      <c r="H26" s="20" t="n">
        <v>11.7</v>
      </c>
      <c r="I26" s="21" t="n">
        <v>12</v>
      </c>
      <c r="J26" s="22" t="n">
        <v>3.85</v>
      </c>
      <c r="K26" s="9">
        <f>ROUND(H26*I26*J26, 2)</f>
        <v/>
      </c>
      <c r="L26" s="23">
        <f>ROUND(K26/1000, 3)</f>
        <v/>
      </c>
      <c r="M26" s="8" t="n"/>
      <c r="N26" s="6" t="n"/>
      <c r="O26" s="24">
        <f>IF(AND(E26&lt;=10, F26&lt;&gt;"ASTM A416", INT(P26/20)&gt;INT(P25/20)), "TN Ø10 (Lần " &amp; INT(P26/20) &amp; ")", IF(AND(E26=12, INT(Q26/20)&gt;INT(Q25/20)), "TN Ø12 (Lần " &amp; INT(Q26/20) &amp; ")", IF(AND(E26=14, INT(R26/20)&gt;INT(R25/20)), "TN Ø14 (Lần " &amp; INT(R26/20) &amp; ")", IF(AND(E26=16, INT(S26/20)&gt;INT(S25/20)), "TN Ø16 (Lần " &amp; INT(S26/20) &amp; ")", IF(AND(E26=18, INT(T26/20)&gt;INT(T25/20)), "TN Ø18 (Lần " &amp; INT(T26/20) &amp; ")", IF(AND(E26=20, INT(U26/20)&gt;INT(U25/20)), "TN Ø20 (Lần " &amp; INT(U26/20) &amp; ")", IF(AND(E26=22, INT(V26/20)&gt;INT(V25/20)), "TN Ø22 (Lần " &amp; INT(V26/20) &amp; ")", IF(AND(E26=25, INT(W26/20)&gt;INT(W25/20)), "TN Ø25 (Lần " &amp; INT(W26/20) &amp; ")", IF(AND(E26=28, INT(X26/20)&gt;INT(X25/20)), "TN Ø28 (Lần " &amp; INT(X26/20) &amp; ")", IF(AND(E26=32, INT(Y26/20)&gt;INT(Y25/20)), "TN Ø32 (Lần " &amp; INT(Y26/20) &amp; ")", IF(AND(F26="ASTM A416", INT(Z26/20)&gt;INT(Z25/20)), "TN Cáp 15.2 (Lần " &amp; INT(Z26/20) &amp; ")", "")))))))))))</f>
        <v/>
      </c>
      <c r="P26" s="20">
        <f>ROUND(P25 + IF(AND(E26&lt;=10, F26&lt;&gt;"ASTM A416"), L26, 0), 3)</f>
        <v/>
      </c>
      <c r="Q26" s="20">
        <f>ROUND(Q25 + IF(AND(E26=12, F26&lt;&gt;"ASTM A416"), L26, 0), 3)</f>
        <v/>
      </c>
      <c r="R26" s="20">
        <f>ROUND(R25 + IF(AND(E26=14, F26&lt;&gt;"ASTM A416"), L26, 0), 3)</f>
        <v/>
      </c>
      <c r="S26" s="20">
        <f>ROUND(S25 + IF(AND(E26=16, F26&lt;&gt;"ASTM A416"), L26, 0), 3)</f>
        <v/>
      </c>
      <c r="T26" s="20">
        <f>ROUND(T25 + IF(AND(E26=18, F26&lt;&gt;"ASTM A416"), L26, 0), 3)</f>
        <v/>
      </c>
      <c r="U26" s="20">
        <f>ROUND(U25 + IF(AND(E26=20, F26&lt;&gt;"ASTM A416"), L26, 0), 3)</f>
        <v/>
      </c>
      <c r="V26" s="20">
        <f>ROUND(V25 + IF(AND(E26=22, F26&lt;&gt;"ASTM A416"), L26, 0), 3)</f>
        <v/>
      </c>
      <c r="W26" s="20">
        <f>ROUND(W25 + IF(AND(E26=25, F26&lt;&gt;"ASTM A416"), L26, 0), 3)</f>
        <v/>
      </c>
      <c r="X26" s="20">
        <f>ROUND(X25 + IF(AND(E26=28, F26&lt;&gt;"ASTM A416"), L26, 0), 3)</f>
        <v/>
      </c>
      <c r="Y26" s="20">
        <f>ROUND(Y25 + IF(AND(E26=32, F26&lt;&gt;"ASTM A416"), L26, 0), 3)</f>
        <v/>
      </c>
      <c r="Z26" s="20">
        <f>ROUND(Z25 + IF(F26="ASTM A416", L26, 0), 3)</f>
        <v/>
      </c>
      <c r="AA26" s="11">
        <f>IF(INT(P26/20)&gt;INT(P25/20), "Lần " &amp; INT(P26/20), "")</f>
        <v/>
      </c>
      <c r="AB26" s="11">
        <f>IF(INT(Q26/20)&gt;INT(Q25/20), "Lần " &amp; INT(Q26/20), "")</f>
        <v/>
      </c>
      <c r="AC26" s="11">
        <f>IF(INT(R26/20)&gt;INT(R25/20), "Lần " &amp; INT(R26/20), "")</f>
        <v/>
      </c>
      <c r="AD26" s="11">
        <f>IF(INT(S26/20)&gt;INT(S25/20), "Lần " &amp; INT(S26/20), "")</f>
        <v/>
      </c>
      <c r="AE26" s="11">
        <f>IF(INT(T26/20)&gt;INT(T25/20), "Lần " &amp; INT(T26/20), "")</f>
        <v/>
      </c>
      <c r="AF26" s="11">
        <f>IF(INT(U26/20)&gt;INT(U25/20), "Lần " &amp; INT(U26/20), "")</f>
        <v/>
      </c>
      <c r="AG26" s="11">
        <f>IF(INT(V26/20)&gt;INT(V25/20), "Lần " &amp; INT(V26/20), "")</f>
        <v/>
      </c>
      <c r="AH26" s="11">
        <f>IF(INT(W26/20)&gt;INT(W25/20), "Lần " &amp; INT(W26/20), "")</f>
        <v/>
      </c>
      <c r="AI26" s="11">
        <f>IF(INT(X26/20)&gt;INT(X25/20), "Lần " &amp; INT(X26/20), "")</f>
        <v/>
      </c>
      <c r="AJ26" s="11">
        <f>IF(INT(Y26/20)&gt;INT(Y25/20), "Lần " &amp; INT(Y26/20), "")</f>
        <v/>
      </c>
      <c r="AK26" s="11">
        <f>IF(INT(Z26/20)&gt;INT(Z25/20), "Lần " &amp; INT(Z26/20), "")</f>
        <v/>
      </c>
      <c r="AL26" s="6" t="inlineStr">
        <is>
          <t>ĐẠT TCVN 1651:2018</t>
        </is>
      </c>
    </row>
    <row r="27" ht="19" customHeight="1">
      <c r="A27" s="6" t="n">
        <v>22</v>
      </c>
      <c r="B27" s="7" t="inlineStr">
        <is>
          <t>Cọc khoan nhồi C2 Mố M1 (D1.2m, L=20.0m)</t>
        </is>
      </c>
      <c r="C27" s="7" t="inlineStr">
        <is>
          <t>Cốt thép chủ chịu lực cọc</t>
        </is>
      </c>
      <c r="D27" s="18" t="inlineStr">
        <is>
          <t>P6</t>
        </is>
      </c>
      <c r="E27" s="19" t="n">
        <v>25</v>
      </c>
      <c r="F27" s="6" t="inlineStr">
        <is>
          <t>CB400-V</t>
        </is>
      </c>
      <c r="G27" s="7" t="inlineStr">
        <is>
          <t>Thanh thẳng nối ren/hàn</t>
        </is>
      </c>
      <c r="H27" s="20" t="n">
        <v>10.433</v>
      </c>
      <c r="I27" s="21" t="n">
        <v>12</v>
      </c>
      <c r="J27" s="22" t="n">
        <v>3.85</v>
      </c>
      <c r="K27" s="9">
        <f>ROUND(H27*I27*J27, 2)</f>
        <v/>
      </c>
      <c r="L27" s="23">
        <f>ROUND(K27/1000, 3)</f>
        <v/>
      </c>
      <c r="M27" s="8" t="n"/>
      <c r="N27" s="6" t="n"/>
      <c r="O27" s="24">
        <f>IF(AND(E27&lt;=10, F27&lt;&gt;"ASTM A416", INT(P27/20)&gt;INT(P26/20)), "TN Ø10 (Lần " &amp; INT(P27/20) &amp; ")", IF(AND(E27=12, INT(Q27/20)&gt;INT(Q26/20)), "TN Ø12 (Lần " &amp; INT(Q27/20) &amp; ")", IF(AND(E27=14, INT(R27/20)&gt;INT(R26/20)), "TN Ø14 (Lần " &amp; INT(R27/20) &amp; ")", IF(AND(E27=16, INT(S27/20)&gt;INT(S26/20)), "TN Ø16 (Lần " &amp; INT(S27/20) &amp; ")", IF(AND(E27=18, INT(T27/20)&gt;INT(T26/20)), "TN Ø18 (Lần " &amp; INT(T27/20) &amp; ")", IF(AND(E27=20, INT(U27/20)&gt;INT(U26/20)), "TN Ø20 (Lần " &amp; INT(U27/20) &amp; ")", IF(AND(E27=22, INT(V27/20)&gt;INT(V26/20)), "TN Ø22 (Lần " &amp; INT(V27/20) &amp; ")", IF(AND(E27=25, INT(W27/20)&gt;INT(W26/20)), "TN Ø25 (Lần " &amp; INT(W27/20) &amp; ")", IF(AND(E27=28, INT(X27/20)&gt;INT(X26/20)), "TN Ø28 (Lần " &amp; INT(X27/20) &amp; ")", IF(AND(E27=32, INT(Y27/20)&gt;INT(Y26/20)), "TN Ø32 (Lần " &amp; INT(Y27/20) &amp; ")", IF(AND(F27="ASTM A416", INT(Z27/20)&gt;INT(Z26/20)), "TN Cáp 15.2 (Lần " &amp; INT(Z27/20) &amp; ")", "")))))))))))</f>
        <v/>
      </c>
      <c r="P27" s="20">
        <f>ROUND(P26 + IF(AND(E27&lt;=10, F27&lt;&gt;"ASTM A416"), L27, 0), 3)</f>
        <v/>
      </c>
      <c r="Q27" s="20">
        <f>ROUND(Q26 + IF(AND(E27=12, F27&lt;&gt;"ASTM A416"), L27, 0), 3)</f>
        <v/>
      </c>
      <c r="R27" s="20">
        <f>ROUND(R26 + IF(AND(E27=14, F27&lt;&gt;"ASTM A416"), L27, 0), 3)</f>
        <v/>
      </c>
      <c r="S27" s="20">
        <f>ROUND(S26 + IF(AND(E27=16, F27&lt;&gt;"ASTM A416"), L27, 0), 3)</f>
        <v/>
      </c>
      <c r="T27" s="20">
        <f>ROUND(T26 + IF(AND(E27=18, F27&lt;&gt;"ASTM A416"), L27, 0), 3)</f>
        <v/>
      </c>
      <c r="U27" s="20">
        <f>ROUND(U26 + IF(AND(E27=20, F27&lt;&gt;"ASTM A416"), L27, 0), 3)</f>
        <v/>
      </c>
      <c r="V27" s="20">
        <f>ROUND(V26 + IF(AND(E27=22, F27&lt;&gt;"ASTM A416"), L27, 0), 3)</f>
        <v/>
      </c>
      <c r="W27" s="20">
        <f>ROUND(W26 + IF(AND(E27=25, F27&lt;&gt;"ASTM A416"), L27, 0), 3)</f>
        <v/>
      </c>
      <c r="X27" s="20">
        <f>ROUND(X26 + IF(AND(E27=28, F27&lt;&gt;"ASTM A416"), L27, 0), 3)</f>
        <v/>
      </c>
      <c r="Y27" s="20">
        <f>ROUND(Y26 + IF(AND(E27=32, F27&lt;&gt;"ASTM A416"), L27, 0), 3)</f>
        <v/>
      </c>
      <c r="Z27" s="20">
        <f>ROUND(Z26 + IF(F27="ASTM A416", L27, 0), 3)</f>
        <v/>
      </c>
      <c r="AA27" s="11">
        <f>IF(INT(P27/20)&gt;INT(P26/20), "Lần " &amp; INT(P27/20), "")</f>
        <v/>
      </c>
      <c r="AB27" s="11">
        <f>IF(INT(Q27/20)&gt;INT(Q26/20), "Lần " &amp; INT(Q27/20), "")</f>
        <v/>
      </c>
      <c r="AC27" s="11">
        <f>IF(INT(R27/20)&gt;INT(R26/20), "Lần " &amp; INT(R27/20), "")</f>
        <v/>
      </c>
      <c r="AD27" s="11">
        <f>IF(INT(S27/20)&gt;INT(S26/20), "Lần " &amp; INT(S27/20), "")</f>
        <v/>
      </c>
      <c r="AE27" s="11">
        <f>IF(INT(T27/20)&gt;INT(T26/20), "Lần " &amp; INT(T27/20), "")</f>
        <v/>
      </c>
      <c r="AF27" s="11">
        <f>IF(INT(U27/20)&gt;INT(U26/20), "Lần " &amp; INT(U27/20), "")</f>
        <v/>
      </c>
      <c r="AG27" s="11">
        <f>IF(INT(V27/20)&gt;INT(V26/20), "Lần " &amp; INT(V27/20), "")</f>
        <v/>
      </c>
      <c r="AH27" s="11">
        <f>IF(INT(W27/20)&gt;INT(W26/20), "Lần " &amp; INT(W27/20), "")</f>
        <v/>
      </c>
      <c r="AI27" s="11">
        <f>IF(INT(X27/20)&gt;INT(X26/20), "Lần " &amp; INT(X27/20), "")</f>
        <v/>
      </c>
      <c r="AJ27" s="11">
        <f>IF(INT(Y27/20)&gt;INT(Y26/20), "Lần " &amp; INT(Y27/20), "")</f>
        <v/>
      </c>
      <c r="AK27" s="11">
        <f>IF(INT(Z27/20)&gt;INT(Z26/20), "Lần " &amp; INT(Z27/20), "")</f>
        <v/>
      </c>
      <c r="AL27" s="6" t="inlineStr">
        <is>
          <t>ĐẠT TCVN 1651:2018</t>
        </is>
      </c>
    </row>
    <row r="28" ht="19" customHeight="1">
      <c r="A28" s="6" t="n">
        <v>23</v>
      </c>
      <c r="B28" s="7" t="inlineStr">
        <is>
          <t>Cọc khoan nhồi C2 Mố M1 (D1.2m, L=20.0m)</t>
        </is>
      </c>
      <c r="C28" s="7" t="inlineStr">
        <is>
          <t>Cốt thép chủ chịu lực cọc</t>
        </is>
      </c>
      <c r="D28" s="18" t="inlineStr">
        <is>
          <t>P7</t>
        </is>
      </c>
      <c r="E28" s="19" t="n">
        <v>25</v>
      </c>
      <c r="F28" s="6" t="inlineStr">
        <is>
          <t>CB400-V</t>
        </is>
      </c>
      <c r="G28" s="7" t="inlineStr">
        <is>
          <t>Thanh thẳng nối ren/hàn</t>
        </is>
      </c>
      <c r="H28" s="20" t="n">
        <v>11.433</v>
      </c>
      <c r="I28" s="21" t="n">
        <v>12</v>
      </c>
      <c r="J28" s="22" t="n">
        <v>3.85</v>
      </c>
      <c r="K28" s="9">
        <f>ROUND(H28*I28*J28, 2)</f>
        <v/>
      </c>
      <c r="L28" s="23">
        <f>ROUND(K28/1000, 3)</f>
        <v/>
      </c>
      <c r="M28" s="8" t="n"/>
      <c r="N28" s="6" t="n"/>
      <c r="O28" s="24">
        <f>IF(AND(E28&lt;=10, F28&lt;&gt;"ASTM A416", INT(P28/20)&gt;INT(P27/20)), "TN Ø10 (Lần " &amp; INT(P28/20) &amp; ")", IF(AND(E28=12, INT(Q28/20)&gt;INT(Q27/20)), "TN Ø12 (Lần " &amp; INT(Q28/20) &amp; ")", IF(AND(E28=14, INT(R28/20)&gt;INT(R27/20)), "TN Ø14 (Lần " &amp; INT(R28/20) &amp; ")", IF(AND(E28=16, INT(S28/20)&gt;INT(S27/20)), "TN Ø16 (Lần " &amp; INT(S28/20) &amp; ")", IF(AND(E28=18, INT(T28/20)&gt;INT(T27/20)), "TN Ø18 (Lần " &amp; INT(T28/20) &amp; ")", IF(AND(E28=20, INT(U28/20)&gt;INT(U27/20)), "TN Ø20 (Lần " &amp; INT(U28/20) &amp; ")", IF(AND(E28=22, INT(V28/20)&gt;INT(V27/20)), "TN Ø22 (Lần " &amp; INT(V28/20) &amp; ")", IF(AND(E28=25, INT(W28/20)&gt;INT(W27/20)), "TN Ø25 (Lần " &amp; INT(W28/20) &amp; ")", IF(AND(E28=28, INT(X28/20)&gt;INT(X27/20)), "TN Ø28 (Lần " &amp; INT(X28/20) &amp; ")", IF(AND(E28=32, INT(Y28/20)&gt;INT(Y27/20)), "TN Ø32 (Lần " &amp; INT(Y28/20) &amp; ")", IF(AND(F28="ASTM A416", INT(Z28/20)&gt;INT(Z27/20)), "TN Cáp 15.2 (Lần " &amp; INT(Z28/20) &amp; ")", "")))))))))))</f>
        <v/>
      </c>
      <c r="P28" s="20">
        <f>ROUND(P27 + IF(AND(E28&lt;=10, F28&lt;&gt;"ASTM A416"), L28, 0), 3)</f>
        <v/>
      </c>
      <c r="Q28" s="20">
        <f>ROUND(Q27 + IF(AND(E28=12, F28&lt;&gt;"ASTM A416"), L28, 0), 3)</f>
        <v/>
      </c>
      <c r="R28" s="20">
        <f>ROUND(R27 + IF(AND(E28=14, F28&lt;&gt;"ASTM A416"), L28, 0), 3)</f>
        <v/>
      </c>
      <c r="S28" s="20">
        <f>ROUND(S27 + IF(AND(E28=16, F28&lt;&gt;"ASTM A416"), L28, 0), 3)</f>
        <v/>
      </c>
      <c r="T28" s="20">
        <f>ROUND(T27 + IF(AND(E28=18, F28&lt;&gt;"ASTM A416"), L28, 0), 3)</f>
        <v/>
      </c>
      <c r="U28" s="20">
        <f>ROUND(U27 + IF(AND(E28=20, F28&lt;&gt;"ASTM A416"), L28, 0), 3)</f>
        <v/>
      </c>
      <c r="V28" s="20">
        <f>ROUND(V27 + IF(AND(E28=22, F28&lt;&gt;"ASTM A416"), L28, 0), 3)</f>
        <v/>
      </c>
      <c r="W28" s="20">
        <f>ROUND(W27 + IF(AND(E28=25, F28&lt;&gt;"ASTM A416"), L28, 0), 3)</f>
        <v/>
      </c>
      <c r="X28" s="20">
        <f>ROUND(X27 + IF(AND(E28=28, F28&lt;&gt;"ASTM A416"), L28, 0), 3)</f>
        <v/>
      </c>
      <c r="Y28" s="20">
        <f>ROUND(Y27 + IF(AND(E28=32, F28&lt;&gt;"ASTM A416"), L28, 0), 3)</f>
        <v/>
      </c>
      <c r="Z28" s="20">
        <f>ROUND(Z27 + IF(F28="ASTM A416", L28, 0), 3)</f>
        <v/>
      </c>
      <c r="AA28" s="11">
        <f>IF(INT(P28/20)&gt;INT(P27/20), "Lần " &amp; INT(P28/20), "")</f>
        <v/>
      </c>
      <c r="AB28" s="11">
        <f>IF(INT(Q28/20)&gt;INT(Q27/20), "Lần " &amp; INT(Q28/20), "")</f>
        <v/>
      </c>
      <c r="AC28" s="11">
        <f>IF(INT(R28/20)&gt;INT(R27/20), "Lần " &amp; INT(R28/20), "")</f>
        <v/>
      </c>
      <c r="AD28" s="11">
        <f>IF(INT(S28/20)&gt;INT(S27/20), "Lần " &amp; INT(S28/20), "")</f>
        <v/>
      </c>
      <c r="AE28" s="11">
        <f>IF(INT(T28/20)&gt;INT(T27/20), "Lần " &amp; INT(T28/20), "")</f>
        <v/>
      </c>
      <c r="AF28" s="11">
        <f>IF(INT(U28/20)&gt;INT(U27/20), "Lần " &amp; INT(U28/20), "")</f>
        <v/>
      </c>
      <c r="AG28" s="11">
        <f>IF(INT(V28/20)&gt;INT(V27/20), "Lần " &amp; INT(V28/20), "")</f>
        <v/>
      </c>
      <c r="AH28" s="11">
        <f>IF(INT(W28/20)&gt;INT(W27/20), "Lần " &amp; INT(W28/20), "")</f>
        <v/>
      </c>
      <c r="AI28" s="11">
        <f>IF(INT(X28/20)&gt;INT(X27/20), "Lần " &amp; INT(X28/20), "")</f>
        <v/>
      </c>
      <c r="AJ28" s="11">
        <f>IF(INT(Y28/20)&gt;INT(Y27/20), "Lần " &amp; INT(Y28/20), "")</f>
        <v/>
      </c>
      <c r="AK28" s="11">
        <f>IF(INT(Z28/20)&gt;INT(Z27/20), "Lần " &amp; INT(Z28/20), "")</f>
        <v/>
      </c>
      <c r="AL28" s="6" t="inlineStr">
        <is>
          <t>ĐẠT TCVN 1651:2018</t>
        </is>
      </c>
    </row>
    <row r="29" ht="19" customHeight="1">
      <c r="A29" s="6" t="n">
        <v>24</v>
      </c>
      <c r="B29" s="7" t="inlineStr">
        <is>
          <t>Cọc khoan nhồi C2 Mố M1 (D1.2m, L=20.0m)</t>
        </is>
      </c>
      <c r="C29" s="7" t="inlineStr">
        <is>
          <t>Đai tăng cường / Con kê bảo vệ</t>
        </is>
      </c>
      <c r="D29" s="18" t="inlineStr">
        <is>
          <t>P8</t>
        </is>
      </c>
      <c r="E29" s="19" t="n">
        <v>12</v>
      </c>
      <c r="F29" s="6" t="inlineStr">
        <is>
          <t>CB400-V</t>
        </is>
      </c>
      <c r="G29" s="7" t="inlineStr">
        <is>
          <t>Móc neo / Vòng đai</t>
        </is>
      </c>
      <c r="H29" s="20" t="n">
        <v>0.647</v>
      </c>
      <c r="I29" s="21" t="n">
        <v>8</v>
      </c>
      <c r="J29" s="22" t="n">
        <v>0.888</v>
      </c>
      <c r="K29" s="9">
        <f>ROUND(H29*I29*J29, 2)</f>
        <v/>
      </c>
      <c r="L29" s="23">
        <f>ROUND(K29/1000, 3)</f>
        <v/>
      </c>
      <c r="M29" s="8" t="n"/>
      <c r="N29" s="6" t="n"/>
      <c r="O29" s="24">
        <f>IF(AND(E29&lt;=10, F29&lt;&gt;"ASTM A416", INT(P29/20)&gt;INT(P28/20)), "TN Ø10 (Lần " &amp; INT(P29/20) &amp; ")", IF(AND(E29=12, INT(Q29/20)&gt;INT(Q28/20)), "TN Ø12 (Lần " &amp; INT(Q29/20) &amp; ")", IF(AND(E29=14, INT(R29/20)&gt;INT(R28/20)), "TN Ø14 (Lần " &amp; INT(R29/20) &amp; ")", IF(AND(E29=16, INT(S29/20)&gt;INT(S28/20)), "TN Ø16 (Lần " &amp; INT(S29/20) &amp; ")", IF(AND(E29=18, INT(T29/20)&gt;INT(T28/20)), "TN Ø18 (Lần " &amp; INT(T29/20) &amp; ")", IF(AND(E29=20, INT(U29/20)&gt;INT(U28/20)), "TN Ø20 (Lần " &amp; INT(U29/20) &amp; ")", IF(AND(E29=22, INT(V29/20)&gt;INT(V28/20)), "TN Ø22 (Lần " &amp; INT(V29/20) &amp; ")", IF(AND(E29=25, INT(W29/20)&gt;INT(W28/20)), "TN Ø25 (Lần " &amp; INT(W29/20) &amp; ")", IF(AND(E29=28, INT(X29/20)&gt;INT(X28/20)), "TN Ø28 (Lần " &amp; INT(X29/20) &amp; ")", IF(AND(E29=32, INT(Y29/20)&gt;INT(Y28/20)), "TN Ø32 (Lần " &amp; INT(Y29/20) &amp; ")", IF(AND(F29="ASTM A416", INT(Z29/20)&gt;INT(Z28/20)), "TN Cáp 15.2 (Lần " &amp; INT(Z29/20) &amp; ")", "")))))))))))</f>
        <v/>
      </c>
      <c r="P29" s="20">
        <f>ROUND(P28 + IF(AND(E29&lt;=10, F29&lt;&gt;"ASTM A416"), L29, 0), 3)</f>
        <v/>
      </c>
      <c r="Q29" s="20">
        <f>ROUND(Q28 + IF(AND(E29=12, F29&lt;&gt;"ASTM A416"), L29, 0), 3)</f>
        <v/>
      </c>
      <c r="R29" s="20">
        <f>ROUND(R28 + IF(AND(E29=14, F29&lt;&gt;"ASTM A416"), L29, 0), 3)</f>
        <v/>
      </c>
      <c r="S29" s="20">
        <f>ROUND(S28 + IF(AND(E29=16, F29&lt;&gt;"ASTM A416"), L29, 0), 3)</f>
        <v/>
      </c>
      <c r="T29" s="20">
        <f>ROUND(T28 + IF(AND(E29=18, F29&lt;&gt;"ASTM A416"), L29, 0), 3)</f>
        <v/>
      </c>
      <c r="U29" s="20">
        <f>ROUND(U28 + IF(AND(E29=20, F29&lt;&gt;"ASTM A416"), L29, 0), 3)</f>
        <v/>
      </c>
      <c r="V29" s="20">
        <f>ROUND(V28 + IF(AND(E29=22, F29&lt;&gt;"ASTM A416"), L29, 0), 3)</f>
        <v/>
      </c>
      <c r="W29" s="20">
        <f>ROUND(W28 + IF(AND(E29=25, F29&lt;&gt;"ASTM A416"), L29, 0), 3)</f>
        <v/>
      </c>
      <c r="X29" s="20">
        <f>ROUND(X28 + IF(AND(E29=28, F29&lt;&gt;"ASTM A416"), L29, 0), 3)</f>
        <v/>
      </c>
      <c r="Y29" s="20">
        <f>ROUND(Y28 + IF(AND(E29=32, F29&lt;&gt;"ASTM A416"), L29, 0), 3)</f>
        <v/>
      </c>
      <c r="Z29" s="20">
        <f>ROUND(Z28 + IF(F29="ASTM A416", L29, 0), 3)</f>
        <v/>
      </c>
      <c r="AA29" s="11">
        <f>IF(INT(P29/20)&gt;INT(P28/20), "Lần " &amp; INT(P29/20), "")</f>
        <v/>
      </c>
      <c r="AB29" s="11">
        <f>IF(INT(Q29/20)&gt;INT(Q28/20), "Lần " &amp; INT(Q29/20), "")</f>
        <v/>
      </c>
      <c r="AC29" s="11">
        <f>IF(INT(R29/20)&gt;INT(R28/20), "Lần " &amp; INT(R29/20), "")</f>
        <v/>
      </c>
      <c r="AD29" s="11">
        <f>IF(INT(S29/20)&gt;INT(S28/20), "Lần " &amp; INT(S29/20), "")</f>
        <v/>
      </c>
      <c r="AE29" s="11">
        <f>IF(INT(T29/20)&gt;INT(T28/20), "Lần " &amp; INT(T29/20), "")</f>
        <v/>
      </c>
      <c r="AF29" s="11">
        <f>IF(INT(U29/20)&gt;INT(U28/20), "Lần " &amp; INT(U29/20), "")</f>
        <v/>
      </c>
      <c r="AG29" s="11">
        <f>IF(INT(V29/20)&gt;INT(V28/20), "Lần " &amp; INT(V29/20), "")</f>
        <v/>
      </c>
      <c r="AH29" s="11">
        <f>IF(INT(W29/20)&gt;INT(W28/20), "Lần " &amp; INT(W29/20), "")</f>
        <v/>
      </c>
      <c r="AI29" s="11">
        <f>IF(INT(X29/20)&gt;INT(X28/20), "Lần " &amp; INT(X29/20), "")</f>
        <v/>
      </c>
      <c r="AJ29" s="11">
        <f>IF(INT(Y29/20)&gt;INT(Y28/20), "Lần " &amp; INT(Y29/20), "")</f>
        <v/>
      </c>
      <c r="AK29" s="11">
        <f>IF(INT(Z29/20)&gt;INT(Z28/20), "Lần " &amp; INT(Z29/20), "")</f>
        <v/>
      </c>
      <c r="AL29" s="6" t="inlineStr">
        <is>
          <t>ĐẠT TCVN 1651:2018</t>
        </is>
      </c>
    </row>
    <row r="30" ht="19" customHeight="1">
      <c r="A30" s="6" t="n">
        <v>25</v>
      </c>
      <c r="B30" s="7" t="inlineStr">
        <is>
          <t>Cọc khoan nhồi C2 Mố M1 (D1.2m, L=20.0m)</t>
        </is>
      </c>
      <c r="C30" s="7" t="inlineStr">
        <is>
          <t>Đai tăng cường / Con kê bảo vệ</t>
        </is>
      </c>
      <c r="D30" s="18" t="inlineStr">
        <is>
          <t>P9</t>
        </is>
      </c>
      <c r="E30" s="19" t="n">
        <v>12</v>
      </c>
      <c r="F30" s="6" t="inlineStr">
        <is>
          <t>CB400-V</t>
        </is>
      </c>
      <c r="G30" s="7" t="inlineStr">
        <is>
          <t>Móc neo / Vòng đai</t>
        </is>
      </c>
      <c r="H30" s="20" t="n">
        <v>0.379</v>
      </c>
      <c r="I30" s="21" t="n">
        <v>24</v>
      </c>
      <c r="J30" s="22" t="n">
        <v>0.888</v>
      </c>
      <c r="K30" s="9">
        <f>ROUND(H30*I30*J30, 2)</f>
        <v/>
      </c>
      <c r="L30" s="23">
        <f>ROUND(K30/1000, 3)</f>
        <v/>
      </c>
      <c r="M30" s="8" t="n"/>
      <c r="N30" s="6" t="n"/>
      <c r="O30" s="24">
        <f>IF(AND(E30&lt;=10, F30&lt;&gt;"ASTM A416", INT(P30/20)&gt;INT(P29/20)), "TN Ø10 (Lần " &amp; INT(P30/20) &amp; ")", IF(AND(E30=12, INT(Q30/20)&gt;INT(Q29/20)), "TN Ø12 (Lần " &amp; INT(Q30/20) &amp; ")", IF(AND(E30=14, INT(R30/20)&gt;INT(R29/20)), "TN Ø14 (Lần " &amp; INT(R30/20) &amp; ")", IF(AND(E30=16, INT(S30/20)&gt;INT(S29/20)), "TN Ø16 (Lần " &amp; INT(S30/20) &amp; ")", IF(AND(E30=18, INT(T30/20)&gt;INT(T29/20)), "TN Ø18 (Lần " &amp; INT(T30/20) &amp; ")", IF(AND(E30=20, INT(U30/20)&gt;INT(U29/20)), "TN Ø20 (Lần " &amp; INT(U30/20) &amp; ")", IF(AND(E30=22, INT(V30/20)&gt;INT(V29/20)), "TN Ø22 (Lần " &amp; INT(V30/20) &amp; ")", IF(AND(E30=25, INT(W30/20)&gt;INT(W29/20)), "TN Ø25 (Lần " &amp; INT(W30/20) &amp; ")", IF(AND(E30=28, INT(X30/20)&gt;INT(X29/20)), "TN Ø28 (Lần " &amp; INT(X30/20) &amp; ")", IF(AND(E30=32, INT(Y30/20)&gt;INT(Y29/20)), "TN Ø32 (Lần " &amp; INT(Y30/20) &amp; ")", IF(AND(F30="ASTM A416", INT(Z30/20)&gt;INT(Z29/20)), "TN Cáp 15.2 (Lần " &amp; INT(Z30/20) &amp; ")", "")))))))))))</f>
        <v/>
      </c>
      <c r="P30" s="20">
        <f>ROUND(P29 + IF(AND(E30&lt;=10, F30&lt;&gt;"ASTM A416"), L30, 0), 3)</f>
        <v/>
      </c>
      <c r="Q30" s="20">
        <f>ROUND(Q29 + IF(AND(E30=12, F30&lt;&gt;"ASTM A416"), L30, 0), 3)</f>
        <v/>
      </c>
      <c r="R30" s="20">
        <f>ROUND(R29 + IF(AND(E30=14, F30&lt;&gt;"ASTM A416"), L30, 0), 3)</f>
        <v/>
      </c>
      <c r="S30" s="20">
        <f>ROUND(S29 + IF(AND(E30=16, F30&lt;&gt;"ASTM A416"), L30, 0), 3)</f>
        <v/>
      </c>
      <c r="T30" s="20">
        <f>ROUND(T29 + IF(AND(E30=18, F30&lt;&gt;"ASTM A416"), L30, 0), 3)</f>
        <v/>
      </c>
      <c r="U30" s="20">
        <f>ROUND(U29 + IF(AND(E30=20, F30&lt;&gt;"ASTM A416"), L30, 0), 3)</f>
        <v/>
      </c>
      <c r="V30" s="20">
        <f>ROUND(V29 + IF(AND(E30=22, F30&lt;&gt;"ASTM A416"), L30, 0), 3)</f>
        <v/>
      </c>
      <c r="W30" s="20">
        <f>ROUND(W29 + IF(AND(E30=25, F30&lt;&gt;"ASTM A416"), L30, 0), 3)</f>
        <v/>
      </c>
      <c r="X30" s="20">
        <f>ROUND(X29 + IF(AND(E30=28, F30&lt;&gt;"ASTM A416"), L30, 0), 3)</f>
        <v/>
      </c>
      <c r="Y30" s="20">
        <f>ROUND(Y29 + IF(AND(E30=32, F30&lt;&gt;"ASTM A416"), L30, 0), 3)</f>
        <v/>
      </c>
      <c r="Z30" s="20">
        <f>ROUND(Z29 + IF(F30="ASTM A416", L30, 0), 3)</f>
        <v/>
      </c>
      <c r="AA30" s="11">
        <f>IF(INT(P30/20)&gt;INT(P29/20), "Lần " &amp; INT(P30/20), "")</f>
        <v/>
      </c>
      <c r="AB30" s="11">
        <f>IF(INT(Q30/20)&gt;INT(Q29/20), "Lần " &amp; INT(Q30/20), "")</f>
        <v/>
      </c>
      <c r="AC30" s="11">
        <f>IF(INT(R30/20)&gt;INT(R29/20), "Lần " &amp; INT(R30/20), "")</f>
        <v/>
      </c>
      <c r="AD30" s="11">
        <f>IF(INT(S30/20)&gt;INT(S29/20), "Lần " &amp; INT(S30/20), "")</f>
        <v/>
      </c>
      <c r="AE30" s="11">
        <f>IF(INT(T30/20)&gt;INT(T29/20), "Lần " &amp; INT(T30/20), "")</f>
        <v/>
      </c>
      <c r="AF30" s="11">
        <f>IF(INT(U30/20)&gt;INT(U29/20), "Lần " &amp; INT(U30/20), "")</f>
        <v/>
      </c>
      <c r="AG30" s="11">
        <f>IF(INT(V30/20)&gt;INT(V29/20), "Lần " &amp; INT(V30/20), "")</f>
        <v/>
      </c>
      <c r="AH30" s="11">
        <f>IF(INT(W30/20)&gt;INT(W29/20), "Lần " &amp; INT(W30/20), "")</f>
        <v/>
      </c>
      <c r="AI30" s="11">
        <f>IF(INT(X30/20)&gt;INT(X29/20), "Lần " &amp; INT(X30/20), "")</f>
        <v/>
      </c>
      <c r="AJ30" s="11">
        <f>IF(INT(Y30/20)&gt;INT(Y29/20), "Lần " &amp; INT(Y30/20), "")</f>
        <v/>
      </c>
      <c r="AK30" s="11">
        <f>IF(INT(Z30/20)&gt;INT(Z29/20), "Lần " &amp; INT(Z30/20), "")</f>
        <v/>
      </c>
      <c r="AL30" s="6" t="inlineStr">
        <is>
          <t>ĐẠT TCVN 1651:2018</t>
        </is>
      </c>
    </row>
    <row r="31" ht="19" customHeight="1">
      <c r="A31" s="6" t="n">
        <v>26</v>
      </c>
      <c r="B31" s="7" t="inlineStr">
        <is>
          <t>Cọc khoan nhồi C2 Mố M1 (D1.2m, L=20.0m)</t>
        </is>
      </c>
      <c r="C31" s="7" t="inlineStr">
        <is>
          <t>Thép đai xoắn lồng cọc</t>
        </is>
      </c>
      <c r="D31" s="18" t="inlineStr">
        <is>
          <t>P10</t>
        </is>
      </c>
      <c r="E31" s="19" t="n">
        <v>20</v>
      </c>
      <c r="F31" s="6" t="inlineStr">
        <is>
          <t>CB400-V</t>
        </is>
      </c>
      <c r="G31" s="7" t="inlineStr">
        <is>
          <t>Đai xoắn tròn</t>
        </is>
      </c>
      <c r="H31" s="20" t="n">
        <v>2.057</v>
      </c>
      <c r="I31" s="21" t="n">
        <v>1</v>
      </c>
      <c r="J31" s="22" t="n">
        <v>2.47</v>
      </c>
      <c r="K31" s="9">
        <f>ROUND(H31*I31*J31, 2)</f>
        <v/>
      </c>
      <c r="L31" s="23">
        <f>ROUND(K31/1000, 3)</f>
        <v/>
      </c>
      <c r="M31" s="8" t="n"/>
      <c r="N31" s="6" t="n"/>
      <c r="O31" s="24">
        <f>IF(AND(E31&lt;=10, F31&lt;&gt;"ASTM A416", INT(P31/20)&gt;INT(P30/20)), "TN Ø10 (Lần " &amp; INT(P31/20) &amp; ")", IF(AND(E31=12, INT(Q31/20)&gt;INT(Q30/20)), "TN Ø12 (Lần " &amp; INT(Q31/20) &amp; ")", IF(AND(E31=14, INT(R31/20)&gt;INT(R30/20)), "TN Ø14 (Lần " &amp; INT(R31/20) &amp; ")", IF(AND(E31=16, INT(S31/20)&gt;INT(S30/20)), "TN Ø16 (Lần " &amp; INT(S31/20) &amp; ")", IF(AND(E31=18, INT(T31/20)&gt;INT(T30/20)), "TN Ø18 (Lần " &amp; INT(T31/20) &amp; ")", IF(AND(E31=20, INT(U31/20)&gt;INT(U30/20)), "TN Ø20 (Lần " &amp; INT(U31/20) &amp; ")", IF(AND(E31=22, INT(V31/20)&gt;INT(V30/20)), "TN Ø22 (Lần " &amp; INT(V31/20) &amp; ")", IF(AND(E31=25, INT(W31/20)&gt;INT(W30/20)), "TN Ø25 (Lần " &amp; INT(W31/20) &amp; ")", IF(AND(E31=28, INT(X31/20)&gt;INT(X30/20)), "TN Ø28 (Lần " &amp; INT(X31/20) &amp; ")", IF(AND(E31=32, INT(Y31/20)&gt;INT(Y30/20)), "TN Ø32 (Lần " &amp; INT(Y31/20) &amp; ")", IF(AND(F31="ASTM A416", INT(Z31/20)&gt;INT(Z30/20)), "TN Cáp 15.2 (Lần " &amp; INT(Z31/20) &amp; ")", "")))))))))))</f>
        <v/>
      </c>
      <c r="P31" s="20">
        <f>ROUND(P30 + IF(AND(E31&lt;=10, F31&lt;&gt;"ASTM A416"), L31, 0), 3)</f>
        <v/>
      </c>
      <c r="Q31" s="20">
        <f>ROUND(Q30 + IF(AND(E31=12, F31&lt;&gt;"ASTM A416"), L31, 0), 3)</f>
        <v/>
      </c>
      <c r="R31" s="20">
        <f>ROUND(R30 + IF(AND(E31=14, F31&lt;&gt;"ASTM A416"), L31, 0), 3)</f>
        <v/>
      </c>
      <c r="S31" s="20">
        <f>ROUND(S30 + IF(AND(E31=16, F31&lt;&gt;"ASTM A416"), L31, 0), 3)</f>
        <v/>
      </c>
      <c r="T31" s="20">
        <f>ROUND(T30 + IF(AND(E31=18, F31&lt;&gt;"ASTM A416"), L31, 0), 3)</f>
        <v/>
      </c>
      <c r="U31" s="20">
        <f>ROUND(U30 + IF(AND(E31=20, F31&lt;&gt;"ASTM A416"), L31, 0), 3)</f>
        <v/>
      </c>
      <c r="V31" s="20">
        <f>ROUND(V30 + IF(AND(E31=22, F31&lt;&gt;"ASTM A416"), L31, 0), 3)</f>
        <v/>
      </c>
      <c r="W31" s="20">
        <f>ROUND(W30 + IF(AND(E31=25, F31&lt;&gt;"ASTM A416"), L31, 0), 3)</f>
        <v/>
      </c>
      <c r="X31" s="20">
        <f>ROUND(X30 + IF(AND(E31=28, F31&lt;&gt;"ASTM A416"), L31, 0), 3)</f>
        <v/>
      </c>
      <c r="Y31" s="20">
        <f>ROUND(Y30 + IF(AND(E31=32, F31&lt;&gt;"ASTM A416"), L31, 0), 3)</f>
        <v/>
      </c>
      <c r="Z31" s="20">
        <f>ROUND(Z30 + IF(F31="ASTM A416", L31, 0), 3)</f>
        <v/>
      </c>
      <c r="AA31" s="11">
        <f>IF(INT(P31/20)&gt;INT(P30/20), "Lần " &amp; INT(P31/20), "")</f>
        <v/>
      </c>
      <c r="AB31" s="11">
        <f>IF(INT(Q31/20)&gt;INT(Q30/20), "Lần " &amp; INT(Q31/20), "")</f>
        <v/>
      </c>
      <c r="AC31" s="11">
        <f>IF(INT(R31/20)&gt;INT(R30/20), "Lần " &amp; INT(R31/20), "")</f>
        <v/>
      </c>
      <c r="AD31" s="11">
        <f>IF(INT(S31/20)&gt;INT(S30/20), "Lần " &amp; INT(S31/20), "")</f>
        <v/>
      </c>
      <c r="AE31" s="11">
        <f>IF(INT(T31/20)&gt;INT(T30/20), "Lần " &amp; INT(T31/20), "")</f>
        <v/>
      </c>
      <c r="AF31" s="11">
        <f>IF(INT(U31/20)&gt;INT(U30/20), "Lần " &amp; INT(U31/20), "")</f>
        <v/>
      </c>
      <c r="AG31" s="11">
        <f>IF(INT(V31/20)&gt;INT(V30/20), "Lần " &amp; INT(V31/20), "")</f>
        <v/>
      </c>
      <c r="AH31" s="11">
        <f>IF(INT(W31/20)&gt;INT(W30/20), "Lần " &amp; INT(W31/20), "")</f>
        <v/>
      </c>
      <c r="AI31" s="11">
        <f>IF(INT(X31/20)&gt;INT(X30/20), "Lần " &amp; INT(X31/20), "")</f>
        <v/>
      </c>
      <c r="AJ31" s="11">
        <f>IF(INT(Y31/20)&gt;INT(Y30/20), "Lần " &amp; INT(Y31/20), "")</f>
        <v/>
      </c>
      <c r="AK31" s="11">
        <f>IF(INT(Z31/20)&gt;INT(Z30/20), "Lần " &amp; INT(Z31/20), "")</f>
        <v/>
      </c>
      <c r="AL31" s="6" t="inlineStr">
        <is>
          <t>ĐẠT TCVN 1651:2018</t>
        </is>
      </c>
    </row>
    <row r="32" ht="19" customHeight="1">
      <c r="A32" s="6" t="n">
        <v>27</v>
      </c>
      <c r="B32" s="7" t="inlineStr">
        <is>
          <t>Cọc khoan nhồi C2 Mố M1 (D1.2m, L=20.0m)</t>
        </is>
      </c>
      <c r="C32" s="7" t="inlineStr">
        <is>
          <t>Thanh thép treo lồng cọc</t>
        </is>
      </c>
      <c r="D32" s="18" t="inlineStr">
        <is>
          <t>P11</t>
        </is>
      </c>
      <c r="E32" s="19" t="n">
        <v>16</v>
      </c>
      <c r="F32" s="6" t="inlineStr">
        <is>
          <t>CB400-V</t>
        </is>
      </c>
      <c r="G32" s="7" t="inlineStr">
        <is>
          <t>Thanh treo lồng (bảng phụ tr.64)</t>
        </is>
      </c>
      <c r="H32" s="20" t="n">
        <v>2.604</v>
      </c>
      <c r="I32" s="21" t="n">
        <v>4</v>
      </c>
      <c r="J32" s="22" t="n">
        <v>1.58</v>
      </c>
      <c r="K32" s="9">
        <f>ROUND(H32*I32*J32, 2)</f>
        <v/>
      </c>
      <c r="L32" s="23">
        <f>ROUND(K32/1000, 3)</f>
        <v/>
      </c>
      <c r="M32" s="8" t="n"/>
      <c r="N32" s="6" t="n"/>
      <c r="O32" s="24">
        <f>IF(AND(E32&lt;=10, F32&lt;&gt;"ASTM A416", INT(P32/20)&gt;INT(P31/20)), "TN Ø10 (Lần " &amp; INT(P32/20) &amp; ")", IF(AND(E32=12, INT(Q32/20)&gt;INT(Q31/20)), "TN Ø12 (Lần " &amp; INT(Q32/20) &amp; ")", IF(AND(E32=14, INT(R32/20)&gt;INT(R31/20)), "TN Ø14 (Lần " &amp; INT(R32/20) &amp; ")", IF(AND(E32=16, INT(S32/20)&gt;INT(S31/20)), "TN Ø16 (Lần " &amp; INT(S32/20) &amp; ")", IF(AND(E32=18, INT(T32/20)&gt;INT(T31/20)), "TN Ø18 (Lần " &amp; INT(T32/20) &amp; ")", IF(AND(E32=20, INT(U32/20)&gt;INT(U31/20)), "TN Ø20 (Lần " &amp; INT(U32/20) &amp; ")", IF(AND(E32=22, INT(V32/20)&gt;INT(V31/20)), "TN Ø22 (Lần " &amp; INT(V32/20) &amp; ")", IF(AND(E32=25, INT(W32/20)&gt;INT(W31/20)), "TN Ø25 (Lần " &amp; INT(W32/20) &amp; ")", IF(AND(E32=28, INT(X32/20)&gt;INT(X31/20)), "TN Ø28 (Lần " &amp; INT(X32/20) &amp; ")", IF(AND(E32=32, INT(Y32/20)&gt;INT(Y31/20)), "TN Ø32 (Lần " &amp; INT(Y32/20) &amp; ")", IF(AND(F32="ASTM A416", INT(Z32/20)&gt;INT(Z31/20)), "TN Cáp 15.2 (Lần " &amp; INT(Z32/20) &amp; ")", "")))))))))))</f>
        <v/>
      </c>
      <c r="P32" s="20">
        <f>ROUND(P31 + IF(AND(E32&lt;=10, F32&lt;&gt;"ASTM A416"), L32, 0), 3)</f>
        <v/>
      </c>
      <c r="Q32" s="20">
        <f>ROUND(Q31 + IF(AND(E32=12, F32&lt;&gt;"ASTM A416"), L32, 0), 3)</f>
        <v/>
      </c>
      <c r="R32" s="20">
        <f>ROUND(R31 + IF(AND(E32=14, F32&lt;&gt;"ASTM A416"), L32, 0), 3)</f>
        <v/>
      </c>
      <c r="S32" s="20">
        <f>ROUND(S31 + IF(AND(E32=16, F32&lt;&gt;"ASTM A416"), L32, 0), 3)</f>
        <v/>
      </c>
      <c r="T32" s="20">
        <f>ROUND(T31 + IF(AND(E32=18, F32&lt;&gt;"ASTM A416"), L32, 0), 3)</f>
        <v/>
      </c>
      <c r="U32" s="20">
        <f>ROUND(U31 + IF(AND(E32=20, F32&lt;&gt;"ASTM A416"), L32, 0), 3)</f>
        <v/>
      </c>
      <c r="V32" s="20">
        <f>ROUND(V31 + IF(AND(E32=22, F32&lt;&gt;"ASTM A416"), L32, 0), 3)</f>
        <v/>
      </c>
      <c r="W32" s="20">
        <f>ROUND(W31 + IF(AND(E32=25, F32&lt;&gt;"ASTM A416"), L32, 0), 3)</f>
        <v/>
      </c>
      <c r="X32" s="20">
        <f>ROUND(X31 + IF(AND(E32=28, F32&lt;&gt;"ASTM A416"), L32, 0), 3)</f>
        <v/>
      </c>
      <c r="Y32" s="20">
        <f>ROUND(Y31 + IF(AND(E32=32, F32&lt;&gt;"ASTM A416"), L32, 0), 3)</f>
        <v/>
      </c>
      <c r="Z32" s="20">
        <f>ROUND(Z31 + IF(F32="ASTM A416", L32, 0), 3)</f>
        <v/>
      </c>
      <c r="AA32" s="11">
        <f>IF(INT(P32/20)&gt;INT(P31/20), "Lần " &amp; INT(P32/20), "")</f>
        <v/>
      </c>
      <c r="AB32" s="11">
        <f>IF(INT(Q32/20)&gt;INT(Q31/20), "Lần " &amp; INT(Q32/20), "")</f>
        <v/>
      </c>
      <c r="AC32" s="11">
        <f>IF(INT(R32/20)&gt;INT(R31/20), "Lần " &amp; INT(R32/20), "")</f>
        <v/>
      </c>
      <c r="AD32" s="11">
        <f>IF(INT(S32/20)&gt;INT(S31/20), "Lần " &amp; INT(S32/20), "")</f>
        <v/>
      </c>
      <c r="AE32" s="11">
        <f>IF(INT(T32/20)&gt;INT(T31/20), "Lần " &amp; INT(T32/20), "")</f>
        <v/>
      </c>
      <c r="AF32" s="11">
        <f>IF(INT(U32/20)&gt;INT(U31/20), "Lần " &amp; INT(U32/20), "")</f>
        <v/>
      </c>
      <c r="AG32" s="11">
        <f>IF(INT(V32/20)&gt;INT(V31/20), "Lần " &amp; INT(V32/20), "")</f>
        <v/>
      </c>
      <c r="AH32" s="11">
        <f>IF(INT(W32/20)&gt;INT(W31/20), "Lần " &amp; INT(W32/20), "")</f>
        <v/>
      </c>
      <c r="AI32" s="11">
        <f>IF(INT(X32/20)&gt;INT(X31/20), "Lần " &amp; INT(X32/20), "")</f>
        <v/>
      </c>
      <c r="AJ32" s="11">
        <f>IF(INT(Y32/20)&gt;INT(Y31/20), "Lần " &amp; INT(Y32/20), "")</f>
        <v/>
      </c>
      <c r="AK32" s="11">
        <f>IF(INT(Z32/20)&gt;INT(Z31/20), "Lần " &amp; INT(Z32/20), "")</f>
        <v/>
      </c>
      <c r="AL32" s="6" t="inlineStr">
        <is>
          <t>ĐẠT TCVN 1651:2018</t>
        </is>
      </c>
    </row>
    <row r="33" ht="19" customHeight="1">
      <c r="A33" s="6" t="n">
        <v>28</v>
      </c>
      <c r="B33" s="7" t="inlineStr">
        <is>
          <t>Cọc khoan nhồi C2 Mố M1 (D1.2m, L=20.0m)</t>
        </is>
      </c>
      <c r="C33" s="7" t="inlineStr">
        <is>
          <t>Thép đai xoắn lồng cọc</t>
        </is>
      </c>
      <c r="D33" s="18" t="inlineStr">
        <is>
          <t>P12</t>
        </is>
      </c>
      <c r="E33" s="19" t="n">
        <v>20</v>
      </c>
      <c r="F33" s="6" t="inlineStr">
        <is>
          <t>CB400-V</t>
        </is>
      </c>
      <c r="G33" s="7" t="inlineStr">
        <is>
          <t>Đai xoắn tròn</t>
        </is>
      </c>
      <c r="H33" s="20" t="n">
        <v>0.583</v>
      </c>
      <c r="I33" s="21" t="n">
        <v>32</v>
      </c>
      <c r="J33" s="22" t="n">
        <v>2.47</v>
      </c>
      <c r="K33" s="9">
        <f>ROUND(H33*I33*J33, 2)</f>
        <v/>
      </c>
      <c r="L33" s="23">
        <f>ROUND(K33/1000, 3)</f>
        <v/>
      </c>
      <c r="M33" s="8" t="n"/>
      <c r="N33" s="6" t="n"/>
      <c r="O33" s="24">
        <f>IF(AND(E33&lt;=10, F33&lt;&gt;"ASTM A416", INT(P33/20)&gt;INT(P32/20)), "TN Ø10 (Lần " &amp; INT(P33/20) &amp; ")", IF(AND(E33=12, INT(Q33/20)&gt;INT(Q32/20)), "TN Ø12 (Lần " &amp; INT(Q33/20) &amp; ")", IF(AND(E33=14, INT(R33/20)&gt;INT(R32/20)), "TN Ø14 (Lần " &amp; INT(R33/20) &amp; ")", IF(AND(E33=16, INT(S33/20)&gt;INT(S32/20)), "TN Ø16 (Lần " &amp; INT(S33/20) &amp; ")", IF(AND(E33=18, INT(T33/20)&gt;INT(T32/20)), "TN Ø18 (Lần " &amp; INT(T33/20) &amp; ")", IF(AND(E33=20, INT(U33/20)&gt;INT(U32/20)), "TN Ø20 (Lần " &amp; INT(U33/20) &amp; ")", IF(AND(E33=22, INT(V33/20)&gt;INT(V32/20)), "TN Ø22 (Lần " &amp; INT(V33/20) &amp; ")", IF(AND(E33=25, INT(W33/20)&gt;INT(W32/20)), "TN Ø25 (Lần " &amp; INT(W33/20) &amp; ")", IF(AND(E33=28, INT(X33/20)&gt;INT(X32/20)), "TN Ø28 (Lần " &amp; INT(X33/20) &amp; ")", IF(AND(E33=32, INT(Y33/20)&gt;INT(Y32/20)), "TN Ø32 (Lần " &amp; INT(Y33/20) &amp; ")", IF(AND(F33="ASTM A416", INT(Z33/20)&gt;INT(Z32/20)), "TN Cáp 15.2 (Lần " &amp; INT(Z33/20) &amp; ")", "")))))))))))</f>
        <v/>
      </c>
      <c r="P33" s="20">
        <f>ROUND(P32 + IF(AND(E33&lt;=10, F33&lt;&gt;"ASTM A416"), L33, 0), 3)</f>
        <v/>
      </c>
      <c r="Q33" s="20">
        <f>ROUND(Q32 + IF(AND(E33=12, F33&lt;&gt;"ASTM A416"), L33, 0), 3)</f>
        <v/>
      </c>
      <c r="R33" s="20">
        <f>ROUND(R32 + IF(AND(E33=14, F33&lt;&gt;"ASTM A416"), L33, 0), 3)</f>
        <v/>
      </c>
      <c r="S33" s="20">
        <f>ROUND(S32 + IF(AND(E33=16, F33&lt;&gt;"ASTM A416"), L33, 0), 3)</f>
        <v/>
      </c>
      <c r="T33" s="20">
        <f>ROUND(T32 + IF(AND(E33=18, F33&lt;&gt;"ASTM A416"), L33, 0), 3)</f>
        <v/>
      </c>
      <c r="U33" s="20">
        <f>ROUND(U32 + IF(AND(E33=20, F33&lt;&gt;"ASTM A416"), L33, 0), 3)</f>
        <v/>
      </c>
      <c r="V33" s="20">
        <f>ROUND(V32 + IF(AND(E33=22, F33&lt;&gt;"ASTM A416"), L33, 0), 3)</f>
        <v/>
      </c>
      <c r="W33" s="20">
        <f>ROUND(W32 + IF(AND(E33=25, F33&lt;&gt;"ASTM A416"), L33, 0), 3)</f>
        <v/>
      </c>
      <c r="X33" s="20">
        <f>ROUND(X32 + IF(AND(E33=28, F33&lt;&gt;"ASTM A416"), L33, 0), 3)</f>
        <v/>
      </c>
      <c r="Y33" s="20">
        <f>ROUND(Y32 + IF(AND(E33=32, F33&lt;&gt;"ASTM A416"), L33, 0), 3)</f>
        <v/>
      </c>
      <c r="Z33" s="20">
        <f>ROUND(Z32 + IF(F33="ASTM A416", L33, 0), 3)</f>
        <v/>
      </c>
      <c r="AA33" s="11">
        <f>IF(INT(P33/20)&gt;INT(P32/20), "Lần " &amp; INT(P33/20), "")</f>
        <v/>
      </c>
      <c r="AB33" s="11">
        <f>IF(INT(Q33/20)&gt;INT(Q32/20), "Lần " &amp; INT(Q33/20), "")</f>
        <v/>
      </c>
      <c r="AC33" s="11">
        <f>IF(INT(R33/20)&gt;INT(R32/20), "Lần " &amp; INT(R33/20), "")</f>
        <v/>
      </c>
      <c r="AD33" s="11">
        <f>IF(INT(S33/20)&gt;INT(S32/20), "Lần " &amp; INT(S33/20), "")</f>
        <v/>
      </c>
      <c r="AE33" s="11">
        <f>IF(INT(T33/20)&gt;INT(T32/20), "Lần " &amp; INT(T33/20), "")</f>
        <v/>
      </c>
      <c r="AF33" s="11">
        <f>IF(INT(U33/20)&gt;INT(U32/20), "Lần " &amp; INT(U33/20), "")</f>
        <v/>
      </c>
      <c r="AG33" s="11">
        <f>IF(INT(V33/20)&gt;INT(V32/20), "Lần " &amp; INT(V33/20), "")</f>
        <v/>
      </c>
      <c r="AH33" s="11">
        <f>IF(INT(W33/20)&gt;INT(W32/20), "Lần " &amp; INT(W33/20), "")</f>
        <v/>
      </c>
      <c r="AI33" s="11">
        <f>IF(INT(X33/20)&gt;INT(X32/20), "Lần " &amp; INT(X33/20), "")</f>
        <v/>
      </c>
      <c r="AJ33" s="11">
        <f>IF(INT(Y33/20)&gt;INT(Y32/20), "Lần " &amp; INT(Y33/20), "")</f>
        <v/>
      </c>
      <c r="AK33" s="11">
        <f>IF(INT(Z33/20)&gt;INT(Z32/20), "Lần " &amp; INT(Z33/20), "")</f>
        <v/>
      </c>
      <c r="AL33" s="6" t="inlineStr">
        <is>
          <t>ĐẠT TCVN 1651:2018</t>
        </is>
      </c>
    </row>
    <row r="34" ht="20" customHeight="1">
      <c r="A34" s="17" t="inlineStr">
        <is>
          <t>--- CỌC KHOAN NHỒI C3 MỐ M1 (D1.2M, L=20.0M) ---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</row>
    <row r="35" ht="19" customHeight="1">
      <c r="A35" s="6" t="n">
        <v>29</v>
      </c>
      <c r="B35" s="7" t="inlineStr">
        <is>
          <t>Cọc khoan nhồi C3 Mố M1 (D1.2m, L=20.0m)</t>
        </is>
      </c>
      <c r="C35" s="7" t="inlineStr">
        <is>
          <t>Thép đai xoắn lồng cọc</t>
        </is>
      </c>
      <c r="D35" s="18" t="inlineStr">
        <is>
          <t>P1</t>
        </is>
      </c>
      <c r="E35" s="19" t="n">
        <v>10</v>
      </c>
      <c r="F35" s="6" t="inlineStr">
        <is>
          <t>CB240-T</t>
        </is>
      </c>
      <c r="G35" s="7" t="inlineStr">
        <is>
          <t>Đai xoắn tròn</t>
        </is>
      </c>
      <c r="H35" s="20" t="n">
        <v>96.604</v>
      </c>
      <c r="I35" s="21" t="n">
        <v>1</v>
      </c>
      <c r="J35" s="22" t="n">
        <v>0.617</v>
      </c>
      <c r="K35" s="9">
        <f>ROUND(H35*I35*J35, 2)</f>
        <v/>
      </c>
      <c r="L35" s="23">
        <f>ROUND(K35/1000, 3)</f>
        <v/>
      </c>
      <c r="M35" s="8" t="n"/>
      <c r="N35" s="6" t="n"/>
      <c r="O35" s="24">
        <f>IF(AND(E35&lt;=10, F35&lt;&gt;"ASTM A416", INT(P35/20)&gt;INT(P33/20)), "TN Ø10 (Lần " &amp; INT(P35/20) &amp; ")", IF(AND(E35=12, INT(Q35/20)&gt;INT(Q33/20)), "TN Ø12 (Lần " &amp; INT(Q35/20) &amp; ")", IF(AND(E35=14, INT(R35/20)&gt;INT(R33/20)), "TN Ø14 (Lần " &amp; INT(R35/20) &amp; ")", IF(AND(E35=16, INT(S35/20)&gt;INT(S33/20)), "TN Ø16 (Lần " &amp; INT(S35/20) &amp; ")", IF(AND(E35=18, INT(T35/20)&gt;INT(T33/20)), "TN Ø18 (Lần " &amp; INT(T35/20) &amp; ")", IF(AND(E35=20, INT(U35/20)&gt;INT(U33/20)), "TN Ø20 (Lần " &amp; INT(U35/20) &amp; ")", IF(AND(E35=22, INT(V35/20)&gt;INT(V33/20)), "TN Ø22 (Lần " &amp; INT(V35/20) &amp; ")", IF(AND(E35=25, INT(W35/20)&gt;INT(W33/20)), "TN Ø25 (Lần " &amp; INT(W35/20) &amp; ")", IF(AND(E35=28, INT(X35/20)&gt;INT(X33/20)), "TN Ø28 (Lần " &amp; INT(X35/20) &amp; ")", IF(AND(E35=32, INT(Y35/20)&gt;INT(Y33/20)), "TN Ø32 (Lần " &amp; INT(Y35/20) &amp; ")", IF(AND(F35="ASTM A416", INT(Z35/20)&gt;INT(Z33/20)), "TN Cáp 15.2 (Lần " &amp; INT(Z35/20) &amp; ")", "")))))))))))</f>
        <v/>
      </c>
      <c r="P35" s="20">
        <f>ROUND(P33 + IF(AND(E35&lt;=10, F35&lt;&gt;"ASTM A416"), L35, 0), 3)</f>
        <v/>
      </c>
      <c r="Q35" s="20">
        <f>ROUND(Q33 + IF(AND(E35=12, F35&lt;&gt;"ASTM A416"), L35, 0), 3)</f>
        <v/>
      </c>
      <c r="R35" s="20">
        <f>ROUND(R33 + IF(AND(E35=14, F35&lt;&gt;"ASTM A416"), L35, 0), 3)</f>
        <v/>
      </c>
      <c r="S35" s="20">
        <f>ROUND(S33 + IF(AND(E35=16, F35&lt;&gt;"ASTM A416"), L35, 0), 3)</f>
        <v/>
      </c>
      <c r="T35" s="20">
        <f>ROUND(T33 + IF(AND(E35=18, F35&lt;&gt;"ASTM A416"), L35, 0), 3)</f>
        <v/>
      </c>
      <c r="U35" s="20">
        <f>ROUND(U33 + IF(AND(E35=20, F35&lt;&gt;"ASTM A416"), L35, 0), 3)</f>
        <v/>
      </c>
      <c r="V35" s="20">
        <f>ROUND(V33 + IF(AND(E35=22, F35&lt;&gt;"ASTM A416"), L35, 0), 3)</f>
        <v/>
      </c>
      <c r="W35" s="20">
        <f>ROUND(W33 + IF(AND(E35=25, F35&lt;&gt;"ASTM A416"), L35, 0), 3)</f>
        <v/>
      </c>
      <c r="X35" s="20">
        <f>ROUND(X33 + IF(AND(E35=28, F35&lt;&gt;"ASTM A416"), L35, 0), 3)</f>
        <v/>
      </c>
      <c r="Y35" s="20">
        <f>ROUND(Y33 + IF(AND(E35=32, F35&lt;&gt;"ASTM A416"), L35, 0), 3)</f>
        <v/>
      </c>
      <c r="Z35" s="20">
        <f>ROUND(Z33 + IF(F35="ASTM A416", L35, 0), 3)</f>
        <v/>
      </c>
      <c r="AA35" s="11">
        <f>IF(INT(P35/20)&gt;INT(P33/20), "Lần " &amp; INT(P35/20), "")</f>
        <v/>
      </c>
      <c r="AB35" s="11">
        <f>IF(INT(Q35/20)&gt;INT(Q33/20), "Lần " &amp; INT(Q35/20), "")</f>
        <v/>
      </c>
      <c r="AC35" s="11">
        <f>IF(INT(R35/20)&gt;INT(R33/20), "Lần " &amp; INT(R35/20), "")</f>
        <v/>
      </c>
      <c r="AD35" s="11">
        <f>IF(INT(S35/20)&gt;INT(S33/20), "Lần " &amp; INT(S35/20), "")</f>
        <v/>
      </c>
      <c r="AE35" s="11">
        <f>IF(INT(T35/20)&gt;INT(T33/20), "Lần " &amp; INT(T35/20), "")</f>
        <v/>
      </c>
      <c r="AF35" s="11">
        <f>IF(INT(U35/20)&gt;INT(U33/20), "Lần " &amp; INT(U35/20), "")</f>
        <v/>
      </c>
      <c r="AG35" s="11">
        <f>IF(INT(V35/20)&gt;INT(V33/20), "Lần " &amp; INT(V35/20), "")</f>
        <v/>
      </c>
      <c r="AH35" s="11">
        <f>IF(INT(W35/20)&gt;INT(W33/20), "Lần " &amp; INT(W35/20), "")</f>
        <v/>
      </c>
      <c r="AI35" s="11">
        <f>IF(INT(X35/20)&gt;INT(X33/20), "Lần " &amp; INT(X35/20), "")</f>
        <v/>
      </c>
      <c r="AJ35" s="11">
        <f>IF(INT(Y35/20)&gt;INT(Y33/20), "Lần " &amp; INT(Y35/20), "")</f>
        <v/>
      </c>
      <c r="AK35" s="11">
        <f>IF(INT(Z35/20)&gt;INT(Z33/20), "Lần " &amp; INT(Z35/20), "")</f>
        <v/>
      </c>
      <c r="AL35" s="6" t="inlineStr">
        <is>
          <t>ĐẠT TCVN 1651:2018</t>
        </is>
      </c>
    </row>
    <row r="36" ht="19" customHeight="1">
      <c r="A36" s="6" t="n">
        <v>30</v>
      </c>
      <c r="B36" s="7" t="inlineStr">
        <is>
          <t>Cọc khoan nhồi C3 Mố M1 (D1.2m, L=20.0m)</t>
        </is>
      </c>
      <c r="C36" s="7" t="inlineStr">
        <is>
          <t>Thép đai xoắn lồng cọc</t>
        </is>
      </c>
      <c r="D36" s="18" t="inlineStr">
        <is>
          <t>P1A</t>
        </is>
      </c>
      <c r="E36" s="19" t="n">
        <v>10</v>
      </c>
      <c r="F36" s="6" t="inlineStr">
        <is>
          <t>CB240-T</t>
        </is>
      </c>
      <c r="G36" s="7" t="inlineStr">
        <is>
          <t>Đai xoắn tròn</t>
        </is>
      </c>
      <c r="H36" s="20" t="n">
        <v>373.535</v>
      </c>
      <c r="I36" s="21" t="n">
        <v>1</v>
      </c>
      <c r="J36" s="22" t="n">
        <v>0.617</v>
      </c>
      <c r="K36" s="9">
        <f>ROUND(H36*I36*J36, 2)</f>
        <v/>
      </c>
      <c r="L36" s="23">
        <f>ROUND(K36/1000, 3)</f>
        <v/>
      </c>
      <c r="M36" s="8" t="n"/>
      <c r="N36" s="6" t="n"/>
      <c r="O36" s="24">
        <f>IF(AND(E36&lt;=10, F36&lt;&gt;"ASTM A416", INT(P36/20)&gt;INT(P35/20)), "TN Ø10 (Lần " &amp; INT(P36/20) &amp; ")", IF(AND(E36=12, INT(Q36/20)&gt;INT(Q35/20)), "TN Ø12 (Lần " &amp; INT(Q36/20) &amp; ")", IF(AND(E36=14, INT(R36/20)&gt;INT(R35/20)), "TN Ø14 (Lần " &amp; INT(R36/20) &amp; ")", IF(AND(E36=16, INT(S36/20)&gt;INT(S35/20)), "TN Ø16 (Lần " &amp; INT(S36/20) &amp; ")", IF(AND(E36=18, INT(T36/20)&gt;INT(T35/20)), "TN Ø18 (Lần " &amp; INT(T36/20) &amp; ")", IF(AND(E36=20, INT(U36/20)&gt;INT(U35/20)), "TN Ø20 (Lần " &amp; INT(U36/20) &amp; ")", IF(AND(E36=22, INT(V36/20)&gt;INT(V35/20)), "TN Ø22 (Lần " &amp; INT(V36/20) &amp; ")", IF(AND(E36=25, INT(W36/20)&gt;INT(W35/20)), "TN Ø25 (Lần " &amp; INT(W36/20) &amp; ")", IF(AND(E36=28, INT(X36/20)&gt;INT(X35/20)), "TN Ø28 (Lần " &amp; INT(X36/20) &amp; ")", IF(AND(E36=32, INT(Y36/20)&gt;INT(Y35/20)), "TN Ø32 (Lần " &amp; INT(Y36/20) &amp; ")", IF(AND(F36="ASTM A416", INT(Z36/20)&gt;INT(Z35/20)), "TN Cáp 15.2 (Lần " &amp; INT(Z36/20) &amp; ")", "")))))))))))</f>
        <v/>
      </c>
      <c r="P36" s="20">
        <f>ROUND(P35 + IF(AND(E36&lt;=10, F36&lt;&gt;"ASTM A416"), L36, 0), 3)</f>
        <v/>
      </c>
      <c r="Q36" s="20">
        <f>ROUND(Q35 + IF(AND(E36=12, F36&lt;&gt;"ASTM A416"), L36, 0), 3)</f>
        <v/>
      </c>
      <c r="R36" s="20">
        <f>ROUND(R35 + IF(AND(E36=14, F36&lt;&gt;"ASTM A416"), L36, 0), 3)</f>
        <v/>
      </c>
      <c r="S36" s="20">
        <f>ROUND(S35 + IF(AND(E36=16, F36&lt;&gt;"ASTM A416"), L36, 0), 3)</f>
        <v/>
      </c>
      <c r="T36" s="20">
        <f>ROUND(T35 + IF(AND(E36=18, F36&lt;&gt;"ASTM A416"), L36, 0), 3)</f>
        <v/>
      </c>
      <c r="U36" s="20">
        <f>ROUND(U35 + IF(AND(E36=20, F36&lt;&gt;"ASTM A416"), L36, 0), 3)</f>
        <v/>
      </c>
      <c r="V36" s="20">
        <f>ROUND(V35 + IF(AND(E36=22, F36&lt;&gt;"ASTM A416"), L36, 0), 3)</f>
        <v/>
      </c>
      <c r="W36" s="20">
        <f>ROUND(W35 + IF(AND(E36=25, F36&lt;&gt;"ASTM A416"), L36, 0), 3)</f>
        <v/>
      </c>
      <c r="X36" s="20">
        <f>ROUND(X35 + IF(AND(E36=28, F36&lt;&gt;"ASTM A416"), L36, 0), 3)</f>
        <v/>
      </c>
      <c r="Y36" s="20">
        <f>ROUND(Y35 + IF(AND(E36=32, F36&lt;&gt;"ASTM A416"), L36, 0), 3)</f>
        <v/>
      </c>
      <c r="Z36" s="20">
        <f>ROUND(Z35 + IF(F36="ASTM A416", L36, 0), 3)</f>
        <v/>
      </c>
      <c r="AA36" s="11">
        <f>IF(INT(P36/20)&gt;INT(P35/20), "Lần " &amp; INT(P36/20), "")</f>
        <v/>
      </c>
      <c r="AB36" s="11">
        <f>IF(INT(Q36/20)&gt;INT(Q35/20), "Lần " &amp; INT(Q36/20), "")</f>
        <v/>
      </c>
      <c r="AC36" s="11">
        <f>IF(INT(R36/20)&gt;INT(R35/20), "Lần " &amp; INT(R36/20), "")</f>
        <v/>
      </c>
      <c r="AD36" s="11">
        <f>IF(INT(S36/20)&gt;INT(S35/20), "Lần " &amp; INT(S36/20), "")</f>
        <v/>
      </c>
      <c r="AE36" s="11">
        <f>IF(INT(T36/20)&gt;INT(T35/20), "Lần " &amp; INT(T36/20), "")</f>
        <v/>
      </c>
      <c r="AF36" s="11">
        <f>IF(INT(U36/20)&gt;INT(U35/20), "Lần " &amp; INT(U36/20), "")</f>
        <v/>
      </c>
      <c r="AG36" s="11">
        <f>IF(INT(V36/20)&gt;INT(V35/20), "Lần " &amp; INT(V36/20), "")</f>
        <v/>
      </c>
      <c r="AH36" s="11">
        <f>IF(INT(W36/20)&gt;INT(W35/20), "Lần " &amp; INT(W36/20), "")</f>
        <v/>
      </c>
      <c r="AI36" s="11">
        <f>IF(INT(X36/20)&gt;INT(X35/20), "Lần " &amp; INT(X36/20), "")</f>
        <v/>
      </c>
      <c r="AJ36" s="11">
        <f>IF(INT(Y36/20)&gt;INT(Y35/20), "Lần " &amp; INT(Y36/20), "")</f>
        <v/>
      </c>
      <c r="AK36" s="11">
        <f>IF(INT(Z36/20)&gt;INT(Z35/20), "Lần " &amp; INT(Z36/20), "")</f>
        <v/>
      </c>
      <c r="AL36" s="6" t="inlineStr">
        <is>
          <t>ĐẠT TCVN 1651:2018</t>
        </is>
      </c>
    </row>
    <row r="37" ht="19" customHeight="1">
      <c r="A37" s="6" t="n">
        <v>31</v>
      </c>
      <c r="B37" s="7" t="inlineStr">
        <is>
          <t>Cọc khoan nhồi C3 Mố M1 (D1.2m, L=20.0m)</t>
        </is>
      </c>
      <c r="C37" s="7" t="inlineStr">
        <is>
          <t>Thép đai xoắn lồng cọc</t>
        </is>
      </c>
      <c r="D37" s="18" t="inlineStr">
        <is>
          <t>P1C</t>
        </is>
      </c>
      <c r="E37" s="19" t="n">
        <v>10</v>
      </c>
      <c r="F37" s="6" t="inlineStr">
        <is>
          <t>CB240-T</t>
        </is>
      </c>
      <c r="G37" s="7" t="inlineStr">
        <is>
          <t>Đai xoắn tròn</t>
        </is>
      </c>
      <c r="H37" s="20" t="n">
        <v>3.592</v>
      </c>
      <c r="I37" s="21" t="n">
        <v>2</v>
      </c>
      <c r="J37" s="22" t="n">
        <v>0.617</v>
      </c>
      <c r="K37" s="9">
        <f>ROUND(H37*I37*J37, 2)</f>
        <v/>
      </c>
      <c r="L37" s="23">
        <f>ROUND(K37/1000, 3)</f>
        <v/>
      </c>
      <c r="M37" s="8" t="n"/>
      <c r="N37" s="6" t="n"/>
      <c r="O37" s="24">
        <f>IF(AND(E37&lt;=10, F37&lt;&gt;"ASTM A416", INT(P37/20)&gt;INT(P36/20)), "TN Ø10 (Lần " &amp; INT(P37/20) &amp; ")", IF(AND(E37=12, INT(Q37/20)&gt;INT(Q36/20)), "TN Ø12 (Lần " &amp; INT(Q37/20) &amp; ")", IF(AND(E37=14, INT(R37/20)&gt;INT(R36/20)), "TN Ø14 (Lần " &amp; INT(R37/20) &amp; ")", IF(AND(E37=16, INT(S37/20)&gt;INT(S36/20)), "TN Ø16 (Lần " &amp; INT(S37/20) &amp; ")", IF(AND(E37=18, INT(T37/20)&gt;INT(T36/20)), "TN Ø18 (Lần " &amp; INT(T37/20) &amp; ")", IF(AND(E37=20, INT(U37/20)&gt;INT(U36/20)), "TN Ø20 (Lần " &amp; INT(U37/20) &amp; ")", IF(AND(E37=22, INT(V37/20)&gt;INT(V36/20)), "TN Ø22 (Lần " &amp; INT(V37/20) &amp; ")", IF(AND(E37=25, INT(W37/20)&gt;INT(W36/20)), "TN Ø25 (Lần " &amp; INT(W37/20) &amp; ")", IF(AND(E37=28, INT(X37/20)&gt;INT(X36/20)), "TN Ø28 (Lần " &amp; INT(X37/20) &amp; ")", IF(AND(E37=32, INT(Y37/20)&gt;INT(Y36/20)), "TN Ø32 (Lần " &amp; INT(Y37/20) &amp; ")", IF(AND(F37="ASTM A416", INT(Z37/20)&gt;INT(Z36/20)), "TN Cáp 15.2 (Lần " &amp; INT(Z37/20) &amp; ")", "")))))))))))</f>
        <v/>
      </c>
      <c r="P37" s="20">
        <f>ROUND(P36 + IF(AND(E37&lt;=10, F37&lt;&gt;"ASTM A416"), L37, 0), 3)</f>
        <v/>
      </c>
      <c r="Q37" s="20">
        <f>ROUND(Q36 + IF(AND(E37=12, F37&lt;&gt;"ASTM A416"), L37, 0), 3)</f>
        <v/>
      </c>
      <c r="R37" s="20">
        <f>ROUND(R36 + IF(AND(E37=14, F37&lt;&gt;"ASTM A416"), L37, 0), 3)</f>
        <v/>
      </c>
      <c r="S37" s="20">
        <f>ROUND(S36 + IF(AND(E37=16, F37&lt;&gt;"ASTM A416"), L37, 0), 3)</f>
        <v/>
      </c>
      <c r="T37" s="20">
        <f>ROUND(T36 + IF(AND(E37=18, F37&lt;&gt;"ASTM A416"), L37, 0), 3)</f>
        <v/>
      </c>
      <c r="U37" s="20">
        <f>ROUND(U36 + IF(AND(E37=20, F37&lt;&gt;"ASTM A416"), L37, 0), 3)</f>
        <v/>
      </c>
      <c r="V37" s="20">
        <f>ROUND(V36 + IF(AND(E37=22, F37&lt;&gt;"ASTM A416"), L37, 0), 3)</f>
        <v/>
      </c>
      <c r="W37" s="20">
        <f>ROUND(W36 + IF(AND(E37=25, F37&lt;&gt;"ASTM A416"), L37, 0), 3)</f>
        <v/>
      </c>
      <c r="X37" s="20">
        <f>ROUND(X36 + IF(AND(E37=28, F37&lt;&gt;"ASTM A416"), L37, 0), 3)</f>
        <v/>
      </c>
      <c r="Y37" s="20">
        <f>ROUND(Y36 + IF(AND(E37=32, F37&lt;&gt;"ASTM A416"), L37, 0), 3)</f>
        <v/>
      </c>
      <c r="Z37" s="20">
        <f>ROUND(Z36 + IF(F37="ASTM A416", L37, 0), 3)</f>
        <v/>
      </c>
      <c r="AA37" s="11">
        <f>IF(INT(P37/20)&gt;INT(P36/20), "Lần " &amp; INT(P37/20), "")</f>
        <v/>
      </c>
      <c r="AB37" s="11">
        <f>IF(INT(Q37/20)&gt;INT(Q36/20), "Lần " &amp; INT(Q37/20), "")</f>
        <v/>
      </c>
      <c r="AC37" s="11">
        <f>IF(INT(R37/20)&gt;INT(R36/20), "Lần " &amp; INT(R37/20), "")</f>
        <v/>
      </c>
      <c r="AD37" s="11">
        <f>IF(INT(S37/20)&gt;INT(S36/20), "Lần " &amp; INT(S37/20), "")</f>
        <v/>
      </c>
      <c r="AE37" s="11">
        <f>IF(INT(T37/20)&gt;INT(T36/20), "Lần " &amp; INT(T37/20), "")</f>
        <v/>
      </c>
      <c r="AF37" s="11">
        <f>IF(INT(U37/20)&gt;INT(U36/20), "Lần " &amp; INT(U37/20), "")</f>
        <v/>
      </c>
      <c r="AG37" s="11">
        <f>IF(INT(V37/20)&gt;INT(V36/20), "Lần " &amp; INT(V37/20), "")</f>
        <v/>
      </c>
      <c r="AH37" s="11">
        <f>IF(INT(W37/20)&gt;INT(W36/20), "Lần " &amp; INT(W37/20), "")</f>
        <v/>
      </c>
      <c r="AI37" s="11">
        <f>IF(INT(X37/20)&gt;INT(X36/20), "Lần " &amp; INT(X37/20), "")</f>
        <v/>
      </c>
      <c r="AJ37" s="11">
        <f>IF(INT(Y37/20)&gt;INT(Y36/20), "Lần " &amp; INT(Y37/20), "")</f>
        <v/>
      </c>
      <c r="AK37" s="11">
        <f>IF(INT(Z37/20)&gt;INT(Z36/20), "Lần " &amp; INT(Z37/20), "")</f>
        <v/>
      </c>
      <c r="AL37" s="6" t="inlineStr">
        <is>
          <t>ĐẠT TCVN 1651:2018</t>
        </is>
      </c>
    </row>
    <row r="38" ht="19" customHeight="1">
      <c r="A38" s="6" t="n">
        <v>32</v>
      </c>
      <c r="B38" s="7" t="inlineStr">
        <is>
          <t>Cọc khoan nhồi C3 Mố M1 (D1.2m, L=20.0m)</t>
        </is>
      </c>
      <c r="C38" s="7" t="inlineStr">
        <is>
          <t>Thép đai xoắn lồng cọc</t>
        </is>
      </c>
      <c r="D38" s="18" t="inlineStr">
        <is>
          <t>P1D</t>
        </is>
      </c>
      <c r="E38" s="19" t="n">
        <v>10</v>
      </c>
      <c r="F38" s="6" t="inlineStr">
        <is>
          <t>CB240-T</t>
        </is>
      </c>
      <c r="G38" s="7" t="inlineStr">
        <is>
          <t>Đai xoắn tròn</t>
        </is>
      </c>
      <c r="H38" s="20" t="n">
        <v>19.721</v>
      </c>
      <c r="I38" s="21" t="n">
        <v>1</v>
      </c>
      <c r="J38" s="22" t="n">
        <v>0.617</v>
      </c>
      <c r="K38" s="9">
        <f>ROUND(H38*I38*J38, 2)</f>
        <v/>
      </c>
      <c r="L38" s="23">
        <f>ROUND(K38/1000, 3)</f>
        <v/>
      </c>
      <c r="M38" s="8" t="n"/>
      <c r="N38" s="6" t="n"/>
      <c r="O38" s="24">
        <f>IF(AND(E38&lt;=10, F38&lt;&gt;"ASTM A416", INT(P38/20)&gt;INT(P37/20)), "TN Ø10 (Lần " &amp; INT(P38/20) &amp; ")", IF(AND(E38=12, INT(Q38/20)&gt;INT(Q37/20)), "TN Ø12 (Lần " &amp; INT(Q38/20) &amp; ")", IF(AND(E38=14, INT(R38/20)&gt;INT(R37/20)), "TN Ø14 (Lần " &amp; INT(R38/20) &amp; ")", IF(AND(E38=16, INT(S38/20)&gt;INT(S37/20)), "TN Ø16 (Lần " &amp; INT(S38/20) &amp; ")", IF(AND(E38=18, INT(T38/20)&gt;INT(T37/20)), "TN Ø18 (Lần " &amp; INT(T38/20) &amp; ")", IF(AND(E38=20, INT(U38/20)&gt;INT(U37/20)), "TN Ø20 (Lần " &amp; INT(U38/20) &amp; ")", IF(AND(E38=22, INT(V38/20)&gt;INT(V37/20)), "TN Ø22 (Lần " &amp; INT(V38/20) &amp; ")", IF(AND(E38=25, INT(W38/20)&gt;INT(W37/20)), "TN Ø25 (Lần " &amp; INT(W38/20) &amp; ")", IF(AND(E38=28, INT(X38/20)&gt;INT(X37/20)), "TN Ø28 (Lần " &amp; INT(X38/20) &amp; ")", IF(AND(E38=32, INT(Y38/20)&gt;INT(Y37/20)), "TN Ø32 (Lần " &amp; INT(Y38/20) &amp; ")", IF(AND(F38="ASTM A416", INT(Z38/20)&gt;INT(Z37/20)), "TN Cáp 15.2 (Lần " &amp; INT(Z38/20) &amp; ")", "")))))))))))</f>
        <v/>
      </c>
      <c r="P38" s="20">
        <f>ROUND(P37 + IF(AND(E38&lt;=10, F38&lt;&gt;"ASTM A416"), L38, 0), 3)</f>
        <v/>
      </c>
      <c r="Q38" s="20">
        <f>ROUND(Q37 + IF(AND(E38=12, F38&lt;&gt;"ASTM A416"), L38, 0), 3)</f>
        <v/>
      </c>
      <c r="R38" s="20">
        <f>ROUND(R37 + IF(AND(E38=14, F38&lt;&gt;"ASTM A416"), L38, 0), 3)</f>
        <v/>
      </c>
      <c r="S38" s="20">
        <f>ROUND(S37 + IF(AND(E38=16, F38&lt;&gt;"ASTM A416"), L38, 0), 3)</f>
        <v/>
      </c>
      <c r="T38" s="20">
        <f>ROUND(T37 + IF(AND(E38=18, F38&lt;&gt;"ASTM A416"), L38, 0), 3)</f>
        <v/>
      </c>
      <c r="U38" s="20">
        <f>ROUND(U37 + IF(AND(E38=20, F38&lt;&gt;"ASTM A416"), L38, 0), 3)</f>
        <v/>
      </c>
      <c r="V38" s="20">
        <f>ROUND(V37 + IF(AND(E38=22, F38&lt;&gt;"ASTM A416"), L38, 0), 3)</f>
        <v/>
      </c>
      <c r="W38" s="20">
        <f>ROUND(W37 + IF(AND(E38=25, F38&lt;&gt;"ASTM A416"), L38, 0), 3)</f>
        <v/>
      </c>
      <c r="X38" s="20">
        <f>ROUND(X37 + IF(AND(E38=28, F38&lt;&gt;"ASTM A416"), L38, 0), 3)</f>
        <v/>
      </c>
      <c r="Y38" s="20">
        <f>ROUND(Y37 + IF(AND(E38=32, F38&lt;&gt;"ASTM A416"), L38, 0), 3)</f>
        <v/>
      </c>
      <c r="Z38" s="20">
        <f>ROUND(Z37 + IF(F38="ASTM A416", L38, 0), 3)</f>
        <v/>
      </c>
      <c r="AA38" s="11">
        <f>IF(INT(P38/20)&gt;INT(P37/20), "Lần " &amp; INT(P38/20), "")</f>
        <v/>
      </c>
      <c r="AB38" s="11">
        <f>IF(INT(Q38/20)&gt;INT(Q37/20), "Lần " &amp; INT(Q38/20), "")</f>
        <v/>
      </c>
      <c r="AC38" s="11">
        <f>IF(INT(R38/20)&gt;INT(R37/20), "Lần " &amp; INT(R38/20), "")</f>
        <v/>
      </c>
      <c r="AD38" s="11">
        <f>IF(INT(S38/20)&gt;INT(S37/20), "Lần " &amp; INT(S38/20), "")</f>
        <v/>
      </c>
      <c r="AE38" s="11">
        <f>IF(INT(T38/20)&gt;INT(T37/20), "Lần " &amp; INT(T38/20), "")</f>
        <v/>
      </c>
      <c r="AF38" s="11">
        <f>IF(INT(U38/20)&gt;INT(U37/20), "Lần " &amp; INT(U38/20), "")</f>
        <v/>
      </c>
      <c r="AG38" s="11">
        <f>IF(INT(V38/20)&gt;INT(V37/20), "Lần " &amp; INT(V38/20), "")</f>
        <v/>
      </c>
      <c r="AH38" s="11">
        <f>IF(INT(W38/20)&gt;INT(W37/20), "Lần " &amp; INT(W38/20), "")</f>
        <v/>
      </c>
      <c r="AI38" s="11">
        <f>IF(INT(X38/20)&gt;INT(X37/20), "Lần " &amp; INT(X38/20), "")</f>
        <v/>
      </c>
      <c r="AJ38" s="11">
        <f>IF(INT(Y38/20)&gt;INT(Y37/20), "Lần " &amp; INT(Y38/20), "")</f>
        <v/>
      </c>
      <c r="AK38" s="11">
        <f>IF(INT(Z38/20)&gt;INT(Z37/20), "Lần " &amp; INT(Z38/20), "")</f>
        <v/>
      </c>
      <c r="AL38" s="6" t="inlineStr">
        <is>
          <t>ĐẠT TCVN 1651:2018</t>
        </is>
      </c>
    </row>
    <row r="39" ht="19" customHeight="1">
      <c r="A39" s="6" t="n">
        <v>33</v>
      </c>
      <c r="B39" s="7" t="inlineStr">
        <is>
          <t>Cọc khoan nhồi C3 Mố M1 (D1.2m, L=20.0m)</t>
        </is>
      </c>
      <c r="C39" s="7" t="inlineStr">
        <is>
          <t>Cốt thép chủ chịu lực cọc</t>
        </is>
      </c>
      <c r="D39" s="18" t="inlineStr">
        <is>
          <t>P2B</t>
        </is>
      </c>
      <c r="E39" s="19" t="n">
        <v>25</v>
      </c>
      <c r="F39" s="6" t="inlineStr">
        <is>
          <t>CB400-V</t>
        </is>
      </c>
      <c r="G39" s="7" t="inlineStr">
        <is>
          <t>Thanh thẳng nối ren/hàn</t>
        </is>
      </c>
      <c r="H39" s="20" t="n">
        <v>2.985</v>
      </c>
      <c r="I39" s="21" t="n">
        <v>8</v>
      </c>
      <c r="J39" s="22" t="n">
        <v>3.85</v>
      </c>
      <c r="K39" s="9">
        <f>ROUND(H39*I39*J39, 2)</f>
        <v/>
      </c>
      <c r="L39" s="23">
        <f>ROUND(K39/1000, 3)</f>
        <v/>
      </c>
      <c r="M39" s="8" t="n"/>
      <c r="N39" s="6" t="n"/>
      <c r="O39" s="24">
        <f>IF(AND(E39&lt;=10, F39&lt;&gt;"ASTM A416", INT(P39/20)&gt;INT(P38/20)), "TN Ø10 (Lần " &amp; INT(P39/20) &amp; ")", IF(AND(E39=12, INT(Q39/20)&gt;INT(Q38/20)), "TN Ø12 (Lần " &amp; INT(Q39/20) &amp; ")", IF(AND(E39=14, INT(R39/20)&gt;INT(R38/20)), "TN Ø14 (Lần " &amp; INT(R39/20) &amp; ")", IF(AND(E39=16, INT(S39/20)&gt;INT(S38/20)), "TN Ø16 (Lần " &amp; INT(S39/20) &amp; ")", IF(AND(E39=18, INT(T39/20)&gt;INT(T38/20)), "TN Ø18 (Lần " &amp; INT(T39/20) &amp; ")", IF(AND(E39=20, INT(U39/20)&gt;INT(U38/20)), "TN Ø20 (Lần " &amp; INT(U39/20) &amp; ")", IF(AND(E39=22, INT(V39/20)&gt;INT(V38/20)), "TN Ø22 (Lần " &amp; INT(V39/20) &amp; ")", IF(AND(E39=25, INT(W39/20)&gt;INT(W38/20)), "TN Ø25 (Lần " &amp; INT(W39/20) &amp; ")", IF(AND(E39=28, INT(X39/20)&gt;INT(X38/20)), "TN Ø28 (Lần " &amp; INT(X39/20) &amp; ")", IF(AND(E39=32, INT(Y39/20)&gt;INT(Y38/20)), "TN Ø32 (Lần " &amp; INT(Y39/20) &amp; ")", IF(AND(F39="ASTM A416", INT(Z39/20)&gt;INT(Z38/20)), "TN Cáp 15.2 (Lần " &amp; INT(Z39/20) &amp; ")", "")))))))))))</f>
        <v/>
      </c>
      <c r="P39" s="20">
        <f>ROUND(P38 + IF(AND(E39&lt;=10, F39&lt;&gt;"ASTM A416"), L39, 0), 3)</f>
        <v/>
      </c>
      <c r="Q39" s="20">
        <f>ROUND(Q38 + IF(AND(E39=12, F39&lt;&gt;"ASTM A416"), L39, 0), 3)</f>
        <v/>
      </c>
      <c r="R39" s="20">
        <f>ROUND(R38 + IF(AND(E39=14, F39&lt;&gt;"ASTM A416"), L39, 0), 3)</f>
        <v/>
      </c>
      <c r="S39" s="20">
        <f>ROUND(S38 + IF(AND(E39=16, F39&lt;&gt;"ASTM A416"), L39, 0), 3)</f>
        <v/>
      </c>
      <c r="T39" s="20">
        <f>ROUND(T38 + IF(AND(E39=18, F39&lt;&gt;"ASTM A416"), L39, 0), 3)</f>
        <v/>
      </c>
      <c r="U39" s="20">
        <f>ROUND(U38 + IF(AND(E39=20, F39&lt;&gt;"ASTM A416"), L39, 0), 3)</f>
        <v/>
      </c>
      <c r="V39" s="20">
        <f>ROUND(V38 + IF(AND(E39=22, F39&lt;&gt;"ASTM A416"), L39, 0), 3)</f>
        <v/>
      </c>
      <c r="W39" s="20">
        <f>ROUND(W38 + IF(AND(E39=25, F39&lt;&gt;"ASTM A416"), L39, 0), 3)</f>
        <v/>
      </c>
      <c r="X39" s="20">
        <f>ROUND(X38 + IF(AND(E39=28, F39&lt;&gt;"ASTM A416"), L39, 0), 3)</f>
        <v/>
      </c>
      <c r="Y39" s="20">
        <f>ROUND(Y38 + IF(AND(E39=32, F39&lt;&gt;"ASTM A416"), L39, 0), 3)</f>
        <v/>
      </c>
      <c r="Z39" s="20">
        <f>ROUND(Z38 + IF(F39="ASTM A416", L39, 0), 3)</f>
        <v/>
      </c>
      <c r="AA39" s="11">
        <f>IF(INT(P39/20)&gt;INT(P38/20), "Lần " &amp; INT(P39/20), "")</f>
        <v/>
      </c>
      <c r="AB39" s="11">
        <f>IF(INT(Q39/20)&gt;INT(Q38/20), "Lần " &amp; INT(Q39/20), "")</f>
        <v/>
      </c>
      <c r="AC39" s="11">
        <f>IF(INT(R39/20)&gt;INT(R38/20), "Lần " &amp; INT(R39/20), "")</f>
        <v/>
      </c>
      <c r="AD39" s="11">
        <f>IF(INT(S39/20)&gt;INT(S38/20), "Lần " &amp; INT(S39/20), "")</f>
        <v/>
      </c>
      <c r="AE39" s="11">
        <f>IF(INT(T39/20)&gt;INT(T38/20), "Lần " &amp; INT(T39/20), "")</f>
        <v/>
      </c>
      <c r="AF39" s="11">
        <f>IF(INT(U39/20)&gt;INT(U38/20), "Lần " &amp; INT(U39/20), "")</f>
        <v/>
      </c>
      <c r="AG39" s="11">
        <f>IF(INT(V39/20)&gt;INT(V38/20), "Lần " &amp; INT(V39/20), "")</f>
        <v/>
      </c>
      <c r="AH39" s="11">
        <f>IF(INT(W39/20)&gt;INT(W38/20), "Lần " &amp; INT(W39/20), "")</f>
        <v/>
      </c>
      <c r="AI39" s="11">
        <f>IF(INT(X39/20)&gt;INT(X38/20), "Lần " &amp; INT(X39/20), "")</f>
        <v/>
      </c>
      <c r="AJ39" s="11">
        <f>IF(INT(Y39/20)&gt;INT(Y38/20), "Lần " &amp; INT(Y39/20), "")</f>
        <v/>
      </c>
      <c r="AK39" s="11">
        <f>IF(INT(Z39/20)&gt;INT(Z38/20), "Lần " &amp; INT(Z39/20), "")</f>
        <v/>
      </c>
      <c r="AL39" s="6" t="inlineStr">
        <is>
          <t>ĐẠT TCVN 1651:2018</t>
        </is>
      </c>
    </row>
    <row r="40" ht="19" customHeight="1">
      <c r="A40" s="6" t="n">
        <v>34</v>
      </c>
      <c r="B40" s="7" t="inlineStr">
        <is>
          <t>Cọc khoan nhồi C3 Mố M1 (D1.2m, L=20.0m)</t>
        </is>
      </c>
      <c r="C40" s="7" t="inlineStr">
        <is>
          <t>Cốt thép chủ chịu lực cọc</t>
        </is>
      </c>
      <c r="D40" s="18" t="inlineStr">
        <is>
          <t>P3</t>
        </is>
      </c>
      <c r="E40" s="19" t="n">
        <v>25</v>
      </c>
      <c r="F40" s="6" t="inlineStr">
        <is>
          <t>CB400-V</t>
        </is>
      </c>
      <c r="G40" s="7" t="inlineStr">
        <is>
          <t>Thanh thẳng nối ren/hàn</t>
        </is>
      </c>
      <c r="H40" s="20" t="n">
        <v>10.7</v>
      </c>
      <c r="I40" s="21" t="n">
        <v>12</v>
      </c>
      <c r="J40" s="22" t="n">
        <v>3.85</v>
      </c>
      <c r="K40" s="9">
        <f>ROUND(H40*I40*J40, 2)</f>
        <v/>
      </c>
      <c r="L40" s="23">
        <f>ROUND(K40/1000, 3)</f>
        <v/>
      </c>
      <c r="M40" s="8" t="n"/>
      <c r="N40" s="6" t="n"/>
      <c r="O40" s="24">
        <f>IF(AND(E40&lt;=10, F40&lt;&gt;"ASTM A416", INT(P40/20)&gt;INT(P39/20)), "TN Ø10 (Lần " &amp; INT(P40/20) &amp; ")", IF(AND(E40=12, INT(Q40/20)&gt;INT(Q39/20)), "TN Ø12 (Lần " &amp; INT(Q40/20) &amp; ")", IF(AND(E40=14, INT(R40/20)&gt;INT(R39/20)), "TN Ø14 (Lần " &amp; INT(R40/20) &amp; ")", IF(AND(E40=16, INT(S40/20)&gt;INT(S39/20)), "TN Ø16 (Lần " &amp; INT(S40/20) &amp; ")", IF(AND(E40=18, INT(T40/20)&gt;INT(T39/20)), "TN Ø18 (Lần " &amp; INT(T40/20) &amp; ")", IF(AND(E40=20, INT(U40/20)&gt;INT(U39/20)), "TN Ø20 (Lần " &amp; INT(U40/20) &amp; ")", IF(AND(E40=22, INT(V40/20)&gt;INT(V39/20)), "TN Ø22 (Lần " &amp; INT(V40/20) &amp; ")", IF(AND(E40=25, INT(W40/20)&gt;INT(W39/20)), "TN Ø25 (Lần " &amp; INT(W40/20) &amp; ")", IF(AND(E40=28, INT(X40/20)&gt;INT(X39/20)), "TN Ø28 (Lần " &amp; INT(X40/20) &amp; ")", IF(AND(E40=32, INT(Y40/20)&gt;INT(Y39/20)), "TN Ø32 (Lần " &amp; INT(Y40/20) &amp; ")", IF(AND(F40="ASTM A416", INT(Z40/20)&gt;INT(Z39/20)), "TN Cáp 15.2 (Lần " &amp; INT(Z40/20) &amp; ")", "")))))))))))</f>
        <v/>
      </c>
      <c r="P40" s="20">
        <f>ROUND(P39 + IF(AND(E40&lt;=10, F40&lt;&gt;"ASTM A416"), L40, 0), 3)</f>
        <v/>
      </c>
      <c r="Q40" s="20">
        <f>ROUND(Q39 + IF(AND(E40=12, F40&lt;&gt;"ASTM A416"), L40, 0), 3)</f>
        <v/>
      </c>
      <c r="R40" s="20">
        <f>ROUND(R39 + IF(AND(E40=14, F40&lt;&gt;"ASTM A416"), L40, 0), 3)</f>
        <v/>
      </c>
      <c r="S40" s="20">
        <f>ROUND(S39 + IF(AND(E40=16, F40&lt;&gt;"ASTM A416"), L40, 0), 3)</f>
        <v/>
      </c>
      <c r="T40" s="20">
        <f>ROUND(T39 + IF(AND(E40=18, F40&lt;&gt;"ASTM A416"), L40, 0), 3)</f>
        <v/>
      </c>
      <c r="U40" s="20">
        <f>ROUND(U39 + IF(AND(E40=20, F40&lt;&gt;"ASTM A416"), L40, 0), 3)</f>
        <v/>
      </c>
      <c r="V40" s="20">
        <f>ROUND(V39 + IF(AND(E40=22, F40&lt;&gt;"ASTM A416"), L40, 0), 3)</f>
        <v/>
      </c>
      <c r="W40" s="20">
        <f>ROUND(W39 + IF(AND(E40=25, F40&lt;&gt;"ASTM A416"), L40, 0), 3)</f>
        <v/>
      </c>
      <c r="X40" s="20">
        <f>ROUND(X39 + IF(AND(E40=28, F40&lt;&gt;"ASTM A416"), L40, 0), 3)</f>
        <v/>
      </c>
      <c r="Y40" s="20">
        <f>ROUND(Y39 + IF(AND(E40=32, F40&lt;&gt;"ASTM A416"), L40, 0), 3)</f>
        <v/>
      </c>
      <c r="Z40" s="20">
        <f>ROUND(Z39 + IF(F40="ASTM A416", L40, 0), 3)</f>
        <v/>
      </c>
      <c r="AA40" s="11">
        <f>IF(INT(P40/20)&gt;INT(P39/20), "Lần " &amp; INT(P40/20), "")</f>
        <v/>
      </c>
      <c r="AB40" s="11">
        <f>IF(INT(Q40/20)&gt;INT(Q39/20), "Lần " &amp; INT(Q40/20), "")</f>
        <v/>
      </c>
      <c r="AC40" s="11">
        <f>IF(INT(R40/20)&gt;INT(R39/20), "Lần " &amp; INT(R40/20), "")</f>
        <v/>
      </c>
      <c r="AD40" s="11">
        <f>IF(INT(S40/20)&gt;INT(S39/20), "Lần " &amp; INT(S40/20), "")</f>
        <v/>
      </c>
      <c r="AE40" s="11">
        <f>IF(INT(T40/20)&gt;INT(T39/20), "Lần " &amp; INT(T40/20), "")</f>
        <v/>
      </c>
      <c r="AF40" s="11">
        <f>IF(INT(U40/20)&gt;INT(U39/20), "Lần " &amp; INT(U40/20), "")</f>
        <v/>
      </c>
      <c r="AG40" s="11">
        <f>IF(INT(V40/20)&gt;INT(V39/20), "Lần " &amp; INT(V40/20), "")</f>
        <v/>
      </c>
      <c r="AH40" s="11">
        <f>IF(INT(W40/20)&gt;INT(W39/20), "Lần " &amp; INT(W40/20), "")</f>
        <v/>
      </c>
      <c r="AI40" s="11">
        <f>IF(INT(X40/20)&gt;INT(X39/20), "Lần " &amp; INT(X40/20), "")</f>
        <v/>
      </c>
      <c r="AJ40" s="11">
        <f>IF(INT(Y40/20)&gt;INT(Y39/20), "Lần " &amp; INT(Y40/20), "")</f>
        <v/>
      </c>
      <c r="AK40" s="11">
        <f>IF(INT(Z40/20)&gt;INT(Z39/20), "Lần " &amp; INT(Z40/20), "")</f>
        <v/>
      </c>
      <c r="AL40" s="6" t="inlineStr">
        <is>
          <t>ĐẠT TCVN 1651:2018</t>
        </is>
      </c>
    </row>
    <row r="41" ht="19" customHeight="1">
      <c r="A41" s="6" t="n">
        <v>35</v>
      </c>
      <c r="B41" s="7" t="inlineStr">
        <is>
          <t>Cọc khoan nhồi C3 Mố M1 (D1.2m, L=20.0m)</t>
        </is>
      </c>
      <c r="C41" s="7" t="inlineStr">
        <is>
          <t>Cốt thép chủ chịu lực cọc</t>
        </is>
      </c>
      <c r="D41" s="18" t="inlineStr">
        <is>
          <t>P4</t>
        </is>
      </c>
      <c r="E41" s="19" t="n">
        <v>25</v>
      </c>
      <c r="F41" s="6" t="inlineStr">
        <is>
          <t>CB400-V</t>
        </is>
      </c>
      <c r="G41" s="7" t="inlineStr">
        <is>
          <t>Thanh thẳng nối ren/hàn</t>
        </is>
      </c>
      <c r="H41" s="20" t="n">
        <v>11.7</v>
      </c>
      <c r="I41" s="21" t="n">
        <v>12</v>
      </c>
      <c r="J41" s="22" t="n">
        <v>3.85</v>
      </c>
      <c r="K41" s="9">
        <f>ROUND(H41*I41*J41, 2)</f>
        <v/>
      </c>
      <c r="L41" s="23">
        <f>ROUND(K41/1000, 3)</f>
        <v/>
      </c>
      <c r="M41" s="8" t="n"/>
      <c r="N41" s="6" t="n"/>
      <c r="O41" s="24">
        <f>IF(AND(E41&lt;=10, F41&lt;&gt;"ASTM A416", INT(P41/20)&gt;INT(P40/20)), "TN Ø10 (Lần " &amp; INT(P41/20) &amp; ")", IF(AND(E41=12, INT(Q41/20)&gt;INT(Q40/20)), "TN Ø12 (Lần " &amp; INT(Q41/20) &amp; ")", IF(AND(E41=14, INT(R41/20)&gt;INT(R40/20)), "TN Ø14 (Lần " &amp; INT(R41/20) &amp; ")", IF(AND(E41=16, INT(S41/20)&gt;INT(S40/20)), "TN Ø16 (Lần " &amp; INT(S41/20) &amp; ")", IF(AND(E41=18, INT(T41/20)&gt;INT(T40/20)), "TN Ø18 (Lần " &amp; INT(T41/20) &amp; ")", IF(AND(E41=20, INT(U41/20)&gt;INT(U40/20)), "TN Ø20 (Lần " &amp; INT(U41/20) &amp; ")", IF(AND(E41=22, INT(V41/20)&gt;INT(V40/20)), "TN Ø22 (Lần " &amp; INT(V41/20) &amp; ")", IF(AND(E41=25, INT(W41/20)&gt;INT(W40/20)), "TN Ø25 (Lần " &amp; INT(W41/20) &amp; ")", IF(AND(E41=28, INT(X41/20)&gt;INT(X40/20)), "TN Ø28 (Lần " &amp; INT(X41/20) &amp; ")", IF(AND(E41=32, INT(Y41/20)&gt;INT(Y40/20)), "TN Ø32 (Lần " &amp; INT(Y41/20) &amp; ")", IF(AND(F41="ASTM A416", INT(Z41/20)&gt;INT(Z40/20)), "TN Cáp 15.2 (Lần " &amp; INT(Z41/20) &amp; ")", "")))))))))))</f>
        <v/>
      </c>
      <c r="P41" s="20">
        <f>ROUND(P40 + IF(AND(E41&lt;=10, F41&lt;&gt;"ASTM A416"), L41, 0), 3)</f>
        <v/>
      </c>
      <c r="Q41" s="20">
        <f>ROUND(Q40 + IF(AND(E41=12, F41&lt;&gt;"ASTM A416"), L41, 0), 3)</f>
        <v/>
      </c>
      <c r="R41" s="20">
        <f>ROUND(R40 + IF(AND(E41=14, F41&lt;&gt;"ASTM A416"), L41, 0), 3)</f>
        <v/>
      </c>
      <c r="S41" s="20">
        <f>ROUND(S40 + IF(AND(E41=16, F41&lt;&gt;"ASTM A416"), L41, 0), 3)</f>
        <v/>
      </c>
      <c r="T41" s="20">
        <f>ROUND(T40 + IF(AND(E41=18, F41&lt;&gt;"ASTM A416"), L41, 0), 3)</f>
        <v/>
      </c>
      <c r="U41" s="20">
        <f>ROUND(U40 + IF(AND(E41=20, F41&lt;&gt;"ASTM A416"), L41, 0), 3)</f>
        <v/>
      </c>
      <c r="V41" s="20">
        <f>ROUND(V40 + IF(AND(E41=22, F41&lt;&gt;"ASTM A416"), L41, 0), 3)</f>
        <v/>
      </c>
      <c r="W41" s="20">
        <f>ROUND(W40 + IF(AND(E41=25, F41&lt;&gt;"ASTM A416"), L41, 0), 3)</f>
        <v/>
      </c>
      <c r="X41" s="20">
        <f>ROUND(X40 + IF(AND(E41=28, F41&lt;&gt;"ASTM A416"), L41, 0), 3)</f>
        <v/>
      </c>
      <c r="Y41" s="20">
        <f>ROUND(Y40 + IF(AND(E41=32, F41&lt;&gt;"ASTM A416"), L41, 0), 3)</f>
        <v/>
      </c>
      <c r="Z41" s="20">
        <f>ROUND(Z40 + IF(F41="ASTM A416", L41, 0), 3)</f>
        <v/>
      </c>
      <c r="AA41" s="11">
        <f>IF(INT(P41/20)&gt;INT(P40/20), "Lần " &amp; INT(P41/20), "")</f>
        <v/>
      </c>
      <c r="AB41" s="11">
        <f>IF(INT(Q41/20)&gt;INT(Q40/20), "Lần " &amp; INT(Q41/20), "")</f>
        <v/>
      </c>
      <c r="AC41" s="11">
        <f>IF(INT(R41/20)&gt;INT(R40/20), "Lần " &amp; INT(R41/20), "")</f>
        <v/>
      </c>
      <c r="AD41" s="11">
        <f>IF(INT(S41/20)&gt;INT(S40/20), "Lần " &amp; INT(S41/20), "")</f>
        <v/>
      </c>
      <c r="AE41" s="11">
        <f>IF(INT(T41/20)&gt;INT(T40/20), "Lần " &amp; INT(T41/20), "")</f>
        <v/>
      </c>
      <c r="AF41" s="11">
        <f>IF(INT(U41/20)&gt;INT(U40/20), "Lần " &amp; INT(U41/20), "")</f>
        <v/>
      </c>
      <c r="AG41" s="11">
        <f>IF(INT(V41/20)&gt;INT(V40/20), "Lần " &amp; INT(V41/20), "")</f>
        <v/>
      </c>
      <c r="AH41" s="11">
        <f>IF(INT(W41/20)&gt;INT(W40/20), "Lần " &amp; INT(W41/20), "")</f>
        <v/>
      </c>
      <c r="AI41" s="11">
        <f>IF(INT(X41/20)&gt;INT(X40/20), "Lần " &amp; INT(X41/20), "")</f>
        <v/>
      </c>
      <c r="AJ41" s="11">
        <f>IF(INT(Y41/20)&gt;INT(Y40/20), "Lần " &amp; INT(Y41/20), "")</f>
        <v/>
      </c>
      <c r="AK41" s="11">
        <f>IF(INT(Z41/20)&gt;INT(Z40/20), "Lần " &amp; INT(Z41/20), "")</f>
        <v/>
      </c>
      <c r="AL41" s="6" t="inlineStr">
        <is>
          <t>ĐẠT TCVN 1651:2018</t>
        </is>
      </c>
    </row>
    <row r="42" ht="19" customHeight="1">
      <c r="A42" s="6" t="n">
        <v>36</v>
      </c>
      <c r="B42" s="7" t="inlineStr">
        <is>
          <t>Cọc khoan nhồi C3 Mố M1 (D1.2m, L=20.0m)</t>
        </is>
      </c>
      <c r="C42" s="7" t="inlineStr">
        <is>
          <t>Cốt thép chủ chịu lực cọc</t>
        </is>
      </c>
      <c r="D42" s="18" t="inlineStr">
        <is>
          <t>P6</t>
        </is>
      </c>
      <c r="E42" s="19" t="n">
        <v>25</v>
      </c>
      <c r="F42" s="6" t="inlineStr">
        <is>
          <t>CB400-V</t>
        </is>
      </c>
      <c r="G42" s="7" t="inlineStr">
        <is>
          <t>Thanh thẳng nối ren/hàn</t>
        </is>
      </c>
      <c r="H42" s="20" t="n">
        <v>10.433</v>
      </c>
      <c r="I42" s="21" t="n">
        <v>12</v>
      </c>
      <c r="J42" s="22" t="n">
        <v>3.85</v>
      </c>
      <c r="K42" s="9">
        <f>ROUND(H42*I42*J42, 2)</f>
        <v/>
      </c>
      <c r="L42" s="23">
        <f>ROUND(K42/1000, 3)</f>
        <v/>
      </c>
      <c r="M42" s="8" t="n"/>
      <c r="N42" s="6" t="n"/>
      <c r="O42" s="24">
        <f>IF(AND(E42&lt;=10, F42&lt;&gt;"ASTM A416", INT(P42/20)&gt;INT(P41/20)), "TN Ø10 (Lần " &amp; INT(P42/20) &amp; ")", IF(AND(E42=12, INT(Q42/20)&gt;INT(Q41/20)), "TN Ø12 (Lần " &amp; INT(Q42/20) &amp; ")", IF(AND(E42=14, INT(R42/20)&gt;INT(R41/20)), "TN Ø14 (Lần " &amp; INT(R42/20) &amp; ")", IF(AND(E42=16, INT(S42/20)&gt;INT(S41/20)), "TN Ø16 (Lần " &amp; INT(S42/20) &amp; ")", IF(AND(E42=18, INT(T42/20)&gt;INT(T41/20)), "TN Ø18 (Lần " &amp; INT(T42/20) &amp; ")", IF(AND(E42=20, INT(U42/20)&gt;INT(U41/20)), "TN Ø20 (Lần " &amp; INT(U42/20) &amp; ")", IF(AND(E42=22, INT(V42/20)&gt;INT(V41/20)), "TN Ø22 (Lần " &amp; INT(V42/20) &amp; ")", IF(AND(E42=25, INT(W42/20)&gt;INT(W41/20)), "TN Ø25 (Lần " &amp; INT(W42/20) &amp; ")", IF(AND(E42=28, INT(X42/20)&gt;INT(X41/20)), "TN Ø28 (Lần " &amp; INT(X42/20) &amp; ")", IF(AND(E42=32, INT(Y42/20)&gt;INT(Y41/20)), "TN Ø32 (Lần " &amp; INT(Y42/20) &amp; ")", IF(AND(F42="ASTM A416", INT(Z42/20)&gt;INT(Z41/20)), "TN Cáp 15.2 (Lần " &amp; INT(Z42/20) &amp; ")", "")))))))))))</f>
        <v/>
      </c>
      <c r="P42" s="20">
        <f>ROUND(P41 + IF(AND(E42&lt;=10, F42&lt;&gt;"ASTM A416"), L42, 0), 3)</f>
        <v/>
      </c>
      <c r="Q42" s="20">
        <f>ROUND(Q41 + IF(AND(E42=12, F42&lt;&gt;"ASTM A416"), L42, 0), 3)</f>
        <v/>
      </c>
      <c r="R42" s="20">
        <f>ROUND(R41 + IF(AND(E42=14, F42&lt;&gt;"ASTM A416"), L42, 0), 3)</f>
        <v/>
      </c>
      <c r="S42" s="20">
        <f>ROUND(S41 + IF(AND(E42=16, F42&lt;&gt;"ASTM A416"), L42, 0), 3)</f>
        <v/>
      </c>
      <c r="T42" s="20">
        <f>ROUND(T41 + IF(AND(E42=18, F42&lt;&gt;"ASTM A416"), L42, 0), 3)</f>
        <v/>
      </c>
      <c r="U42" s="20">
        <f>ROUND(U41 + IF(AND(E42=20, F42&lt;&gt;"ASTM A416"), L42, 0), 3)</f>
        <v/>
      </c>
      <c r="V42" s="20">
        <f>ROUND(V41 + IF(AND(E42=22, F42&lt;&gt;"ASTM A416"), L42, 0), 3)</f>
        <v/>
      </c>
      <c r="W42" s="20">
        <f>ROUND(W41 + IF(AND(E42=25, F42&lt;&gt;"ASTM A416"), L42, 0), 3)</f>
        <v/>
      </c>
      <c r="X42" s="20">
        <f>ROUND(X41 + IF(AND(E42=28, F42&lt;&gt;"ASTM A416"), L42, 0), 3)</f>
        <v/>
      </c>
      <c r="Y42" s="20">
        <f>ROUND(Y41 + IF(AND(E42=32, F42&lt;&gt;"ASTM A416"), L42, 0), 3)</f>
        <v/>
      </c>
      <c r="Z42" s="20">
        <f>ROUND(Z41 + IF(F42="ASTM A416", L42, 0), 3)</f>
        <v/>
      </c>
      <c r="AA42" s="11">
        <f>IF(INT(P42/20)&gt;INT(P41/20), "Lần " &amp; INT(P42/20), "")</f>
        <v/>
      </c>
      <c r="AB42" s="11">
        <f>IF(INT(Q42/20)&gt;INT(Q41/20), "Lần " &amp; INT(Q42/20), "")</f>
        <v/>
      </c>
      <c r="AC42" s="11">
        <f>IF(INT(R42/20)&gt;INT(R41/20), "Lần " &amp; INT(R42/20), "")</f>
        <v/>
      </c>
      <c r="AD42" s="11">
        <f>IF(INT(S42/20)&gt;INT(S41/20), "Lần " &amp; INT(S42/20), "")</f>
        <v/>
      </c>
      <c r="AE42" s="11">
        <f>IF(INT(T42/20)&gt;INT(T41/20), "Lần " &amp; INT(T42/20), "")</f>
        <v/>
      </c>
      <c r="AF42" s="11">
        <f>IF(INT(U42/20)&gt;INT(U41/20), "Lần " &amp; INT(U42/20), "")</f>
        <v/>
      </c>
      <c r="AG42" s="11">
        <f>IF(INT(V42/20)&gt;INT(V41/20), "Lần " &amp; INT(V42/20), "")</f>
        <v/>
      </c>
      <c r="AH42" s="11">
        <f>IF(INT(W42/20)&gt;INT(W41/20), "Lần " &amp; INT(W42/20), "")</f>
        <v/>
      </c>
      <c r="AI42" s="11">
        <f>IF(INT(X42/20)&gt;INT(X41/20), "Lần " &amp; INT(X42/20), "")</f>
        <v/>
      </c>
      <c r="AJ42" s="11">
        <f>IF(INT(Y42/20)&gt;INT(Y41/20), "Lần " &amp; INT(Y42/20), "")</f>
        <v/>
      </c>
      <c r="AK42" s="11">
        <f>IF(INT(Z42/20)&gt;INT(Z41/20), "Lần " &amp; INT(Z42/20), "")</f>
        <v/>
      </c>
      <c r="AL42" s="6" t="inlineStr">
        <is>
          <t>ĐẠT TCVN 1651:2018</t>
        </is>
      </c>
    </row>
    <row r="43" ht="19" customHeight="1">
      <c r="A43" s="6" t="n">
        <v>37</v>
      </c>
      <c r="B43" s="7" t="inlineStr">
        <is>
          <t>Cọc khoan nhồi C3 Mố M1 (D1.2m, L=20.0m)</t>
        </is>
      </c>
      <c r="C43" s="7" t="inlineStr">
        <is>
          <t>Cốt thép chủ chịu lực cọc</t>
        </is>
      </c>
      <c r="D43" s="18" t="inlineStr">
        <is>
          <t>P7</t>
        </is>
      </c>
      <c r="E43" s="19" t="n">
        <v>25</v>
      </c>
      <c r="F43" s="6" t="inlineStr">
        <is>
          <t>CB400-V</t>
        </is>
      </c>
      <c r="G43" s="7" t="inlineStr">
        <is>
          <t>Thanh thẳng nối ren/hàn</t>
        </is>
      </c>
      <c r="H43" s="20" t="n">
        <v>11.433</v>
      </c>
      <c r="I43" s="21" t="n">
        <v>12</v>
      </c>
      <c r="J43" s="22" t="n">
        <v>3.85</v>
      </c>
      <c r="K43" s="9">
        <f>ROUND(H43*I43*J43, 2)</f>
        <v/>
      </c>
      <c r="L43" s="23">
        <f>ROUND(K43/1000, 3)</f>
        <v/>
      </c>
      <c r="M43" s="8" t="n"/>
      <c r="N43" s="6" t="n"/>
      <c r="O43" s="24">
        <f>IF(AND(E43&lt;=10, F43&lt;&gt;"ASTM A416", INT(P43/20)&gt;INT(P42/20)), "TN Ø10 (Lần " &amp; INT(P43/20) &amp; ")", IF(AND(E43=12, INT(Q43/20)&gt;INT(Q42/20)), "TN Ø12 (Lần " &amp; INT(Q43/20) &amp; ")", IF(AND(E43=14, INT(R43/20)&gt;INT(R42/20)), "TN Ø14 (Lần " &amp; INT(R43/20) &amp; ")", IF(AND(E43=16, INT(S43/20)&gt;INT(S42/20)), "TN Ø16 (Lần " &amp; INT(S43/20) &amp; ")", IF(AND(E43=18, INT(T43/20)&gt;INT(T42/20)), "TN Ø18 (Lần " &amp; INT(T43/20) &amp; ")", IF(AND(E43=20, INT(U43/20)&gt;INT(U42/20)), "TN Ø20 (Lần " &amp; INT(U43/20) &amp; ")", IF(AND(E43=22, INT(V43/20)&gt;INT(V42/20)), "TN Ø22 (Lần " &amp; INT(V43/20) &amp; ")", IF(AND(E43=25, INT(W43/20)&gt;INT(W42/20)), "TN Ø25 (Lần " &amp; INT(W43/20) &amp; ")", IF(AND(E43=28, INT(X43/20)&gt;INT(X42/20)), "TN Ø28 (Lần " &amp; INT(X43/20) &amp; ")", IF(AND(E43=32, INT(Y43/20)&gt;INT(Y42/20)), "TN Ø32 (Lần " &amp; INT(Y43/20) &amp; ")", IF(AND(F43="ASTM A416", INT(Z43/20)&gt;INT(Z42/20)), "TN Cáp 15.2 (Lần " &amp; INT(Z43/20) &amp; ")", "")))))))))))</f>
        <v/>
      </c>
      <c r="P43" s="20">
        <f>ROUND(P42 + IF(AND(E43&lt;=10, F43&lt;&gt;"ASTM A416"), L43, 0), 3)</f>
        <v/>
      </c>
      <c r="Q43" s="20">
        <f>ROUND(Q42 + IF(AND(E43=12, F43&lt;&gt;"ASTM A416"), L43, 0), 3)</f>
        <v/>
      </c>
      <c r="R43" s="20">
        <f>ROUND(R42 + IF(AND(E43=14, F43&lt;&gt;"ASTM A416"), L43, 0), 3)</f>
        <v/>
      </c>
      <c r="S43" s="20">
        <f>ROUND(S42 + IF(AND(E43=16, F43&lt;&gt;"ASTM A416"), L43, 0), 3)</f>
        <v/>
      </c>
      <c r="T43" s="20">
        <f>ROUND(T42 + IF(AND(E43=18, F43&lt;&gt;"ASTM A416"), L43, 0), 3)</f>
        <v/>
      </c>
      <c r="U43" s="20">
        <f>ROUND(U42 + IF(AND(E43=20, F43&lt;&gt;"ASTM A416"), L43, 0), 3)</f>
        <v/>
      </c>
      <c r="V43" s="20">
        <f>ROUND(V42 + IF(AND(E43=22, F43&lt;&gt;"ASTM A416"), L43, 0), 3)</f>
        <v/>
      </c>
      <c r="W43" s="20">
        <f>ROUND(W42 + IF(AND(E43=25, F43&lt;&gt;"ASTM A416"), L43, 0), 3)</f>
        <v/>
      </c>
      <c r="X43" s="20">
        <f>ROUND(X42 + IF(AND(E43=28, F43&lt;&gt;"ASTM A416"), L43, 0), 3)</f>
        <v/>
      </c>
      <c r="Y43" s="20">
        <f>ROUND(Y42 + IF(AND(E43=32, F43&lt;&gt;"ASTM A416"), L43, 0), 3)</f>
        <v/>
      </c>
      <c r="Z43" s="20">
        <f>ROUND(Z42 + IF(F43="ASTM A416", L43, 0), 3)</f>
        <v/>
      </c>
      <c r="AA43" s="11">
        <f>IF(INT(P43/20)&gt;INT(P42/20), "Lần " &amp; INT(P43/20), "")</f>
        <v/>
      </c>
      <c r="AB43" s="11">
        <f>IF(INT(Q43/20)&gt;INT(Q42/20), "Lần " &amp; INT(Q43/20), "")</f>
        <v/>
      </c>
      <c r="AC43" s="11">
        <f>IF(INT(R43/20)&gt;INT(R42/20), "Lần " &amp; INT(R43/20), "")</f>
        <v/>
      </c>
      <c r="AD43" s="11">
        <f>IF(INT(S43/20)&gt;INT(S42/20), "Lần " &amp; INT(S43/20), "")</f>
        <v/>
      </c>
      <c r="AE43" s="11">
        <f>IF(INT(T43/20)&gt;INT(T42/20), "Lần " &amp; INT(T43/20), "")</f>
        <v/>
      </c>
      <c r="AF43" s="11">
        <f>IF(INT(U43/20)&gt;INT(U42/20), "Lần " &amp; INT(U43/20), "")</f>
        <v/>
      </c>
      <c r="AG43" s="11">
        <f>IF(INT(V43/20)&gt;INT(V42/20), "Lần " &amp; INT(V43/20), "")</f>
        <v/>
      </c>
      <c r="AH43" s="11">
        <f>IF(INT(W43/20)&gt;INT(W42/20), "Lần " &amp; INT(W43/20), "")</f>
        <v/>
      </c>
      <c r="AI43" s="11">
        <f>IF(INT(X43/20)&gt;INT(X42/20), "Lần " &amp; INT(X43/20), "")</f>
        <v/>
      </c>
      <c r="AJ43" s="11">
        <f>IF(INT(Y43/20)&gt;INT(Y42/20), "Lần " &amp; INT(Y43/20), "")</f>
        <v/>
      </c>
      <c r="AK43" s="11">
        <f>IF(INT(Z43/20)&gt;INT(Z42/20), "Lần " &amp; INT(Z43/20), "")</f>
        <v/>
      </c>
      <c r="AL43" s="6" t="inlineStr">
        <is>
          <t>ĐẠT TCVN 1651:2018</t>
        </is>
      </c>
    </row>
    <row r="44" ht="19" customHeight="1">
      <c r="A44" s="6" t="n">
        <v>38</v>
      </c>
      <c r="B44" s="7" t="inlineStr">
        <is>
          <t>Cọc khoan nhồi C3 Mố M1 (D1.2m, L=20.0m)</t>
        </is>
      </c>
      <c r="C44" s="7" t="inlineStr">
        <is>
          <t>Đai tăng cường / Con kê bảo vệ</t>
        </is>
      </c>
      <c r="D44" s="18" t="inlineStr">
        <is>
          <t>P8</t>
        </is>
      </c>
      <c r="E44" s="19" t="n">
        <v>12</v>
      </c>
      <c r="F44" s="6" t="inlineStr">
        <is>
          <t>CB400-V</t>
        </is>
      </c>
      <c r="G44" s="7" t="inlineStr">
        <is>
          <t>Móc neo / Vòng đai</t>
        </is>
      </c>
      <c r="H44" s="20" t="n">
        <v>0.647</v>
      </c>
      <c r="I44" s="21" t="n">
        <v>8</v>
      </c>
      <c r="J44" s="22" t="n">
        <v>0.888</v>
      </c>
      <c r="K44" s="9">
        <f>ROUND(H44*I44*J44, 2)</f>
        <v/>
      </c>
      <c r="L44" s="23">
        <f>ROUND(K44/1000, 3)</f>
        <v/>
      </c>
      <c r="M44" s="8" t="n"/>
      <c r="N44" s="6" t="n"/>
      <c r="O44" s="24">
        <f>IF(AND(E44&lt;=10, F44&lt;&gt;"ASTM A416", INT(P44/20)&gt;INT(P43/20)), "TN Ø10 (Lần " &amp; INT(P44/20) &amp; ")", IF(AND(E44=12, INT(Q44/20)&gt;INT(Q43/20)), "TN Ø12 (Lần " &amp; INT(Q44/20) &amp; ")", IF(AND(E44=14, INT(R44/20)&gt;INT(R43/20)), "TN Ø14 (Lần " &amp; INT(R44/20) &amp; ")", IF(AND(E44=16, INT(S44/20)&gt;INT(S43/20)), "TN Ø16 (Lần " &amp; INT(S44/20) &amp; ")", IF(AND(E44=18, INT(T44/20)&gt;INT(T43/20)), "TN Ø18 (Lần " &amp; INT(T44/20) &amp; ")", IF(AND(E44=20, INT(U44/20)&gt;INT(U43/20)), "TN Ø20 (Lần " &amp; INT(U44/20) &amp; ")", IF(AND(E44=22, INT(V44/20)&gt;INT(V43/20)), "TN Ø22 (Lần " &amp; INT(V44/20) &amp; ")", IF(AND(E44=25, INT(W44/20)&gt;INT(W43/20)), "TN Ø25 (Lần " &amp; INT(W44/20) &amp; ")", IF(AND(E44=28, INT(X44/20)&gt;INT(X43/20)), "TN Ø28 (Lần " &amp; INT(X44/20) &amp; ")", IF(AND(E44=32, INT(Y44/20)&gt;INT(Y43/20)), "TN Ø32 (Lần " &amp; INT(Y44/20) &amp; ")", IF(AND(F44="ASTM A416", INT(Z44/20)&gt;INT(Z43/20)), "TN Cáp 15.2 (Lần " &amp; INT(Z44/20) &amp; ")", "")))))))))))</f>
        <v/>
      </c>
      <c r="P44" s="20">
        <f>ROUND(P43 + IF(AND(E44&lt;=10, F44&lt;&gt;"ASTM A416"), L44, 0), 3)</f>
        <v/>
      </c>
      <c r="Q44" s="20">
        <f>ROUND(Q43 + IF(AND(E44=12, F44&lt;&gt;"ASTM A416"), L44, 0), 3)</f>
        <v/>
      </c>
      <c r="R44" s="20">
        <f>ROUND(R43 + IF(AND(E44=14, F44&lt;&gt;"ASTM A416"), L44, 0), 3)</f>
        <v/>
      </c>
      <c r="S44" s="20">
        <f>ROUND(S43 + IF(AND(E44=16, F44&lt;&gt;"ASTM A416"), L44, 0), 3)</f>
        <v/>
      </c>
      <c r="T44" s="20">
        <f>ROUND(T43 + IF(AND(E44=18, F44&lt;&gt;"ASTM A416"), L44, 0), 3)</f>
        <v/>
      </c>
      <c r="U44" s="20">
        <f>ROUND(U43 + IF(AND(E44=20, F44&lt;&gt;"ASTM A416"), L44, 0), 3)</f>
        <v/>
      </c>
      <c r="V44" s="20">
        <f>ROUND(V43 + IF(AND(E44=22, F44&lt;&gt;"ASTM A416"), L44, 0), 3)</f>
        <v/>
      </c>
      <c r="W44" s="20">
        <f>ROUND(W43 + IF(AND(E44=25, F44&lt;&gt;"ASTM A416"), L44, 0), 3)</f>
        <v/>
      </c>
      <c r="X44" s="20">
        <f>ROUND(X43 + IF(AND(E44=28, F44&lt;&gt;"ASTM A416"), L44, 0), 3)</f>
        <v/>
      </c>
      <c r="Y44" s="20">
        <f>ROUND(Y43 + IF(AND(E44=32, F44&lt;&gt;"ASTM A416"), L44, 0), 3)</f>
        <v/>
      </c>
      <c r="Z44" s="20">
        <f>ROUND(Z43 + IF(F44="ASTM A416", L44, 0), 3)</f>
        <v/>
      </c>
      <c r="AA44" s="11">
        <f>IF(INT(P44/20)&gt;INT(P43/20), "Lần " &amp; INT(P44/20), "")</f>
        <v/>
      </c>
      <c r="AB44" s="11">
        <f>IF(INT(Q44/20)&gt;INT(Q43/20), "Lần " &amp; INT(Q44/20), "")</f>
        <v/>
      </c>
      <c r="AC44" s="11">
        <f>IF(INT(R44/20)&gt;INT(R43/20), "Lần " &amp; INT(R44/20), "")</f>
        <v/>
      </c>
      <c r="AD44" s="11">
        <f>IF(INT(S44/20)&gt;INT(S43/20), "Lần " &amp; INT(S44/20), "")</f>
        <v/>
      </c>
      <c r="AE44" s="11">
        <f>IF(INT(T44/20)&gt;INT(T43/20), "Lần " &amp; INT(T44/20), "")</f>
        <v/>
      </c>
      <c r="AF44" s="11">
        <f>IF(INT(U44/20)&gt;INT(U43/20), "Lần " &amp; INT(U44/20), "")</f>
        <v/>
      </c>
      <c r="AG44" s="11">
        <f>IF(INT(V44/20)&gt;INT(V43/20), "Lần " &amp; INT(V44/20), "")</f>
        <v/>
      </c>
      <c r="AH44" s="11">
        <f>IF(INT(W44/20)&gt;INT(W43/20), "Lần " &amp; INT(W44/20), "")</f>
        <v/>
      </c>
      <c r="AI44" s="11">
        <f>IF(INT(X44/20)&gt;INT(X43/20), "Lần " &amp; INT(X44/20), "")</f>
        <v/>
      </c>
      <c r="AJ44" s="11">
        <f>IF(INT(Y44/20)&gt;INT(Y43/20), "Lần " &amp; INT(Y44/20), "")</f>
        <v/>
      </c>
      <c r="AK44" s="11">
        <f>IF(INT(Z44/20)&gt;INT(Z43/20), "Lần " &amp; INT(Z44/20), "")</f>
        <v/>
      </c>
      <c r="AL44" s="6" t="inlineStr">
        <is>
          <t>ĐẠT TCVN 1651:2018</t>
        </is>
      </c>
    </row>
    <row r="45" ht="19" customHeight="1">
      <c r="A45" s="6" t="n">
        <v>39</v>
      </c>
      <c r="B45" s="7" t="inlineStr">
        <is>
          <t>Cọc khoan nhồi C3 Mố M1 (D1.2m, L=20.0m)</t>
        </is>
      </c>
      <c r="C45" s="7" t="inlineStr">
        <is>
          <t>Đai tăng cường / Con kê bảo vệ</t>
        </is>
      </c>
      <c r="D45" s="18" t="inlineStr">
        <is>
          <t>P9</t>
        </is>
      </c>
      <c r="E45" s="19" t="n">
        <v>12</v>
      </c>
      <c r="F45" s="6" t="inlineStr">
        <is>
          <t>CB400-V</t>
        </is>
      </c>
      <c r="G45" s="7" t="inlineStr">
        <is>
          <t>Móc neo / Vòng đai</t>
        </is>
      </c>
      <c r="H45" s="20" t="n">
        <v>0.379</v>
      </c>
      <c r="I45" s="21" t="n">
        <v>24</v>
      </c>
      <c r="J45" s="22" t="n">
        <v>0.888</v>
      </c>
      <c r="K45" s="9">
        <f>ROUND(H45*I45*J45, 2)</f>
        <v/>
      </c>
      <c r="L45" s="23">
        <f>ROUND(K45/1000, 3)</f>
        <v/>
      </c>
      <c r="M45" s="8" t="n"/>
      <c r="N45" s="6" t="n"/>
      <c r="O45" s="24">
        <f>IF(AND(E45&lt;=10, F45&lt;&gt;"ASTM A416", INT(P45/20)&gt;INT(P44/20)), "TN Ø10 (Lần " &amp; INT(P45/20) &amp; ")", IF(AND(E45=12, INT(Q45/20)&gt;INT(Q44/20)), "TN Ø12 (Lần " &amp; INT(Q45/20) &amp; ")", IF(AND(E45=14, INT(R45/20)&gt;INT(R44/20)), "TN Ø14 (Lần " &amp; INT(R45/20) &amp; ")", IF(AND(E45=16, INT(S45/20)&gt;INT(S44/20)), "TN Ø16 (Lần " &amp; INT(S45/20) &amp; ")", IF(AND(E45=18, INT(T45/20)&gt;INT(T44/20)), "TN Ø18 (Lần " &amp; INT(T45/20) &amp; ")", IF(AND(E45=20, INT(U45/20)&gt;INT(U44/20)), "TN Ø20 (Lần " &amp; INT(U45/20) &amp; ")", IF(AND(E45=22, INT(V45/20)&gt;INT(V44/20)), "TN Ø22 (Lần " &amp; INT(V45/20) &amp; ")", IF(AND(E45=25, INT(W45/20)&gt;INT(W44/20)), "TN Ø25 (Lần " &amp; INT(W45/20) &amp; ")", IF(AND(E45=28, INT(X45/20)&gt;INT(X44/20)), "TN Ø28 (Lần " &amp; INT(X45/20) &amp; ")", IF(AND(E45=32, INT(Y45/20)&gt;INT(Y44/20)), "TN Ø32 (Lần " &amp; INT(Y45/20) &amp; ")", IF(AND(F45="ASTM A416", INT(Z45/20)&gt;INT(Z44/20)), "TN Cáp 15.2 (Lần " &amp; INT(Z45/20) &amp; ")", "")))))))))))</f>
        <v/>
      </c>
      <c r="P45" s="20">
        <f>ROUND(P44 + IF(AND(E45&lt;=10, F45&lt;&gt;"ASTM A416"), L45, 0), 3)</f>
        <v/>
      </c>
      <c r="Q45" s="20">
        <f>ROUND(Q44 + IF(AND(E45=12, F45&lt;&gt;"ASTM A416"), L45, 0), 3)</f>
        <v/>
      </c>
      <c r="R45" s="20">
        <f>ROUND(R44 + IF(AND(E45=14, F45&lt;&gt;"ASTM A416"), L45, 0), 3)</f>
        <v/>
      </c>
      <c r="S45" s="20">
        <f>ROUND(S44 + IF(AND(E45=16, F45&lt;&gt;"ASTM A416"), L45, 0), 3)</f>
        <v/>
      </c>
      <c r="T45" s="20">
        <f>ROUND(T44 + IF(AND(E45=18, F45&lt;&gt;"ASTM A416"), L45, 0), 3)</f>
        <v/>
      </c>
      <c r="U45" s="20">
        <f>ROUND(U44 + IF(AND(E45=20, F45&lt;&gt;"ASTM A416"), L45, 0), 3)</f>
        <v/>
      </c>
      <c r="V45" s="20">
        <f>ROUND(V44 + IF(AND(E45=22, F45&lt;&gt;"ASTM A416"), L45, 0), 3)</f>
        <v/>
      </c>
      <c r="W45" s="20">
        <f>ROUND(W44 + IF(AND(E45=25, F45&lt;&gt;"ASTM A416"), L45, 0), 3)</f>
        <v/>
      </c>
      <c r="X45" s="20">
        <f>ROUND(X44 + IF(AND(E45=28, F45&lt;&gt;"ASTM A416"), L45, 0), 3)</f>
        <v/>
      </c>
      <c r="Y45" s="20">
        <f>ROUND(Y44 + IF(AND(E45=32, F45&lt;&gt;"ASTM A416"), L45, 0), 3)</f>
        <v/>
      </c>
      <c r="Z45" s="20">
        <f>ROUND(Z44 + IF(F45="ASTM A416", L45, 0), 3)</f>
        <v/>
      </c>
      <c r="AA45" s="11">
        <f>IF(INT(P45/20)&gt;INT(P44/20), "Lần " &amp; INT(P45/20), "")</f>
        <v/>
      </c>
      <c r="AB45" s="11">
        <f>IF(INT(Q45/20)&gt;INT(Q44/20), "Lần " &amp; INT(Q45/20), "")</f>
        <v/>
      </c>
      <c r="AC45" s="11">
        <f>IF(INT(R45/20)&gt;INT(R44/20), "Lần " &amp; INT(R45/20), "")</f>
        <v/>
      </c>
      <c r="AD45" s="11">
        <f>IF(INT(S45/20)&gt;INT(S44/20), "Lần " &amp; INT(S45/20), "")</f>
        <v/>
      </c>
      <c r="AE45" s="11">
        <f>IF(INT(T45/20)&gt;INT(T44/20), "Lần " &amp; INT(T45/20), "")</f>
        <v/>
      </c>
      <c r="AF45" s="11">
        <f>IF(INT(U45/20)&gt;INT(U44/20), "Lần " &amp; INT(U45/20), "")</f>
        <v/>
      </c>
      <c r="AG45" s="11">
        <f>IF(INT(V45/20)&gt;INT(V44/20), "Lần " &amp; INT(V45/20), "")</f>
        <v/>
      </c>
      <c r="AH45" s="11">
        <f>IF(INT(W45/20)&gt;INT(W44/20), "Lần " &amp; INT(W45/20), "")</f>
        <v/>
      </c>
      <c r="AI45" s="11">
        <f>IF(INT(X45/20)&gt;INT(X44/20), "Lần " &amp; INT(X45/20), "")</f>
        <v/>
      </c>
      <c r="AJ45" s="11">
        <f>IF(INT(Y45/20)&gt;INT(Y44/20), "Lần " &amp; INT(Y45/20), "")</f>
        <v/>
      </c>
      <c r="AK45" s="11">
        <f>IF(INT(Z45/20)&gt;INT(Z44/20), "Lần " &amp; INT(Z45/20), "")</f>
        <v/>
      </c>
      <c r="AL45" s="6" t="inlineStr">
        <is>
          <t>ĐẠT TCVN 1651:2018</t>
        </is>
      </c>
    </row>
    <row r="46" ht="19" customHeight="1">
      <c r="A46" s="6" t="n">
        <v>40</v>
      </c>
      <c r="B46" s="7" t="inlineStr">
        <is>
          <t>Cọc khoan nhồi C3 Mố M1 (D1.2m, L=20.0m)</t>
        </is>
      </c>
      <c r="C46" s="7" t="inlineStr">
        <is>
          <t>Thép đai xoắn lồng cọc</t>
        </is>
      </c>
      <c r="D46" s="18" t="inlineStr">
        <is>
          <t>P10</t>
        </is>
      </c>
      <c r="E46" s="19" t="n">
        <v>20</v>
      </c>
      <c r="F46" s="6" t="inlineStr">
        <is>
          <t>CB400-V</t>
        </is>
      </c>
      <c r="G46" s="7" t="inlineStr">
        <is>
          <t>Đai xoắn tròn</t>
        </is>
      </c>
      <c r="H46" s="20" t="n">
        <v>2.057</v>
      </c>
      <c r="I46" s="21" t="n">
        <v>1</v>
      </c>
      <c r="J46" s="22" t="n">
        <v>2.47</v>
      </c>
      <c r="K46" s="9">
        <f>ROUND(H46*I46*J46, 2)</f>
        <v/>
      </c>
      <c r="L46" s="23">
        <f>ROUND(K46/1000, 3)</f>
        <v/>
      </c>
      <c r="M46" s="8" t="n"/>
      <c r="N46" s="6" t="n"/>
      <c r="O46" s="24">
        <f>IF(AND(E46&lt;=10, F46&lt;&gt;"ASTM A416", INT(P46/20)&gt;INT(P45/20)), "TN Ø10 (Lần " &amp; INT(P46/20) &amp; ")", IF(AND(E46=12, INT(Q46/20)&gt;INT(Q45/20)), "TN Ø12 (Lần " &amp; INT(Q46/20) &amp; ")", IF(AND(E46=14, INT(R46/20)&gt;INT(R45/20)), "TN Ø14 (Lần " &amp; INT(R46/20) &amp; ")", IF(AND(E46=16, INT(S46/20)&gt;INT(S45/20)), "TN Ø16 (Lần " &amp; INT(S46/20) &amp; ")", IF(AND(E46=18, INT(T46/20)&gt;INT(T45/20)), "TN Ø18 (Lần " &amp; INT(T46/20) &amp; ")", IF(AND(E46=20, INT(U46/20)&gt;INT(U45/20)), "TN Ø20 (Lần " &amp; INT(U46/20) &amp; ")", IF(AND(E46=22, INT(V46/20)&gt;INT(V45/20)), "TN Ø22 (Lần " &amp; INT(V46/20) &amp; ")", IF(AND(E46=25, INT(W46/20)&gt;INT(W45/20)), "TN Ø25 (Lần " &amp; INT(W46/20) &amp; ")", IF(AND(E46=28, INT(X46/20)&gt;INT(X45/20)), "TN Ø28 (Lần " &amp; INT(X46/20) &amp; ")", IF(AND(E46=32, INT(Y46/20)&gt;INT(Y45/20)), "TN Ø32 (Lần " &amp; INT(Y46/20) &amp; ")", IF(AND(F46="ASTM A416", INT(Z46/20)&gt;INT(Z45/20)), "TN Cáp 15.2 (Lần " &amp; INT(Z46/20) &amp; ")", "")))))))))))</f>
        <v/>
      </c>
      <c r="P46" s="20">
        <f>ROUND(P45 + IF(AND(E46&lt;=10, F46&lt;&gt;"ASTM A416"), L46, 0), 3)</f>
        <v/>
      </c>
      <c r="Q46" s="20">
        <f>ROUND(Q45 + IF(AND(E46=12, F46&lt;&gt;"ASTM A416"), L46, 0), 3)</f>
        <v/>
      </c>
      <c r="R46" s="20">
        <f>ROUND(R45 + IF(AND(E46=14, F46&lt;&gt;"ASTM A416"), L46, 0), 3)</f>
        <v/>
      </c>
      <c r="S46" s="20">
        <f>ROUND(S45 + IF(AND(E46=16, F46&lt;&gt;"ASTM A416"), L46, 0), 3)</f>
        <v/>
      </c>
      <c r="T46" s="20">
        <f>ROUND(T45 + IF(AND(E46=18, F46&lt;&gt;"ASTM A416"), L46, 0), 3)</f>
        <v/>
      </c>
      <c r="U46" s="20">
        <f>ROUND(U45 + IF(AND(E46=20, F46&lt;&gt;"ASTM A416"), L46, 0), 3)</f>
        <v/>
      </c>
      <c r="V46" s="20">
        <f>ROUND(V45 + IF(AND(E46=22, F46&lt;&gt;"ASTM A416"), L46, 0), 3)</f>
        <v/>
      </c>
      <c r="W46" s="20">
        <f>ROUND(W45 + IF(AND(E46=25, F46&lt;&gt;"ASTM A416"), L46, 0), 3)</f>
        <v/>
      </c>
      <c r="X46" s="20">
        <f>ROUND(X45 + IF(AND(E46=28, F46&lt;&gt;"ASTM A416"), L46, 0), 3)</f>
        <v/>
      </c>
      <c r="Y46" s="20">
        <f>ROUND(Y45 + IF(AND(E46=32, F46&lt;&gt;"ASTM A416"), L46, 0), 3)</f>
        <v/>
      </c>
      <c r="Z46" s="20">
        <f>ROUND(Z45 + IF(F46="ASTM A416", L46, 0), 3)</f>
        <v/>
      </c>
      <c r="AA46" s="11">
        <f>IF(INT(P46/20)&gt;INT(P45/20), "Lần " &amp; INT(P46/20), "")</f>
        <v/>
      </c>
      <c r="AB46" s="11">
        <f>IF(INT(Q46/20)&gt;INT(Q45/20), "Lần " &amp; INT(Q46/20), "")</f>
        <v/>
      </c>
      <c r="AC46" s="11">
        <f>IF(INT(R46/20)&gt;INT(R45/20), "Lần " &amp; INT(R46/20), "")</f>
        <v/>
      </c>
      <c r="AD46" s="11">
        <f>IF(INT(S46/20)&gt;INT(S45/20), "Lần " &amp; INT(S46/20), "")</f>
        <v/>
      </c>
      <c r="AE46" s="11">
        <f>IF(INT(T46/20)&gt;INT(T45/20), "Lần " &amp; INT(T46/20), "")</f>
        <v/>
      </c>
      <c r="AF46" s="11">
        <f>IF(INT(U46/20)&gt;INT(U45/20), "Lần " &amp; INT(U46/20), "")</f>
        <v/>
      </c>
      <c r="AG46" s="11">
        <f>IF(INT(V46/20)&gt;INT(V45/20), "Lần " &amp; INT(V46/20), "")</f>
        <v/>
      </c>
      <c r="AH46" s="11">
        <f>IF(INT(W46/20)&gt;INT(W45/20), "Lần " &amp; INT(W46/20), "")</f>
        <v/>
      </c>
      <c r="AI46" s="11">
        <f>IF(INT(X46/20)&gt;INT(X45/20), "Lần " &amp; INT(X46/20), "")</f>
        <v/>
      </c>
      <c r="AJ46" s="11">
        <f>IF(INT(Y46/20)&gt;INT(Y45/20), "Lần " &amp; INT(Y46/20), "")</f>
        <v/>
      </c>
      <c r="AK46" s="11">
        <f>IF(INT(Z46/20)&gt;INT(Z45/20), "Lần " &amp; INT(Z46/20), "")</f>
        <v/>
      </c>
      <c r="AL46" s="6" t="inlineStr">
        <is>
          <t>ĐẠT TCVN 1651:2018</t>
        </is>
      </c>
    </row>
    <row r="47" ht="19" customHeight="1">
      <c r="A47" s="6" t="n">
        <v>41</v>
      </c>
      <c r="B47" s="7" t="inlineStr">
        <is>
          <t>Cọc khoan nhồi C3 Mố M1 (D1.2m, L=20.0m)</t>
        </is>
      </c>
      <c r="C47" s="7" t="inlineStr">
        <is>
          <t>Thanh thép treo lồng cọc</t>
        </is>
      </c>
      <c r="D47" s="18" t="inlineStr">
        <is>
          <t>P11</t>
        </is>
      </c>
      <c r="E47" s="19" t="n">
        <v>16</v>
      </c>
      <c r="F47" s="6" t="inlineStr">
        <is>
          <t>CB400-V</t>
        </is>
      </c>
      <c r="G47" s="7" t="inlineStr">
        <is>
          <t>Thanh treo lồng (bảng phụ tr.64)</t>
        </is>
      </c>
      <c r="H47" s="20" t="n">
        <v>2.604</v>
      </c>
      <c r="I47" s="21" t="n">
        <v>4</v>
      </c>
      <c r="J47" s="22" t="n">
        <v>1.58</v>
      </c>
      <c r="K47" s="9">
        <f>ROUND(H47*I47*J47, 2)</f>
        <v/>
      </c>
      <c r="L47" s="23">
        <f>ROUND(K47/1000, 3)</f>
        <v/>
      </c>
      <c r="M47" s="8" t="n"/>
      <c r="N47" s="6" t="n"/>
      <c r="O47" s="24">
        <f>IF(AND(E47&lt;=10, F47&lt;&gt;"ASTM A416", INT(P47/20)&gt;INT(P46/20)), "TN Ø10 (Lần " &amp; INT(P47/20) &amp; ")", IF(AND(E47=12, INT(Q47/20)&gt;INT(Q46/20)), "TN Ø12 (Lần " &amp; INT(Q47/20) &amp; ")", IF(AND(E47=14, INT(R47/20)&gt;INT(R46/20)), "TN Ø14 (Lần " &amp; INT(R47/20) &amp; ")", IF(AND(E47=16, INT(S47/20)&gt;INT(S46/20)), "TN Ø16 (Lần " &amp; INT(S47/20) &amp; ")", IF(AND(E47=18, INT(T47/20)&gt;INT(T46/20)), "TN Ø18 (Lần " &amp; INT(T47/20) &amp; ")", IF(AND(E47=20, INT(U47/20)&gt;INT(U46/20)), "TN Ø20 (Lần " &amp; INT(U47/20) &amp; ")", IF(AND(E47=22, INT(V47/20)&gt;INT(V46/20)), "TN Ø22 (Lần " &amp; INT(V47/20) &amp; ")", IF(AND(E47=25, INT(W47/20)&gt;INT(W46/20)), "TN Ø25 (Lần " &amp; INT(W47/20) &amp; ")", IF(AND(E47=28, INT(X47/20)&gt;INT(X46/20)), "TN Ø28 (Lần " &amp; INT(X47/20) &amp; ")", IF(AND(E47=32, INT(Y47/20)&gt;INT(Y46/20)), "TN Ø32 (Lần " &amp; INT(Y47/20) &amp; ")", IF(AND(F47="ASTM A416", INT(Z47/20)&gt;INT(Z46/20)), "TN Cáp 15.2 (Lần " &amp; INT(Z47/20) &amp; ")", "")))))))))))</f>
        <v/>
      </c>
      <c r="P47" s="20">
        <f>ROUND(P46 + IF(AND(E47&lt;=10, F47&lt;&gt;"ASTM A416"), L47, 0), 3)</f>
        <v/>
      </c>
      <c r="Q47" s="20">
        <f>ROUND(Q46 + IF(AND(E47=12, F47&lt;&gt;"ASTM A416"), L47, 0), 3)</f>
        <v/>
      </c>
      <c r="R47" s="20">
        <f>ROUND(R46 + IF(AND(E47=14, F47&lt;&gt;"ASTM A416"), L47, 0), 3)</f>
        <v/>
      </c>
      <c r="S47" s="20">
        <f>ROUND(S46 + IF(AND(E47=16, F47&lt;&gt;"ASTM A416"), L47, 0), 3)</f>
        <v/>
      </c>
      <c r="T47" s="20">
        <f>ROUND(T46 + IF(AND(E47=18, F47&lt;&gt;"ASTM A416"), L47, 0), 3)</f>
        <v/>
      </c>
      <c r="U47" s="20">
        <f>ROUND(U46 + IF(AND(E47=20, F47&lt;&gt;"ASTM A416"), L47, 0), 3)</f>
        <v/>
      </c>
      <c r="V47" s="20">
        <f>ROUND(V46 + IF(AND(E47=22, F47&lt;&gt;"ASTM A416"), L47, 0), 3)</f>
        <v/>
      </c>
      <c r="W47" s="20">
        <f>ROUND(W46 + IF(AND(E47=25, F47&lt;&gt;"ASTM A416"), L47, 0), 3)</f>
        <v/>
      </c>
      <c r="X47" s="20">
        <f>ROUND(X46 + IF(AND(E47=28, F47&lt;&gt;"ASTM A416"), L47, 0), 3)</f>
        <v/>
      </c>
      <c r="Y47" s="20">
        <f>ROUND(Y46 + IF(AND(E47=32, F47&lt;&gt;"ASTM A416"), L47, 0), 3)</f>
        <v/>
      </c>
      <c r="Z47" s="20">
        <f>ROUND(Z46 + IF(F47="ASTM A416", L47, 0), 3)</f>
        <v/>
      </c>
      <c r="AA47" s="11">
        <f>IF(INT(P47/20)&gt;INT(P46/20), "Lần " &amp; INT(P47/20), "")</f>
        <v/>
      </c>
      <c r="AB47" s="11">
        <f>IF(INT(Q47/20)&gt;INT(Q46/20), "Lần " &amp; INT(Q47/20), "")</f>
        <v/>
      </c>
      <c r="AC47" s="11">
        <f>IF(INT(R47/20)&gt;INT(R46/20), "Lần " &amp; INT(R47/20), "")</f>
        <v/>
      </c>
      <c r="AD47" s="11">
        <f>IF(INT(S47/20)&gt;INT(S46/20), "Lần " &amp; INT(S47/20), "")</f>
        <v/>
      </c>
      <c r="AE47" s="11">
        <f>IF(INT(T47/20)&gt;INT(T46/20), "Lần " &amp; INT(T47/20), "")</f>
        <v/>
      </c>
      <c r="AF47" s="11">
        <f>IF(INT(U47/20)&gt;INT(U46/20), "Lần " &amp; INT(U47/20), "")</f>
        <v/>
      </c>
      <c r="AG47" s="11">
        <f>IF(INT(V47/20)&gt;INT(V46/20), "Lần " &amp; INT(V47/20), "")</f>
        <v/>
      </c>
      <c r="AH47" s="11">
        <f>IF(INT(W47/20)&gt;INT(W46/20), "Lần " &amp; INT(W47/20), "")</f>
        <v/>
      </c>
      <c r="AI47" s="11">
        <f>IF(INT(X47/20)&gt;INT(X46/20), "Lần " &amp; INT(X47/20), "")</f>
        <v/>
      </c>
      <c r="AJ47" s="11">
        <f>IF(INT(Y47/20)&gt;INT(Y46/20), "Lần " &amp; INT(Y47/20), "")</f>
        <v/>
      </c>
      <c r="AK47" s="11">
        <f>IF(INT(Z47/20)&gt;INT(Z46/20), "Lần " &amp; INT(Z47/20), "")</f>
        <v/>
      </c>
      <c r="AL47" s="6" t="inlineStr">
        <is>
          <t>ĐẠT TCVN 1651:2018</t>
        </is>
      </c>
    </row>
    <row r="48" ht="19" customHeight="1">
      <c r="A48" s="6" t="n">
        <v>42</v>
      </c>
      <c r="B48" s="7" t="inlineStr">
        <is>
          <t>Cọc khoan nhồi C3 Mố M1 (D1.2m, L=20.0m)</t>
        </is>
      </c>
      <c r="C48" s="7" t="inlineStr">
        <is>
          <t>Thép đai xoắn lồng cọc</t>
        </is>
      </c>
      <c r="D48" s="18" t="inlineStr">
        <is>
          <t>P12</t>
        </is>
      </c>
      <c r="E48" s="19" t="n">
        <v>20</v>
      </c>
      <c r="F48" s="6" t="inlineStr">
        <is>
          <t>CB400-V</t>
        </is>
      </c>
      <c r="G48" s="7" t="inlineStr">
        <is>
          <t>Đai xoắn tròn</t>
        </is>
      </c>
      <c r="H48" s="20" t="n">
        <v>0.583</v>
      </c>
      <c r="I48" s="21" t="n">
        <v>32</v>
      </c>
      <c r="J48" s="22" t="n">
        <v>2.47</v>
      </c>
      <c r="K48" s="9">
        <f>ROUND(H48*I48*J48, 2)</f>
        <v/>
      </c>
      <c r="L48" s="23">
        <f>ROUND(K48/1000, 3)</f>
        <v/>
      </c>
      <c r="M48" s="8" t="n"/>
      <c r="N48" s="6" t="n"/>
      <c r="O48" s="24">
        <f>IF(AND(E48&lt;=10, F48&lt;&gt;"ASTM A416", INT(P48/20)&gt;INT(P47/20)), "TN Ø10 (Lần " &amp; INT(P48/20) &amp; ")", IF(AND(E48=12, INT(Q48/20)&gt;INT(Q47/20)), "TN Ø12 (Lần " &amp; INT(Q48/20) &amp; ")", IF(AND(E48=14, INT(R48/20)&gt;INT(R47/20)), "TN Ø14 (Lần " &amp; INT(R48/20) &amp; ")", IF(AND(E48=16, INT(S48/20)&gt;INT(S47/20)), "TN Ø16 (Lần " &amp; INT(S48/20) &amp; ")", IF(AND(E48=18, INT(T48/20)&gt;INT(T47/20)), "TN Ø18 (Lần " &amp; INT(T48/20) &amp; ")", IF(AND(E48=20, INT(U48/20)&gt;INT(U47/20)), "TN Ø20 (Lần " &amp; INT(U48/20) &amp; ")", IF(AND(E48=22, INT(V48/20)&gt;INT(V47/20)), "TN Ø22 (Lần " &amp; INT(V48/20) &amp; ")", IF(AND(E48=25, INT(W48/20)&gt;INT(W47/20)), "TN Ø25 (Lần " &amp; INT(W48/20) &amp; ")", IF(AND(E48=28, INT(X48/20)&gt;INT(X47/20)), "TN Ø28 (Lần " &amp; INT(X48/20) &amp; ")", IF(AND(E48=32, INT(Y48/20)&gt;INT(Y47/20)), "TN Ø32 (Lần " &amp; INT(Y48/20) &amp; ")", IF(AND(F48="ASTM A416", INT(Z48/20)&gt;INT(Z47/20)), "TN Cáp 15.2 (Lần " &amp; INT(Z48/20) &amp; ")", "")))))))))))</f>
        <v/>
      </c>
      <c r="P48" s="20">
        <f>ROUND(P47 + IF(AND(E48&lt;=10, F48&lt;&gt;"ASTM A416"), L48, 0), 3)</f>
        <v/>
      </c>
      <c r="Q48" s="20">
        <f>ROUND(Q47 + IF(AND(E48=12, F48&lt;&gt;"ASTM A416"), L48, 0), 3)</f>
        <v/>
      </c>
      <c r="R48" s="20">
        <f>ROUND(R47 + IF(AND(E48=14, F48&lt;&gt;"ASTM A416"), L48, 0), 3)</f>
        <v/>
      </c>
      <c r="S48" s="20">
        <f>ROUND(S47 + IF(AND(E48=16, F48&lt;&gt;"ASTM A416"), L48, 0), 3)</f>
        <v/>
      </c>
      <c r="T48" s="20">
        <f>ROUND(T47 + IF(AND(E48=18, F48&lt;&gt;"ASTM A416"), L48, 0), 3)</f>
        <v/>
      </c>
      <c r="U48" s="20">
        <f>ROUND(U47 + IF(AND(E48=20, F48&lt;&gt;"ASTM A416"), L48, 0), 3)</f>
        <v/>
      </c>
      <c r="V48" s="20">
        <f>ROUND(V47 + IF(AND(E48=22, F48&lt;&gt;"ASTM A416"), L48, 0), 3)</f>
        <v/>
      </c>
      <c r="W48" s="20">
        <f>ROUND(W47 + IF(AND(E48=25, F48&lt;&gt;"ASTM A416"), L48, 0), 3)</f>
        <v/>
      </c>
      <c r="X48" s="20">
        <f>ROUND(X47 + IF(AND(E48=28, F48&lt;&gt;"ASTM A416"), L48, 0), 3)</f>
        <v/>
      </c>
      <c r="Y48" s="20">
        <f>ROUND(Y47 + IF(AND(E48=32, F48&lt;&gt;"ASTM A416"), L48, 0), 3)</f>
        <v/>
      </c>
      <c r="Z48" s="20">
        <f>ROUND(Z47 + IF(F48="ASTM A416", L48, 0), 3)</f>
        <v/>
      </c>
      <c r="AA48" s="11">
        <f>IF(INT(P48/20)&gt;INT(P47/20), "Lần " &amp; INT(P48/20), "")</f>
        <v/>
      </c>
      <c r="AB48" s="11">
        <f>IF(INT(Q48/20)&gt;INT(Q47/20), "Lần " &amp; INT(Q48/20), "")</f>
        <v/>
      </c>
      <c r="AC48" s="11">
        <f>IF(INT(R48/20)&gt;INT(R47/20), "Lần " &amp; INT(R48/20), "")</f>
        <v/>
      </c>
      <c r="AD48" s="11">
        <f>IF(INT(S48/20)&gt;INT(S47/20), "Lần " &amp; INT(S48/20), "")</f>
        <v/>
      </c>
      <c r="AE48" s="11">
        <f>IF(INT(T48/20)&gt;INT(T47/20), "Lần " &amp; INT(T48/20), "")</f>
        <v/>
      </c>
      <c r="AF48" s="11">
        <f>IF(INT(U48/20)&gt;INT(U47/20), "Lần " &amp; INT(U48/20), "")</f>
        <v/>
      </c>
      <c r="AG48" s="11">
        <f>IF(INT(V48/20)&gt;INT(V47/20), "Lần " &amp; INT(V48/20), "")</f>
        <v/>
      </c>
      <c r="AH48" s="11">
        <f>IF(INT(W48/20)&gt;INT(W47/20), "Lần " &amp; INT(W48/20), "")</f>
        <v/>
      </c>
      <c r="AI48" s="11">
        <f>IF(INT(X48/20)&gt;INT(X47/20), "Lần " &amp; INT(X48/20), "")</f>
        <v/>
      </c>
      <c r="AJ48" s="11">
        <f>IF(INT(Y48/20)&gt;INT(Y47/20), "Lần " &amp; INT(Y48/20), "")</f>
        <v/>
      </c>
      <c r="AK48" s="11">
        <f>IF(INT(Z48/20)&gt;INT(Z47/20), "Lần " &amp; INT(Z48/20), "")</f>
        <v/>
      </c>
      <c r="AL48" s="6" t="inlineStr">
        <is>
          <t>ĐẠT TCVN 1651:2018</t>
        </is>
      </c>
    </row>
    <row r="49" ht="20" customHeight="1">
      <c r="A49" s="17" t="inlineStr">
        <is>
          <t>--- CỌC KHOAN NHỒI C1 TRỤ T1 (D1.2M, L=40.0M) ---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</row>
    <row r="50" ht="19" customHeight="1">
      <c r="A50" s="6" t="n">
        <v>43</v>
      </c>
      <c r="B50" s="7" t="inlineStr">
        <is>
          <t>Cọc khoan nhồi C1 Trụ T1 (D1.2m, L=40.0m)</t>
        </is>
      </c>
      <c r="C50" s="7" t="inlineStr">
        <is>
          <t>Thép đai xoắn lồng cọc</t>
        </is>
      </c>
      <c r="D50" s="18" t="inlineStr">
        <is>
          <t>P1</t>
        </is>
      </c>
      <c r="E50" s="19" t="n">
        <v>10</v>
      </c>
      <c r="F50" s="6" t="inlineStr">
        <is>
          <t>CB240-T</t>
        </is>
      </c>
      <c r="G50" s="7" t="inlineStr">
        <is>
          <t>Đai xoắn tròn</t>
        </is>
      </c>
      <c r="H50" s="20" t="n">
        <v>96.604</v>
      </c>
      <c r="I50" s="21" t="n">
        <v>1</v>
      </c>
      <c r="J50" s="22" t="n">
        <v>0.617</v>
      </c>
      <c r="K50" s="9">
        <f>ROUND(H50*I50*J50, 2)</f>
        <v/>
      </c>
      <c r="L50" s="23">
        <f>ROUND(K50/1000, 3)</f>
        <v/>
      </c>
      <c r="M50" s="8" t="n"/>
      <c r="N50" s="6" t="n"/>
      <c r="O50" s="24">
        <f>IF(AND(E50&lt;=10, F50&lt;&gt;"ASTM A416", INT(P50/20)&gt;INT(P48/20)), "TN Ø10 (Lần " &amp; INT(P50/20) &amp; ")", IF(AND(E50=12, INT(Q50/20)&gt;INT(Q48/20)), "TN Ø12 (Lần " &amp; INT(Q50/20) &amp; ")", IF(AND(E50=14, INT(R50/20)&gt;INT(R48/20)), "TN Ø14 (Lần " &amp; INT(R50/20) &amp; ")", IF(AND(E50=16, INT(S50/20)&gt;INT(S48/20)), "TN Ø16 (Lần " &amp; INT(S50/20) &amp; ")", IF(AND(E50=18, INT(T50/20)&gt;INT(T48/20)), "TN Ø18 (Lần " &amp; INT(T50/20) &amp; ")", IF(AND(E50=20, INT(U50/20)&gt;INT(U48/20)), "TN Ø20 (Lần " &amp; INT(U50/20) &amp; ")", IF(AND(E50=22, INT(V50/20)&gt;INT(V48/20)), "TN Ø22 (Lần " &amp; INT(V50/20) &amp; ")", IF(AND(E50=25, INT(W50/20)&gt;INT(W48/20)), "TN Ø25 (Lần " &amp; INT(W50/20) &amp; ")", IF(AND(E50=28, INT(X50/20)&gt;INT(X48/20)), "TN Ø28 (Lần " &amp; INT(X50/20) &amp; ")", IF(AND(E50=32, INT(Y50/20)&gt;INT(Y48/20)), "TN Ø32 (Lần " &amp; INT(Y50/20) &amp; ")", IF(AND(F50="ASTM A416", INT(Z50/20)&gt;INT(Z48/20)), "TN Cáp 15.2 (Lần " &amp; INT(Z50/20) &amp; ")", "")))))))))))</f>
        <v/>
      </c>
      <c r="P50" s="20">
        <f>ROUND(P48 + IF(AND(E50&lt;=10, F50&lt;&gt;"ASTM A416"), L50, 0), 3)</f>
        <v/>
      </c>
      <c r="Q50" s="20">
        <f>ROUND(Q48 + IF(AND(E50=12, F50&lt;&gt;"ASTM A416"), L50, 0), 3)</f>
        <v/>
      </c>
      <c r="R50" s="20">
        <f>ROUND(R48 + IF(AND(E50=14, F50&lt;&gt;"ASTM A416"), L50, 0), 3)</f>
        <v/>
      </c>
      <c r="S50" s="20">
        <f>ROUND(S48 + IF(AND(E50=16, F50&lt;&gt;"ASTM A416"), L50, 0), 3)</f>
        <v/>
      </c>
      <c r="T50" s="20">
        <f>ROUND(T48 + IF(AND(E50=18, F50&lt;&gt;"ASTM A416"), L50, 0), 3)</f>
        <v/>
      </c>
      <c r="U50" s="20">
        <f>ROUND(U48 + IF(AND(E50=20, F50&lt;&gt;"ASTM A416"), L50, 0), 3)</f>
        <v/>
      </c>
      <c r="V50" s="20">
        <f>ROUND(V48 + IF(AND(E50=22, F50&lt;&gt;"ASTM A416"), L50, 0), 3)</f>
        <v/>
      </c>
      <c r="W50" s="20">
        <f>ROUND(W48 + IF(AND(E50=25, F50&lt;&gt;"ASTM A416"), L50, 0), 3)</f>
        <v/>
      </c>
      <c r="X50" s="20">
        <f>ROUND(X48 + IF(AND(E50=28, F50&lt;&gt;"ASTM A416"), L50, 0), 3)</f>
        <v/>
      </c>
      <c r="Y50" s="20">
        <f>ROUND(Y48 + IF(AND(E50=32, F50&lt;&gt;"ASTM A416"), L50, 0), 3)</f>
        <v/>
      </c>
      <c r="Z50" s="20">
        <f>ROUND(Z48 + IF(F50="ASTM A416", L50, 0), 3)</f>
        <v/>
      </c>
      <c r="AA50" s="11">
        <f>IF(INT(P50/20)&gt;INT(P48/20), "Lần " &amp; INT(P50/20), "")</f>
        <v/>
      </c>
      <c r="AB50" s="11">
        <f>IF(INT(Q50/20)&gt;INT(Q48/20), "Lần " &amp; INT(Q50/20), "")</f>
        <v/>
      </c>
      <c r="AC50" s="11">
        <f>IF(INT(R50/20)&gt;INT(R48/20), "Lần " &amp; INT(R50/20), "")</f>
        <v/>
      </c>
      <c r="AD50" s="11">
        <f>IF(INT(S50/20)&gt;INT(S48/20), "Lần " &amp; INT(S50/20), "")</f>
        <v/>
      </c>
      <c r="AE50" s="11">
        <f>IF(INT(T50/20)&gt;INT(T48/20), "Lần " &amp; INT(T50/20), "")</f>
        <v/>
      </c>
      <c r="AF50" s="11">
        <f>IF(INT(U50/20)&gt;INT(U48/20), "Lần " &amp; INT(U50/20), "")</f>
        <v/>
      </c>
      <c r="AG50" s="11">
        <f>IF(INT(V50/20)&gt;INT(V48/20), "Lần " &amp; INT(V50/20), "")</f>
        <v/>
      </c>
      <c r="AH50" s="11">
        <f>IF(INT(W50/20)&gt;INT(W48/20), "Lần " &amp; INT(W50/20), "")</f>
        <v/>
      </c>
      <c r="AI50" s="11">
        <f>IF(INT(X50/20)&gt;INT(X48/20), "Lần " &amp; INT(X50/20), "")</f>
        <v/>
      </c>
      <c r="AJ50" s="11">
        <f>IF(INT(Y50/20)&gt;INT(Y48/20), "Lần " &amp; INT(Y50/20), "")</f>
        <v/>
      </c>
      <c r="AK50" s="11">
        <f>IF(INT(Z50/20)&gt;INT(Z48/20), "Lần " &amp; INT(Z50/20), "")</f>
        <v/>
      </c>
      <c r="AL50" s="6" t="inlineStr">
        <is>
          <t>ĐẠT TCVN 1651:2018</t>
        </is>
      </c>
    </row>
    <row r="51" ht="19" customHeight="1">
      <c r="A51" s="6" t="n">
        <v>44</v>
      </c>
      <c r="B51" s="7" t="inlineStr">
        <is>
          <t>Cọc khoan nhồi C1 Trụ T1 (D1.2m, L=40.0m)</t>
        </is>
      </c>
      <c r="C51" s="7" t="inlineStr">
        <is>
          <t>Thép đai xoắn lồng cọc</t>
        </is>
      </c>
      <c r="D51" s="18" t="inlineStr">
        <is>
          <t>P1A</t>
        </is>
      </c>
      <c r="E51" s="19" t="n">
        <v>10</v>
      </c>
      <c r="F51" s="6" t="inlineStr">
        <is>
          <t>CB240-T</t>
        </is>
      </c>
      <c r="G51" s="7" t="inlineStr">
        <is>
          <t>Đai xoắn tròn</t>
        </is>
      </c>
      <c r="H51" s="20" t="n">
        <v>389.636</v>
      </c>
      <c r="I51" s="21" t="n">
        <v>1</v>
      </c>
      <c r="J51" s="22" t="n">
        <v>0.617</v>
      </c>
      <c r="K51" s="9">
        <f>ROUND(H51*I51*J51, 2)</f>
        <v/>
      </c>
      <c r="L51" s="23">
        <f>ROUND(K51/1000, 3)</f>
        <v/>
      </c>
      <c r="M51" s="8" t="n"/>
      <c r="N51" s="6" t="n"/>
      <c r="O51" s="24">
        <f>IF(AND(E51&lt;=10, F51&lt;&gt;"ASTM A416", INT(P51/20)&gt;INT(P50/20)), "TN Ø10 (Lần " &amp; INT(P51/20) &amp; ")", IF(AND(E51=12, INT(Q51/20)&gt;INT(Q50/20)), "TN Ø12 (Lần " &amp; INT(Q51/20) &amp; ")", IF(AND(E51=14, INT(R51/20)&gt;INT(R50/20)), "TN Ø14 (Lần " &amp; INT(R51/20) &amp; ")", IF(AND(E51=16, INT(S51/20)&gt;INT(S50/20)), "TN Ø16 (Lần " &amp; INT(S51/20) &amp; ")", IF(AND(E51=18, INT(T51/20)&gt;INT(T50/20)), "TN Ø18 (Lần " &amp; INT(T51/20) &amp; ")", IF(AND(E51=20, INT(U51/20)&gt;INT(U50/20)), "TN Ø20 (Lần " &amp; INT(U51/20) &amp; ")", IF(AND(E51=22, INT(V51/20)&gt;INT(V50/20)), "TN Ø22 (Lần " &amp; INT(V51/20) &amp; ")", IF(AND(E51=25, INT(W51/20)&gt;INT(W50/20)), "TN Ø25 (Lần " &amp; INT(W51/20) &amp; ")", IF(AND(E51=28, INT(X51/20)&gt;INT(X50/20)), "TN Ø28 (Lần " &amp; INT(X51/20) &amp; ")", IF(AND(E51=32, INT(Y51/20)&gt;INT(Y50/20)), "TN Ø32 (Lần " &amp; INT(Y51/20) &amp; ")", IF(AND(F51="ASTM A416", INT(Z51/20)&gt;INT(Z50/20)), "TN Cáp 15.2 (Lần " &amp; INT(Z51/20) &amp; ")", "")))))))))))</f>
        <v/>
      </c>
      <c r="P51" s="20">
        <f>ROUND(P50 + IF(AND(E51&lt;=10, F51&lt;&gt;"ASTM A416"), L51, 0), 3)</f>
        <v/>
      </c>
      <c r="Q51" s="20">
        <f>ROUND(Q50 + IF(AND(E51=12, F51&lt;&gt;"ASTM A416"), L51, 0), 3)</f>
        <v/>
      </c>
      <c r="R51" s="20">
        <f>ROUND(R50 + IF(AND(E51=14, F51&lt;&gt;"ASTM A416"), L51, 0), 3)</f>
        <v/>
      </c>
      <c r="S51" s="20">
        <f>ROUND(S50 + IF(AND(E51=16, F51&lt;&gt;"ASTM A416"), L51, 0), 3)</f>
        <v/>
      </c>
      <c r="T51" s="20">
        <f>ROUND(T50 + IF(AND(E51=18, F51&lt;&gt;"ASTM A416"), L51, 0), 3)</f>
        <v/>
      </c>
      <c r="U51" s="20">
        <f>ROUND(U50 + IF(AND(E51=20, F51&lt;&gt;"ASTM A416"), L51, 0), 3)</f>
        <v/>
      </c>
      <c r="V51" s="20">
        <f>ROUND(V50 + IF(AND(E51=22, F51&lt;&gt;"ASTM A416"), L51, 0), 3)</f>
        <v/>
      </c>
      <c r="W51" s="20">
        <f>ROUND(W50 + IF(AND(E51=25, F51&lt;&gt;"ASTM A416"), L51, 0), 3)</f>
        <v/>
      </c>
      <c r="X51" s="20">
        <f>ROUND(X50 + IF(AND(E51=28, F51&lt;&gt;"ASTM A416"), L51, 0), 3)</f>
        <v/>
      </c>
      <c r="Y51" s="20">
        <f>ROUND(Y50 + IF(AND(E51=32, F51&lt;&gt;"ASTM A416"), L51, 0), 3)</f>
        <v/>
      </c>
      <c r="Z51" s="20">
        <f>ROUND(Z50 + IF(F51="ASTM A416", L51, 0), 3)</f>
        <v/>
      </c>
      <c r="AA51" s="11">
        <f>IF(INT(P51/20)&gt;INT(P50/20), "Lần " &amp; INT(P51/20), "")</f>
        <v/>
      </c>
      <c r="AB51" s="11">
        <f>IF(INT(Q51/20)&gt;INT(Q50/20), "Lần " &amp; INT(Q51/20), "")</f>
        <v/>
      </c>
      <c r="AC51" s="11">
        <f>IF(INT(R51/20)&gt;INT(R50/20), "Lần " &amp; INT(R51/20), "")</f>
        <v/>
      </c>
      <c r="AD51" s="11">
        <f>IF(INT(S51/20)&gt;INT(S50/20), "Lần " &amp; INT(S51/20), "")</f>
        <v/>
      </c>
      <c r="AE51" s="11">
        <f>IF(INT(T51/20)&gt;INT(T50/20), "Lần " &amp; INT(T51/20), "")</f>
        <v/>
      </c>
      <c r="AF51" s="11">
        <f>IF(INT(U51/20)&gt;INT(U50/20), "Lần " &amp; INT(U51/20), "")</f>
        <v/>
      </c>
      <c r="AG51" s="11">
        <f>IF(INT(V51/20)&gt;INT(V50/20), "Lần " &amp; INT(V51/20), "")</f>
        <v/>
      </c>
      <c r="AH51" s="11">
        <f>IF(INT(W51/20)&gt;INT(W50/20), "Lần " &amp; INT(W51/20), "")</f>
        <v/>
      </c>
      <c r="AI51" s="11">
        <f>IF(INT(X51/20)&gt;INT(X50/20), "Lần " &amp; INT(X51/20), "")</f>
        <v/>
      </c>
      <c r="AJ51" s="11">
        <f>IF(INT(Y51/20)&gt;INT(Y50/20), "Lần " &amp; INT(Y51/20), "")</f>
        <v/>
      </c>
      <c r="AK51" s="11">
        <f>IF(INT(Z51/20)&gt;INT(Z50/20), "Lần " &amp; INT(Z51/20), "")</f>
        <v/>
      </c>
      <c r="AL51" s="6" t="inlineStr">
        <is>
          <t>ĐẠT TCVN 1651:2018</t>
        </is>
      </c>
    </row>
    <row r="52" ht="19" customHeight="1">
      <c r="A52" s="6" t="n">
        <v>45</v>
      </c>
      <c r="B52" s="7" t="inlineStr">
        <is>
          <t>Cọc khoan nhồi C1 Trụ T1 (D1.2m, L=40.0m)</t>
        </is>
      </c>
      <c r="C52" s="7" t="inlineStr">
        <is>
          <t>Thép đai xoắn lồng cọc</t>
        </is>
      </c>
      <c r="D52" s="18" t="inlineStr">
        <is>
          <t>P1B</t>
        </is>
      </c>
      <c r="E52" s="19" t="n">
        <v>10</v>
      </c>
      <c r="F52" s="6" t="inlineStr">
        <is>
          <t>CB240-T</t>
        </is>
      </c>
      <c r="G52" s="7" t="inlineStr">
        <is>
          <t>Đai xoắn tròn</t>
        </is>
      </c>
      <c r="H52" s="20" t="n">
        <v>206.981</v>
      </c>
      <c r="I52" s="21" t="n">
        <v>1</v>
      </c>
      <c r="J52" s="22" t="n">
        <v>0.617</v>
      </c>
      <c r="K52" s="9">
        <f>ROUND(H52*I52*J52, 2)</f>
        <v/>
      </c>
      <c r="L52" s="23">
        <f>ROUND(K52/1000, 3)</f>
        <v/>
      </c>
      <c r="M52" s="8" t="n"/>
      <c r="N52" s="6" t="n"/>
      <c r="O52" s="24">
        <f>IF(AND(E52&lt;=10, F52&lt;&gt;"ASTM A416", INT(P52/20)&gt;INT(P51/20)), "TN Ø10 (Lần " &amp; INT(P52/20) &amp; ")", IF(AND(E52=12, INT(Q52/20)&gt;INT(Q51/20)), "TN Ø12 (Lần " &amp; INT(Q52/20) &amp; ")", IF(AND(E52=14, INT(R52/20)&gt;INT(R51/20)), "TN Ø14 (Lần " &amp; INT(R52/20) &amp; ")", IF(AND(E52=16, INT(S52/20)&gt;INT(S51/20)), "TN Ø16 (Lần " &amp; INT(S52/20) &amp; ")", IF(AND(E52=18, INT(T52/20)&gt;INT(T51/20)), "TN Ø18 (Lần " &amp; INT(T52/20) &amp; ")", IF(AND(E52=20, INT(U52/20)&gt;INT(U51/20)), "TN Ø20 (Lần " &amp; INT(U52/20) &amp; ")", IF(AND(E52=22, INT(V52/20)&gt;INT(V51/20)), "TN Ø22 (Lần " &amp; INT(V52/20) &amp; ")", IF(AND(E52=25, INT(W52/20)&gt;INT(W51/20)), "TN Ø25 (Lần " &amp; INT(W52/20) &amp; ")", IF(AND(E52=28, INT(X52/20)&gt;INT(X51/20)), "TN Ø28 (Lần " &amp; INT(X52/20) &amp; ")", IF(AND(E52=32, INT(Y52/20)&gt;INT(Y51/20)), "TN Ø32 (Lần " &amp; INT(Y52/20) &amp; ")", IF(AND(F52="ASTM A416", INT(Z52/20)&gt;INT(Z51/20)), "TN Cáp 15.2 (Lần " &amp; INT(Z52/20) &amp; ")", "")))))))))))</f>
        <v/>
      </c>
      <c r="P52" s="20">
        <f>ROUND(P51 + IF(AND(E52&lt;=10, F52&lt;&gt;"ASTM A416"), L52, 0), 3)</f>
        <v/>
      </c>
      <c r="Q52" s="20">
        <f>ROUND(Q51 + IF(AND(E52=12, F52&lt;&gt;"ASTM A416"), L52, 0), 3)</f>
        <v/>
      </c>
      <c r="R52" s="20">
        <f>ROUND(R51 + IF(AND(E52=14, F52&lt;&gt;"ASTM A416"), L52, 0), 3)</f>
        <v/>
      </c>
      <c r="S52" s="20">
        <f>ROUND(S51 + IF(AND(E52=16, F52&lt;&gt;"ASTM A416"), L52, 0), 3)</f>
        <v/>
      </c>
      <c r="T52" s="20">
        <f>ROUND(T51 + IF(AND(E52=18, F52&lt;&gt;"ASTM A416"), L52, 0), 3)</f>
        <v/>
      </c>
      <c r="U52" s="20">
        <f>ROUND(U51 + IF(AND(E52=20, F52&lt;&gt;"ASTM A416"), L52, 0), 3)</f>
        <v/>
      </c>
      <c r="V52" s="20">
        <f>ROUND(V51 + IF(AND(E52=22, F52&lt;&gt;"ASTM A416"), L52, 0), 3)</f>
        <v/>
      </c>
      <c r="W52" s="20">
        <f>ROUND(W51 + IF(AND(E52=25, F52&lt;&gt;"ASTM A416"), L52, 0), 3)</f>
        <v/>
      </c>
      <c r="X52" s="20">
        <f>ROUND(X51 + IF(AND(E52=28, F52&lt;&gt;"ASTM A416"), L52, 0), 3)</f>
        <v/>
      </c>
      <c r="Y52" s="20">
        <f>ROUND(Y51 + IF(AND(E52=32, F52&lt;&gt;"ASTM A416"), L52, 0), 3)</f>
        <v/>
      </c>
      <c r="Z52" s="20">
        <f>ROUND(Z51 + IF(F52="ASTM A416", L52, 0), 3)</f>
        <v/>
      </c>
      <c r="AA52" s="11">
        <f>IF(INT(P52/20)&gt;INT(P51/20), "Lần " &amp; INT(P52/20), "")</f>
        <v/>
      </c>
      <c r="AB52" s="11">
        <f>IF(INT(Q52/20)&gt;INT(Q51/20), "Lần " &amp; INT(Q52/20), "")</f>
        <v/>
      </c>
      <c r="AC52" s="11">
        <f>IF(INT(R52/20)&gt;INT(R51/20), "Lần " &amp; INT(R52/20), "")</f>
        <v/>
      </c>
      <c r="AD52" s="11">
        <f>IF(INT(S52/20)&gt;INT(S51/20), "Lần " &amp; INT(S52/20), "")</f>
        <v/>
      </c>
      <c r="AE52" s="11">
        <f>IF(INT(T52/20)&gt;INT(T51/20), "Lần " &amp; INT(T52/20), "")</f>
        <v/>
      </c>
      <c r="AF52" s="11">
        <f>IF(INT(U52/20)&gt;INT(U51/20), "Lần " &amp; INT(U52/20), "")</f>
        <v/>
      </c>
      <c r="AG52" s="11">
        <f>IF(INT(V52/20)&gt;INT(V51/20), "Lần " &amp; INT(V52/20), "")</f>
        <v/>
      </c>
      <c r="AH52" s="11">
        <f>IF(INT(W52/20)&gt;INT(W51/20), "Lần " &amp; INT(W52/20), "")</f>
        <v/>
      </c>
      <c r="AI52" s="11">
        <f>IF(INT(X52/20)&gt;INT(X51/20), "Lần " &amp; INT(X52/20), "")</f>
        <v/>
      </c>
      <c r="AJ52" s="11">
        <f>IF(INT(Y52/20)&gt;INT(Y51/20), "Lần " &amp; INT(Y52/20), "")</f>
        <v/>
      </c>
      <c r="AK52" s="11">
        <f>IF(INT(Z52/20)&gt;INT(Z51/20), "Lần " &amp; INT(Z52/20), "")</f>
        <v/>
      </c>
      <c r="AL52" s="6" t="inlineStr">
        <is>
          <t>ĐẠT TCVN 1651:2018</t>
        </is>
      </c>
    </row>
    <row r="53" ht="19" customHeight="1">
      <c r="A53" s="6" t="n">
        <v>46</v>
      </c>
      <c r="B53" s="7" t="inlineStr">
        <is>
          <t>Cọc khoan nhồi C1 Trụ T1 (D1.2m, L=40.0m)</t>
        </is>
      </c>
      <c r="C53" s="7" t="inlineStr">
        <is>
          <t>Thép đai xoắn lồng cọc</t>
        </is>
      </c>
      <c r="D53" s="18" t="inlineStr">
        <is>
          <t>P1C</t>
        </is>
      </c>
      <c r="E53" s="19" t="n">
        <v>10</v>
      </c>
      <c r="F53" s="6" t="inlineStr">
        <is>
          <t>CB240-T</t>
        </is>
      </c>
      <c r="G53" s="7" t="inlineStr">
        <is>
          <t>Đai xoắn tròn</t>
        </is>
      </c>
      <c r="H53" s="20" t="n">
        <v>3.592</v>
      </c>
      <c r="I53" s="21" t="n">
        <v>2</v>
      </c>
      <c r="J53" s="22" t="n">
        <v>0.617</v>
      </c>
      <c r="K53" s="9">
        <f>ROUND(H53*I53*J53, 2)</f>
        <v/>
      </c>
      <c r="L53" s="23">
        <f>ROUND(K53/1000, 3)</f>
        <v/>
      </c>
      <c r="M53" s="8" t="n"/>
      <c r="N53" s="6" t="n"/>
      <c r="O53" s="24">
        <f>IF(AND(E53&lt;=10, F53&lt;&gt;"ASTM A416", INT(P53/20)&gt;INT(P52/20)), "TN Ø10 (Lần " &amp; INT(P53/20) &amp; ")", IF(AND(E53=12, INT(Q53/20)&gt;INT(Q52/20)), "TN Ø12 (Lần " &amp; INT(Q53/20) &amp; ")", IF(AND(E53=14, INT(R53/20)&gt;INT(R52/20)), "TN Ø14 (Lần " &amp; INT(R53/20) &amp; ")", IF(AND(E53=16, INT(S53/20)&gt;INT(S52/20)), "TN Ø16 (Lần " &amp; INT(S53/20) &amp; ")", IF(AND(E53=18, INT(T53/20)&gt;INT(T52/20)), "TN Ø18 (Lần " &amp; INT(T53/20) &amp; ")", IF(AND(E53=20, INT(U53/20)&gt;INT(U52/20)), "TN Ø20 (Lần " &amp; INT(U53/20) &amp; ")", IF(AND(E53=22, INT(V53/20)&gt;INT(V52/20)), "TN Ø22 (Lần " &amp; INT(V53/20) &amp; ")", IF(AND(E53=25, INT(W53/20)&gt;INT(W52/20)), "TN Ø25 (Lần " &amp; INT(W53/20) &amp; ")", IF(AND(E53=28, INT(X53/20)&gt;INT(X52/20)), "TN Ø28 (Lần " &amp; INT(X53/20) &amp; ")", IF(AND(E53=32, INT(Y53/20)&gt;INT(Y52/20)), "TN Ø32 (Lần " &amp; INT(Y53/20) &amp; ")", IF(AND(F53="ASTM A416", INT(Z53/20)&gt;INT(Z52/20)), "TN Cáp 15.2 (Lần " &amp; INT(Z53/20) &amp; ")", "")))))))))))</f>
        <v/>
      </c>
      <c r="P53" s="20">
        <f>ROUND(P52 + IF(AND(E53&lt;=10, F53&lt;&gt;"ASTM A416"), L53, 0), 3)</f>
        <v/>
      </c>
      <c r="Q53" s="20">
        <f>ROUND(Q52 + IF(AND(E53=12, F53&lt;&gt;"ASTM A416"), L53, 0), 3)</f>
        <v/>
      </c>
      <c r="R53" s="20">
        <f>ROUND(R52 + IF(AND(E53=14, F53&lt;&gt;"ASTM A416"), L53, 0), 3)</f>
        <v/>
      </c>
      <c r="S53" s="20">
        <f>ROUND(S52 + IF(AND(E53=16, F53&lt;&gt;"ASTM A416"), L53, 0), 3)</f>
        <v/>
      </c>
      <c r="T53" s="20">
        <f>ROUND(T52 + IF(AND(E53=18, F53&lt;&gt;"ASTM A416"), L53, 0), 3)</f>
        <v/>
      </c>
      <c r="U53" s="20">
        <f>ROUND(U52 + IF(AND(E53=20, F53&lt;&gt;"ASTM A416"), L53, 0), 3)</f>
        <v/>
      </c>
      <c r="V53" s="20">
        <f>ROUND(V52 + IF(AND(E53=22, F53&lt;&gt;"ASTM A416"), L53, 0), 3)</f>
        <v/>
      </c>
      <c r="W53" s="20">
        <f>ROUND(W52 + IF(AND(E53=25, F53&lt;&gt;"ASTM A416"), L53, 0), 3)</f>
        <v/>
      </c>
      <c r="X53" s="20">
        <f>ROUND(X52 + IF(AND(E53=28, F53&lt;&gt;"ASTM A416"), L53, 0), 3)</f>
        <v/>
      </c>
      <c r="Y53" s="20">
        <f>ROUND(Y52 + IF(AND(E53=32, F53&lt;&gt;"ASTM A416"), L53, 0), 3)</f>
        <v/>
      </c>
      <c r="Z53" s="20">
        <f>ROUND(Z52 + IF(F53="ASTM A416", L53, 0), 3)</f>
        <v/>
      </c>
      <c r="AA53" s="11">
        <f>IF(INT(P53/20)&gt;INT(P52/20), "Lần " &amp; INT(P53/20), "")</f>
        <v/>
      </c>
      <c r="AB53" s="11">
        <f>IF(INT(Q53/20)&gt;INT(Q52/20), "Lần " &amp; INT(Q53/20), "")</f>
        <v/>
      </c>
      <c r="AC53" s="11">
        <f>IF(INT(R53/20)&gt;INT(R52/20), "Lần " &amp; INT(R53/20), "")</f>
        <v/>
      </c>
      <c r="AD53" s="11">
        <f>IF(INT(S53/20)&gt;INT(S52/20), "Lần " &amp; INT(S53/20), "")</f>
        <v/>
      </c>
      <c r="AE53" s="11">
        <f>IF(INT(T53/20)&gt;INT(T52/20), "Lần " &amp; INT(T53/20), "")</f>
        <v/>
      </c>
      <c r="AF53" s="11">
        <f>IF(INT(U53/20)&gt;INT(U52/20), "Lần " &amp; INT(U53/20), "")</f>
        <v/>
      </c>
      <c r="AG53" s="11">
        <f>IF(INT(V53/20)&gt;INT(V52/20), "Lần " &amp; INT(V53/20), "")</f>
        <v/>
      </c>
      <c r="AH53" s="11">
        <f>IF(INT(W53/20)&gt;INT(W52/20), "Lần " &amp; INT(W53/20), "")</f>
        <v/>
      </c>
      <c r="AI53" s="11">
        <f>IF(INT(X53/20)&gt;INT(X52/20), "Lần " &amp; INT(X53/20), "")</f>
        <v/>
      </c>
      <c r="AJ53" s="11">
        <f>IF(INT(Y53/20)&gt;INT(Y52/20), "Lần " &amp; INT(Y53/20), "")</f>
        <v/>
      </c>
      <c r="AK53" s="11">
        <f>IF(INT(Z53/20)&gt;INT(Z52/20), "Lần " &amp; INT(Z53/20), "")</f>
        <v/>
      </c>
      <c r="AL53" s="6" t="inlineStr">
        <is>
          <t>ĐẠT TCVN 1651:2018</t>
        </is>
      </c>
    </row>
    <row r="54" ht="19" customHeight="1">
      <c r="A54" s="6" t="n">
        <v>47</v>
      </c>
      <c r="B54" s="7" t="inlineStr">
        <is>
          <t>Cọc khoan nhồi C1 Trụ T1 (D1.2m, L=40.0m)</t>
        </is>
      </c>
      <c r="C54" s="7" t="inlineStr">
        <is>
          <t>Thép đai xoắn lồng cọc</t>
        </is>
      </c>
      <c r="D54" s="18" t="inlineStr">
        <is>
          <t>P1D</t>
        </is>
      </c>
      <c r="E54" s="19" t="n">
        <v>10</v>
      </c>
      <c r="F54" s="6" t="inlineStr">
        <is>
          <t>CB240-T</t>
        </is>
      </c>
      <c r="G54" s="7" t="inlineStr">
        <is>
          <t>Đai xoắn tròn</t>
        </is>
      </c>
      <c r="H54" s="20" t="n">
        <v>19.721</v>
      </c>
      <c r="I54" s="21" t="n">
        <v>1</v>
      </c>
      <c r="J54" s="22" t="n">
        <v>0.617</v>
      </c>
      <c r="K54" s="9">
        <f>ROUND(H54*I54*J54, 2)</f>
        <v/>
      </c>
      <c r="L54" s="23">
        <f>ROUND(K54/1000, 3)</f>
        <v/>
      </c>
      <c r="M54" s="8" t="n"/>
      <c r="N54" s="6" t="n"/>
      <c r="O54" s="24">
        <f>IF(AND(E54&lt;=10, F54&lt;&gt;"ASTM A416", INT(P54/20)&gt;INT(P53/20)), "TN Ø10 (Lần " &amp; INT(P54/20) &amp; ")", IF(AND(E54=12, INT(Q54/20)&gt;INT(Q53/20)), "TN Ø12 (Lần " &amp; INT(Q54/20) &amp; ")", IF(AND(E54=14, INT(R54/20)&gt;INT(R53/20)), "TN Ø14 (Lần " &amp; INT(R54/20) &amp; ")", IF(AND(E54=16, INT(S54/20)&gt;INT(S53/20)), "TN Ø16 (Lần " &amp; INT(S54/20) &amp; ")", IF(AND(E54=18, INT(T54/20)&gt;INT(T53/20)), "TN Ø18 (Lần " &amp; INT(T54/20) &amp; ")", IF(AND(E54=20, INT(U54/20)&gt;INT(U53/20)), "TN Ø20 (Lần " &amp; INT(U54/20) &amp; ")", IF(AND(E54=22, INT(V54/20)&gt;INT(V53/20)), "TN Ø22 (Lần " &amp; INT(V54/20) &amp; ")", IF(AND(E54=25, INT(W54/20)&gt;INT(W53/20)), "TN Ø25 (Lần " &amp; INT(W54/20) &amp; ")", IF(AND(E54=28, INT(X54/20)&gt;INT(X53/20)), "TN Ø28 (Lần " &amp; INT(X54/20) &amp; ")", IF(AND(E54=32, INT(Y54/20)&gt;INT(Y53/20)), "TN Ø32 (Lần " &amp; INT(Y54/20) &amp; ")", IF(AND(F54="ASTM A416", INT(Z54/20)&gt;INT(Z53/20)), "TN Cáp 15.2 (Lần " &amp; INT(Z54/20) &amp; ")", "")))))))))))</f>
        <v/>
      </c>
      <c r="P54" s="20">
        <f>ROUND(P53 + IF(AND(E54&lt;=10, F54&lt;&gt;"ASTM A416"), L54, 0), 3)</f>
        <v/>
      </c>
      <c r="Q54" s="20">
        <f>ROUND(Q53 + IF(AND(E54=12, F54&lt;&gt;"ASTM A416"), L54, 0), 3)</f>
        <v/>
      </c>
      <c r="R54" s="20">
        <f>ROUND(R53 + IF(AND(E54=14, F54&lt;&gt;"ASTM A416"), L54, 0), 3)</f>
        <v/>
      </c>
      <c r="S54" s="20">
        <f>ROUND(S53 + IF(AND(E54=16, F54&lt;&gt;"ASTM A416"), L54, 0), 3)</f>
        <v/>
      </c>
      <c r="T54" s="20">
        <f>ROUND(T53 + IF(AND(E54=18, F54&lt;&gt;"ASTM A416"), L54, 0), 3)</f>
        <v/>
      </c>
      <c r="U54" s="20">
        <f>ROUND(U53 + IF(AND(E54=20, F54&lt;&gt;"ASTM A416"), L54, 0), 3)</f>
        <v/>
      </c>
      <c r="V54" s="20">
        <f>ROUND(V53 + IF(AND(E54=22, F54&lt;&gt;"ASTM A416"), L54, 0), 3)</f>
        <v/>
      </c>
      <c r="W54" s="20">
        <f>ROUND(W53 + IF(AND(E54=25, F54&lt;&gt;"ASTM A416"), L54, 0), 3)</f>
        <v/>
      </c>
      <c r="X54" s="20">
        <f>ROUND(X53 + IF(AND(E54=28, F54&lt;&gt;"ASTM A416"), L54, 0), 3)</f>
        <v/>
      </c>
      <c r="Y54" s="20">
        <f>ROUND(Y53 + IF(AND(E54=32, F54&lt;&gt;"ASTM A416"), L54, 0), 3)</f>
        <v/>
      </c>
      <c r="Z54" s="20">
        <f>ROUND(Z53 + IF(F54="ASTM A416", L54, 0), 3)</f>
        <v/>
      </c>
      <c r="AA54" s="11">
        <f>IF(INT(P54/20)&gt;INT(P53/20), "Lần " &amp; INT(P54/20), "")</f>
        <v/>
      </c>
      <c r="AB54" s="11">
        <f>IF(INT(Q54/20)&gt;INT(Q53/20), "Lần " &amp; INT(Q54/20), "")</f>
        <v/>
      </c>
      <c r="AC54" s="11">
        <f>IF(INT(R54/20)&gt;INT(R53/20), "Lần " &amp; INT(R54/20), "")</f>
        <v/>
      </c>
      <c r="AD54" s="11">
        <f>IF(INT(S54/20)&gt;INT(S53/20), "Lần " &amp; INT(S54/20), "")</f>
        <v/>
      </c>
      <c r="AE54" s="11">
        <f>IF(INT(T54/20)&gt;INT(T53/20), "Lần " &amp; INT(T54/20), "")</f>
        <v/>
      </c>
      <c r="AF54" s="11">
        <f>IF(INT(U54/20)&gt;INT(U53/20), "Lần " &amp; INT(U54/20), "")</f>
        <v/>
      </c>
      <c r="AG54" s="11">
        <f>IF(INT(V54/20)&gt;INT(V53/20), "Lần " &amp; INT(V54/20), "")</f>
        <v/>
      </c>
      <c r="AH54" s="11">
        <f>IF(INT(W54/20)&gt;INT(W53/20), "Lần " &amp; INT(W54/20), "")</f>
        <v/>
      </c>
      <c r="AI54" s="11">
        <f>IF(INT(X54/20)&gt;INT(X53/20), "Lần " &amp; INT(X54/20), "")</f>
        <v/>
      </c>
      <c r="AJ54" s="11">
        <f>IF(INT(Y54/20)&gt;INT(Y53/20), "Lần " &amp; INT(Y54/20), "")</f>
        <v/>
      </c>
      <c r="AK54" s="11">
        <f>IF(INT(Z54/20)&gt;INT(Z53/20), "Lần " &amp; INT(Z54/20), "")</f>
        <v/>
      </c>
      <c r="AL54" s="6" t="inlineStr">
        <is>
          <t>ĐẠT TCVN 1651:2018</t>
        </is>
      </c>
    </row>
    <row r="55" ht="19" customHeight="1">
      <c r="A55" s="6" t="n">
        <v>48</v>
      </c>
      <c r="B55" s="7" t="inlineStr">
        <is>
          <t>Cọc khoan nhồi C1 Trụ T1 (D1.2m, L=40.0m)</t>
        </is>
      </c>
      <c r="C55" s="7" t="inlineStr">
        <is>
          <t>Cốt thép chủ chịu lực cọc</t>
        </is>
      </c>
      <c r="D55" s="18" t="inlineStr">
        <is>
          <t>P2B</t>
        </is>
      </c>
      <c r="E55" s="19" t="n">
        <v>25</v>
      </c>
      <c r="F55" s="6" t="inlineStr">
        <is>
          <t>CB400-V</t>
        </is>
      </c>
      <c r="G55" s="7" t="inlineStr">
        <is>
          <t>Thanh thẳng nối ren/hàn</t>
        </is>
      </c>
      <c r="H55" s="20" t="n">
        <v>2.985</v>
      </c>
      <c r="I55" s="21" t="n">
        <v>16</v>
      </c>
      <c r="J55" s="22" t="n">
        <v>3.85</v>
      </c>
      <c r="K55" s="9">
        <f>ROUND(H55*I55*J55, 2)</f>
        <v/>
      </c>
      <c r="L55" s="23">
        <f>ROUND(K55/1000, 3)</f>
        <v/>
      </c>
      <c r="M55" s="8" t="n"/>
      <c r="N55" s="6" t="n"/>
      <c r="O55" s="24">
        <f>IF(AND(E55&lt;=10, F55&lt;&gt;"ASTM A416", INT(P55/20)&gt;INT(P54/20)), "TN Ø10 (Lần " &amp; INT(P55/20) &amp; ")", IF(AND(E55=12, INT(Q55/20)&gt;INT(Q54/20)), "TN Ø12 (Lần " &amp; INT(Q55/20) &amp; ")", IF(AND(E55=14, INT(R55/20)&gt;INT(R54/20)), "TN Ø14 (Lần " &amp; INT(R55/20) &amp; ")", IF(AND(E55=16, INT(S55/20)&gt;INT(S54/20)), "TN Ø16 (Lần " &amp; INT(S55/20) &amp; ")", IF(AND(E55=18, INT(T55/20)&gt;INT(T54/20)), "TN Ø18 (Lần " &amp; INT(T55/20) &amp; ")", IF(AND(E55=20, INT(U55/20)&gt;INT(U54/20)), "TN Ø20 (Lần " &amp; INT(U55/20) &amp; ")", IF(AND(E55=22, INT(V55/20)&gt;INT(V54/20)), "TN Ø22 (Lần " &amp; INT(V55/20) &amp; ")", IF(AND(E55=25, INT(W55/20)&gt;INT(W54/20)), "TN Ø25 (Lần " &amp; INT(W55/20) &amp; ")", IF(AND(E55=28, INT(X55/20)&gt;INT(X54/20)), "TN Ø28 (Lần " &amp; INT(X55/20) &amp; ")", IF(AND(E55=32, INT(Y55/20)&gt;INT(Y54/20)), "TN Ø32 (Lần " &amp; INT(Y55/20) &amp; ")", IF(AND(F55="ASTM A416", INT(Z55/20)&gt;INT(Z54/20)), "TN Cáp 15.2 (Lần " &amp; INT(Z55/20) &amp; ")", "")))))))))))</f>
        <v/>
      </c>
      <c r="P55" s="20">
        <f>ROUND(P54 + IF(AND(E55&lt;=10, F55&lt;&gt;"ASTM A416"), L55, 0), 3)</f>
        <v/>
      </c>
      <c r="Q55" s="20">
        <f>ROUND(Q54 + IF(AND(E55=12, F55&lt;&gt;"ASTM A416"), L55, 0), 3)</f>
        <v/>
      </c>
      <c r="R55" s="20">
        <f>ROUND(R54 + IF(AND(E55=14, F55&lt;&gt;"ASTM A416"), L55, 0), 3)</f>
        <v/>
      </c>
      <c r="S55" s="20">
        <f>ROUND(S54 + IF(AND(E55=16, F55&lt;&gt;"ASTM A416"), L55, 0), 3)</f>
        <v/>
      </c>
      <c r="T55" s="20">
        <f>ROUND(T54 + IF(AND(E55=18, F55&lt;&gt;"ASTM A416"), L55, 0), 3)</f>
        <v/>
      </c>
      <c r="U55" s="20">
        <f>ROUND(U54 + IF(AND(E55=20, F55&lt;&gt;"ASTM A416"), L55, 0), 3)</f>
        <v/>
      </c>
      <c r="V55" s="20">
        <f>ROUND(V54 + IF(AND(E55=22, F55&lt;&gt;"ASTM A416"), L55, 0), 3)</f>
        <v/>
      </c>
      <c r="W55" s="20">
        <f>ROUND(W54 + IF(AND(E55=25, F55&lt;&gt;"ASTM A416"), L55, 0), 3)</f>
        <v/>
      </c>
      <c r="X55" s="20">
        <f>ROUND(X54 + IF(AND(E55=28, F55&lt;&gt;"ASTM A416"), L55, 0), 3)</f>
        <v/>
      </c>
      <c r="Y55" s="20">
        <f>ROUND(Y54 + IF(AND(E55=32, F55&lt;&gt;"ASTM A416"), L55, 0), 3)</f>
        <v/>
      </c>
      <c r="Z55" s="20">
        <f>ROUND(Z54 + IF(F55="ASTM A416", L55, 0), 3)</f>
        <v/>
      </c>
      <c r="AA55" s="11">
        <f>IF(INT(P55/20)&gt;INT(P54/20), "Lần " &amp; INT(P55/20), "")</f>
        <v/>
      </c>
      <c r="AB55" s="11">
        <f>IF(INT(Q55/20)&gt;INT(Q54/20), "Lần " &amp; INT(Q55/20), "")</f>
        <v/>
      </c>
      <c r="AC55" s="11">
        <f>IF(INT(R55/20)&gt;INT(R54/20), "Lần " &amp; INT(R55/20), "")</f>
        <v/>
      </c>
      <c r="AD55" s="11">
        <f>IF(INT(S55/20)&gt;INT(S54/20), "Lần " &amp; INT(S55/20), "")</f>
        <v/>
      </c>
      <c r="AE55" s="11">
        <f>IF(INT(T55/20)&gt;INT(T54/20), "Lần " &amp; INT(T55/20), "")</f>
        <v/>
      </c>
      <c r="AF55" s="11">
        <f>IF(INT(U55/20)&gt;INT(U54/20), "Lần " &amp; INT(U55/20), "")</f>
        <v/>
      </c>
      <c r="AG55" s="11">
        <f>IF(INT(V55/20)&gt;INT(V54/20), "Lần " &amp; INT(V55/20), "")</f>
        <v/>
      </c>
      <c r="AH55" s="11">
        <f>IF(INT(W55/20)&gt;INT(W54/20), "Lần " &amp; INT(W55/20), "")</f>
        <v/>
      </c>
      <c r="AI55" s="11">
        <f>IF(INT(X55/20)&gt;INT(X54/20), "Lần " &amp; INT(X55/20), "")</f>
        <v/>
      </c>
      <c r="AJ55" s="11">
        <f>IF(INT(Y55/20)&gt;INT(Y54/20), "Lần " &amp; INT(Y55/20), "")</f>
        <v/>
      </c>
      <c r="AK55" s="11">
        <f>IF(INT(Z55/20)&gt;INT(Z54/20), "Lần " &amp; INT(Z55/20), "")</f>
        <v/>
      </c>
      <c r="AL55" s="6" t="inlineStr">
        <is>
          <t>ĐẠT TCVN 1651:2018</t>
        </is>
      </c>
    </row>
    <row r="56" ht="19" customHeight="1">
      <c r="A56" s="6" t="n">
        <v>49</v>
      </c>
      <c r="B56" s="7" t="inlineStr">
        <is>
          <t>Cọc khoan nhồi C1 Trụ T1 (D1.2m, L=40.0m)</t>
        </is>
      </c>
      <c r="C56" s="7" t="inlineStr">
        <is>
          <t>Cốt thép chủ chịu lực cọc</t>
        </is>
      </c>
      <c r="D56" s="18" t="inlineStr">
        <is>
          <t>P3</t>
        </is>
      </c>
      <c r="E56" s="19" t="n">
        <v>25</v>
      </c>
      <c r="F56" s="6" t="inlineStr">
        <is>
          <t>CB400-V</t>
        </is>
      </c>
      <c r="G56" s="7" t="inlineStr">
        <is>
          <t>Thanh thẳng nối ren/hàn</t>
        </is>
      </c>
      <c r="H56" s="20" t="n">
        <v>10.7</v>
      </c>
      <c r="I56" s="21" t="n">
        <v>12</v>
      </c>
      <c r="J56" s="22" t="n">
        <v>3.85</v>
      </c>
      <c r="K56" s="9">
        <f>ROUND(H56*I56*J56, 2)</f>
        <v/>
      </c>
      <c r="L56" s="23">
        <f>ROUND(K56/1000, 3)</f>
        <v/>
      </c>
      <c r="M56" s="8" t="n"/>
      <c r="N56" s="6" t="n"/>
      <c r="O56" s="24">
        <f>IF(AND(E56&lt;=10, F56&lt;&gt;"ASTM A416", INT(P56/20)&gt;INT(P55/20)), "TN Ø10 (Lần " &amp; INT(P56/20) &amp; ")", IF(AND(E56=12, INT(Q56/20)&gt;INT(Q55/20)), "TN Ø12 (Lần " &amp; INT(Q56/20) &amp; ")", IF(AND(E56=14, INT(R56/20)&gt;INT(R55/20)), "TN Ø14 (Lần " &amp; INT(R56/20) &amp; ")", IF(AND(E56=16, INT(S56/20)&gt;INT(S55/20)), "TN Ø16 (Lần " &amp; INT(S56/20) &amp; ")", IF(AND(E56=18, INT(T56/20)&gt;INT(T55/20)), "TN Ø18 (Lần " &amp; INT(T56/20) &amp; ")", IF(AND(E56=20, INT(U56/20)&gt;INT(U55/20)), "TN Ø20 (Lần " &amp; INT(U56/20) &amp; ")", IF(AND(E56=22, INT(V56/20)&gt;INT(V55/20)), "TN Ø22 (Lần " &amp; INT(V56/20) &amp; ")", IF(AND(E56=25, INT(W56/20)&gt;INT(W55/20)), "TN Ø25 (Lần " &amp; INT(W56/20) &amp; ")", IF(AND(E56=28, INT(X56/20)&gt;INT(X55/20)), "TN Ø28 (Lần " &amp; INT(X56/20) &amp; ")", IF(AND(E56=32, INT(Y56/20)&gt;INT(Y55/20)), "TN Ø32 (Lần " &amp; INT(Y56/20) &amp; ")", IF(AND(F56="ASTM A416", INT(Z56/20)&gt;INT(Z55/20)), "TN Cáp 15.2 (Lần " &amp; INT(Z56/20) &amp; ")", "")))))))))))</f>
        <v/>
      </c>
      <c r="P56" s="20">
        <f>ROUND(P55 + IF(AND(E56&lt;=10, F56&lt;&gt;"ASTM A416"), L56, 0), 3)</f>
        <v/>
      </c>
      <c r="Q56" s="20">
        <f>ROUND(Q55 + IF(AND(E56=12, F56&lt;&gt;"ASTM A416"), L56, 0), 3)</f>
        <v/>
      </c>
      <c r="R56" s="20">
        <f>ROUND(R55 + IF(AND(E56=14, F56&lt;&gt;"ASTM A416"), L56, 0), 3)</f>
        <v/>
      </c>
      <c r="S56" s="20">
        <f>ROUND(S55 + IF(AND(E56=16, F56&lt;&gt;"ASTM A416"), L56, 0), 3)</f>
        <v/>
      </c>
      <c r="T56" s="20">
        <f>ROUND(T55 + IF(AND(E56=18, F56&lt;&gt;"ASTM A416"), L56, 0), 3)</f>
        <v/>
      </c>
      <c r="U56" s="20">
        <f>ROUND(U55 + IF(AND(E56=20, F56&lt;&gt;"ASTM A416"), L56, 0), 3)</f>
        <v/>
      </c>
      <c r="V56" s="20">
        <f>ROUND(V55 + IF(AND(E56=22, F56&lt;&gt;"ASTM A416"), L56, 0), 3)</f>
        <v/>
      </c>
      <c r="W56" s="20">
        <f>ROUND(W55 + IF(AND(E56=25, F56&lt;&gt;"ASTM A416"), L56, 0), 3)</f>
        <v/>
      </c>
      <c r="X56" s="20">
        <f>ROUND(X55 + IF(AND(E56=28, F56&lt;&gt;"ASTM A416"), L56, 0), 3)</f>
        <v/>
      </c>
      <c r="Y56" s="20">
        <f>ROUND(Y55 + IF(AND(E56=32, F56&lt;&gt;"ASTM A416"), L56, 0), 3)</f>
        <v/>
      </c>
      <c r="Z56" s="20">
        <f>ROUND(Z55 + IF(F56="ASTM A416", L56, 0), 3)</f>
        <v/>
      </c>
      <c r="AA56" s="11">
        <f>IF(INT(P56/20)&gt;INT(P55/20), "Lần " &amp; INT(P56/20), "")</f>
        <v/>
      </c>
      <c r="AB56" s="11">
        <f>IF(INT(Q56/20)&gt;INT(Q55/20), "Lần " &amp; INT(Q56/20), "")</f>
        <v/>
      </c>
      <c r="AC56" s="11">
        <f>IF(INT(R56/20)&gt;INT(R55/20), "Lần " &amp; INT(R56/20), "")</f>
        <v/>
      </c>
      <c r="AD56" s="11">
        <f>IF(INT(S56/20)&gt;INT(S55/20), "Lần " &amp; INT(S56/20), "")</f>
        <v/>
      </c>
      <c r="AE56" s="11">
        <f>IF(INT(T56/20)&gt;INT(T55/20), "Lần " &amp; INT(T56/20), "")</f>
        <v/>
      </c>
      <c r="AF56" s="11">
        <f>IF(INT(U56/20)&gt;INT(U55/20), "Lần " &amp; INT(U56/20), "")</f>
        <v/>
      </c>
      <c r="AG56" s="11">
        <f>IF(INT(V56/20)&gt;INT(V55/20), "Lần " &amp; INT(V56/20), "")</f>
        <v/>
      </c>
      <c r="AH56" s="11">
        <f>IF(INT(W56/20)&gt;INT(W55/20), "Lần " &amp; INT(W56/20), "")</f>
        <v/>
      </c>
      <c r="AI56" s="11">
        <f>IF(INT(X56/20)&gt;INT(X55/20), "Lần " &amp; INT(X56/20), "")</f>
        <v/>
      </c>
      <c r="AJ56" s="11">
        <f>IF(INT(Y56/20)&gt;INT(Y55/20), "Lần " &amp; INT(Y56/20), "")</f>
        <v/>
      </c>
      <c r="AK56" s="11">
        <f>IF(INT(Z56/20)&gt;INT(Z55/20), "Lần " &amp; INT(Z56/20), "")</f>
        <v/>
      </c>
      <c r="AL56" s="6" t="inlineStr">
        <is>
          <t>ĐẠT TCVN 1651:2018</t>
        </is>
      </c>
    </row>
    <row r="57" ht="19" customHeight="1">
      <c r="A57" s="6" t="n">
        <v>50</v>
      </c>
      <c r="B57" s="7" t="inlineStr">
        <is>
          <t>Cọc khoan nhồi C1 Trụ T1 (D1.2m, L=40.0m)</t>
        </is>
      </c>
      <c r="C57" s="7" t="inlineStr">
        <is>
          <t>Cốt thép chủ chịu lực cọc</t>
        </is>
      </c>
      <c r="D57" s="18" t="inlineStr">
        <is>
          <t>P4</t>
        </is>
      </c>
      <c r="E57" s="19" t="n">
        <v>25</v>
      </c>
      <c r="F57" s="6" t="inlineStr">
        <is>
          <t>CB400-V</t>
        </is>
      </c>
      <c r="G57" s="7" t="inlineStr">
        <is>
          <t>Thanh thẳng nối ren/hàn</t>
        </is>
      </c>
      <c r="H57" s="20" t="n">
        <v>11.7</v>
      </c>
      <c r="I57" s="21" t="n">
        <v>60</v>
      </c>
      <c r="J57" s="22" t="n">
        <v>3.85</v>
      </c>
      <c r="K57" s="9">
        <f>ROUND(H57*I57*J57, 2)</f>
        <v/>
      </c>
      <c r="L57" s="23">
        <f>ROUND(K57/1000, 3)</f>
        <v/>
      </c>
      <c r="M57" s="8" t="n"/>
      <c r="N57" s="6" t="n"/>
      <c r="O57" s="24">
        <f>IF(AND(E57&lt;=10, F57&lt;&gt;"ASTM A416", INT(P57/20)&gt;INT(P56/20)), "TN Ø10 (Lần " &amp; INT(P57/20) &amp; ")", IF(AND(E57=12, INT(Q57/20)&gt;INT(Q56/20)), "TN Ø12 (Lần " &amp; INT(Q57/20) &amp; ")", IF(AND(E57=14, INT(R57/20)&gt;INT(R56/20)), "TN Ø14 (Lần " &amp; INT(R57/20) &amp; ")", IF(AND(E57=16, INT(S57/20)&gt;INT(S56/20)), "TN Ø16 (Lần " &amp; INT(S57/20) &amp; ")", IF(AND(E57=18, INT(T57/20)&gt;INT(T56/20)), "TN Ø18 (Lần " &amp; INT(T57/20) &amp; ")", IF(AND(E57=20, INT(U57/20)&gt;INT(U56/20)), "TN Ø20 (Lần " &amp; INT(U57/20) &amp; ")", IF(AND(E57=22, INT(V57/20)&gt;INT(V56/20)), "TN Ø22 (Lần " &amp; INT(V57/20) &amp; ")", IF(AND(E57=25, INT(W57/20)&gt;INT(W56/20)), "TN Ø25 (Lần " &amp; INT(W57/20) &amp; ")", IF(AND(E57=28, INT(X57/20)&gt;INT(X56/20)), "TN Ø28 (Lần " &amp; INT(X57/20) &amp; ")", IF(AND(E57=32, INT(Y57/20)&gt;INT(Y56/20)), "TN Ø32 (Lần " &amp; INT(Y57/20) &amp; ")", IF(AND(F57="ASTM A416", INT(Z57/20)&gt;INT(Z56/20)), "TN Cáp 15.2 (Lần " &amp; INT(Z57/20) &amp; ")", "")))))))))))</f>
        <v/>
      </c>
      <c r="P57" s="20">
        <f>ROUND(P56 + IF(AND(E57&lt;=10, F57&lt;&gt;"ASTM A416"), L57, 0), 3)</f>
        <v/>
      </c>
      <c r="Q57" s="20">
        <f>ROUND(Q56 + IF(AND(E57=12, F57&lt;&gt;"ASTM A416"), L57, 0), 3)</f>
        <v/>
      </c>
      <c r="R57" s="20">
        <f>ROUND(R56 + IF(AND(E57=14, F57&lt;&gt;"ASTM A416"), L57, 0), 3)</f>
        <v/>
      </c>
      <c r="S57" s="20">
        <f>ROUND(S56 + IF(AND(E57=16, F57&lt;&gt;"ASTM A416"), L57, 0), 3)</f>
        <v/>
      </c>
      <c r="T57" s="20">
        <f>ROUND(T56 + IF(AND(E57=18, F57&lt;&gt;"ASTM A416"), L57, 0), 3)</f>
        <v/>
      </c>
      <c r="U57" s="20">
        <f>ROUND(U56 + IF(AND(E57=20, F57&lt;&gt;"ASTM A416"), L57, 0), 3)</f>
        <v/>
      </c>
      <c r="V57" s="20">
        <f>ROUND(V56 + IF(AND(E57=22, F57&lt;&gt;"ASTM A416"), L57, 0), 3)</f>
        <v/>
      </c>
      <c r="W57" s="20">
        <f>ROUND(W56 + IF(AND(E57=25, F57&lt;&gt;"ASTM A416"), L57, 0), 3)</f>
        <v/>
      </c>
      <c r="X57" s="20">
        <f>ROUND(X56 + IF(AND(E57=28, F57&lt;&gt;"ASTM A416"), L57, 0), 3)</f>
        <v/>
      </c>
      <c r="Y57" s="20">
        <f>ROUND(Y56 + IF(AND(E57=32, F57&lt;&gt;"ASTM A416"), L57, 0), 3)</f>
        <v/>
      </c>
      <c r="Z57" s="20">
        <f>ROUND(Z56 + IF(F57="ASTM A416", L57, 0), 3)</f>
        <v/>
      </c>
      <c r="AA57" s="11">
        <f>IF(INT(P57/20)&gt;INT(P56/20), "Lần " &amp; INT(P57/20), "")</f>
        <v/>
      </c>
      <c r="AB57" s="11">
        <f>IF(INT(Q57/20)&gt;INT(Q56/20), "Lần " &amp; INT(Q57/20), "")</f>
        <v/>
      </c>
      <c r="AC57" s="11">
        <f>IF(INT(R57/20)&gt;INT(R56/20), "Lần " &amp; INT(R57/20), "")</f>
        <v/>
      </c>
      <c r="AD57" s="11">
        <f>IF(INT(S57/20)&gt;INT(S56/20), "Lần " &amp; INT(S57/20), "")</f>
        <v/>
      </c>
      <c r="AE57" s="11">
        <f>IF(INT(T57/20)&gt;INT(T56/20), "Lần " &amp; INT(T57/20), "")</f>
        <v/>
      </c>
      <c r="AF57" s="11">
        <f>IF(INT(U57/20)&gt;INT(U56/20), "Lần " &amp; INT(U57/20), "")</f>
        <v/>
      </c>
      <c r="AG57" s="11">
        <f>IF(INT(V57/20)&gt;INT(V56/20), "Lần " &amp; INT(V57/20), "")</f>
        <v/>
      </c>
      <c r="AH57" s="11">
        <f>IF(INT(W57/20)&gt;INT(W56/20), "Lần " &amp; INT(W57/20), "")</f>
        <v/>
      </c>
      <c r="AI57" s="11">
        <f>IF(INT(X57/20)&gt;INT(X56/20), "Lần " &amp; INT(X57/20), "")</f>
        <v/>
      </c>
      <c r="AJ57" s="11">
        <f>IF(INT(Y57/20)&gt;INT(Y56/20), "Lần " &amp; INT(Y57/20), "")</f>
        <v/>
      </c>
      <c r="AK57" s="11">
        <f>IF(INT(Z57/20)&gt;INT(Z56/20), "Lần " &amp; INT(Z57/20), "")</f>
        <v/>
      </c>
      <c r="AL57" s="6" t="inlineStr">
        <is>
          <t>ĐẠT TCVN 1651:2018</t>
        </is>
      </c>
    </row>
    <row r="58" ht="19" customHeight="1">
      <c r="A58" s="6" t="n">
        <v>51</v>
      </c>
      <c r="B58" s="7" t="inlineStr">
        <is>
          <t>Cọc khoan nhồi C1 Trụ T1 (D1.2m, L=40.0m)</t>
        </is>
      </c>
      <c r="C58" s="7" t="inlineStr">
        <is>
          <t>Cốt thép chủ chịu lực cọc</t>
        </is>
      </c>
      <c r="D58" s="18" t="inlineStr">
        <is>
          <t>P6</t>
        </is>
      </c>
      <c r="E58" s="19" t="n">
        <v>25</v>
      </c>
      <c r="F58" s="6" t="inlineStr">
        <is>
          <t>CB400-V</t>
        </is>
      </c>
      <c r="G58" s="7" t="inlineStr">
        <is>
          <t>Thanh thẳng nối ren/hàn</t>
        </is>
      </c>
      <c r="H58" s="20" t="n">
        <v>9.032999999999999</v>
      </c>
      <c r="I58" s="21" t="n">
        <v>12</v>
      </c>
      <c r="J58" s="22" t="n">
        <v>3.85</v>
      </c>
      <c r="K58" s="9">
        <f>ROUND(H58*I58*J58, 2)</f>
        <v/>
      </c>
      <c r="L58" s="23">
        <f>ROUND(K58/1000, 3)</f>
        <v/>
      </c>
      <c r="M58" s="8" t="n"/>
      <c r="N58" s="6" t="n"/>
      <c r="O58" s="24">
        <f>IF(AND(E58&lt;=10, F58&lt;&gt;"ASTM A416", INT(P58/20)&gt;INT(P57/20)), "TN Ø10 (Lần " &amp; INT(P58/20) &amp; ")", IF(AND(E58=12, INT(Q58/20)&gt;INT(Q57/20)), "TN Ø12 (Lần " &amp; INT(Q58/20) &amp; ")", IF(AND(E58=14, INT(R58/20)&gt;INT(R57/20)), "TN Ø14 (Lần " &amp; INT(R58/20) &amp; ")", IF(AND(E58=16, INT(S58/20)&gt;INT(S57/20)), "TN Ø16 (Lần " &amp; INT(S58/20) &amp; ")", IF(AND(E58=18, INT(T58/20)&gt;INT(T57/20)), "TN Ø18 (Lần " &amp; INT(T58/20) &amp; ")", IF(AND(E58=20, INT(U58/20)&gt;INT(U57/20)), "TN Ø20 (Lần " &amp; INT(U58/20) &amp; ")", IF(AND(E58=22, INT(V58/20)&gt;INT(V57/20)), "TN Ø22 (Lần " &amp; INT(V58/20) &amp; ")", IF(AND(E58=25, INT(W58/20)&gt;INT(W57/20)), "TN Ø25 (Lần " &amp; INT(W58/20) &amp; ")", IF(AND(E58=28, INT(X58/20)&gt;INT(X57/20)), "TN Ø28 (Lần " &amp; INT(X58/20) &amp; ")", IF(AND(E58=32, INT(Y58/20)&gt;INT(Y57/20)), "TN Ø32 (Lần " &amp; INT(Y58/20) &amp; ")", IF(AND(F58="ASTM A416", INT(Z58/20)&gt;INT(Z57/20)), "TN Cáp 15.2 (Lần " &amp; INT(Z58/20) &amp; ")", "")))))))))))</f>
        <v/>
      </c>
      <c r="P58" s="20">
        <f>ROUND(P57 + IF(AND(E58&lt;=10, F58&lt;&gt;"ASTM A416"), L58, 0), 3)</f>
        <v/>
      </c>
      <c r="Q58" s="20">
        <f>ROUND(Q57 + IF(AND(E58=12, F58&lt;&gt;"ASTM A416"), L58, 0), 3)</f>
        <v/>
      </c>
      <c r="R58" s="20">
        <f>ROUND(R57 + IF(AND(E58=14, F58&lt;&gt;"ASTM A416"), L58, 0), 3)</f>
        <v/>
      </c>
      <c r="S58" s="20">
        <f>ROUND(S57 + IF(AND(E58=16, F58&lt;&gt;"ASTM A416"), L58, 0), 3)</f>
        <v/>
      </c>
      <c r="T58" s="20">
        <f>ROUND(T57 + IF(AND(E58=18, F58&lt;&gt;"ASTM A416"), L58, 0), 3)</f>
        <v/>
      </c>
      <c r="U58" s="20">
        <f>ROUND(U57 + IF(AND(E58=20, F58&lt;&gt;"ASTM A416"), L58, 0), 3)</f>
        <v/>
      </c>
      <c r="V58" s="20">
        <f>ROUND(V57 + IF(AND(E58=22, F58&lt;&gt;"ASTM A416"), L58, 0), 3)</f>
        <v/>
      </c>
      <c r="W58" s="20">
        <f>ROUND(W57 + IF(AND(E58=25, F58&lt;&gt;"ASTM A416"), L58, 0), 3)</f>
        <v/>
      </c>
      <c r="X58" s="20">
        <f>ROUND(X57 + IF(AND(E58=28, F58&lt;&gt;"ASTM A416"), L58, 0), 3)</f>
        <v/>
      </c>
      <c r="Y58" s="20">
        <f>ROUND(Y57 + IF(AND(E58=32, F58&lt;&gt;"ASTM A416"), L58, 0), 3)</f>
        <v/>
      </c>
      <c r="Z58" s="20">
        <f>ROUND(Z57 + IF(F58="ASTM A416", L58, 0), 3)</f>
        <v/>
      </c>
      <c r="AA58" s="11">
        <f>IF(INT(P58/20)&gt;INT(P57/20), "Lần " &amp; INT(P58/20), "")</f>
        <v/>
      </c>
      <c r="AB58" s="11">
        <f>IF(INT(Q58/20)&gt;INT(Q57/20), "Lần " &amp; INT(Q58/20), "")</f>
        <v/>
      </c>
      <c r="AC58" s="11">
        <f>IF(INT(R58/20)&gt;INT(R57/20), "Lần " &amp; INT(R58/20), "")</f>
        <v/>
      </c>
      <c r="AD58" s="11">
        <f>IF(INT(S58/20)&gt;INT(S57/20), "Lần " &amp; INT(S58/20), "")</f>
        <v/>
      </c>
      <c r="AE58" s="11">
        <f>IF(INT(T58/20)&gt;INT(T57/20), "Lần " &amp; INT(T58/20), "")</f>
        <v/>
      </c>
      <c r="AF58" s="11">
        <f>IF(INT(U58/20)&gt;INT(U57/20), "Lần " &amp; INT(U58/20), "")</f>
        <v/>
      </c>
      <c r="AG58" s="11">
        <f>IF(INT(V58/20)&gt;INT(V57/20), "Lần " &amp; INT(V58/20), "")</f>
        <v/>
      </c>
      <c r="AH58" s="11">
        <f>IF(INT(W58/20)&gt;INT(W57/20), "Lần " &amp; INT(W58/20), "")</f>
        <v/>
      </c>
      <c r="AI58" s="11">
        <f>IF(INT(X58/20)&gt;INT(X57/20), "Lần " &amp; INT(X58/20), "")</f>
        <v/>
      </c>
      <c r="AJ58" s="11">
        <f>IF(INT(Y58/20)&gt;INT(Y57/20), "Lần " &amp; INT(Y58/20), "")</f>
        <v/>
      </c>
      <c r="AK58" s="11">
        <f>IF(INT(Z58/20)&gt;INT(Z57/20), "Lần " &amp; INT(Z58/20), "")</f>
        <v/>
      </c>
      <c r="AL58" s="6" t="inlineStr">
        <is>
          <t>ĐẠT TCVN 1651:2018</t>
        </is>
      </c>
    </row>
    <row r="59" ht="19" customHeight="1">
      <c r="A59" s="6" t="n">
        <v>52</v>
      </c>
      <c r="B59" s="7" t="inlineStr">
        <is>
          <t>Cọc khoan nhồi C1 Trụ T1 (D1.2m, L=40.0m)</t>
        </is>
      </c>
      <c r="C59" s="7" t="inlineStr">
        <is>
          <t>Cốt thép chủ chịu lực cọc</t>
        </is>
      </c>
      <c r="D59" s="18" t="inlineStr">
        <is>
          <t>P7</t>
        </is>
      </c>
      <c r="E59" s="19" t="n">
        <v>25</v>
      </c>
      <c r="F59" s="6" t="inlineStr">
        <is>
          <t>CB400-V</t>
        </is>
      </c>
      <c r="G59" s="7" t="inlineStr">
        <is>
          <t>Thanh thẳng nối ren/hàn</t>
        </is>
      </c>
      <c r="H59" s="20" t="n">
        <v>10.033</v>
      </c>
      <c r="I59" s="21" t="n">
        <v>12</v>
      </c>
      <c r="J59" s="22" t="n">
        <v>3.85</v>
      </c>
      <c r="K59" s="9">
        <f>ROUND(H59*I59*J59, 2)</f>
        <v/>
      </c>
      <c r="L59" s="23">
        <f>ROUND(K59/1000, 3)</f>
        <v/>
      </c>
      <c r="M59" s="8" t="n"/>
      <c r="N59" s="6" t="n"/>
      <c r="O59" s="24">
        <f>IF(AND(E59&lt;=10, F59&lt;&gt;"ASTM A416", INT(P59/20)&gt;INT(P58/20)), "TN Ø10 (Lần " &amp; INT(P59/20) &amp; ")", IF(AND(E59=12, INT(Q59/20)&gt;INT(Q58/20)), "TN Ø12 (Lần " &amp; INT(Q59/20) &amp; ")", IF(AND(E59=14, INT(R59/20)&gt;INT(R58/20)), "TN Ø14 (Lần " &amp; INT(R59/20) &amp; ")", IF(AND(E59=16, INT(S59/20)&gt;INT(S58/20)), "TN Ø16 (Lần " &amp; INT(S59/20) &amp; ")", IF(AND(E59=18, INT(T59/20)&gt;INT(T58/20)), "TN Ø18 (Lần " &amp; INT(T59/20) &amp; ")", IF(AND(E59=20, INT(U59/20)&gt;INT(U58/20)), "TN Ø20 (Lần " &amp; INT(U59/20) &amp; ")", IF(AND(E59=22, INT(V59/20)&gt;INT(V58/20)), "TN Ø22 (Lần " &amp; INT(V59/20) &amp; ")", IF(AND(E59=25, INT(W59/20)&gt;INT(W58/20)), "TN Ø25 (Lần " &amp; INT(W59/20) &amp; ")", IF(AND(E59=28, INT(X59/20)&gt;INT(X58/20)), "TN Ø28 (Lần " &amp; INT(X59/20) &amp; ")", IF(AND(E59=32, INT(Y59/20)&gt;INT(Y58/20)), "TN Ø32 (Lần " &amp; INT(Y59/20) &amp; ")", IF(AND(F59="ASTM A416", INT(Z59/20)&gt;INT(Z58/20)), "TN Cáp 15.2 (Lần " &amp; INT(Z59/20) &amp; ")", "")))))))))))</f>
        <v/>
      </c>
      <c r="P59" s="20">
        <f>ROUND(P58 + IF(AND(E59&lt;=10, F59&lt;&gt;"ASTM A416"), L59, 0), 3)</f>
        <v/>
      </c>
      <c r="Q59" s="20">
        <f>ROUND(Q58 + IF(AND(E59=12, F59&lt;&gt;"ASTM A416"), L59, 0), 3)</f>
        <v/>
      </c>
      <c r="R59" s="20">
        <f>ROUND(R58 + IF(AND(E59=14, F59&lt;&gt;"ASTM A416"), L59, 0), 3)</f>
        <v/>
      </c>
      <c r="S59" s="20">
        <f>ROUND(S58 + IF(AND(E59=16, F59&lt;&gt;"ASTM A416"), L59, 0), 3)</f>
        <v/>
      </c>
      <c r="T59" s="20">
        <f>ROUND(T58 + IF(AND(E59=18, F59&lt;&gt;"ASTM A416"), L59, 0), 3)</f>
        <v/>
      </c>
      <c r="U59" s="20">
        <f>ROUND(U58 + IF(AND(E59=20, F59&lt;&gt;"ASTM A416"), L59, 0), 3)</f>
        <v/>
      </c>
      <c r="V59" s="20">
        <f>ROUND(V58 + IF(AND(E59=22, F59&lt;&gt;"ASTM A416"), L59, 0), 3)</f>
        <v/>
      </c>
      <c r="W59" s="20">
        <f>ROUND(W58 + IF(AND(E59=25, F59&lt;&gt;"ASTM A416"), L59, 0), 3)</f>
        <v/>
      </c>
      <c r="X59" s="20">
        <f>ROUND(X58 + IF(AND(E59=28, F59&lt;&gt;"ASTM A416"), L59, 0), 3)</f>
        <v/>
      </c>
      <c r="Y59" s="20">
        <f>ROUND(Y58 + IF(AND(E59=32, F59&lt;&gt;"ASTM A416"), L59, 0), 3)</f>
        <v/>
      </c>
      <c r="Z59" s="20">
        <f>ROUND(Z58 + IF(F59="ASTM A416", L59, 0), 3)</f>
        <v/>
      </c>
      <c r="AA59" s="11">
        <f>IF(INT(P59/20)&gt;INT(P58/20), "Lần " &amp; INT(P59/20), "")</f>
        <v/>
      </c>
      <c r="AB59" s="11">
        <f>IF(INT(Q59/20)&gt;INT(Q58/20), "Lần " &amp; INT(Q59/20), "")</f>
        <v/>
      </c>
      <c r="AC59" s="11">
        <f>IF(INT(R59/20)&gt;INT(R58/20), "Lần " &amp; INT(R59/20), "")</f>
        <v/>
      </c>
      <c r="AD59" s="11">
        <f>IF(INT(S59/20)&gt;INT(S58/20), "Lần " &amp; INT(S59/20), "")</f>
        <v/>
      </c>
      <c r="AE59" s="11">
        <f>IF(INT(T59/20)&gt;INT(T58/20), "Lần " &amp; INT(T59/20), "")</f>
        <v/>
      </c>
      <c r="AF59" s="11">
        <f>IF(INT(U59/20)&gt;INT(U58/20), "Lần " &amp; INT(U59/20), "")</f>
        <v/>
      </c>
      <c r="AG59" s="11">
        <f>IF(INT(V59/20)&gt;INT(V58/20), "Lần " &amp; INT(V59/20), "")</f>
        <v/>
      </c>
      <c r="AH59" s="11">
        <f>IF(INT(W59/20)&gt;INT(W58/20), "Lần " &amp; INT(W59/20), "")</f>
        <v/>
      </c>
      <c r="AI59" s="11">
        <f>IF(INT(X59/20)&gt;INT(X58/20), "Lần " &amp; INT(X59/20), "")</f>
        <v/>
      </c>
      <c r="AJ59" s="11">
        <f>IF(INT(Y59/20)&gt;INT(Y58/20), "Lần " &amp; INT(Y59/20), "")</f>
        <v/>
      </c>
      <c r="AK59" s="11">
        <f>IF(INT(Z59/20)&gt;INT(Z58/20), "Lần " &amp; INT(Z59/20), "")</f>
        <v/>
      </c>
      <c r="AL59" s="6" t="inlineStr">
        <is>
          <t>ĐẠT TCVN 1651:2018</t>
        </is>
      </c>
    </row>
    <row r="60" ht="19" customHeight="1">
      <c r="A60" s="6" t="n">
        <v>53</v>
      </c>
      <c r="B60" s="7" t="inlineStr">
        <is>
          <t>Cọc khoan nhồi C1 Trụ T1 (D1.2m, L=40.0m)</t>
        </is>
      </c>
      <c r="C60" s="7" t="inlineStr">
        <is>
          <t>Đai tăng cường / Con kê bảo vệ</t>
        </is>
      </c>
      <c r="D60" s="18" t="inlineStr">
        <is>
          <t>P8</t>
        </is>
      </c>
      <c r="E60" s="19" t="n">
        <v>12</v>
      </c>
      <c r="F60" s="6" t="inlineStr">
        <is>
          <t>CB400-V</t>
        </is>
      </c>
      <c r="G60" s="7" t="inlineStr">
        <is>
          <t>Móc neo / Vòng đai</t>
        </is>
      </c>
      <c r="H60" s="20" t="n">
        <v>0.647</v>
      </c>
      <c r="I60" s="21" t="n">
        <v>16</v>
      </c>
      <c r="J60" s="22" t="n">
        <v>0.888</v>
      </c>
      <c r="K60" s="9">
        <f>ROUND(H60*I60*J60, 2)</f>
        <v/>
      </c>
      <c r="L60" s="23">
        <f>ROUND(K60/1000, 3)</f>
        <v/>
      </c>
      <c r="M60" s="8" t="n"/>
      <c r="N60" s="6" t="n"/>
      <c r="O60" s="24">
        <f>IF(AND(E60&lt;=10, F60&lt;&gt;"ASTM A416", INT(P60/20)&gt;INT(P59/20)), "TN Ø10 (Lần " &amp; INT(P60/20) &amp; ")", IF(AND(E60=12, INT(Q60/20)&gt;INT(Q59/20)), "TN Ø12 (Lần " &amp; INT(Q60/20) &amp; ")", IF(AND(E60=14, INT(R60/20)&gt;INT(R59/20)), "TN Ø14 (Lần " &amp; INT(R60/20) &amp; ")", IF(AND(E60=16, INT(S60/20)&gt;INT(S59/20)), "TN Ø16 (Lần " &amp; INT(S60/20) &amp; ")", IF(AND(E60=18, INT(T60/20)&gt;INT(T59/20)), "TN Ø18 (Lần " &amp; INT(T60/20) &amp; ")", IF(AND(E60=20, INT(U60/20)&gt;INT(U59/20)), "TN Ø20 (Lần " &amp; INT(U60/20) &amp; ")", IF(AND(E60=22, INT(V60/20)&gt;INT(V59/20)), "TN Ø22 (Lần " &amp; INT(V60/20) &amp; ")", IF(AND(E60=25, INT(W60/20)&gt;INT(W59/20)), "TN Ø25 (Lần " &amp; INT(W60/20) &amp; ")", IF(AND(E60=28, INT(X60/20)&gt;INT(X59/20)), "TN Ø28 (Lần " &amp; INT(X60/20) &amp; ")", IF(AND(E60=32, INT(Y60/20)&gt;INT(Y59/20)), "TN Ø32 (Lần " &amp; INT(Y60/20) &amp; ")", IF(AND(F60="ASTM A416", INT(Z60/20)&gt;INT(Z59/20)), "TN Cáp 15.2 (Lần " &amp; INT(Z60/20) &amp; ")", "")))))))))))</f>
        <v/>
      </c>
      <c r="P60" s="20">
        <f>ROUND(P59 + IF(AND(E60&lt;=10, F60&lt;&gt;"ASTM A416"), L60, 0), 3)</f>
        <v/>
      </c>
      <c r="Q60" s="20">
        <f>ROUND(Q59 + IF(AND(E60=12, F60&lt;&gt;"ASTM A416"), L60, 0), 3)</f>
        <v/>
      </c>
      <c r="R60" s="20">
        <f>ROUND(R59 + IF(AND(E60=14, F60&lt;&gt;"ASTM A416"), L60, 0), 3)</f>
        <v/>
      </c>
      <c r="S60" s="20">
        <f>ROUND(S59 + IF(AND(E60=16, F60&lt;&gt;"ASTM A416"), L60, 0), 3)</f>
        <v/>
      </c>
      <c r="T60" s="20">
        <f>ROUND(T59 + IF(AND(E60=18, F60&lt;&gt;"ASTM A416"), L60, 0), 3)</f>
        <v/>
      </c>
      <c r="U60" s="20">
        <f>ROUND(U59 + IF(AND(E60=20, F60&lt;&gt;"ASTM A416"), L60, 0), 3)</f>
        <v/>
      </c>
      <c r="V60" s="20">
        <f>ROUND(V59 + IF(AND(E60=22, F60&lt;&gt;"ASTM A416"), L60, 0), 3)</f>
        <v/>
      </c>
      <c r="W60" s="20">
        <f>ROUND(W59 + IF(AND(E60=25, F60&lt;&gt;"ASTM A416"), L60, 0), 3)</f>
        <v/>
      </c>
      <c r="X60" s="20">
        <f>ROUND(X59 + IF(AND(E60=28, F60&lt;&gt;"ASTM A416"), L60, 0), 3)</f>
        <v/>
      </c>
      <c r="Y60" s="20">
        <f>ROUND(Y59 + IF(AND(E60=32, F60&lt;&gt;"ASTM A416"), L60, 0), 3)</f>
        <v/>
      </c>
      <c r="Z60" s="20">
        <f>ROUND(Z59 + IF(F60="ASTM A416", L60, 0), 3)</f>
        <v/>
      </c>
      <c r="AA60" s="11">
        <f>IF(INT(P60/20)&gt;INT(P59/20), "Lần " &amp; INT(P60/20), "")</f>
        <v/>
      </c>
      <c r="AB60" s="11">
        <f>IF(INT(Q60/20)&gt;INT(Q59/20), "Lần " &amp; INT(Q60/20), "")</f>
        <v/>
      </c>
      <c r="AC60" s="11">
        <f>IF(INT(R60/20)&gt;INT(R59/20), "Lần " &amp; INT(R60/20), "")</f>
        <v/>
      </c>
      <c r="AD60" s="11">
        <f>IF(INT(S60/20)&gt;INT(S59/20), "Lần " &amp; INT(S60/20), "")</f>
        <v/>
      </c>
      <c r="AE60" s="11">
        <f>IF(INT(T60/20)&gt;INT(T59/20), "Lần " &amp; INT(T60/20), "")</f>
        <v/>
      </c>
      <c r="AF60" s="11">
        <f>IF(INT(U60/20)&gt;INT(U59/20), "Lần " &amp; INT(U60/20), "")</f>
        <v/>
      </c>
      <c r="AG60" s="11">
        <f>IF(INT(V60/20)&gt;INT(V59/20), "Lần " &amp; INT(V60/20), "")</f>
        <v/>
      </c>
      <c r="AH60" s="11">
        <f>IF(INT(W60/20)&gt;INT(W59/20), "Lần " &amp; INT(W60/20), "")</f>
        <v/>
      </c>
      <c r="AI60" s="11">
        <f>IF(INT(X60/20)&gt;INT(X59/20), "Lần " &amp; INT(X60/20), "")</f>
        <v/>
      </c>
      <c r="AJ60" s="11">
        <f>IF(INT(Y60/20)&gt;INT(Y59/20), "Lần " &amp; INT(Y60/20), "")</f>
        <v/>
      </c>
      <c r="AK60" s="11">
        <f>IF(INT(Z60/20)&gt;INT(Z59/20), "Lần " &amp; INT(Z60/20), "")</f>
        <v/>
      </c>
      <c r="AL60" s="6" t="inlineStr">
        <is>
          <t>ĐẠT TCVN 1651:2018</t>
        </is>
      </c>
    </row>
    <row r="61" ht="19" customHeight="1">
      <c r="A61" s="6" t="n">
        <v>54</v>
      </c>
      <c r="B61" s="7" t="inlineStr">
        <is>
          <t>Cọc khoan nhồi C1 Trụ T1 (D1.2m, L=40.0m)</t>
        </is>
      </c>
      <c r="C61" s="7" t="inlineStr">
        <is>
          <t>Đai tăng cường / Con kê bảo vệ</t>
        </is>
      </c>
      <c r="D61" s="18" t="inlineStr">
        <is>
          <t>P9</t>
        </is>
      </c>
      <c r="E61" s="19" t="n">
        <v>12</v>
      </c>
      <c r="F61" s="6" t="inlineStr">
        <is>
          <t>CB400-V</t>
        </is>
      </c>
      <c r="G61" s="7" t="inlineStr">
        <is>
          <t>Móc neo / Vòng đai</t>
        </is>
      </c>
      <c r="H61" s="20" t="n">
        <v>0.379</v>
      </c>
      <c r="I61" s="21" t="n">
        <v>48</v>
      </c>
      <c r="J61" s="22" t="n">
        <v>0.888</v>
      </c>
      <c r="K61" s="9">
        <f>ROUND(H61*I61*J61, 2)</f>
        <v/>
      </c>
      <c r="L61" s="23">
        <f>ROUND(K61/1000, 3)</f>
        <v/>
      </c>
      <c r="M61" s="8" t="n"/>
      <c r="N61" s="6" t="n"/>
      <c r="O61" s="24">
        <f>IF(AND(E61&lt;=10, F61&lt;&gt;"ASTM A416", INT(P61/20)&gt;INT(P60/20)), "TN Ø10 (Lần " &amp; INT(P61/20) &amp; ")", IF(AND(E61=12, INT(Q61/20)&gt;INT(Q60/20)), "TN Ø12 (Lần " &amp; INT(Q61/20) &amp; ")", IF(AND(E61=14, INT(R61/20)&gt;INT(R60/20)), "TN Ø14 (Lần " &amp; INT(R61/20) &amp; ")", IF(AND(E61=16, INT(S61/20)&gt;INT(S60/20)), "TN Ø16 (Lần " &amp; INT(S61/20) &amp; ")", IF(AND(E61=18, INT(T61/20)&gt;INT(T60/20)), "TN Ø18 (Lần " &amp; INT(T61/20) &amp; ")", IF(AND(E61=20, INT(U61/20)&gt;INT(U60/20)), "TN Ø20 (Lần " &amp; INT(U61/20) &amp; ")", IF(AND(E61=22, INT(V61/20)&gt;INT(V60/20)), "TN Ø22 (Lần " &amp; INT(V61/20) &amp; ")", IF(AND(E61=25, INT(W61/20)&gt;INT(W60/20)), "TN Ø25 (Lần " &amp; INT(W61/20) &amp; ")", IF(AND(E61=28, INT(X61/20)&gt;INT(X60/20)), "TN Ø28 (Lần " &amp; INT(X61/20) &amp; ")", IF(AND(E61=32, INT(Y61/20)&gt;INT(Y60/20)), "TN Ø32 (Lần " &amp; INT(Y61/20) &amp; ")", IF(AND(F61="ASTM A416", INT(Z61/20)&gt;INT(Z60/20)), "TN Cáp 15.2 (Lần " &amp; INT(Z61/20) &amp; ")", "")))))))))))</f>
        <v/>
      </c>
      <c r="P61" s="20">
        <f>ROUND(P60 + IF(AND(E61&lt;=10, F61&lt;&gt;"ASTM A416"), L61, 0), 3)</f>
        <v/>
      </c>
      <c r="Q61" s="20">
        <f>ROUND(Q60 + IF(AND(E61=12, F61&lt;&gt;"ASTM A416"), L61, 0), 3)</f>
        <v/>
      </c>
      <c r="R61" s="20">
        <f>ROUND(R60 + IF(AND(E61=14, F61&lt;&gt;"ASTM A416"), L61, 0), 3)</f>
        <v/>
      </c>
      <c r="S61" s="20">
        <f>ROUND(S60 + IF(AND(E61=16, F61&lt;&gt;"ASTM A416"), L61, 0), 3)</f>
        <v/>
      </c>
      <c r="T61" s="20">
        <f>ROUND(T60 + IF(AND(E61=18, F61&lt;&gt;"ASTM A416"), L61, 0), 3)</f>
        <v/>
      </c>
      <c r="U61" s="20">
        <f>ROUND(U60 + IF(AND(E61=20, F61&lt;&gt;"ASTM A416"), L61, 0), 3)</f>
        <v/>
      </c>
      <c r="V61" s="20">
        <f>ROUND(V60 + IF(AND(E61=22, F61&lt;&gt;"ASTM A416"), L61, 0), 3)</f>
        <v/>
      </c>
      <c r="W61" s="20">
        <f>ROUND(W60 + IF(AND(E61=25, F61&lt;&gt;"ASTM A416"), L61, 0), 3)</f>
        <v/>
      </c>
      <c r="X61" s="20">
        <f>ROUND(X60 + IF(AND(E61=28, F61&lt;&gt;"ASTM A416"), L61, 0), 3)</f>
        <v/>
      </c>
      <c r="Y61" s="20">
        <f>ROUND(Y60 + IF(AND(E61=32, F61&lt;&gt;"ASTM A416"), L61, 0), 3)</f>
        <v/>
      </c>
      <c r="Z61" s="20">
        <f>ROUND(Z60 + IF(F61="ASTM A416", L61, 0), 3)</f>
        <v/>
      </c>
      <c r="AA61" s="11">
        <f>IF(INT(P61/20)&gt;INT(P60/20), "Lần " &amp; INT(P61/20), "")</f>
        <v/>
      </c>
      <c r="AB61" s="11">
        <f>IF(INT(Q61/20)&gt;INT(Q60/20), "Lần " &amp; INT(Q61/20), "")</f>
        <v/>
      </c>
      <c r="AC61" s="11">
        <f>IF(INT(R61/20)&gt;INT(R60/20), "Lần " &amp; INT(R61/20), "")</f>
        <v/>
      </c>
      <c r="AD61" s="11">
        <f>IF(INT(S61/20)&gt;INT(S60/20), "Lần " &amp; INT(S61/20), "")</f>
        <v/>
      </c>
      <c r="AE61" s="11">
        <f>IF(INT(T61/20)&gt;INT(T60/20), "Lần " &amp; INT(T61/20), "")</f>
        <v/>
      </c>
      <c r="AF61" s="11">
        <f>IF(INT(U61/20)&gt;INT(U60/20), "Lần " &amp; INT(U61/20), "")</f>
        <v/>
      </c>
      <c r="AG61" s="11">
        <f>IF(INT(V61/20)&gt;INT(V60/20), "Lần " &amp; INT(V61/20), "")</f>
        <v/>
      </c>
      <c r="AH61" s="11">
        <f>IF(INT(W61/20)&gt;INT(W60/20), "Lần " &amp; INT(W61/20), "")</f>
        <v/>
      </c>
      <c r="AI61" s="11">
        <f>IF(INT(X61/20)&gt;INT(X60/20), "Lần " &amp; INT(X61/20), "")</f>
        <v/>
      </c>
      <c r="AJ61" s="11">
        <f>IF(INT(Y61/20)&gt;INT(Y60/20), "Lần " &amp; INT(Y61/20), "")</f>
        <v/>
      </c>
      <c r="AK61" s="11">
        <f>IF(INT(Z61/20)&gt;INT(Z60/20), "Lần " &amp; INT(Z61/20), "")</f>
        <v/>
      </c>
      <c r="AL61" s="6" t="inlineStr">
        <is>
          <t>ĐẠT TCVN 1651:2018</t>
        </is>
      </c>
    </row>
    <row r="62" ht="19" customHeight="1">
      <c r="A62" s="6" t="n">
        <v>55</v>
      </c>
      <c r="B62" s="7" t="inlineStr">
        <is>
          <t>Cọc khoan nhồi C1 Trụ T1 (D1.2m, L=40.0m)</t>
        </is>
      </c>
      <c r="C62" s="7" t="inlineStr">
        <is>
          <t>Thép đai xoắn lồng cọc</t>
        </is>
      </c>
      <c r="D62" s="18" t="inlineStr">
        <is>
          <t>P10</t>
        </is>
      </c>
      <c r="E62" s="19" t="n">
        <v>20</v>
      </c>
      <c r="F62" s="6" t="inlineStr">
        <is>
          <t>CB400-V</t>
        </is>
      </c>
      <c r="G62" s="7" t="inlineStr">
        <is>
          <t>Đai xoắn tròn</t>
        </is>
      </c>
      <c r="H62" s="20" t="n">
        <v>2.057</v>
      </c>
      <c r="I62" s="21" t="n">
        <v>1</v>
      </c>
      <c r="J62" s="22" t="n">
        <v>2.47</v>
      </c>
      <c r="K62" s="9">
        <f>ROUND(H62*I62*J62, 2)</f>
        <v/>
      </c>
      <c r="L62" s="23">
        <f>ROUND(K62/1000, 3)</f>
        <v/>
      </c>
      <c r="M62" s="8" t="n"/>
      <c r="N62" s="6" t="n"/>
      <c r="O62" s="24">
        <f>IF(AND(E62&lt;=10, F62&lt;&gt;"ASTM A416", INT(P62/20)&gt;INT(P61/20)), "TN Ø10 (Lần " &amp; INT(P62/20) &amp; ")", IF(AND(E62=12, INT(Q62/20)&gt;INT(Q61/20)), "TN Ø12 (Lần " &amp; INT(Q62/20) &amp; ")", IF(AND(E62=14, INT(R62/20)&gt;INT(R61/20)), "TN Ø14 (Lần " &amp; INT(R62/20) &amp; ")", IF(AND(E62=16, INT(S62/20)&gt;INT(S61/20)), "TN Ø16 (Lần " &amp; INT(S62/20) &amp; ")", IF(AND(E62=18, INT(T62/20)&gt;INT(T61/20)), "TN Ø18 (Lần " &amp; INT(T62/20) &amp; ")", IF(AND(E62=20, INT(U62/20)&gt;INT(U61/20)), "TN Ø20 (Lần " &amp; INT(U62/20) &amp; ")", IF(AND(E62=22, INT(V62/20)&gt;INT(V61/20)), "TN Ø22 (Lần " &amp; INT(V62/20) &amp; ")", IF(AND(E62=25, INT(W62/20)&gt;INT(W61/20)), "TN Ø25 (Lần " &amp; INT(W62/20) &amp; ")", IF(AND(E62=28, INT(X62/20)&gt;INT(X61/20)), "TN Ø28 (Lần " &amp; INT(X62/20) &amp; ")", IF(AND(E62=32, INT(Y62/20)&gt;INT(Y61/20)), "TN Ø32 (Lần " &amp; INT(Y62/20) &amp; ")", IF(AND(F62="ASTM A416", INT(Z62/20)&gt;INT(Z61/20)), "TN Cáp 15.2 (Lần " &amp; INT(Z62/20) &amp; ")", "")))))))))))</f>
        <v/>
      </c>
      <c r="P62" s="20">
        <f>ROUND(P61 + IF(AND(E62&lt;=10, F62&lt;&gt;"ASTM A416"), L62, 0), 3)</f>
        <v/>
      </c>
      <c r="Q62" s="20">
        <f>ROUND(Q61 + IF(AND(E62=12, F62&lt;&gt;"ASTM A416"), L62, 0), 3)</f>
        <v/>
      </c>
      <c r="R62" s="20">
        <f>ROUND(R61 + IF(AND(E62=14, F62&lt;&gt;"ASTM A416"), L62, 0), 3)</f>
        <v/>
      </c>
      <c r="S62" s="20">
        <f>ROUND(S61 + IF(AND(E62=16, F62&lt;&gt;"ASTM A416"), L62, 0), 3)</f>
        <v/>
      </c>
      <c r="T62" s="20">
        <f>ROUND(T61 + IF(AND(E62=18, F62&lt;&gt;"ASTM A416"), L62, 0), 3)</f>
        <v/>
      </c>
      <c r="U62" s="20">
        <f>ROUND(U61 + IF(AND(E62=20, F62&lt;&gt;"ASTM A416"), L62, 0), 3)</f>
        <v/>
      </c>
      <c r="V62" s="20">
        <f>ROUND(V61 + IF(AND(E62=22, F62&lt;&gt;"ASTM A416"), L62, 0), 3)</f>
        <v/>
      </c>
      <c r="W62" s="20">
        <f>ROUND(W61 + IF(AND(E62=25, F62&lt;&gt;"ASTM A416"), L62, 0), 3)</f>
        <v/>
      </c>
      <c r="X62" s="20">
        <f>ROUND(X61 + IF(AND(E62=28, F62&lt;&gt;"ASTM A416"), L62, 0), 3)</f>
        <v/>
      </c>
      <c r="Y62" s="20">
        <f>ROUND(Y61 + IF(AND(E62=32, F62&lt;&gt;"ASTM A416"), L62, 0), 3)</f>
        <v/>
      </c>
      <c r="Z62" s="20">
        <f>ROUND(Z61 + IF(F62="ASTM A416", L62, 0), 3)</f>
        <v/>
      </c>
      <c r="AA62" s="11">
        <f>IF(INT(P62/20)&gt;INT(P61/20), "Lần " &amp; INT(P62/20), "")</f>
        <v/>
      </c>
      <c r="AB62" s="11">
        <f>IF(INT(Q62/20)&gt;INT(Q61/20), "Lần " &amp; INT(Q62/20), "")</f>
        <v/>
      </c>
      <c r="AC62" s="11">
        <f>IF(INT(R62/20)&gt;INT(R61/20), "Lần " &amp; INT(R62/20), "")</f>
        <v/>
      </c>
      <c r="AD62" s="11">
        <f>IF(INT(S62/20)&gt;INT(S61/20), "Lần " &amp; INT(S62/20), "")</f>
        <v/>
      </c>
      <c r="AE62" s="11">
        <f>IF(INT(T62/20)&gt;INT(T61/20), "Lần " &amp; INT(T62/20), "")</f>
        <v/>
      </c>
      <c r="AF62" s="11">
        <f>IF(INT(U62/20)&gt;INT(U61/20), "Lần " &amp; INT(U62/20), "")</f>
        <v/>
      </c>
      <c r="AG62" s="11">
        <f>IF(INT(V62/20)&gt;INT(V61/20), "Lần " &amp; INT(V62/20), "")</f>
        <v/>
      </c>
      <c r="AH62" s="11">
        <f>IF(INT(W62/20)&gt;INT(W61/20), "Lần " &amp; INT(W62/20), "")</f>
        <v/>
      </c>
      <c r="AI62" s="11">
        <f>IF(INT(X62/20)&gt;INT(X61/20), "Lần " &amp; INT(X62/20), "")</f>
        <v/>
      </c>
      <c r="AJ62" s="11">
        <f>IF(INT(Y62/20)&gt;INT(Y61/20), "Lần " &amp; INT(Y62/20), "")</f>
        <v/>
      </c>
      <c r="AK62" s="11">
        <f>IF(INT(Z62/20)&gt;INT(Z61/20), "Lần " &amp; INT(Z62/20), "")</f>
        <v/>
      </c>
      <c r="AL62" s="6" t="inlineStr">
        <is>
          <t>ĐẠT TCVN 1651:2018</t>
        </is>
      </c>
    </row>
    <row r="63" ht="19" customHeight="1">
      <c r="A63" s="6" t="n">
        <v>56</v>
      </c>
      <c r="B63" s="7" t="inlineStr">
        <is>
          <t>Cọc khoan nhồi C1 Trụ T1 (D1.2m, L=40.0m)</t>
        </is>
      </c>
      <c r="C63" s="7" t="inlineStr">
        <is>
          <t>Thanh thép treo lồng cọc</t>
        </is>
      </c>
      <c r="D63" s="18" t="inlineStr">
        <is>
          <t>P11</t>
        </is>
      </c>
      <c r="E63" s="19" t="n">
        <v>16</v>
      </c>
      <c r="F63" s="6" t="inlineStr">
        <is>
          <t>CB400-V</t>
        </is>
      </c>
      <c r="G63" s="7" t="inlineStr">
        <is>
          <t>Thanh treo lồng (bảng phụ tr.68)</t>
        </is>
      </c>
      <c r="H63" s="20" t="n">
        <v>2.604</v>
      </c>
      <c r="I63" s="21" t="n">
        <v>4</v>
      </c>
      <c r="J63" s="22" t="n">
        <v>1.58</v>
      </c>
      <c r="K63" s="9">
        <f>ROUND(H63*I63*J63, 2)</f>
        <v/>
      </c>
      <c r="L63" s="23">
        <f>ROUND(K63/1000, 3)</f>
        <v/>
      </c>
      <c r="M63" s="8" t="n"/>
      <c r="N63" s="6" t="n"/>
      <c r="O63" s="24">
        <f>IF(AND(E63&lt;=10, F63&lt;&gt;"ASTM A416", INT(P63/20)&gt;INT(P62/20)), "TN Ø10 (Lần " &amp; INT(P63/20) &amp; ")", IF(AND(E63=12, INT(Q63/20)&gt;INT(Q62/20)), "TN Ø12 (Lần " &amp; INT(Q63/20) &amp; ")", IF(AND(E63=14, INT(R63/20)&gt;INT(R62/20)), "TN Ø14 (Lần " &amp; INT(R63/20) &amp; ")", IF(AND(E63=16, INT(S63/20)&gt;INT(S62/20)), "TN Ø16 (Lần " &amp; INT(S63/20) &amp; ")", IF(AND(E63=18, INT(T63/20)&gt;INT(T62/20)), "TN Ø18 (Lần " &amp; INT(T63/20) &amp; ")", IF(AND(E63=20, INT(U63/20)&gt;INT(U62/20)), "TN Ø20 (Lần " &amp; INT(U63/20) &amp; ")", IF(AND(E63=22, INT(V63/20)&gt;INT(V62/20)), "TN Ø22 (Lần " &amp; INT(V63/20) &amp; ")", IF(AND(E63=25, INT(W63/20)&gt;INT(W62/20)), "TN Ø25 (Lần " &amp; INT(W63/20) &amp; ")", IF(AND(E63=28, INT(X63/20)&gt;INT(X62/20)), "TN Ø28 (Lần " &amp; INT(X63/20) &amp; ")", IF(AND(E63=32, INT(Y63/20)&gt;INT(Y62/20)), "TN Ø32 (Lần " &amp; INT(Y63/20) &amp; ")", IF(AND(F63="ASTM A416", INT(Z63/20)&gt;INT(Z62/20)), "TN Cáp 15.2 (Lần " &amp; INT(Z63/20) &amp; ")", "")))))))))))</f>
        <v/>
      </c>
      <c r="P63" s="20">
        <f>ROUND(P62 + IF(AND(E63&lt;=10, F63&lt;&gt;"ASTM A416"), L63, 0), 3)</f>
        <v/>
      </c>
      <c r="Q63" s="20">
        <f>ROUND(Q62 + IF(AND(E63=12, F63&lt;&gt;"ASTM A416"), L63, 0), 3)</f>
        <v/>
      </c>
      <c r="R63" s="20">
        <f>ROUND(R62 + IF(AND(E63=14, F63&lt;&gt;"ASTM A416"), L63, 0), 3)</f>
        <v/>
      </c>
      <c r="S63" s="20">
        <f>ROUND(S62 + IF(AND(E63=16, F63&lt;&gt;"ASTM A416"), L63, 0), 3)</f>
        <v/>
      </c>
      <c r="T63" s="20">
        <f>ROUND(T62 + IF(AND(E63=18, F63&lt;&gt;"ASTM A416"), L63, 0), 3)</f>
        <v/>
      </c>
      <c r="U63" s="20">
        <f>ROUND(U62 + IF(AND(E63=20, F63&lt;&gt;"ASTM A416"), L63, 0), 3)</f>
        <v/>
      </c>
      <c r="V63" s="20">
        <f>ROUND(V62 + IF(AND(E63=22, F63&lt;&gt;"ASTM A416"), L63, 0), 3)</f>
        <v/>
      </c>
      <c r="W63" s="20">
        <f>ROUND(W62 + IF(AND(E63=25, F63&lt;&gt;"ASTM A416"), L63, 0), 3)</f>
        <v/>
      </c>
      <c r="X63" s="20">
        <f>ROUND(X62 + IF(AND(E63=28, F63&lt;&gt;"ASTM A416"), L63, 0), 3)</f>
        <v/>
      </c>
      <c r="Y63" s="20">
        <f>ROUND(Y62 + IF(AND(E63=32, F63&lt;&gt;"ASTM A416"), L63, 0), 3)</f>
        <v/>
      </c>
      <c r="Z63" s="20">
        <f>ROUND(Z62 + IF(F63="ASTM A416", L63, 0), 3)</f>
        <v/>
      </c>
      <c r="AA63" s="11">
        <f>IF(INT(P63/20)&gt;INT(P62/20), "Lần " &amp; INT(P63/20), "")</f>
        <v/>
      </c>
      <c r="AB63" s="11">
        <f>IF(INT(Q63/20)&gt;INT(Q62/20), "Lần " &amp; INT(Q63/20), "")</f>
        <v/>
      </c>
      <c r="AC63" s="11">
        <f>IF(INT(R63/20)&gt;INT(R62/20), "Lần " &amp; INT(R63/20), "")</f>
        <v/>
      </c>
      <c r="AD63" s="11">
        <f>IF(INT(S63/20)&gt;INT(S62/20), "Lần " &amp; INT(S63/20), "")</f>
        <v/>
      </c>
      <c r="AE63" s="11">
        <f>IF(INT(T63/20)&gt;INT(T62/20), "Lần " &amp; INT(T63/20), "")</f>
        <v/>
      </c>
      <c r="AF63" s="11">
        <f>IF(INT(U63/20)&gt;INT(U62/20), "Lần " &amp; INT(U63/20), "")</f>
        <v/>
      </c>
      <c r="AG63" s="11">
        <f>IF(INT(V63/20)&gt;INT(V62/20), "Lần " &amp; INT(V63/20), "")</f>
        <v/>
      </c>
      <c r="AH63" s="11">
        <f>IF(INT(W63/20)&gt;INT(W62/20), "Lần " &amp; INT(W63/20), "")</f>
        <v/>
      </c>
      <c r="AI63" s="11">
        <f>IF(INT(X63/20)&gt;INT(X62/20), "Lần " &amp; INT(X63/20), "")</f>
        <v/>
      </c>
      <c r="AJ63" s="11">
        <f>IF(INT(Y63/20)&gt;INT(Y62/20), "Lần " &amp; INT(Y63/20), "")</f>
        <v/>
      </c>
      <c r="AK63" s="11">
        <f>IF(INT(Z63/20)&gt;INT(Z62/20), "Lần " &amp; INT(Z63/20), "")</f>
        <v/>
      </c>
      <c r="AL63" s="6" t="inlineStr">
        <is>
          <t>ĐẠT TCVN 1651:2018</t>
        </is>
      </c>
    </row>
    <row r="64" ht="19" customHeight="1">
      <c r="A64" s="6" t="n">
        <v>57</v>
      </c>
      <c r="B64" s="7" t="inlineStr">
        <is>
          <t>Cọc khoan nhồi C1 Trụ T1 (D1.2m, L=40.0m)</t>
        </is>
      </c>
      <c r="C64" s="7" t="inlineStr">
        <is>
          <t>Thép đai xoắn lồng cọc</t>
        </is>
      </c>
      <c r="D64" s="18" t="inlineStr">
        <is>
          <t>P12</t>
        </is>
      </c>
      <c r="E64" s="19" t="n">
        <v>20</v>
      </c>
      <c r="F64" s="6" t="inlineStr">
        <is>
          <t>CB400-V</t>
        </is>
      </c>
      <c r="G64" s="7" t="inlineStr">
        <is>
          <t>Đai xoắn tròn</t>
        </is>
      </c>
      <c r="H64" s="20" t="n">
        <v>0.583</v>
      </c>
      <c r="I64" s="21" t="n">
        <v>64</v>
      </c>
      <c r="J64" s="22" t="n">
        <v>2.47</v>
      </c>
      <c r="K64" s="9">
        <f>ROUND(H64*I64*J64, 2)</f>
        <v/>
      </c>
      <c r="L64" s="23">
        <f>ROUND(K64/1000, 3)</f>
        <v/>
      </c>
      <c r="M64" s="8" t="n"/>
      <c r="N64" s="6" t="n"/>
      <c r="O64" s="24">
        <f>IF(AND(E64&lt;=10, F64&lt;&gt;"ASTM A416", INT(P64/20)&gt;INT(P63/20)), "TN Ø10 (Lần " &amp; INT(P64/20) &amp; ")", IF(AND(E64=12, INT(Q64/20)&gt;INT(Q63/20)), "TN Ø12 (Lần " &amp; INT(Q64/20) &amp; ")", IF(AND(E64=14, INT(R64/20)&gt;INT(R63/20)), "TN Ø14 (Lần " &amp; INT(R64/20) &amp; ")", IF(AND(E64=16, INT(S64/20)&gt;INT(S63/20)), "TN Ø16 (Lần " &amp; INT(S64/20) &amp; ")", IF(AND(E64=18, INT(T64/20)&gt;INT(T63/20)), "TN Ø18 (Lần " &amp; INT(T64/20) &amp; ")", IF(AND(E64=20, INT(U64/20)&gt;INT(U63/20)), "TN Ø20 (Lần " &amp; INT(U64/20) &amp; ")", IF(AND(E64=22, INT(V64/20)&gt;INT(V63/20)), "TN Ø22 (Lần " &amp; INT(V64/20) &amp; ")", IF(AND(E64=25, INT(W64/20)&gt;INT(W63/20)), "TN Ø25 (Lần " &amp; INT(W64/20) &amp; ")", IF(AND(E64=28, INT(X64/20)&gt;INT(X63/20)), "TN Ø28 (Lần " &amp; INT(X64/20) &amp; ")", IF(AND(E64=32, INT(Y64/20)&gt;INT(Y63/20)), "TN Ø32 (Lần " &amp; INT(Y64/20) &amp; ")", IF(AND(F64="ASTM A416", INT(Z64/20)&gt;INT(Z63/20)), "TN Cáp 15.2 (Lần " &amp; INT(Z64/20) &amp; ")", "")))))))))))</f>
        <v/>
      </c>
      <c r="P64" s="20">
        <f>ROUND(P63 + IF(AND(E64&lt;=10, F64&lt;&gt;"ASTM A416"), L64, 0), 3)</f>
        <v/>
      </c>
      <c r="Q64" s="20">
        <f>ROUND(Q63 + IF(AND(E64=12, F64&lt;&gt;"ASTM A416"), L64, 0), 3)</f>
        <v/>
      </c>
      <c r="R64" s="20">
        <f>ROUND(R63 + IF(AND(E64=14, F64&lt;&gt;"ASTM A416"), L64, 0), 3)</f>
        <v/>
      </c>
      <c r="S64" s="20">
        <f>ROUND(S63 + IF(AND(E64=16, F64&lt;&gt;"ASTM A416"), L64, 0), 3)</f>
        <v/>
      </c>
      <c r="T64" s="20">
        <f>ROUND(T63 + IF(AND(E64=18, F64&lt;&gt;"ASTM A416"), L64, 0), 3)</f>
        <v/>
      </c>
      <c r="U64" s="20">
        <f>ROUND(U63 + IF(AND(E64=20, F64&lt;&gt;"ASTM A416"), L64, 0), 3)</f>
        <v/>
      </c>
      <c r="V64" s="20">
        <f>ROUND(V63 + IF(AND(E64=22, F64&lt;&gt;"ASTM A416"), L64, 0), 3)</f>
        <v/>
      </c>
      <c r="W64" s="20">
        <f>ROUND(W63 + IF(AND(E64=25, F64&lt;&gt;"ASTM A416"), L64, 0), 3)</f>
        <v/>
      </c>
      <c r="X64" s="20">
        <f>ROUND(X63 + IF(AND(E64=28, F64&lt;&gt;"ASTM A416"), L64, 0), 3)</f>
        <v/>
      </c>
      <c r="Y64" s="20">
        <f>ROUND(Y63 + IF(AND(E64=32, F64&lt;&gt;"ASTM A416"), L64, 0), 3)</f>
        <v/>
      </c>
      <c r="Z64" s="20">
        <f>ROUND(Z63 + IF(F64="ASTM A416", L64, 0), 3)</f>
        <v/>
      </c>
      <c r="AA64" s="11">
        <f>IF(INT(P64/20)&gt;INT(P63/20), "Lần " &amp; INT(P64/20), "")</f>
        <v/>
      </c>
      <c r="AB64" s="11">
        <f>IF(INT(Q64/20)&gt;INT(Q63/20), "Lần " &amp; INT(Q64/20), "")</f>
        <v/>
      </c>
      <c r="AC64" s="11">
        <f>IF(INT(R64/20)&gt;INT(R63/20), "Lần " &amp; INT(R64/20), "")</f>
        <v/>
      </c>
      <c r="AD64" s="11">
        <f>IF(INT(S64/20)&gt;INT(S63/20), "Lần " &amp; INT(S64/20), "")</f>
        <v/>
      </c>
      <c r="AE64" s="11">
        <f>IF(INT(T64/20)&gt;INT(T63/20), "Lần " &amp; INT(T64/20), "")</f>
        <v/>
      </c>
      <c r="AF64" s="11">
        <f>IF(INT(U64/20)&gt;INT(U63/20), "Lần " &amp; INT(U64/20), "")</f>
        <v/>
      </c>
      <c r="AG64" s="11">
        <f>IF(INT(V64/20)&gt;INT(V63/20), "Lần " &amp; INT(V64/20), "")</f>
        <v/>
      </c>
      <c r="AH64" s="11">
        <f>IF(INT(W64/20)&gt;INT(W63/20), "Lần " &amp; INT(W64/20), "")</f>
        <v/>
      </c>
      <c r="AI64" s="11">
        <f>IF(INT(X64/20)&gt;INT(X63/20), "Lần " &amp; INT(X64/20), "")</f>
        <v/>
      </c>
      <c r="AJ64" s="11">
        <f>IF(INT(Y64/20)&gt;INT(Y63/20), "Lần " &amp; INT(Y64/20), "")</f>
        <v/>
      </c>
      <c r="AK64" s="11">
        <f>IF(INT(Z64/20)&gt;INT(Z63/20), "Lần " &amp; INT(Z64/20), "")</f>
        <v/>
      </c>
      <c r="AL64" s="6" t="inlineStr">
        <is>
          <t>ĐẠT TCVN 1651:2018</t>
        </is>
      </c>
    </row>
    <row r="65" ht="20" customHeight="1">
      <c r="A65" s="17" t="inlineStr">
        <is>
          <t>--- CỌC KHOAN NHỒI C2 TRỤ T1 (D1.2M, L=40.0M) ---</t>
        </is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</row>
    <row r="66" ht="19" customHeight="1">
      <c r="A66" s="6" t="n">
        <v>58</v>
      </c>
      <c r="B66" s="7" t="inlineStr">
        <is>
          <t>Cọc khoan nhồi C2 Trụ T1 (D1.2m, L=40.0m)</t>
        </is>
      </c>
      <c r="C66" s="7" t="inlineStr">
        <is>
          <t>Thép đai xoắn lồng cọc</t>
        </is>
      </c>
      <c r="D66" s="18" t="inlineStr">
        <is>
          <t>P1</t>
        </is>
      </c>
      <c r="E66" s="19" t="n">
        <v>10</v>
      </c>
      <c r="F66" s="6" t="inlineStr">
        <is>
          <t>CB240-T</t>
        </is>
      </c>
      <c r="G66" s="7" t="inlineStr">
        <is>
          <t>Đai xoắn tròn</t>
        </is>
      </c>
      <c r="H66" s="20" t="n">
        <v>96.604</v>
      </c>
      <c r="I66" s="21" t="n">
        <v>1</v>
      </c>
      <c r="J66" s="22" t="n">
        <v>0.617</v>
      </c>
      <c r="K66" s="9">
        <f>ROUND(H66*I66*J66, 2)</f>
        <v/>
      </c>
      <c r="L66" s="23">
        <f>ROUND(K66/1000, 3)</f>
        <v/>
      </c>
      <c r="M66" s="8" t="n"/>
      <c r="N66" s="6" t="n"/>
      <c r="O66" s="24">
        <f>IF(AND(E66&lt;=10, F66&lt;&gt;"ASTM A416", INT(P66/20)&gt;INT(P64/20)), "TN Ø10 (Lần " &amp; INT(P66/20) &amp; ")", IF(AND(E66=12, INT(Q66/20)&gt;INT(Q64/20)), "TN Ø12 (Lần " &amp; INT(Q66/20) &amp; ")", IF(AND(E66=14, INT(R66/20)&gt;INT(R64/20)), "TN Ø14 (Lần " &amp; INT(R66/20) &amp; ")", IF(AND(E66=16, INT(S66/20)&gt;INT(S64/20)), "TN Ø16 (Lần " &amp; INT(S66/20) &amp; ")", IF(AND(E66=18, INT(T66/20)&gt;INT(T64/20)), "TN Ø18 (Lần " &amp; INT(T66/20) &amp; ")", IF(AND(E66=20, INT(U66/20)&gt;INT(U64/20)), "TN Ø20 (Lần " &amp; INT(U66/20) &amp; ")", IF(AND(E66=22, INT(V66/20)&gt;INT(V64/20)), "TN Ø22 (Lần " &amp; INT(V66/20) &amp; ")", IF(AND(E66=25, INT(W66/20)&gt;INT(W64/20)), "TN Ø25 (Lần " &amp; INT(W66/20) &amp; ")", IF(AND(E66=28, INT(X66/20)&gt;INT(X64/20)), "TN Ø28 (Lần " &amp; INT(X66/20) &amp; ")", IF(AND(E66=32, INT(Y66/20)&gt;INT(Y64/20)), "TN Ø32 (Lần " &amp; INT(Y66/20) &amp; ")", IF(AND(F66="ASTM A416", INT(Z66/20)&gt;INT(Z64/20)), "TN Cáp 15.2 (Lần " &amp; INT(Z66/20) &amp; ")", "")))))))))))</f>
        <v/>
      </c>
      <c r="P66" s="20">
        <f>ROUND(P64 + IF(AND(E66&lt;=10, F66&lt;&gt;"ASTM A416"), L66, 0), 3)</f>
        <v/>
      </c>
      <c r="Q66" s="20">
        <f>ROUND(Q64 + IF(AND(E66=12, F66&lt;&gt;"ASTM A416"), L66, 0), 3)</f>
        <v/>
      </c>
      <c r="R66" s="20">
        <f>ROUND(R64 + IF(AND(E66=14, F66&lt;&gt;"ASTM A416"), L66, 0), 3)</f>
        <v/>
      </c>
      <c r="S66" s="20">
        <f>ROUND(S64 + IF(AND(E66=16, F66&lt;&gt;"ASTM A416"), L66, 0), 3)</f>
        <v/>
      </c>
      <c r="T66" s="20">
        <f>ROUND(T64 + IF(AND(E66=18, F66&lt;&gt;"ASTM A416"), L66, 0), 3)</f>
        <v/>
      </c>
      <c r="U66" s="20">
        <f>ROUND(U64 + IF(AND(E66=20, F66&lt;&gt;"ASTM A416"), L66, 0), 3)</f>
        <v/>
      </c>
      <c r="V66" s="20">
        <f>ROUND(V64 + IF(AND(E66=22, F66&lt;&gt;"ASTM A416"), L66, 0), 3)</f>
        <v/>
      </c>
      <c r="W66" s="20">
        <f>ROUND(W64 + IF(AND(E66=25, F66&lt;&gt;"ASTM A416"), L66, 0), 3)</f>
        <v/>
      </c>
      <c r="X66" s="20">
        <f>ROUND(X64 + IF(AND(E66=28, F66&lt;&gt;"ASTM A416"), L66, 0), 3)</f>
        <v/>
      </c>
      <c r="Y66" s="20">
        <f>ROUND(Y64 + IF(AND(E66=32, F66&lt;&gt;"ASTM A416"), L66, 0), 3)</f>
        <v/>
      </c>
      <c r="Z66" s="20">
        <f>ROUND(Z64 + IF(F66="ASTM A416", L66, 0), 3)</f>
        <v/>
      </c>
      <c r="AA66" s="11">
        <f>IF(INT(P66/20)&gt;INT(P64/20), "Lần " &amp; INT(P66/20), "")</f>
        <v/>
      </c>
      <c r="AB66" s="11">
        <f>IF(INT(Q66/20)&gt;INT(Q64/20), "Lần " &amp; INT(Q66/20), "")</f>
        <v/>
      </c>
      <c r="AC66" s="11">
        <f>IF(INT(R66/20)&gt;INT(R64/20), "Lần " &amp; INT(R66/20), "")</f>
        <v/>
      </c>
      <c r="AD66" s="11">
        <f>IF(INT(S66/20)&gt;INT(S64/20), "Lần " &amp; INT(S66/20), "")</f>
        <v/>
      </c>
      <c r="AE66" s="11">
        <f>IF(INT(T66/20)&gt;INT(T64/20), "Lần " &amp; INT(T66/20), "")</f>
        <v/>
      </c>
      <c r="AF66" s="11">
        <f>IF(INT(U66/20)&gt;INT(U64/20), "Lần " &amp; INT(U66/20), "")</f>
        <v/>
      </c>
      <c r="AG66" s="11">
        <f>IF(INT(V66/20)&gt;INT(V64/20), "Lần " &amp; INT(V66/20), "")</f>
        <v/>
      </c>
      <c r="AH66" s="11">
        <f>IF(INT(W66/20)&gt;INT(W64/20), "Lần " &amp; INT(W66/20), "")</f>
        <v/>
      </c>
      <c r="AI66" s="11">
        <f>IF(INT(X66/20)&gt;INT(X64/20), "Lần " &amp; INT(X66/20), "")</f>
        <v/>
      </c>
      <c r="AJ66" s="11">
        <f>IF(INT(Y66/20)&gt;INT(Y64/20), "Lần " &amp; INT(Y66/20), "")</f>
        <v/>
      </c>
      <c r="AK66" s="11">
        <f>IF(INT(Z66/20)&gt;INT(Z64/20), "Lần " &amp; INT(Z66/20), "")</f>
        <v/>
      </c>
      <c r="AL66" s="6" t="inlineStr">
        <is>
          <t>ĐẠT TCVN 1651:2018</t>
        </is>
      </c>
    </row>
    <row r="67" ht="19" customHeight="1">
      <c r="A67" s="6" t="n">
        <v>59</v>
      </c>
      <c r="B67" s="7" t="inlineStr">
        <is>
          <t>Cọc khoan nhồi C2 Trụ T1 (D1.2m, L=40.0m)</t>
        </is>
      </c>
      <c r="C67" s="7" t="inlineStr">
        <is>
          <t>Thép đai xoắn lồng cọc</t>
        </is>
      </c>
      <c r="D67" s="18" t="inlineStr">
        <is>
          <t>P1A</t>
        </is>
      </c>
      <c r="E67" s="19" t="n">
        <v>10</v>
      </c>
      <c r="F67" s="6" t="inlineStr">
        <is>
          <t>CB240-T</t>
        </is>
      </c>
      <c r="G67" s="7" t="inlineStr">
        <is>
          <t>Đai xoắn tròn</t>
        </is>
      </c>
      <c r="H67" s="20" t="n">
        <v>389.636</v>
      </c>
      <c r="I67" s="21" t="n">
        <v>1</v>
      </c>
      <c r="J67" s="22" t="n">
        <v>0.617</v>
      </c>
      <c r="K67" s="9">
        <f>ROUND(H67*I67*J67, 2)</f>
        <v/>
      </c>
      <c r="L67" s="23">
        <f>ROUND(K67/1000, 3)</f>
        <v/>
      </c>
      <c r="M67" s="8" t="n"/>
      <c r="N67" s="6" t="n"/>
      <c r="O67" s="24">
        <f>IF(AND(E67&lt;=10, F67&lt;&gt;"ASTM A416", INT(P67/20)&gt;INT(P66/20)), "TN Ø10 (Lần " &amp; INT(P67/20) &amp; ")", IF(AND(E67=12, INT(Q67/20)&gt;INT(Q66/20)), "TN Ø12 (Lần " &amp; INT(Q67/20) &amp; ")", IF(AND(E67=14, INT(R67/20)&gt;INT(R66/20)), "TN Ø14 (Lần " &amp; INT(R67/20) &amp; ")", IF(AND(E67=16, INT(S67/20)&gt;INT(S66/20)), "TN Ø16 (Lần " &amp; INT(S67/20) &amp; ")", IF(AND(E67=18, INT(T67/20)&gt;INT(T66/20)), "TN Ø18 (Lần " &amp; INT(T67/20) &amp; ")", IF(AND(E67=20, INT(U67/20)&gt;INT(U66/20)), "TN Ø20 (Lần " &amp; INT(U67/20) &amp; ")", IF(AND(E67=22, INT(V67/20)&gt;INT(V66/20)), "TN Ø22 (Lần " &amp; INT(V67/20) &amp; ")", IF(AND(E67=25, INT(W67/20)&gt;INT(W66/20)), "TN Ø25 (Lần " &amp; INT(W67/20) &amp; ")", IF(AND(E67=28, INT(X67/20)&gt;INT(X66/20)), "TN Ø28 (Lần " &amp; INT(X67/20) &amp; ")", IF(AND(E67=32, INT(Y67/20)&gt;INT(Y66/20)), "TN Ø32 (Lần " &amp; INT(Y67/20) &amp; ")", IF(AND(F67="ASTM A416", INT(Z67/20)&gt;INT(Z66/20)), "TN Cáp 15.2 (Lần " &amp; INT(Z67/20) &amp; ")", "")))))))))))</f>
        <v/>
      </c>
      <c r="P67" s="20">
        <f>ROUND(P66 + IF(AND(E67&lt;=10, F67&lt;&gt;"ASTM A416"), L67, 0), 3)</f>
        <v/>
      </c>
      <c r="Q67" s="20">
        <f>ROUND(Q66 + IF(AND(E67=12, F67&lt;&gt;"ASTM A416"), L67, 0), 3)</f>
        <v/>
      </c>
      <c r="R67" s="20">
        <f>ROUND(R66 + IF(AND(E67=14, F67&lt;&gt;"ASTM A416"), L67, 0), 3)</f>
        <v/>
      </c>
      <c r="S67" s="20">
        <f>ROUND(S66 + IF(AND(E67=16, F67&lt;&gt;"ASTM A416"), L67, 0), 3)</f>
        <v/>
      </c>
      <c r="T67" s="20">
        <f>ROUND(T66 + IF(AND(E67=18, F67&lt;&gt;"ASTM A416"), L67, 0), 3)</f>
        <v/>
      </c>
      <c r="U67" s="20">
        <f>ROUND(U66 + IF(AND(E67=20, F67&lt;&gt;"ASTM A416"), L67, 0), 3)</f>
        <v/>
      </c>
      <c r="V67" s="20">
        <f>ROUND(V66 + IF(AND(E67=22, F67&lt;&gt;"ASTM A416"), L67, 0), 3)</f>
        <v/>
      </c>
      <c r="W67" s="20">
        <f>ROUND(W66 + IF(AND(E67=25, F67&lt;&gt;"ASTM A416"), L67, 0), 3)</f>
        <v/>
      </c>
      <c r="X67" s="20">
        <f>ROUND(X66 + IF(AND(E67=28, F67&lt;&gt;"ASTM A416"), L67, 0), 3)</f>
        <v/>
      </c>
      <c r="Y67" s="20">
        <f>ROUND(Y66 + IF(AND(E67=32, F67&lt;&gt;"ASTM A416"), L67, 0), 3)</f>
        <v/>
      </c>
      <c r="Z67" s="20">
        <f>ROUND(Z66 + IF(F67="ASTM A416", L67, 0), 3)</f>
        <v/>
      </c>
      <c r="AA67" s="11">
        <f>IF(INT(P67/20)&gt;INT(P66/20), "Lần " &amp; INT(P67/20), "")</f>
        <v/>
      </c>
      <c r="AB67" s="11">
        <f>IF(INT(Q67/20)&gt;INT(Q66/20), "Lần " &amp; INT(Q67/20), "")</f>
        <v/>
      </c>
      <c r="AC67" s="11">
        <f>IF(INT(R67/20)&gt;INT(R66/20), "Lần " &amp; INT(R67/20), "")</f>
        <v/>
      </c>
      <c r="AD67" s="11">
        <f>IF(INT(S67/20)&gt;INT(S66/20), "Lần " &amp; INT(S67/20), "")</f>
        <v/>
      </c>
      <c r="AE67" s="11">
        <f>IF(INT(T67/20)&gt;INT(T66/20), "Lần " &amp; INT(T67/20), "")</f>
        <v/>
      </c>
      <c r="AF67" s="11">
        <f>IF(INT(U67/20)&gt;INT(U66/20), "Lần " &amp; INT(U67/20), "")</f>
        <v/>
      </c>
      <c r="AG67" s="11">
        <f>IF(INT(V67/20)&gt;INT(V66/20), "Lần " &amp; INT(V67/20), "")</f>
        <v/>
      </c>
      <c r="AH67" s="11">
        <f>IF(INT(W67/20)&gt;INT(W66/20), "Lần " &amp; INT(W67/20), "")</f>
        <v/>
      </c>
      <c r="AI67" s="11">
        <f>IF(INT(X67/20)&gt;INT(X66/20), "Lần " &amp; INT(X67/20), "")</f>
        <v/>
      </c>
      <c r="AJ67" s="11">
        <f>IF(INT(Y67/20)&gt;INT(Y66/20), "Lần " &amp; INT(Y67/20), "")</f>
        <v/>
      </c>
      <c r="AK67" s="11">
        <f>IF(INT(Z67/20)&gt;INT(Z66/20), "Lần " &amp; INT(Z67/20), "")</f>
        <v/>
      </c>
      <c r="AL67" s="6" t="inlineStr">
        <is>
          <t>ĐẠT TCVN 1651:2018</t>
        </is>
      </c>
    </row>
    <row r="68" ht="19" customHeight="1">
      <c r="A68" s="6" t="n">
        <v>60</v>
      </c>
      <c r="B68" s="7" t="inlineStr">
        <is>
          <t>Cọc khoan nhồi C2 Trụ T1 (D1.2m, L=40.0m)</t>
        </is>
      </c>
      <c r="C68" s="7" t="inlineStr">
        <is>
          <t>Thép đai xoắn lồng cọc</t>
        </is>
      </c>
      <c r="D68" s="18" t="inlineStr">
        <is>
          <t>P1B</t>
        </is>
      </c>
      <c r="E68" s="19" t="n">
        <v>10</v>
      </c>
      <c r="F68" s="6" t="inlineStr">
        <is>
          <t>CB240-T</t>
        </is>
      </c>
      <c r="G68" s="7" t="inlineStr">
        <is>
          <t>Đai xoắn tròn</t>
        </is>
      </c>
      <c r="H68" s="20" t="n">
        <v>206.981</v>
      </c>
      <c r="I68" s="21" t="n">
        <v>1</v>
      </c>
      <c r="J68" s="22" t="n">
        <v>0.617</v>
      </c>
      <c r="K68" s="9">
        <f>ROUND(H68*I68*J68, 2)</f>
        <v/>
      </c>
      <c r="L68" s="23">
        <f>ROUND(K68/1000, 3)</f>
        <v/>
      </c>
      <c r="M68" s="8" t="n"/>
      <c r="N68" s="6" t="n"/>
      <c r="O68" s="24">
        <f>IF(AND(E68&lt;=10, F68&lt;&gt;"ASTM A416", INT(P68/20)&gt;INT(P67/20)), "TN Ø10 (Lần " &amp; INT(P68/20) &amp; ")", IF(AND(E68=12, INT(Q68/20)&gt;INT(Q67/20)), "TN Ø12 (Lần " &amp; INT(Q68/20) &amp; ")", IF(AND(E68=14, INT(R68/20)&gt;INT(R67/20)), "TN Ø14 (Lần " &amp; INT(R68/20) &amp; ")", IF(AND(E68=16, INT(S68/20)&gt;INT(S67/20)), "TN Ø16 (Lần " &amp; INT(S68/20) &amp; ")", IF(AND(E68=18, INT(T68/20)&gt;INT(T67/20)), "TN Ø18 (Lần " &amp; INT(T68/20) &amp; ")", IF(AND(E68=20, INT(U68/20)&gt;INT(U67/20)), "TN Ø20 (Lần " &amp; INT(U68/20) &amp; ")", IF(AND(E68=22, INT(V68/20)&gt;INT(V67/20)), "TN Ø22 (Lần " &amp; INT(V68/20) &amp; ")", IF(AND(E68=25, INT(W68/20)&gt;INT(W67/20)), "TN Ø25 (Lần " &amp; INT(W68/20) &amp; ")", IF(AND(E68=28, INT(X68/20)&gt;INT(X67/20)), "TN Ø28 (Lần " &amp; INT(X68/20) &amp; ")", IF(AND(E68=32, INT(Y68/20)&gt;INT(Y67/20)), "TN Ø32 (Lần " &amp; INT(Y68/20) &amp; ")", IF(AND(F68="ASTM A416", INT(Z68/20)&gt;INT(Z67/20)), "TN Cáp 15.2 (Lần " &amp; INT(Z68/20) &amp; ")", "")))))))))))</f>
        <v/>
      </c>
      <c r="P68" s="20">
        <f>ROUND(P67 + IF(AND(E68&lt;=10, F68&lt;&gt;"ASTM A416"), L68, 0), 3)</f>
        <v/>
      </c>
      <c r="Q68" s="20">
        <f>ROUND(Q67 + IF(AND(E68=12, F68&lt;&gt;"ASTM A416"), L68, 0), 3)</f>
        <v/>
      </c>
      <c r="R68" s="20">
        <f>ROUND(R67 + IF(AND(E68=14, F68&lt;&gt;"ASTM A416"), L68, 0), 3)</f>
        <v/>
      </c>
      <c r="S68" s="20">
        <f>ROUND(S67 + IF(AND(E68=16, F68&lt;&gt;"ASTM A416"), L68, 0), 3)</f>
        <v/>
      </c>
      <c r="T68" s="20">
        <f>ROUND(T67 + IF(AND(E68=18, F68&lt;&gt;"ASTM A416"), L68, 0), 3)</f>
        <v/>
      </c>
      <c r="U68" s="20">
        <f>ROUND(U67 + IF(AND(E68=20, F68&lt;&gt;"ASTM A416"), L68, 0), 3)</f>
        <v/>
      </c>
      <c r="V68" s="20">
        <f>ROUND(V67 + IF(AND(E68=22, F68&lt;&gt;"ASTM A416"), L68, 0), 3)</f>
        <v/>
      </c>
      <c r="W68" s="20">
        <f>ROUND(W67 + IF(AND(E68=25, F68&lt;&gt;"ASTM A416"), L68, 0), 3)</f>
        <v/>
      </c>
      <c r="X68" s="20">
        <f>ROUND(X67 + IF(AND(E68=28, F68&lt;&gt;"ASTM A416"), L68, 0), 3)</f>
        <v/>
      </c>
      <c r="Y68" s="20">
        <f>ROUND(Y67 + IF(AND(E68=32, F68&lt;&gt;"ASTM A416"), L68, 0), 3)</f>
        <v/>
      </c>
      <c r="Z68" s="20">
        <f>ROUND(Z67 + IF(F68="ASTM A416", L68, 0), 3)</f>
        <v/>
      </c>
      <c r="AA68" s="11">
        <f>IF(INT(P68/20)&gt;INT(P67/20), "Lần " &amp; INT(P68/20), "")</f>
        <v/>
      </c>
      <c r="AB68" s="11">
        <f>IF(INT(Q68/20)&gt;INT(Q67/20), "Lần " &amp; INT(Q68/20), "")</f>
        <v/>
      </c>
      <c r="AC68" s="11">
        <f>IF(INT(R68/20)&gt;INT(R67/20), "Lần " &amp; INT(R68/20), "")</f>
        <v/>
      </c>
      <c r="AD68" s="11">
        <f>IF(INT(S68/20)&gt;INT(S67/20), "Lần " &amp; INT(S68/20), "")</f>
        <v/>
      </c>
      <c r="AE68" s="11">
        <f>IF(INT(T68/20)&gt;INT(T67/20), "Lần " &amp; INT(T68/20), "")</f>
        <v/>
      </c>
      <c r="AF68" s="11">
        <f>IF(INT(U68/20)&gt;INT(U67/20), "Lần " &amp; INT(U68/20), "")</f>
        <v/>
      </c>
      <c r="AG68" s="11">
        <f>IF(INT(V68/20)&gt;INT(V67/20), "Lần " &amp; INT(V68/20), "")</f>
        <v/>
      </c>
      <c r="AH68" s="11">
        <f>IF(INT(W68/20)&gt;INT(W67/20), "Lần " &amp; INT(W68/20), "")</f>
        <v/>
      </c>
      <c r="AI68" s="11">
        <f>IF(INT(X68/20)&gt;INT(X67/20), "Lần " &amp; INT(X68/20), "")</f>
        <v/>
      </c>
      <c r="AJ68" s="11">
        <f>IF(INT(Y68/20)&gt;INT(Y67/20), "Lần " &amp; INT(Y68/20), "")</f>
        <v/>
      </c>
      <c r="AK68" s="11">
        <f>IF(INT(Z68/20)&gt;INT(Z67/20), "Lần " &amp; INT(Z68/20), "")</f>
        <v/>
      </c>
      <c r="AL68" s="6" t="inlineStr">
        <is>
          <t>ĐẠT TCVN 1651:2018</t>
        </is>
      </c>
    </row>
    <row r="69" ht="19" customHeight="1">
      <c r="A69" s="6" t="n">
        <v>61</v>
      </c>
      <c r="B69" s="7" t="inlineStr">
        <is>
          <t>Cọc khoan nhồi C2 Trụ T1 (D1.2m, L=40.0m)</t>
        </is>
      </c>
      <c r="C69" s="7" t="inlineStr">
        <is>
          <t>Thép đai xoắn lồng cọc</t>
        </is>
      </c>
      <c r="D69" s="18" t="inlineStr">
        <is>
          <t>P1C</t>
        </is>
      </c>
      <c r="E69" s="19" t="n">
        <v>10</v>
      </c>
      <c r="F69" s="6" t="inlineStr">
        <is>
          <t>CB240-T</t>
        </is>
      </c>
      <c r="G69" s="7" t="inlineStr">
        <is>
          <t>Đai xoắn tròn</t>
        </is>
      </c>
      <c r="H69" s="20" t="n">
        <v>3.592</v>
      </c>
      <c r="I69" s="21" t="n">
        <v>2</v>
      </c>
      <c r="J69" s="22" t="n">
        <v>0.617</v>
      </c>
      <c r="K69" s="9">
        <f>ROUND(H69*I69*J69, 2)</f>
        <v/>
      </c>
      <c r="L69" s="23">
        <f>ROUND(K69/1000, 3)</f>
        <v/>
      </c>
      <c r="M69" s="8" t="n"/>
      <c r="N69" s="6" t="n"/>
      <c r="O69" s="24">
        <f>IF(AND(E69&lt;=10, F69&lt;&gt;"ASTM A416", INT(P69/20)&gt;INT(P68/20)), "TN Ø10 (Lần " &amp; INT(P69/20) &amp; ")", IF(AND(E69=12, INT(Q69/20)&gt;INT(Q68/20)), "TN Ø12 (Lần " &amp; INT(Q69/20) &amp; ")", IF(AND(E69=14, INT(R69/20)&gt;INT(R68/20)), "TN Ø14 (Lần " &amp; INT(R69/20) &amp; ")", IF(AND(E69=16, INT(S69/20)&gt;INT(S68/20)), "TN Ø16 (Lần " &amp; INT(S69/20) &amp; ")", IF(AND(E69=18, INT(T69/20)&gt;INT(T68/20)), "TN Ø18 (Lần " &amp; INT(T69/20) &amp; ")", IF(AND(E69=20, INT(U69/20)&gt;INT(U68/20)), "TN Ø20 (Lần " &amp; INT(U69/20) &amp; ")", IF(AND(E69=22, INT(V69/20)&gt;INT(V68/20)), "TN Ø22 (Lần " &amp; INT(V69/20) &amp; ")", IF(AND(E69=25, INT(W69/20)&gt;INT(W68/20)), "TN Ø25 (Lần " &amp; INT(W69/20) &amp; ")", IF(AND(E69=28, INT(X69/20)&gt;INT(X68/20)), "TN Ø28 (Lần " &amp; INT(X69/20) &amp; ")", IF(AND(E69=32, INT(Y69/20)&gt;INT(Y68/20)), "TN Ø32 (Lần " &amp; INT(Y69/20) &amp; ")", IF(AND(F69="ASTM A416", INT(Z69/20)&gt;INT(Z68/20)), "TN Cáp 15.2 (Lần " &amp; INT(Z69/20) &amp; ")", "")))))))))))</f>
        <v/>
      </c>
      <c r="P69" s="20">
        <f>ROUND(P68 + IF(AND(E69&lt;=10, F69&lt;&gt;"ASTM A416"), L69, 0), 3)</f>
        <v/>
      </c>
      <c r="Q69" s="20">
        <f>ROUND(Q68 + IF(AND(E69=12, F69&lt;&gt;"ASTM A416"), L69, 0), 3)</f>
        <v/>
      </c>
      <c r="R69" s="20">
        <f>ROUND(R68 + IF(AND(E69=14, F69&lt;&gt;"ASTM A416"), L69, 0), 3)</f>
        <v/>
      </c>
      <c r="S69" s="20">
        <f>ROUND(S68 + IF(AND(E69=16, F69&lt;&gt;"ASTM A416"), L69, 0), 3)</f>
        <v/>
      </c>
      <c r="T69" s="20">
        <f>ROUND(T68 + IF(AND(E69=18, F69&lt;&gt;"ASTM A416"), L69, 0), 3)</f>
        <v/>
      </c>
      <c r="U69" s="20">
        <f>ROUND(U68 + IF(AND(E69=20, F69&lt;&gt;"ASTM A416"), L69, 0), 3)</f>
        <v/>
      </c>
      <c r="V69" s="20">
        <f>ROUND(V68 + IF(AND(E69=22, F69&lt;&gt;"ASTM A416"), L69, 0), 3)</f>
        <v/>
      </c>
      <c r="W69" s="20">
        <f>ROUND(W68 + IF(AND(E69=25, F69&lt;&gt;"ASTM A416"), L69, 0), 3)</f>
        <v/>
      </c>
      <c r="X69" s="20">
        <f>ROUND(X68 + IF(AND(E69=28, F69&lt;&gt;"ASTM A416"), L69, 0), 3)</f>
        <v/>
      </c>
      <c r="Y69" s="20">
        <f>ROUND(Y68 + IF(AND(E69=32, F69&lt;&gt;"ASTM A416"), L69, 0), 3)</f>
        <v/>
      </c>
      <c r="Z69" s="20">
        <f>ROUND(Z68 + IF(F69="ASTM A416", L69, 0), 3)</f>
        <v/>
      </c>
      <c r="AA69" s="11">
        <f>IF(INT(P69/20)&gt;INT(P68/20), "Lần " &amp; INT(P69/20), "")</f>
        <v/>
      </c>
      <c r="AB69" s="11">
        <f>IF(INT(Q69/20)&gt;INT(Q68/20), "Lần " &amp; INT(Q69/20), "")</f>
        <v/>
      </c>
      <c r="AC69" s="11">
        <f>IF(INT(R69/20)&gt;INT(R68/20), "Lần " &amp; INT(R69/20), "")</f>
        <v/>
      </c>
      <c r="AD69" s="11">
        <f>IF(INT(S69/20)&gt;INT(S68/20), "Lần " &amp; INT(S69/20), "")</f>
        <v/>
      </c>
      <c r="AE69" s="11">
        <f>IF(INT(T69/20)&gt;INT(T68/20), "Lần " &amp; INT(T69/20), "")</f>
        <v/>
      </c>
      <c r="AF69" s="11">
        <f>IF(INT(U69/20)&gt;INT(U68/20), "Lần " &amp; INT(U69/20), "")</f>
        <v/>
      </c>
      <c r="AG69" s="11">
        <f>IF(INT(V69/20)&gt;INT(V68/20), "Lần " &amp; INT(V69/20), "")</f>
        <v/>
      </c>
      <c r="AH69" s="11">
        <f>IF(INT(W69/20)&gt;INT(W68/20), "Lần " &amp; INT(W69/20), "")</f>
        <v/>
      </c>
      <c r="AI69" s="11">
        <f>IF(INT(X69/20)&gt;INT(X68/20), "Lần " &amp; INT(X69/20), "")</f>
        <v/>
      </c>
      <c r="AJ69" s="11">
        <f>IF(INT(Y69/20)&gt;INT(Y68/20), "Lần " &amp; INT(Y69/20), "")</f>
        <v/>
      </c>
      <c r="AK69" s="11">
        <f>IF(INT(Z69/20)&gt;INT(Z68/20), "Lần " &amp; INT(Z69/20), "")</f>
        <v/>
      </c>
      <c r="AL69" s="6" t="inlineStr">
        <is>
          <t>ĐẠT TCVN 1651:2018</t>
        </is>
      </c>
    </row>
    <row r="70" ht="19" customHeight="1">
      <c r="A70" s="6" t="n">
        <v>62</v>
      </c>
      <c r="B70" s="7" t="inlineStr">
        <is>
          <t>Cọc khoan nhồi C2 Trụ T1 (D1.2m, L=40.0m)</t>
        </is>
      </c>
      <c r="C70" s="7" t="inlineStr">
        <is>
          <t>Thép đai xoắn lồng cọc</t>
        </is>
      </c>
      <c r="D70" s="18" t="inlineStr">
        <is>
          <t>P1D</t>
        </is>
      </c>
      <c r="E70" s="19" t="n">
        <v>10</v>
      </c>
      <c r="F70" s="6" t="inlineStr">
        <is>
          <t>CB240-T</t>
        </is>
      </c>
      <c r="G70" s="7" t="inlineStr">
        <is>
          <t>Đai xoắn tròn</t>
        </is>
      </c>
      <c r="H70" s="20" t="n">
        <v>19.721</v>
      </c>
      <c r="I70" s="21" t="n">
        <v>1</v>
      </c>
      <c r="J70" s="22" t="n">
        <v>0.617</v>
      </c>
      <c r="K70" s="9">
        <f>ROUND(H70*I70*J70, 2)</f>
        <v/>
      </c>
      <c r="L70" s="23">
        <f>ROUND(K70/1000, 3)</f>
        <v/>
      </c>
      <c r="M70" s="8" t="n"/>
      <c r="N70" s="6" t="n"/>
      <c r="O70" s="24">
        <f>IF(AND(E70&lt;=10, F70&lt;&gt;"ASTM A416", INT(P70/20)&gt;INT(P69/20)), "TN Ø10 (Lần " &amp; INT(P70/20) &amp; ")", IF(AND(E70=12, INT(Q70/20)&gt;INT(Q69/20)), "TN Ø12 (Lần " &amp; INT(Q70/20) &amp; ")", IF(AND(E70=14, INT(R70/20)&gt;INT(R69/20)), "TN Ø14 (Lần " &amp; INT(R70/20) &amp; ")", IF(AND(E70=16, INT(S70/20)&gt;INT(S69/20)), "TN Ø16 (Lần " &amp; INT(S70/20) &amp; ")", IF(AND(E70=18, INT(T70/20)&gt;INT(T69/20)), "TN Ø18 (Lần " &amp; INT(T70/20) &amp; ")", IF(AND(E70=20, INT(U70/20)&gt;INT(U69/20)), "TN Ø20 (Lần " &amp; INT(U70/20) &amp; ")", IF(AND(E70=22, INT(V70/20)&gt;INT(V69/20)), "TN Ø22 (Lần " &amp; INT(V70/20) &amp; ")", IF(AND(E70=25, INT(W70/20)&gt;INT(W69/20)), "TN Ø25 (Lần " &amp; INT(W70/20) &amp; ")", IF(AND(E70=28, INT(X70/20)&gt;INT(X69/20)), "TN Ø28 (Lần " &amp; INT(X70/20) &amp; ")", IF(AND(E70=32, INT(Y70/20)&gt;INT(Y69/20)), "TN Ø32 (Lần " &amp; INT(Y70/20) &amp; ")", IF(AND(F70="ASTM A416", INT(Z70/20)&gt;INT(Z69/20)), "TN Cáp 15.2 (Lần " &amp; INT(Z70/20) &amp; ")", "")))))))))))</f>
        <v/>
      </c>
      <c r="P70" s="20">
        <f>ROUND(P69 + IF(AND(E70&lt;=10, F70&lt;&gt;"ASTM A416"), L70, 0), 3)</f>
        <v/>
      </c>
      <c r="Q70" s="20">
        <f>ROUND(Q69 + IF(AND(E70=12, F70&lt;&gt;"ASTM A416"), L70, 0), 3)</f>
        <v/>
      </c>
      <c r="R70" s="20">
        <f>ROUND(R69 + IF(AND(E70=14, F70&lt;&gt;"ASTM A416"), L70, 0), 3)</f>
        <v/>
      </c>
      <c r="S70" s="20">
        <f>ROUND(S69 + IF(AND(E70=16, F70&lt;&gt;"ASTM A416"), L70, 0), 3)</f>
        <v/>
      </c>
      <c r="T70" s="20">
        <f>ROUND(T69 + IF(AND(E70=18, F70&lt;&gt;"ASTM A416"), L70, 0), 3)</f>
        <v/>
      </c>
      <c r="U70" s="20">
        <f>ROUND(U69 + IF(AND(E70=20, F70&lt;&gt;"ASTM A416"), L70, 0), 3)</f>
        <v/>
      </c>
      <c r="V70" s="20">
        <f>ROUND(V69 + IF(AND(E70=22, F70&lt;&gt;"ASTM A416"), L70, 0), 3)</f>
        <v/>
      </c>
      <c r="W70" s="20">
        <f>ROUND(W69 + IF(AND(E70=25, F70&lt;&gt;"ASTM A416"), L70, 0), 3)</f>
        <v/>
      </c>
      <c r="X70" s="20">
        <f>ROUND(X69 + IF(AND(E70=28, F70&lt;&gt;"ASTM A416"), L70, 0), 3)</f>
        <v/>
      </c>
      <c r="Y70" s="20">
        <f>ROUND(Y69 + IF(AND(E70=32, F70&lt;&gt;"ASTM A416"), L70, 0), 3)</f>
        <v/>
      </c>
      <c r="Z70" s="20">
        <f>ROUND(Z69 + IF(F70="ASTM A416", L70, 0), 3)</f>
        <v/>
      </c>
      <c r="AA70" s="11">
        <f>IF(INT(P70/20)&gt;INT(P69/20), "Lần " &amp; INT(P70/20), "")</f>
        <v/>
      </c>
      <c r="AB70" s="11">
        <f>IF(INT(Q70/20)&gt;INT(Q69/20), "Lần " &amp; INT(Q70/20), "")</f>
        <v/>
      </c>
      <c r="AC70" s="11">
        <f>IF(INT(R70/20)&gt;INT(R69/20), "Lần " &amp; INT(R70/20), "")</f>
        <v/>
      </c>
      <c r="AD70" s="11">
        <f>IF(INT(S70/20)&gt;INT(S69/20), "Lần " &amp; INT(S70/20), "")</f>
        <v/>
      </c>
      <c r="AE70" s="11">
        <f>IF(INT(T70/20)&gt;INT(T69/20), "Lần " &amp; INT(T70/20), "")</f>
        <v/>
      </c>
      <c r="AF70" s="11">
        <f>IF(INT(U70/20)&gt;INT(U69/20), "Lần " &amp; INT(U70/20), "")</f>
        <v/>
      </c>
      <c r="AG70" s="11">
        <f>IF(INT(V70/20)&gt;INT(V69/20), "Lần " &amp; INT(V70/20), "")</f>
        <v/>
      </c>
      <c r="AH70" s="11">
        <f>IF(INT(W70/20)&gt;INT(W69/20), "Lần " &amp; INT(W70/20), "")</f>
        <v/>
      </c>
      <c r="AI70" s="11">
        <f>IF(INT(X70/20)&gt;INT(X69/20), "Lần " &amp; INT(X70/20), "")</f>
        <v/>
      </c>
      <c r="AJ70" s="11">
        <f>IF(INT(Y70/20)&gt;INT(Y69/20), "Lần " &amp; INT(Y70/20), "")</f>
        <v/>
      </c>
      <c r="AK70" s="11">
        <f>IF(INT(Z70/20)&gt;INT(Z69/20), "Lần " &amp; INT(Z70/20), "")</f>
        <v/>
      </c>
      <c r="AL70" s="6" t="inlineStr">
        <is>
          <t>ĐẠT TCVN 1651:2018</t>
        </is>
      </c>
    </row>
    <row r="71" ht="19" customHeight="1">
      <c r="A71" s="6" t="n">
        <v>63</v>
      </c>
      <c r="B71" s="7" t="inlineStr">
        <is>
          <t>Cọc khoan nhồi C2 Trụ T1 (D1.2m, L=40.0m)</t>
        </is>
      </c>
      <c r="C71" s="7" t="inlineStr">
        <is>
          <t>Cốt thép chủ chịu lực cọc</t>
        </is>
      </c>
      <c r="D71" s="18" t="inlineStr">
        <is>
          <t>P2B</t>
        </is>
      </c>
      <c r="E71" s="19" t="n">
        <v>25</v>
      </c>
      <c r="F71" s="6" t="inlineStr">
        <is>
          <t>CB400-V</t>
        </is>
      </c>
      <c r="G71" s="7" t="inlineStr">
        <is>
          <t>Thanh thẳng nối ren/hàn</t>
        </is>
      </c>
      <c r="H71" s="20" t="n">
        <v>2.985</v>
      </c>
      <c r="I71" s="21" t="n">
        <v>16</v>
      </c>
      <c r="J71" s="22" t="n">
        <v>3.85</v>
      </c>
      <c r="K71" s="9">
        <f>ROUND(H71*I71*J71, 2)</f>
        <v/>
      </c>
      <c r="L71" s="23">
        <f>ROUND(K71/1000, 3)</f>
        <v/>
      </c>
      <c r="M71" s="8" t="n"/>
      <c r="N71" s="6" t="n"/>
      <c r="O71" s="24">
        <f>IF(AND(E71&lt;=10, F71&lt;&gt;"ASTM A416", INT(P71/20)&gt;INT(P70/20)), "TN Ø10 (Lần " &amp; INT(P71/20) &amp; ")", IF(AND(E71=12, INT(Q71/20)&gt;INT(Q70/20)), "TN Ø12 (Lần " &amp; INT(Q71/20) &amp; ")", IF(AND(E71=14, INT(R71/20)&gt;INT(R70/20)), "TN Ø14 (Lần " &amp; INT(R71/20) &amp; ")", IF(AND(E71=16, INT(S71/20)&gt;INT(S70/20)), "TN Ø16 (Lần " &amp; INT(S71/20) &amp; ")", IF(AND(E71=18, INT(T71/20)&gt;INT(T70/20)), "TN Ø18 (Lần " &amp; INT(T71/20) &amp; ")", IF(AND(E71=20, INT(U71/20)&gt;INT(U70/20)), "TN Ø20 (Lần " &amp; INT(U71/20) &amp; ")", IF(AND(E71=22, INT(V71/20)&gt;INT(V70/20)), "TN Ø22 (Lần " &amp; INT(V71/20) &amp; ")", IF(AND(E71=25, INT(W71/20)&gt;INT(W70/20)), "TN Ø25 (Lần " &amp; INT(W71/20) &amp; ")", IF(AND(E71=28, INT(X71/20)&gt;INT(X70/20)), "TN Ø28 (Lần " &amp; INT(X71/20) &amp; ")", IF(AND(E71=32, INT(Y71/20)&gt;INT(Y70/20)), "TN Ø32 (Lần " &amp; INT(Y71/20) &amp; ")", IF(AND(F71="ASTM A416", INT(Z71/20)&gt;INT(Z70/20)), "TN Cáp 15.2 (Lần " &amp; INT(Z71/20) &amp; ")", "")))))))))))</f>
        <v/>
      </c>
      <c r="P71" s="20">
        <f>ROUND(P70 + IF(AND(E71&lt;=10, F71&lt;&gt;"ASTM A416"), L71, 0), 3)</f>
        <v/>
      </c>
      <c r="Q71" s="20">
        <f>ROUND(Q70 + IF(AND(E71=12, F71&lt;&gt;"ASTM A416"), L71, 0), 3)</f>
        <v/>
      </c>
      <c r="R71" s="20">
        <f>ROUND(R70 + IF(AND(E71=14, F71&lt;&gt;"ASTM A416"), L71, 0), 3)</f>
        <v/>
      </c>
      <c r="S71" s="20">
        <f>ROUND(S70 + IF(AND(E71=16, F71&lt;&gt;"ASTM A416"), L71, 0), 3)</f>
        <v/>
      </c>
      <c r="T71" s="20">
        <f>ROUND(T70 + IF(AND(E71=18, F71&lt;&gt;"ASTM A416"), L71, 0), 3)</f>
        <v/>
      </c>
      <c r="U71" s="20">
        <f>ROUND(U70 + IF(AND(E71=20, F71&lt;&gt;"ASTM A416"), L71, 0), 3)</f>
        <v/>
      </c>
      <c r="V71" s="20">
        <f>ROUND(V70 + IF(AND(E71=22, F71&lt;&gt;"ASTM A416"), L71, 0), 3)</f>
        <v/>
      </c>
      <c r="W71" s="20">
        <f>ROUND(W70 + IF(AND(E71=25, F71&lt;&gt;"ASTM A416"), L71, 0), 3)</f>
        <v/>
      </c>
      <c r="X71" s="20">
        <f>ROUND(X70 + IF(AND(E71=28, F71&lt;&gt;"ASTM A416"), L71, 0), 3)</f>
        <v/>
      </c>
      <c r="Y71" s="20">
        <f>ROUND(Y70 + IF(AND(E71=32, F71&lt;&gt;"ASTM A416"), L71, 0), 3)</f>
        <v/>
      </c>
      <c r="Z71" s="20">
        <f>ROUND(Z70 + IF(F71="ASTM A416", L71, 0), 3)</f>
        <v/>
      </c>
      <c r="AA71" s="11">
        <f>IF(INT(P71/20)&gt;INT(P70/20), "Lần " &amp; INT(P71/20), "")</f>
        <v/>
      </c>
      <c r="AB71" s="11">
        <f>IF(INT(Q71/20)&gt;INT(Q70/20), "Lần " &amp; INT(Q71/20), "")</f>
        <v/>
      </c>
      <c r="AC71" s="11">
        <f>IF(INT(R71/20)&gt;INT(R70/20), "Lần " &amp; INT(R71/20), "")</f>
        <v/>
      </c>
      <c r="AD71" s="11">
        <f>IF(INT(S71/20)&gt;INT(S70/20), "Lần " &amp; INT(S71/20), "")</f>
        <v/>
      </c>
      <c r="AE71" s="11">
        <f>IF(INT(T71/20)&gt;INT(T70/20), "Lần " &amp; INT(T71/20), "")</f>
        <v/>
      </c>
      <c r="AF71" s="11">
        <f>IF(INT(U71/20)&gt;INT(U70/20), "Lần " &amp; INT(U71/20), "")</f>
        <v/>
      </c>
      <c r="AG71" s="11">
        <f>IF(INT(V71/20)&gt;INT(V70/20), "Lần " &amp; INT(V71/20), "")</f>
        <v/>
      </c>
      <c r="AH71" s="11">
        <f>IF(INT(W71/20)&gt;INT(W70/20), "Lần " &amp; INT(W71/20), "")</f>
        <v/>
      </c>
      <c r="AI71" s="11">
        <f>IF(INT(X71/20)&gt;INT(X70/20), "Lần " &amp; INT(X71/20), "")</f>
        <v/>
      </c>
      <c r="AJ71" s="11">
        <f>IF(INT(Y71/20)&gt;INT(Y70/20), "Lần " &amp; INT(Y71/20), "")</f>
        <v/>
      </c>
      <c r="AK71" s="11">
        <f>IF(INT(Z71/20)&gt;INT(Z70/20), "Lần " &amp; INT(Z71/20), "")</f>
        <v/>
      </c>
      <c r="AL71" s="6" t="inlineStr">
        <is>
          <t>ĐẠT TCVN 1651:2018</t>
        </is>
      </c>
    </row>
    <row r="72" ht="19" customHeight="1">
      <c r="A72" s="6" t="n">
        <v>64</v>
      </c>
      <c r="B72" s="7" t="inlineStr">
        <is>
          <t>Cọc khoan nhồi C2 Trụ T1 (D1.2m, L=40.0m)</t>
        </is>
      </c>
      <c r="C72" s="7" t="inlineStr">
        <is>
          <t>Cốt thép chủ chịu lực cọc</t>
        </is>
      </c>
      <c r="D72" s="18" t="inlineStr">
        <is>
          <t>P3</t>
        </is>
      </c>
      <c r="E72" s="19" t="n">
        <v>25</v>
      </c>
      <c r="F72" s="6" t="inlineStr">
        <is>
          <t>CB400-V</t>
        </is>
      </c>
      <c r="G72" s="7" t="inlineStr">
        <is>
          <t>Thanh thẳng nối ren/hàn</t>
        </is>
      </c>
      <c r="H72" s="20" t="n">
        <v>10.7</v>
      </c>
      <c r="I72" s="21" t="n">
        <v>12</v>
      </c>
      <c r="J72" s="22" t="n">
        <v>3.85</v>
      </c>
      <c r="K72" s="9">
        <f>ROUND(H72*I72*J72, 2)</f>
        <v/>
      </c>
      <c r="L72" s="23">
        <f>ROUND(K72/1000, 3)</f>
        <v/>
      </c>
      <c r="M72" s="8" t="n"/>
      <c r="N72" s="6" t="n"/>
      <c r="O72" s="24">
        <f>IF(AND(E72&lt;=10, F72&lt;&gt;"ASTM A416", INT(P72/20)&gt;INT(P71/20)), "TN Ø10 (Lần " &amp; INT(P72/20) &amp; ")", IF(AND(E72=12, INT(Q72/20)&gt;INT(Q71/20)), "TN Ø12 (Lần " &amp; INT(Q72/20) &amp; ")", IF(AND(E72=14, INT(R72/20)&gt;INT(R71/20)), "TN Ø14 (Lần " &amp; INT(R72/20) &amp; ")", IF(AND(E72=16, INT(S72/20)&gt;INT(S71/20)), "TN Ø16 (Lần " &amp; INT(S72/20) &amp; ")", IF(AND(E72=18, INT(T72/20)&gt;INT(T71/20)), "TN Ø18 (Lần " &amp; INT(T72/20) &amp; ")", IF(AND(E72=20, INT(U72/20)&gt;INT(U71/20)), "TN Ø20 (Lần " &amp; INT(U72/20) &amp; ")", IF(AND(E72=22, INT(V72/20)&gt;INT(V71/20)), "TN Ø22 (Lần " &amp; INT(V72/20) &amp; ")", IF(AND(E72=25, INT(W72/20)&gt;INT(W71/20)), "TN Ø25 (Lần " &amp; INT(W72/20) &amp; ")", IF(AND(E72=28, INT(X72/20)&gt;INT(X71/20)), "TN Ø28 (Lần " &amp; INT(X72/20) &amp; ")", IF(AND(E72=32, INT(Y72/20)&gt;INT(Y71/20)), "TN Ø32 (Lần " &amp; INT(Y72/20) &amp; ")", IF(AND(F72="ASTM A416", INT(Z72/20)&gt;INT(Z71/20)), "TN Cáp 15.2 (Lần " &amp; INT(Z72/20) &amp; ")", "")))))))))))</f>
        <v/>
      </c>
      <c r="P72" s="20">
        <f>ROUND(P71 + IF(AND(E72&lt;=10, F72&lt;&gt;"ASTM A416"), L72, 0), 3)</f>
        <v/>
      </c>
      <c r="Q72" s="20">
        <f>ROUND(Q71 + IF(AND(E72=12, F72&lt;&gt;"ASTM A416"), L72, 0), 3)</f>
        <v/>
      </c>
      <c r="R72" s="20">
        <f>ROUND(R71 + IF(AND(E72=14, F72&lt;&gt;"ASTM A416"), L72, 0), 3)</f>
        <v/>
      </c>
      <c r="S72" s="20">
        <f>ROUND(S71 + IF(AND(E72=16, F72&lt;&gt;"ASTM A416"), L72, 0), 3)</f>
        <v/>
      </c>
      <c r="T72" s="20">
        <f>ROUND(T71 + IF(AND(E72=18, F72&lt;&gt;"ASTM A416"), L72, 0), 3)</f>
        <v/>
      </c>
      <c r="U72" s="20">
        <f>ROUND(U71 + IF(AND(E72=20, F72&lt;&gt;"ASTM A416"), L72, 0), 3)</f>
        <v/>
      </c>
      <c r="V72" s="20">
        <f>ROUND(V71 + IF(AND(E72=22, F72&lt;&gt;"ASTM A416"), L72, 0), 3)</f>
        <v/>
      </c>
      <c r="W72" s="20">
        <f>ROUND(W71 + IF(AND(E72=25, F72&lt;&gt;"ASTM A416"), L72, 0), 3)</f>
        <v/>
      </c>
      <c r="X72" s="20">
        <f>ROUND(X71 + IF(AND(E72=28, F72&lt;&gt;"ASTM A416"), L72, 0), 3)</f>
        <v/>
      </c>
      <c r="Y72" s="20">
        <f>ROUND(Y71 + IF(AND(E72=32, F72&lt;&gt;"ASTM A416"), L72, 0), 3)</f>
        <v/>
      </c>
      <c r="Z72" s="20">
        <f>ROUND(Z71 + IF(F72="ASTM A416", L72, 0), 3)</f>
        <v/>
      </c>
      <c r="AA72" s="11">
        <f>IF(INT(P72/20)&gt;INT(P71/20), "Lần " &amp; INT(P72/20), "")</f>
        <v/>
      </c>
      <c r="AB72" s="11">
        <f>IF(INT(Q72/20)&gt;INT(Q71/20), "Lần " &amp; INT(Q72/20), "")</f>
        <v/>
      </c>
      <c r="AC72" s="11">
        <f>IF(INT(R72/20)&gt;INT(R71/20), "Lần " &amp; INT(R72/20), "")</f>
        <v/>
      </c>
      <c r="AD72" s="11">
        <f>IF(INT(S72/20)&gt;INT(S71/20), "Lần " &amp; INT(S72/20), "")</f>
        <v/>
      </c>
      <c r="AE72" s="11">
        <f>IF(INT(T72/20)&gt;INT(T71/20), "Lần " &amp; INT(T72/20), "")</f>
        <v/>
      </c>
      <c r="AF72" s="11">
        <f>IF(INT(U72/20)&gt;INT(U71/20), "Lần " &amp; INT(U72/20), "")</f>
        <v/>
      </c>
      <c r="AG72" s="11">
        <f>IF(INT(V72/20)&gt;INT(V71/20), "Lần " &amp; INT(V72/20), "")</f>
        <v/>
      </c>
      <c r="AH72" s="11">
        <f>IF(INT(W72/20)&gt;INT(W71/20), "Lần " &amp; INT(W72/20), "")</f>
        <v/>
      </c>
      <c r="AI72" s="11">
        <f>IF(INT(X72/20)&gt;INT(X71/20), "Lần " &amp; INT(X72/20), "")</f>
        <v/>
      </c>
      <c r="AJ72" s="11">
        <f>IF(INT(Y72/20)&gt;INT(Y71/20), "Lần " &amp; INT(Y72/20), "")</f>
        <v/>
      </c>
      <c r="AK72" s="11">
        <f>IF(INT(Z72/20)&gt;INT(Z71/20), "Lần " &amp; INT(Z72/20), "")</f>
        <v/>
      </c>
      <c r="AL72" s="6" t="inlineStr">
        <is>
          <t>ĐẠT TCVN 1651:2018</t>
        </is>
      </c>
    </row>
    <row r="73" ht="19" customHeight="1">
      <c r="A73" s="6" t="n">
        <v>65</v>
      </c>
      <c r="B73" s="7" t="inlineStr">
        <is>
          <t>Cọc khoan nhồi C2 Trụ T1 (D1.2m, L=40.0m)</t>
        </is>
      </c>
      <c r="C73" s="7" t="inlineStr">
        <is>
          <t>Cốt thép chủ chịu lực cọc</t>
        </is>
      </c>
      <c r="D73" s="18" t="inlineStr">
        <is>
          <t>P4</t>
        </is>
      </c>
      <c r="E73" s="19" t="n">
        <v>25</v>
      </c>
      <c r="F73" s="6" t="inlineStr">
        <is>
          <t>CB400-V</t>
        </is>
      </c>
      <c r="G73" s="7" t="inlineStr">
        <is>
          <t>Thanh thẳng nối ren/hàn</t>
        </is>
      </c>
      <c r="H73" s="20" t="n">
        <v>11.7</v>
      </c>
      <c r="I73" s="21" t="n">
        <v>60</v>
      </c>
      <c r="J73" s="22" t="n">
        <v>3.85</v>
      </c>
      <c r="K73" s="9">
        <f>ROUND(H73*I73*J73, 2)</f>
        <v/>
      </c>
      <c r="L73" s="23">
        <f>ROUND(K73/1000, 3)</f>
        <v/>
      </c>
      <c r="M73" s="8" t="n"/>
      <c r="N73" s="6" t="n"/>
      <c r="O73" s="24">
        <f>IF(AND(E73&lt;=10, F73&lt;&gt;"ASTM A416", INT(P73/20)&gt;INT(P72/20)), "TN Ø10 (Lần " &amp; INT(P73/20) &amp; ")", IF(AND(E73=12, INT(Q73/20)&gt;INT(Q72/20)), "TN Ø12 (Lần " &amp; INT(Q73/20) &amp; ")", IF(AND(E73=14, INT(R73/20)&gt;INT(R72/20)), "TN Ø14 (Lần " &amp; INT(R73/20) &amp; ")", IF(AND(E73=16, INT(S73/20)&gt;INT(S72/20)), "TN Ø16 (Lần " &amp; INT(S73/20) &amp; ")", IF(AND(E73=18, INT(T73/20)&gt;INT(T72/20)), "TN Ø18 (Lần " &amp; INT(T73/20) &amp; ")", IF(AND(E73=20, INT(U73/20)&gt;INT(U72/20)), "TN Ø20 (Lần " &amp; INT(U73/20) &amp; ")", IF(AND(E73=22, INT(V73/20)&gt;INT(V72/20)), "TN Ø22 (Lần " &amp; INT(V73/20) &amp; ")", IF(AND(E73=25, INT(W73/20)&gt;INT(W72/20)), "TN Ø25 (Lần " &amp; INT(W73/20) &amp; ")", IF(AND(E73=28, INT(X73/20)&gt;INT(X72/20)), "TN Ø28 (Lần " &amp; INT(X73/20) &amp; ")", IF(AND(E73=32, INT(Y73/20)&gt;INT(Y72/20)), "TN Ø32 (Lần " &amp; INT(Y73/20) &amp; ")", IF(AND(F73="ASTM A416", INT(Z73/20)&gt;INT(Z72/20)), "TN Cáp 15.2 (Lần " &amp; INT(Z73/20) &amp; ")", "")))))))))))</f>
        <v/>
      </c>
      <c r="P73" s="20">
        <f>ROUND(P72 + IF(AND(E73&lt;=10, F73&lt;&gt;"ASTM A416"), L73, 0), 3)</f>
        <v/>
      </c>
      <c r="Q73" s="20">
        <f>ROUND(Q72 + IF(AND(E73=12, F73&lt;&gt;"ASTM A416"), L73, 0), 3)</f>
        <v/>
      </c>
      <c r="R73" s="20">
        <f>ROUND(R72 + IF(AND(E73=14, F73&lt;&gt;"ASTM A416"), L73, 0), 3)</f>
        <v/>
      </c>
      <c r="S73" s="20">
        <f>ROUND(S72 + IF(AND(E73=16, F73&lt;&gt;"ASTM A416"), L73, 0), 3)</f>
        <v/>
      </c>
      <c r="T73" s="20">
        <f>ROUND(T72 + IF(AND(E73=18, F73&lt;&gt;"ASTM A416"), L73, 0), 3)</f>
        <v/>
      </c>
      <c r="U73" s="20">
        <f>ROUND(U72 + IF(AND(E73=20, F73&lt;&gt;"ASTM A416"), L73, 0), 3)</f>
        <v/>
      </c>
      <c r="V73" s="20">
        <f>ROUND(V72 + IF(AND(E73=22, F73&lt;&gt;"ASTM A416"), L73, 0), 3)</f>
        <v/>
      </c>
      <c r="W73" s="20">
        <f>ROUND(W72 + IF(AND(E73=25, F73&lt;&gt;"ASTM A416"), L73, 0), 3)</f>
        <v/>
      </c>
      <c r="X73" s="20">
        <f>ROUND(X72 + IF(AND(E73=28, F73&lt;&gt;"ASTM A416"), L73, 0), 3)</f>
        <v/>
      </c>
      <c r="Y73" s="20">
        <f>ROUND(Y72 + IF(AND(E73=32, F73&lt;&gt;"ASTM A416"), L73, 0), 3)</f>
        <v/>
      </c>
      <c r="Z73" s="20">
        <f>ROUND(Z72 + IF(F73="ASTM A416", L73, 0), 3)</f>
        <v/>
      </c>
      <c r="AA73" s="11">
        <f>IF(INT(P73/20)&gt;INT(P72/20), "Lần " &amp; INT(P73/20), "")</f>
        <v/>
      </c>
      <c r="AB73" s="11">
        <f>IF(INT(Q73/20)&gt;INT(Q72/20), "Lần " &amp; INT(Q73/20), "")</f>
        <v/>
      </c>
      <c r="AC73" s="11">
        <f>IF(INT(R73/20)&gt;INT(R72/20), "Lần " &amp; INT(R73/20), "")</f>
        <v/>
      </c>
      <c r="AD73" s="11">
        <f>IF(INT(S73/20)&gt;INT(S72/20), "Lần " &amp; INT(S73/20), "")</f>
        <v/>
      </c>
      <c r="AE73" s="11">
        <f>IF(INT(T73/20)&gt;INT(T72/20), "Lần " &amp; INT(T73/20), "")</f>
        <v/>
      </c>
      <c r="AF73" s="11">
        <f>IF(INT(U73/20)&gt;INT(U72/20), "Lần " &amp; INT(U73/20), "")</f>
        <v/>
      </c>
      <c r="AG73" s="11">
        <f>IF(INT(V73/20)&gt;INT(V72/20), "Lần " &amp; INT(V73/20), "")</f>
        <v/>
      </c>
      <c r="AH73" s="11">
        <f>IF(INT(W73/20)&gt;INT(W72/20), "Lần " &amp; INT(W73/20), "")</f>
        <v/>
      </c>
      <c r="AI73" s="11">
        <f>IF(INT(X73/20)&gt;INT(X72/20), "Lần " &amp; INT(X73/20), "")</f>
        <v/>
      </c>
      <c r="AJ73" s="11">
        <f>IF(INT(Y73/20)&gt;INT(Y72/20), "Lần " &amp; INT(Y73/20), "")</f>
        <v/>
      </c>
      <c r="AK73" s="11">
        <f>IF(INT(Z73/20)&gt;INT(Z72/20), "Lần " &amp; INT(Z73/20), "")</f>
        <v/>
      </c>
      <c r="AL73" s="6" t="inlineStr">
        <is>
          <t>ĐẠT TCVN 1651:2018</t>
        </is>
      </c>
    </row>
    <row r="74" ht="19" customHeight="1">
      <c r="A74" s="6" t="n">
        <v>66</v>
      </c>
      <c r="B74" s="7" t="inlineStr">
        <is>
          <t>Cọc khoan nhồi C2 Trụ T1 (D1.2m, L=40.0m)</t>
        </is>
      </c>
      <c r="C74" s="7" t="inlineStr">
        <is>
          <t>Cốt thép chủ chịu lực cọc</t>
        </is>
      </c>
      <c r="D74" s="18" t="inlineStr">
        <is>
          <t>P6</t>
        </is>
      </c>
      <c r="E74" s="19" t="n">
        <v>25</v>
      </c>
      <c r="F74" s="6" t="inlineStr">
        <is>
          <t>CB400-V</t>
        </is>
      </c>
      <c r="G74" s="7" t="inlineStr">
        <is>
          <t>Thanh thẳng nối ren/hàn</t>
        </is>
      </c>
      <c r="H74" s="20" t="n">
        <v>9.032999999999999</v>
      </c>
      <c r="I74" s="21" t="n">
        <v>12</v>
      </c>
      <c r="J74" s="22" t="n">
        <v>3.85</v>
      </c>
      <c r="K74" s="9">
        <f>ROUND(H74*I74*J74, 2)</f>
        <v/>
      </c>
      <c r="L74" s="23">
        <f>ROUND(K74/1000, 3)</f>
        <v/>
      </c>
      <c r="M74" s="8" t="n"/>
      <c r="N74" s="6" t="n"/>
      <c r="O74" s="24">
        <f>IF(AND(E74&lt;=10, F74&lt;&gt;"ASTM A416", INT(P74/20)&gt;INT(P73/20)), "TN Ø10 (Lần " &amp; INT(P74/20) &amp; ")", IF(AND(E74=12, INT(Q74/20)&gt;INT(Q73/20)), "TN Ø12 (Lần " &amp; INT(Q74/20) &amp; ")", IF(AND(E74=14, INT(R74/20)&gt;INT(R73/20)), "TN Ø14 (Lần " &amp; INT(R74/20) &amp; ")", IF(AND(E74=16, INT(S74/20)&gt;INT(S73/20)), "TN Ø16 (Lần " &amp; INT(S74/20) &amp; ")", IF(AND(E74=18, INT(T74/20)&gt;INT(T73/20)), "TN Ø18 (Lần " &amp; INT(T74/20) &amp; ")", IF(AND(E74=20, INT(U74/20)&gt;INT(U73/20)), "TN Ø20 (Lần " &amp; INT(U74/20) &amp; ")", IF(AND(E74=22, INT(V74/20)&gt;INT(V73/20)), "TN Ø22 (Lần " &amp; INT(V74/20) &amp; ")", IF(AND(E74=25, INT(W74/20)&gt;INT(W73/20)), "TN Ø25 (Lần " &amp; INT(W74/20) &amp; ")", IF(AND(E74=28, INT(X74/20)&gt;INT(X73/20)), "TN Ø28 (Lần " &amp; INT(X74/20) &amp; ")", IF(AND(E74=32, INT(Y74/20)&gt;INT(Y73/20)), "TN Ø32 (Lần " &amp; INT(Y74/20) &amp; ")", IF(AND(F74="ASTM A416", INT(Z74/20)&gt;INT(Z73/20)), "TN Cáp 15.2 (Lần " &amp; INT(Z74/20) &amp; ")", "")))))))))))</f>
        <v/>
      </c>
      <c r="P74" s="20">
        <f>ROUND(P73 + IF(AND(E74&lt;=10, F74&lt;&gt;"ASTM A416"), L74, 0), 3)</f>
        <v/>
      </c>
      <c r="Q74" s="20">
        <f>ROUND(Q73 + IF(AND(E74=12, F74&lt;&gt;"ASTM A416"), L74, 0), 3)</f>
        <v/>
      </c>
      <c r="R74" s="20">
        <f>ROUND(R73 + IF(AND(E74=14, F74&lt;&gt;"ASTM A416"), L74, 0), 3)</f>
        <v/>
      </c>
      <c r="S74" s="20">
        <f>ROUND(S73 + IF(AND(E74=16, F74&lt;&gt;"ASTM A416"), L74, 0), 3)</f>
        <v/>
      </c>
      <c r="T74" s="20">
        <f>ROUND(T73 + IF(AND(E74=18, F74&lt;&gt;"ASTM A416"), L74, 0), 3)</f>
        <v/>
      </c>
      <c r="U74" s="20">
        <f>ROUND(U73 + IF(AND(E74=20, F74&lt;&gt;"ASTM A416"), L74, 0), 3)</f>
        <v/>
      </c>
      <c r="V74" s="20">
        <f>ROUND(V73 + IF(AND(E74=22, F74&lt;&gt;"ASTM A416"), L74, 0), 3)</f>
        <v/>
      </c>
      <c r="W74" s="20">
        <f>ROUND(W73 + IF(AND(E74=25, F74&lt;&gt;"ASTM A416"), L74, 0), 3)</f>
        <v/>
      </c>
      <c r="X74" s="20">
        <f>ROUND(X73 + IF(AND(E74=28, F74&lt;&gt;"ASTM A416"), L74, 0), 3)</f>
        <v/>
      </c>
      <c r="Y74" s="20">
        <f>ROUND(Y73 + IF(AND(E74=32, F74&lt;&gt;"ASTM A416"), L74, 0), 3)</f>
        <v/>
      </c>
      <c r="Z74" s="20">
        <f>ROUND(Z73 + IF(F74="ASTM A416", L74, 0), 3)</f>
        <v/>
      </c>
      <c r="AA74" s="11">
        <f>IF(INT(P74/20)&gt;INT(P73/20), "Lần " &amp; INT(P74/20), "")</f>
        <v/>
      </c>
      <c r="AB74" s="11">
        <f>IF(INT(Q74/20)&gt;INT(Q73/20), "Lần " &amp; INT(Q74/20), "")</f>
        <v/>
      </c>
      <c r="AC74" s="11">
        <f>IF(INT(R74/20)&gt;INT(R73/20), "Lần " &amp; INT(R74/20), "")</f>
        <v/>
      </c>
      <c r="AD74" s="11">
        <f>IF(INT(S74/20)&gt;INT(S73/20), "Lần " &amp; INT(S74/20), "")</f>
        <v/>
      </c>
      <c r="AE74" s="11">
        <f>IF(INT(T74/20)&gt;INT(T73/20), "Lần " &amp; INT(T74/20), "")</f>
        <v/>
      </c>
      <c r="AF74" s="11">
        <f>IF(INT(U74/20)&gt;INT(U73/20), "Lần " &amp; INT(U74/20), "")</f>
        <v/>
      </c>
      <c r="AG74" s="11">
        <f>IF(INT(V74/20)&gt;INT(V73/20), "Lần " &amp; INT(V74/20), "")</f>
        <v/>
      </c>
      <c r="AH74" s="11">
        <f>IF(INT(W74/20)&gt;INT(W73/20), "Lần " &amp; INT(W74/20), "")</f>
        <v/>
      </c>
      <c r="AI74" s="11">
        <f>IF(INT(X74/20)&gt;INT(X73/20), "Lần " &amp; INT(X74/20), "")</f>
        <v/>
      </c>
      <c r="AJ74" s="11">
        <f>IF(INT(Y74/20)&gt;INT(Y73/20), "Lần " &amp; INT(Y74/20), "")</f>
        <v/>
      </c>
      <c r="AK74" s="11">
        <f>IF(INT(Z74/20)&gt;INT(Z73/20), "Lần " &amp; INT(Z74/20), "")</f>
        <v/>
      </c>
      <c r="AL74" s="6" t="inlineStr">
        <is>
          <t>ĐẠT TCVN 1651:2018</t>
        </is>
      </c>
    </row>
    <row r="75" ht="19" customHeight="1">
      <c r="A75" s="6" t="n">
        <v>67</v>
      </c>
      <c r="B75" s="7" t="inlineStr">
        <is>
          <t>Cọc khoan nhồi C2 Trụ T1 (D1.2m, L=40.0m)</t>
        </is>
      </c>
      <c r="C75" s="7" t="inlineStr">
        <is>
          <t>Cốt thép chủ chịu lực cọc</t>
        </is>
      </c>
      <c r="D75" s="18" t="inlineStr">
        <is>
          <t>P7</t>
        </is>
      </c>
      <c r="E75" s="19" t="n">
        <v>25</v>
      </c>
      <c r="F75" s="6" t="inlineStr">
        <is>
          <t>CB400-V</t>
        </is>
      </c>
      <c r="G75" s="7" t="inlineStr">
        <is>
          <t>Thanh thẳng nối ren/hàn</t>
        </is>
      </c>
      <c r="H75" s="20" t="n">
        <v>10.033</v>
      </c>
      <c r="I75" s="21" t="n">
        <v>12</v>
      </c>
      <c r="J75" s="22" t="n">
        <v>3.85</v>
      </c>
      <c r="K75" s="9">
        <f>ROUND(H75*I75*J75, 2)</f>
        <v/>
      </c>
      <c r="L75" s="23">
        <f>ROUND(K75/1000, 3)</f>
        <v/>
      </c>
      <c r="M75" s="8" t="n"/>
      <c r="N75" s="6" t="n"/>
      <c r="O75" s="24">
        <f>IF(AND(E75&lt;=10, F75&lt;&gt;"ASTM A416", INT(P75/20)&gt;INT(P74/20)), "TN Ø10 (Lần " &amp; INT(P75/20) &amp; ")", IF(AND(E75=12, INT(Q75/20)&gt;INT(Q74/20)), "TN Ø12 (Lần " &amp; INT(Q75/20) &amp; ")", IF(AND(E75=14, INT(R75/20)&gt;INT(R74/20)), "TN Ø14 (Lần " &amp; INT(R75/20) &amp; ")", IF(AND(E75=16, INT(S75/20)&gt;INT(S74/20)), "TN Ø16 (Lần " &amp; INT(S75/20) &amp; ")", IF(AND(E75=18, INT(T75/20)&gt;INT(T74/20)), "TN Ø18 (Lần " &amp; INT(T75/20) &amp; ")", IF(AND(E75=20, INT(U75/20)&gt;INT(U74/20)), "TN Ø20 (Lần " &amp; INT(U75/20) &amp; ")", IF(AND(E75=22, INT(V75/20)&gt;INT(V74/20)), "TN Ø22 (Lần " &amp; INT(V75/20) &amp; ")", IF(AND(E75=25, INT(W75/20)&gt;INT(W74/20)), "TN Ø25 (Lần " &amp; INT(W75/20) &amp; ")", IF(AND(E75=28, INT(X75/20)&gt;INT(X74/20)), "TN Ø28 (Lần " &amp; INT(X75/20) &amp; ")", IF(AND(E75=32, INT(Y75/20)&gt;INT(Y74/20)), "TN Ø32 (Lần " &amp; INT(Y75/20) &amp; ")", IF(AND(F75="ASTM A416", INT(Z75/20)&gt;INT(Z74/20)), "TN Cáp 15.2 (Lần " &amp; INT(Z75/20) &amp; ")", "")))))))))))</f>
        <v/>
      </c>
      <c r="P75" s="20">
        <f>ROUND(P74 + IF(AND(E75&lt;=10, F75&lt;&gt;"ASTM A416"), L75, 0), 3)</f>
        <v/>
      </c>
      <c r="Q75" s="20">
        <f>ROUND(Q74 + IF(AND(E75=12, F75&lt;&gt;"ASTM A416"), L75, 0), 3)</f>
        <v/>
      </c>
      <c r="R75" s="20">
        <f>ROUND(R74 + IF(AND(E75=14, F75&lt;&gt;"ASTM A416"), L75, 0), 3)</f>
        <v/>
      </c>
      <c r="S75" s="20">
        <f>ROUND(S74 + IF(AND(E75=16, F75&lt;&gt;"ASTM A416"), L75, 0), 3)</f>
        <v/>
      </c>
      <c r="T75" s="20">
        <f>ROUND(T74 + IF(AND(E75=18, F75&lt;&gt;"ASTM A416"), L75, 0), 3)</f>
        <v/>
      </c>
      <c r="U75" s="20">
        <f>ROUND(U74 + IF(AND(E75=20, F75&lt;&gt;"ASTM A416"), L75, 0), 3)</f>
        <v/>
      </c>
      <c r="V75" s="20">
        <f>ROUND(V74 + IF(AND(E75=22, F75&lt;&gt;"ASTM A416"), L75, 0), 3)</f>
        <v/>
      </c>
      <c r="W75" s="20">
        <f>ROUND(W74 + IF(AND(E75=25, F75&lt;&gt;"ASTM A416"), L75, 0), 3)</f>
        <v/>
      </c>
      <c r="X75" s="20">
        <f>ROUND(X74 + IF(AND(E75=28, F75&lt;&gt;"ASTM A416"), L75, 0), 3)</f>
        <v/>
      </c>
      <c r="Y75" s="20">
        <f>ROUND(Y74 + IF(AND(E75=32, F75&lt;&gt;"ASTM A416"), L75, 0), 3)</f>
        <v/>
      </c>
      <c r="Z75" s="20">
        <f>ROUND(Z74 + IF(F75="ASTM A416", L75, 0), 3)</f>
        <v/>
      </c>
      <c r="AA75" s="11">
        <f>IF(INT(P75/20)&gt;INT(P74/20), "Lần " &amp; INT(P75/20), "")</f>
        <v/>
      </c>
      <c r="AB75" s="11">
        <f>IF(INT(Q75/20)&gt;INT(Q74/20), "Lần " &amp; INT(Q75/20), "")</f>
        <v/>
      </c>
      <c r="AC75" s="11">
        <f>IF(INT(R75/20)&gt;INT(R74/20), "Lần " &amp; INT(R75/20), "")</f>
        <v/>
      </c>
      <c r="AD75" s="11">
        <f>IF(INT(S75/20)&gt;INT(S74/20), "Lần " &amp; INT(S75/20), "")</f>
        <v/>
      </c>
      <c r="AE75" s="11">
        <f>IF(INT(T75/20)&gt;INT(T74/20), "Lần " &amp; INT(T75/20), "")</f>
        <v/>
      </c>
      <c r="AF75" s="11">
        <f>IF(INT(U75/20)&gt;INT(U74/20), "Lần " &amp; INT(U75/20), "")</f>
        <v/>
      </c>
      <c r="AG75" s="11">
        <f>IF(INT(V75/20)&gt;INT(V74/20), "Lần " &amp; INT(V75/20), "")</f>
        <v/>
      </c>
      <c r="AH75" s="11">
        <f>IF(INT(W75/20)&gt;INT(W74/20), "Lần " &amp; INT(W75/20), "")</f>
        <v/>
      </c>
      <c r="AI75" s="11">
        <f>IF(INT(X75/20)&gt;INT(X74/20), "Lần " &amp; INT(X75/20), "")</f>
        <v/>
      </c>
      <c r="AJ75" s="11">
        <f>IF(INT(Y75/20)&gt;INT(Y74/20), "Lần " &amp; INT(Y75/20), "")</f>
        <v/>
      </c>
      <c r="AK75" s="11">
        <f>IF(INT(Z75/20)&gt;INT(Z74/20), "Lần " &amp; INT(Z75/20), "")</f>
        <v/>
      </c>
      <c r="AL75" s="6" t="inlineStr">
        <is>
          <t>ĐẠT TCVN 1651:2018</t>
        </is>
      </c>
    </row>
    <row r="76" ht="19" customHeight="1">
      <c r="A76" s="6" t="n">
        <v>68</v>
      </c>
      <c r="B76" s="7" t="inlineStr">
        <is>
          <t>Cọc khoan nhồi C2 Trụ T1 (D1.2m, L=40.0m)</t>
        </is>
      </c>
      <c r="C76" s="7" t="inlineStr">
        <is>
          <t>Đai tăng cường / Con kê bảo vệ</t>
        </is>
      </c>
      <c r="D76" s="18" t="inlineStr">
        <is>
          <t>P8</t>
        </is>
      </c>
      <c r="E76" s="19" t="n">
        <v>12</v>
      </c>
      <c r="F76" s="6" t="inlineStr">
        <is>
          <t>CB400-V</t>
        </is>
      </c>
      <c r="G76" s="7" t="inlineStr">
        <is>
          <t>Móc neo / Vòng đai</t>
        </is>
      </c>
      <c r="H76" s="20" t="n">
        <v>0.647</v>
      </c>
      <c r="I76" s="21" t="n">
        <v>16</v>
      </c>
      <c r="J76" s="22" t="n">
        <v>0.888</v>
      </c>
      <c r="K76" s="9">
        <f>ROUND(H76*I76*J76, 2)</f>
        <v/>
      </c>
      <c r="L76" s="23">
        <f>ROUND(K76/1000, 3)</f>
        <v/>
      </c>
      <c r="M76" s="8" t="n"/>
      <c r="N76" s="6" t="n"/>
      <c r="O76" s="24">
        <f>IF(AND(E76&lt;=10, F76&lt;&gt;"ASTM A416", INT(P76/20)&gt;INT(P75/20)), "TN Ø10 (Lần " &amp; INT(P76/20) &amp; ")", IF(AND(E76=12, INT(Q76/20)&gt;INT(Q75/20)), "TN Ø12 (Lần " &amp; INT(Q76/20) &amp; ")", IF(AND(E76=14, INT(R76/20)&gt;INT(R75/20)), "TN Ø14 (Lần " &amp; INT(R76/20) &amp; ")", IF(AND(E76=16, INT(S76/20)&gt;INT(S75/20)), "TN Ø16 (Lần " &amp; INT(S76/20) &amp; ")", IF(AND(E76=18, INT(T76/20)&gt;INT(T75/20)), "TN Ø18 (Lần " &amp; INT(T76/20) &amp; ")", IF(AND(E76=20, INT(U76/20)&gt;INT(U75/20)), "TN Ø20 (Lần " &amp; INT(U76/20) &amp; ")", IF(AND(E76=22, INT(V76/20)&gt;INT(V75/20)), "TN Ø22 (Lần " &amp; INT(V76/20) &amp; ")", IF(AND(E76=25, INT(W76/20)&gt;INT(W75/20)), "TN Ø25 (Lần " &amp; INT(W76/20) &amp; ")", IF(AND(E76=28, INT(X76/20)&gt;INT(X75/20)), "TN Ø28 (Lần " &amp; INT(X76/20) &amp; ")", IF(AND(E76=32, INT(Y76/20)&gt;INT(Y75/20)), "TN Ø32 (Lần " &amp; INT(Y76/20) &amp; ")", IF(AND(F76="ASTM A416", INT(Z76/20)&gt;INT(Z75/20)), "TN Cáp 15.2 (Lần " &amp; INT(Z76/20) &amp; ")", "")))))))))))</f>
        <v/>
      </c>
      <c r="P76" s="20">
        <f>ROUND(P75 + IF(AND(E76&lt;=10, F76&lt;&gt;"ASTM A416"), L76, 0), 3)</f>
        <v/>
      </c>
      <c r="Q76" s="20">
        <f>ROUND(Q75 + IF(AND(E76=12, F76&lt;&gt;"ASTM A416"), L76, 0), 3)</f>
        <v/>
      </c>
      <c r="R76" s="20">
        <f>ROUND(R75 + IF(AND(E76=14, F76&lt;&gt;"ASTM A416"), L76, 0), 3)</f>
        <v/>
      </c>
      <c r="S76" s="20">
        <f>ROUND(S75 + IF(AND(E76=16, F76&lt;&gt;"ASTM A416"), L76, 0), 3)</f>
        <v/>
      </c>
      <c r="T76" s="20">
        <f>ROUND(T75 + IF(AND(E76=18, F76&lt;&gt;"ASTM A416"), L76, 0), 3)</f>
        <v/>
      </c>
      <c r="U76" s="20">
        <f>ROUND(U75 + IF(AND(E76=20, F76&lt;&gt;"ASTM A416"), L76, 0), 3)</f>
        <v/>
      </c>
      <c r="V76" s="20">
        <f>ROUND(V75 + IF(AND(E76=22, F76&lt;&gt;"ASTM A416"), L76, 0), 3)</f>
        <v/>
      </c>
      <c r="W76" s="20">
        <f>ROUND(W75 + IF(AND(E76=25, F76&lt;&gt;"ASTM A416"), L76, 0), 3)</f>
        <v/>
      </c>
      <c r="X76" s="20">
        <f>ROUND(X75 + IF(AND(E76=28, F76&lt;&gt;"ASTM A416"), L76, 0), 3)</f>
        <v/>
      </c>
      <c r="Y76" s="20">
        <f>ROUND(Y75 + IF(AND(E76=32, F76&lt;&gt;"ASTM A416"), L76, 0), 3)</f>
        <v/>
      </c>
      <c r="Z76" s="20">
        <f>ROUND(Z75 + IF(F76="ASTM A416", L76, 0), 3)</f>
        <v/>
      </c>
      <c r="AA76" s="11">
        <f>IF(INT(P76/20)&gt;INT(P75/20), "Lần " &amp; INT(P76/20), "")</f>
        <v/>
      </c>
      <c r="AB76" s="11">
        <f>IF(INT(Q76/20)&gt;INT(Q75/20), "Lần " &amp; INT(Q76/20), "")</f>
        <v/>
      </c>
      <c r="AC76" s="11">
        <f>IF(INT(R76/20)&gt;INT(R75/20), "Lần " &amp; INT(R76/20), "")</f>
        <v/>
      </c>
      <c r="AD76" s="11">
        <f>IF(INT(S76/20)&gt;INT(S75/20), "Lần " &amp; INT(S76/20), "")</f>
        <v/>
      </c>
      <c r="AE76" s="11">
        <f>IF(INT(T76/20)&gt;INT(T75/20), "Lần " &amp; INT(T76/20), "")</f>
        <v/>
      </c>
      <c r="AF76" s="11">
        <f>IF(INT(U76/20)&gt;INT(U75/20), "Lần " &amp; INT(U76/20), "")</f>
        <v/>
      </c>
      <c r="AG76" s="11">
        <f>IF(INT(V76/20)&gt;INT(V75/20), "Lần " &amp; INT(V76/20), "")</f>
        <v/>
      </c>
      <c r="AH76" s="11">
        <f>IF(INT(W76/20)&gt;INT(W75/20), "Lần " &amp; INT(W76/20), "")</f>
        <v/>
      </c>
      <c r="AI76" s="11">
        <f>IF(INT(X76/20)&gt;INT(X75/20), "Lần " &amp; INT(X76/20), "")</f>
        <v/>
      </c>
      <c r="AJ76" s="11">
        <f>IF(INT(Y76/20)&gt;INT(Y75/20), "Lần " &amp; INT(Y76/20), "")</f>
        <v/>
      </c>
      <c r="AK76" s="11">
        <f>IF(INT(Z76/20)&gt;INT(Z75/20), "Lần " &amp; INT(Z76/20), "")</f>
        <v/>
      </c>
      <c r="AL76" s="6" t="inlineStr">
        <is>
          <t>ĐẠT TCVN 1651:2018</t>
        </is>
      </c>
    </row>
    <row r="77" ht="19" customHeight="1">
      <c r="A77" s="6" t="n">
        <v>69</v>
      </c>
      <c r="B77" s="7" t="inlineStr">
        <is>
          <t>Cọc khoan nhồi C2 Trụ T1 (D1.2m, L=40.0m)</t>
        </is>
      </c>
      <c r="C77" s="7" t="inlineStr">
        <is>
          <t>Đai tăng cường / Con kê bảo vệ</t>
        </is>
      </c>
      <c r="D77" s="18" t="inlineStr">
        <is>
          <t>P9</t>
        </is>
      </c>
      <c r="E77" s="19" t="n">
        <v>12</v>
      </c>
      <c r="F77" s="6" t="inlineStr">
        <is>
          <t>CB400-V</t>
        </is>
      </c>
      <c r="G77" s="7" t="inlineStr">
        <is>
          <t>Móc neo / Vòng đai</t>
        </is>
      </c>
      <c r="H77" s="20" t="n">
        <v>0.379</v>
      </c>
      <c r="I77" s="21" t="n">
        <v>48</v>
      </c>
      <c r="J77" s="22" t="n">
        <v>0.888</v>
      </c>
      <c r="K77" s="9">
        <f>ROUND(H77*I77*J77, 2)</f>
        <v/>
      </c>
      <c r="L77" s="23">
        <f>ROUND(K77/1000, 3)</f>
        <v/>
      </c>
      <c r="M77" s="8" t="n"/>
      <c r="N77" s="6" t="n"/>
      <c r="O77" s="24">
        <f>IF(AND(E77&lt;=10, F77&lt;&gt;"ASTM A416", INT(P77/20)&gt;INT(P76/20)), "TN Ø10 (Lần " &amp; INT(P77/20) &amp; ")", IF(AND(E77=12, INT(Q77/20)&gt;INT(Q76/20)), "TN Ø12 (Lần " &amp; INT(Q77/20) &amp; ")", IF(AND(E77=14, INT(R77/20)&gt;INT(R76/20)), "TN Ø14 (Lần " &amp; INT(R77/20) &amp; ")", IF(AND(E77=16, INT(S77/20)&gt;INT(S76/20)), "TN Ø16 (Lần " &amp; INT(S77/20) &amp; ")", IF(AND(E77=18, INT(T77/20)&gt;INT(T76/20)), "TN Ø18 (Lần " &amp; INT(T77/20) &amp; ")", IF(AND(E77=20, INT(U77/20)&gt;INT(U76/20)), "TN Ø20 (Lần " &amp; INT(U77/20) &amp; ")", IF(AND(E77=22, INT(V77/20)&gt;INT(V76/20)), "TN Ø22 (Lần " &amp; INT(V77/20) &amp; ")", IF(AND(E77=25, INT(W77/20)&gt;INT(W76/20)), "TN Ø25 (Lần " &amp; INT(W77/20) &amp; ")", IF(AND(E77=28, INT(X77/20)&gt;INT(X76/20)), "TN Ø28 (Lần " &amp; INT(X77/20) &amp; ")", IF(AND(E77=32, INT(Y77/20)&gt;INT(Y76/20)), "TN Ø32 (Lần " &amp; INT(Y77/20) &amp; ")", IF(AND(F77="ASTM A416", INT(Z77/20)&gt;INT(Z76/20)), "TN Cáp 15.2 (Lần " &amp; INT(Z77/20) &amp; ")", "")))))))))))</f>
        <v/>
      </c>
      <c r="P77" s="20">
        <f>ROUND(P76 + IF(AND(E77&lt;=10, F77&lt;&gt;"ASTM A416"), L77, 0), 3)</f>
        <v/>
      </c>
      <c r="Q77" s="20">
        <f>ROUND(Q76 + IF(AND(E77=12, F77&lt;&gt;"ASTM A416"), L77, 0), 3)</f>
        <v/>
      </c>
      <c r="R77" s="20">
        <f>ROUND(R76 + IF(AND(E77=14, F77&lt;&gt;"ASTM A416"), L77, 0), 3)</f>
        <v/>
      </c>
      <c r="S77" s="20">
        <f>ROUND(S76 + IF(AND(E77=16, F77&lt;&gt;"ASTM A416"), L77, 0), 3)</f>
        <v/>
      </c>
      <c r="T77" s="20">
        <f>ROUND(T76 + IF(AND(E77=18, F77&lt;&gt;"ASTM A416"), L77, 0), 3)</f>
        <v/>
      </c>
      <c r="U77" s="20">
        <f>ROUND(U76 + IF(AND(E77=20, F77&lt;&gt;"ASTM A416"), L77, 0), 3)</f>
        <v/>
      </c>
      <c r="V77" s="20">
        <f>ROUND(V76 + IF(AND(E77=22, F77&lt;&gt;"ASTM A416"), L77, 0), 3)</f>
        <v/>
      </c>
      <c r="W77" s="20">
        <f>ROUND(W76 + IF(AND(E77=25, F77&lt;&gt;"ASTM A416"), L77, 0), 3)</f>
        <v/>
      </c>
      <c r="X77" s="20">
        <f>ROUND(X76 + IF(AND(E77=28, F77&lt;&gt;"ASTM A416"), L77, 0), 3)</f>
        <v/>
      </c>
      <c r="Y77" s="20">
        <f>ROUND(Y76 + IF(AND(E77=32, F77&lt;&gt;"ASTM A416"), L77, 0), 3)</f>
        <v/>
      </c>
      <c r="Z77" s="20">
        <f>ROUND(Z76 + IF(F77="ASTM A416", L77, 0), 3)</f>
        <v/>
      </c>
      <c r="AA77" s="11">
        <f>IF(INT(P77/20)&gt;INT(P76/20), "Lần " &amp; INT(P77/20), "")</f>
        <v/>
      </c>
      <c r="AB77" s="11">
        <f>IF(INT(Q77/20)&gt;INT(Q76/20), "Lần " &amp; INT(Q77/20), "")</f>
        <v/>
      </c>
      <c r="AC77" s="11">
        <f>IF(INT(R77/20)&gt;INT(R76/20), "Lần " &amp; INT(R77/20), "")</f>
        <v/>
      </c>
      <c r="AD77" s="11">
        <f>IF(INT(S77/20)&gt;INT(S76/20), "Lần " &amp; INT(S77/20), "")</f>
        <v/>
      </c>
      <c r="AE77" s="11">
        <f>IF(INT(T77/20)&gt;INT(T76/20), "Lần " &amp; INT(T77/20), "")</f>
        <v/>
      </c>
      <c r="AF77" s="11">
        <f>IF(INT(U77/20)&gt;INT(U76/20), "Lần " &amp; INT(U77/20), "")</f>
        <v/>
      </c>
      <c r="AG77" s="11">
        <f>IF(INT(V77/20)&gt;INT(V76/20), "Lần " &amp; INT(V77/20), "")</f>
        <v/>
      </c>
      <c r="AH77" s="11">
        <f>IF(INT(W77/20)&gt;INT(W76/20), "Lần " &amp; INT(W77/20), "")</f>
        <v/>
      </c>
      <c r="AI77" s="11">
        <f>IF(INT(X77/20)&gt;INT(X76/20), "Lần " &amp; INT(X77/20), "")</f>
        <v/>
      </c>
      <c r="AJ77" s="11">
        <f>IF(INT(Y77/20)&gt;INT(Y76/20), "Lần " &amp; INT(Y77/20), "")</f>
        <v/>
      </c>
      <c r="AK77" s="11">
        <f>IF(INT(Z77/20)&gt;INT(Z76/20), "Lần " &amp; INT(Z77/20), "")</f>
        <v/>
      </c>
      <c r="AL77" s="6" t="inlineStr">
        <is>
          <t>ĐẠT TCVN 1651:2018</t>
        </is>
      </c>
    </row>
    <row r="78" ht="19" customHeight="1">
      <c r="A78" s="6" t="n">
        <v>70</v>
      </c>
      <c r="B78" s="7" t="inlineStr">
        <is>
          <t>Cọc khoan nhồi C2 Trụ T1 (D1.2m, L=40.0m)</t>
        </is>
      </c>
      <c r="C78" s="7" t="inlineStr">
        <is>
          <t>Thép đai xoắn lồng cọc</t>
        </is>
      </c>
      <c r="D78" s="18" t="inlineStr">
        <is>
          <t>P10</t>
        </is>
      </c>
      <c r="E78" s="19" t="n">
        <v>20</v>
      </c>
      <c r="F78" s="6" t="inlineStr">
        <is>
          <t>CB400-V</t>
        </is>
      </c>
      <c r="G78" s="7" t="inlineStr">
        <is>
          <t>Đai xoắn tròn</t>
        </is>
      </c>
      <c r="H78" s="20" t="n">
        <v>2.057</v>
      </c>
      <c r="I78" s="21" t="n">
        <v>1</v>
      </c>
      <c r="J78" s="22" t="n">
        <v>2.47</v>
      </c>
      <c r="K78" s="9">
        <f>ROUND(H78*I78*J78, 2)</f>
        <v/>
      </c>
      <c r="L78" s="23">
        <f>ROUND(K78/1000, 3)</f>
        <v/>
      </c>
      <c r="M78" s="8" t="n"/>
      <c r="N78" s="6" t="n"/>
      <c r="O78" s="24">
        <f>IF(AND(E78&lt;=10, F78&lt;&gt;"ASTM A416", INT(P78/20)&gt;INT(P77/20)), "TN Ø10 (Lần " &amp; INT(P78/20) &amp; ")", IF(AND(E78=12, INT(Q78/20)&gt;INT(Q77/20)), "TN Ø12 (Lần " &amp; INT(Q78/20) &amp; ")", IF(AND(E78=14, INT(R78/20)&gt;INT(R77/20)), "TN Ø14 (Lần " &amp; INT(R78/20) &amp; ")", IF(AND(E78=16, INT(S78/20)&gt;INT(S77/20)), "TN Ø16 (Lần " &amp; INT(S78/20) &amp; ")", IF(AND(E78=18, INT(T78/20)&gt;INT(T77/20)), "TN Ø18 (Lần " &amp; INT(T78/20) &amp; ")", IF(AND(E78=20, INT(U78/20)&gt;INT(U77/20)), "TN Ø20 (Lần " &amp; INT(U78/20) &amp; ")", IF(AND(E78=22, INT(V78/20)&gt;INT(V77/20)), "TN Ø22 (Lần " &amp; INT(V78/20) &amp; ")", IF(AND(E78=25, INT(W78/20)&gt;INT(W77/20)), "TN Ø25 (Lần " &amp; INT(W78/20) &amp; ")", IF(AND(E78=28, INT(X78/20)&gt;INT(X77/20)), "TN Ø28 (Lần " &amp; INT(X78/20) &amp; ")", IF(AND(E78=32, INT(Y78/20)&gt;INT(Y77/20)), "TN Ø32 (Lần " &amp; INT(Y78/20) &amp; ")", IF(AND(F78="ASTM A416", INT(Z78/20)&gt;INT(Z77/20)), "TN Cáp 15.2 (Lần " &amp; INT(Z78/20) &amp; ")", "")))))))))))</f>
        <v/>
      </c>
      <c r="P78" s="20">
        <f>ROUND(P77 + IF(AND(E78&lt;=10, F78&lt;&gt;"ASTM A416"), L78, 0), 3)</f>
        <v/>
      </c>
      <c r="Q78" s="20">
        <f>ROUND(Q77 + IF(AND(E78=12, F78&lt;&gt;"ASTM A416"), L78, 0), 3)</f>
        <v/>
      </c>
      <c r="R78" s="20">
        <f>ROUND(R77 + IF(AND(E78=14, F78&lt;&gt;"ASTM A416"), L78, 0), 3)</f>
        <v/>
      </c>
      <c r="S78" s="20">
        <f>ROUND(S77 + IF(AND(E78=16, F78&lt;&gt;"ASTM A416"), L78, 0), 3)</f>
        <v/>
      </c>
      <c r="T78" s="20">
        <f>ROUND(T77 + IF(AND(E78=18, F78&lt;&gt;"ASTM A416"), L78, 0), 3)</f>
        <v/>
      </c>
      <c r="U78" s="20">
        <f>ROUND(U77 + IF(AND(E78=20, F78&lt;&gt;"ASTM A416"), L78, 0), 3)</f>
        <v/>
      </c>
      <c r="V78" s="20">
        <f>ROUND(V77 + IF(AND(E78=22, F78&lt;&gt;"ASTM A416"), L78, 0), 3)</f>
        <v/>
      </c>
      <c r="W78" s="20">
        <f>ROUND(W77 + IF(AND(E78=25, F78&lt;&gt;"ASTM A416"), L78, 0), 3)</f>
        <v/>
      </c>
      <c r="X78" s="20">
        <f>ROUND(X77 + IF(AND(E78=28, F78&lt;&gt;"ASTM A416"), L78, 0), 3)</f>
        <v/>
      </c>
      <c r="Y78" s="20">
        <f>ROUND(Y77 + IF(AND(E78=32, F78&lt;&gt;"ASTM A416"), L78, 0), 3)</f>
        <v/>
      </c>
      <c r="Z78" s="20">
        <f>ROUND(Z77 + IF(F78="ASTM A416", L78, 0), 3)</f>
        <v/>
      </c>
      <c r="AA78" s="11">
        <f>IF(INT(P78/20)&gt;INT(P77/20), "Lần " &amp; INT(P78/20), "")</f>
        <v/>
      </c>
      <c r="AB78" s="11">
        <f>IF(INT(Q78/20)&gt;INT(Q77/20), "Lần " &amp; INT(Q78/20), "")</f>
        <v/>
      </c>
      <c r="AC78" s="11">
        <f>IF(INT(R78/20)&gt;INT(R77/20), "Lần " &amp; INT(R78/20), "")</f>
        <v/>
      </c>
      <c r="AD78" s="11">
        <f>IF(INT(S78/20)&gt;INT(S77/20), "Lần " &amp; INT(S78/20), "")</f>
        <v/>
      </c>
      <c r="AE78" s="11">
        <f>IF(INT(T78/20)&gt;INT(T77/20), "Lần " &amp; INT(T78/20), "")</f>
        <v/>
      </c>
      <c r="AF78" s="11">
        <f>IF(INT(U78/20)&gt;INT(U77/20), "Lần " &amp; INT(U78/20), "")</f>
        <v/>
      </c>
      <c r="AG78" s="11">
        <f>IF(INT(V78/20)&gt;INT(V77/20), "Lần " &amp; INT(V78/20), "")</f>
        <v/>
      </c>
      <c r="AH78" s="11">
        <f>IF(INT(W78/20)&gt;INT(W77/20), "Lần " &amp; INT(W78/20), "")</f>
        <v/>
      </c>
      <c r="AI78" s="11">
        <f>IF(INT(X78/20)&gt;INT(X77/20), "Lần " &amp; INT(X78/20), "")</f>
        <v/>
      </c>
      <c r="AJ78" s="11">
        <f>IF(INT(Y78/20)&gt;INT(Y77/20), "Lần " &amp; INT(Y78/20), "")</f>
        <v/>
      </c>
      <c r="AK78" s="11">
        <f>IF(INT(Z78/20)&gt;INT(Z77/20), "Lần " &amp; INT(Z78/20), "")</f>
        <v/>
      </c>
      <c r="AL78" s="6" t="inlineStr">
        <is>
          <t>ĐẠT TCVN 1651:2018</t>
        </is>
      </c>
    </row>
    <row r="79" ht="19" customHeight="1">
      <c r="A79" s="6" t="n">
        <v>71</v>
      </c>
      <c r="B79" s="7" t="inlineStr">
        <is>
          <t>Cọc khoan nhồi C2 Trụ T1 (D1.2m, L=40.0m)</t>
        </is>
      </c>
      <c r="C79" s="7" t="inlineStr">
        <is>
          <t>Thanh thép treo lồng cọc</t>
        </is>
      </c>
      <c r="D79" s="18" t="inlineStr">
        <is>
          <t>P11</t>
        </is>
      </c>
      <c r="E79" s="19" t="n">
        <v>16</v>
      </c>
      <c r="F79" s="6" t="inlineStr">
        <is>
          <t>CB400-V</t>
        </is>
      </c>
      <c r="G79" s="7" t="inlineStr">
        <is>
          <t>Thanh treo lồng (bảng phụ tr.68)</t>
        </is>
      </c>
      <c r="H79" s="20" t="n">
        <v>2.604</v>
      </c>
      <c r="I79" s="21" t="n">
        <v>4</v>
      </c>
      <c r="J79" s="22" t="n">
        <v>1.58</v>
      </c>
      <c r="K79" s="9">
        <f>ROUND(H79*I79*J79, 2)</f>
        <v/>
      </c>
      <c r="L79" s="23">
        <f>ROUND(K79/1000, 3)</f>
        <v/>
      </c>
      <c r="M79" s="8" t="n"/>
      <c r="N79" s="6" t="n"/>
      <c r="O79" s="24">
        <f>IF(AND(E79&lt;=10, F79&lt;&gt;"ASTM A416", INT(P79/20)&gt;INT(P78/20)), "TN Ø10 (Lần " &amp; INT(P79/20) &amp; ")", IF(AND(E79=12, INT(Q79/20)&gt;INT(Q78/20)), "TN Ø12 (Lần " &amp; INT(Q79/20) &amp; ")", IF(AND(E79=14, INT(R79/20)&gt;INT(R78/20)), "TN Ø14 (Lần " &amp; INT(R79/20) &amp; ")", IF(AND(E79=16, INT(S79/20)&gt;INT(S78/20)), "TN Ø16 (Lần " &amp; INT(S79/20) &amp; ")", IF(AND(E79=18, INT(T79/20)&gt;INT(T78/20)), "TN Ø18 (Lần " &amp; INT(T79/20) &amp; ")", IF(AND(E79=20, INT(U79/20)&gt;INT(U78/20)), "TN Ø20 (Lần " &amp; INT(U79/20) &amp; ")", IF(AND(E79=22, INT(V79/20)&gt;INT(V78/20)), "TN Ø22 (Lần " &amp; INT(V79/20) &amp; ")", IF(AND(E79=25, INT(W79/20)&gt;INT(W78/20)), "TN Ø25 (Lần " &amp; INT(W79/20) &amp; ")", IF(AND(E79=28, INT(X79/20)&gt;INT(X78/20)), "TN Ø28 (Lần " &amp; INT(X79/20) &amp; ")", IF(AND(E79=32, INT(Y79/20)&gt;INT(Y78/20)), "TN Ø32 (Lần " &amp; INT(Y79/20) &amp; ")", IF(AND(F79="ASTM A416", INT(Z79/20)&gt;INT(Z78/20)), "TN Cáp 15.2 (Lần " &amp; INT(Z79/20) &amp; ")", "")))))))))))</f>
        <v/>
      </c>
      <c r="P79" s="20">
        <f>ROUND(P78 + IF(AND(E79&lt;=10, F79&lt;&gt;"ASTM A416"), L79, 0), 3)</f>
        <v/>
      </c>
      <c r="Q79" s="20">
        <f>ROUND(Q78 + IF(AND(E79=12, F79&lt;&gt;"ASTM A416"), L79, 0), 3)</f>
        <v/>
      </c>
      <c r="R79" s="20">
        <f>ROUND(R78 + IF(AND(E79=14, F79&lt;&gt;"ASTM A416"), L79, 0), 3)</f>
        <v/>
      </c>
      <c r="S79" s="20">
        <f>ROUND(S78 + IF(AND(E79=16, F79&lt;&gt;"ASTM A416"), L79, 0), 3)</f>
        <v/>
      </c>
      <c r="T79" s="20">
        <f>ROUND(T78 + IF(AND(E79=18, F79&lt;&gt;"ASTM A416"), L79, 0), 3)</f>
        <v/>
      </c>
      <c r="U79" s="20">
        <f>ROUND(U78 + IF(AND(E79=20, F79&lt;&gt;"ASTM A416"), L79, 0), 3)</f>
        <v/>
      </c>
      <c r="V79" s="20">
        <f>ROUND(V78 + IF(AND(E79=22, F79&lt;&gt;"ASTM A416"), L79, 0), 3)</f>
        <v/>
      </c>
      <c r="W79" s="20">
        <f>ROUND(W78 + IF(AND(E79=25, F79&lt;&gt;"ASTM A416"), L79, 0), 3)</f>
        <v/>
      </c>
      <c r="X79" s="20">
        <f>ROUND(X78 + IF(AND(E79=28, F79&lt;&gt;"ASTM A416"), L79, 0), 3)</f>
        <v/>
      </c>
      <c r="Y79" s="20">
        <f>ROUND(Y78 + IF(AND(E79=32, F79&lt;&gt;"ASTM A416"), L79, 0), 3)</f>
        <v/>
      </c>
      <c r="Z79" s="20">
        <f>ROUND(Z78 + IF(F79="ASTM A416", L79, 0), 3)</f>
        <v/>
      </c>
      <c r="AA79" s="11">
        <f>IF(INT(P79/20)&gt;INT(P78/20), "Lần " &amp; INT(P79/20), "")</f>
        <v/>
      </c>
      <c r="AB79" s="11">
        <f>IF(INT(Q79/20)&gt;INT(Q78/20), "Lần " &amp; INT(Q79/20), "")</f>
        <v/>
      </c>
      <c r="AC79" s="11">
        <f>IF(INT(R79/20)&gt;INT(R78/20), "Lần " &amp; INT(R79/20), "")</f>
        <v/>
      </c>
      <c r="AD79" s="11">
        <f>IF(INT(S79/20)&gt;INT(S78/20), "Lần " &amp; INT(S79/20), "")</f>
        <v/>
      </c>
      <c r="AE79" s="11">
        <f>IF(INT(T79/20)&gt;INT(T78/20), "Lần " &amp; INT(T79/20), "")</f>
        <v/>
      </c>
      <c r="AF79" s="11">
        <f>IF(INT(U79/20)&gt;INT(U78/20), "Lần " &amp; INT(U79/20), "")</f>
        <v/>
      </c>
      <c r="AG79" s="11">
        <f>IF(INT(V79/20)&gt;INT(V78/20), "Lần " &amp; INT(V79/20), "")</f>
        <v/>
      </c>
      <c r="AH79" s="11">
        <f>IF(INT(W79/20)&gt;INT(W78/20), "Lần " &amp; INT(W79/20), "")</f>
        <v/>
      </c>
      <c r="AI79" s="11">
        <f>IF(INT(X79/20)&gt;INT(X78/20), "Lần " &amp; INT(X79/20), "")</f>
        <v/>
      </c>
      <c r="AJ79" s="11">
        <f>IF(INT(Y79/20)&gt;INT(Y78/20), "Lần " &amp; INT(Y79/20), "")</f>
        <v/>
      </c>
      <c r="AK79" s="11">
        <f>IF(INT(Z79/20)&gt;INT(Z78/20), "Lần " &amp; INT(Z79/20), "")</f>
        <v/>
      </c>
      <c r="AL79" s="6" t="inlineStr">
        <is>
          <t>ĐẠT TCVN 1651:2018</t>
        </is>
      </c>
    </row>
    <row r="80" ht="19" customHeight="1">
      <c r="A80" s="6" t="n">
        <v>72</v>
      </c>
      <c r="B80" s="7" t="inlineStr">
        <is>
          <t>Cọc khoan nhồi C2 Trụ T1 (D1.2m, L=40.0m)</t>
        </is>
      </c>
      <c r="C80" s="7" t="inlineStr">
        <is>
          <t>Thép đai xoắn lồng cọc</t>
        </is>
      </c>
      <c r="D80" s="18" t="inlineStr">
        <is>
          <t>P12</t>
        </is>
      </c>
      <c r="E80" s="19" t="n">
        <v>20</v>
      </c>
      <c r="F80" s="6" t="inlineStr">
        <is>
          <t>CB400-V</t>
        </is>
      </c>
      <c r="G80" s="7" t="inlineStr">
        <is>
          <t>Đai xoắn tròn</t>
        </is>
      </c>
      <c r="H80" s="20" t="n">
        <v>0.583</v>
      </c>
      <c r="I80" s="21" t="n">
        <v>64</v>
      </c>
      <c r="J80" s="22" t="n">
        <v>2.47</v>
      </c>
      <c r="K80" s="9">
        <f>ROUND(H80*I80*J80, 2)</f>
        <v/>
      </c>
      <c r="L80" s="23">
        <f>ROUND(K80/1000, 3)</f>
        <v/>
      </c>
      <c r="M80" s="8" t="n"/>
      <c r="N80" s="6" t="n"/>
      <c r="O80" s="24">
        <f>IF(AND(E80&lt;=10, F80&lt;&gt;"ASTM A416", INT(P80/20)&gt;INT(P79/20)), "TN Ø10 (Lần " &amp; INT(P80/20) &amp; ")", IF(AND(E80=12, INT(Q80/20)&gt;INT(Q79/20)), "TN Ø12 (Lần " &amp; INT(Q80/20) &amp; ")", IF(AND(E80=14, INT(R80/20)&gt;INT(R79/20)), "TN Ø14 (Lần " &amp; INT(R80/20) &amp; ")", IF(AND(E80=16, INT(S80/20)&gt;INT(S79/20)), "TN Ø16 (Lần " &amp; INT(S80/20) &amp; ")", IF(AND(E80=18, INT(T80/20)&gt;INT(T79/20)), "TN Ø18 (Lần " &amp; INT(T80/20) &amp; ")", IF(AND(E80=20, INT(U80/20)&gt;INT(U79/20)), "TN Ø20 (Lần " &amp; INT(U80/20) &amp; ")", IF(AND(E80=22, INT(V80/20)&gt;INT(V79/20)), "TN Ø22 (Lần " &amp; INT(V80/20) &amp; ")", IF(AND(E80=25, INT(W80/20)&gt;INT(W79/20)), "TN Ø25 (Lần " &amp; INT(W80/20) &amp; ")", IF(AND(E80=28, INT(X80/20)&gt;INT(X79/20)), "TN Ø28 (Lần " &amp; INT(X80/20) &amp; ")", IF(AND(E80=32, INT(Y80/20)&gt;INT(Y79/20)), "TN Ø32 (Lần " &amp; INT(Y80/20) &amp; ")", IF(AND(F80="ASTM A416", INT(Z80/20)&gt;INT(Z79/20)), "TN Cáp 15.2 (Lần " &amp; INT(Z80/20) &amp; ")", "")))))))))))</f>
        <v/>
      </c>
      <c r="P80" s="20">
        <f>ROUND(P79 + IF(AND(E80&lt;=10, F80&lt;&gt;"ASTM A416"), L80, 0), 3)</f>
        <v/>
      </c>
      <c r="Q80" s="20">
        <f>ROUND(Q79 + IF(AND(E80=12, F80&lt;&gt;"ASTM A416"), L80, 0), 3)</f>
        <v/>
      </c>
      <c r="R80" s="20">
        <f>ROUND(R79 + IF(AND(E80=14, F80&lt;&gt;"ASTM A416"), L80, 0), 3)</f>
        <v/>
      </c>
      <c r="S80" s="20">
        <f>ROUND(S79 + IF(AND(E80=16, F80&lt;&gt;"ASTM A416"), L80, 0), 3)</f>
        <v/>
      </c>
      <c r="T80" s="20">
        <f>ROUND(T79 + IF(AND(E80=18, F80&lt;&gt;"ASTM A416"), L80, 0), 3)</f>
        <v/>
      </c>
      <c r="U80" s="20">
        <f>ROUND(U79 + IF(AND(E80=20, F80&lt;&gt;"ASTM A416"), L80, 0), 3)</f>
        <v/>
      </c>
      <c r="V80" s="20">
        <f>ROUND(V79 + IF(AND(E80=22, F80&lt;&gt;"ASTM A416"), L80, 0), 3)</f>
        <v/>
      </c>
      <c r="W80" s="20">
        <f>ROUND(W79 + IF(AND(E80=25, F80&lt;&gt;"ASTM A416"), L80, 0), 3)</f>
        <v/>
      </c>
      <c r="X80" s="20">
        <f>ROUND(X79 + IF(AND(E80=28, F80&lt;&gt;"ASTM A416"), L80, 0), 3)</f>
        <v/>
      </c>
      <c r="Y80" s="20">
        <f>ROUND(Y79 + IF(AND(E80=32, F80&lt;&gt;"ASTM A416"), L80, 0), 3)</f>
        <v/>
      </c>
      <c r="Z80" s="20">
        <f>ROUND(Z79 + IF(F80="ASTM A416", L80, 0), 3)</f>
        <v/>
      </c>
      <c r="AA80" s="11">
        <f>IF(INT(P80/20)&gt;INT(P79/20), "Lần " &amp; INT(P80/20), "")</f>
        <v/>
      </c>
      <c r="AB80" s="11">
        <f>IF(INT(Q80/20)&gt;INT(Q79/20), "Lần " &amp; INT(Q80/20), "")</f>
        <v/>
      </c>
      <c r="AC80" s="11">
        <f>IF(INT(R80/20)&gt;INT(R79/20), "Lần " &amp; INT(R80/20), "")</f>
        <v/>
      </c>
      <c r="AD80" s="11">
        <f>IF(INT(S80/20)&gt;INT(S79/20), "Lần " &amp; INT(S80/20), "")</f>
        <v/>
      </c>
      <c r="AE80" s="11">
        <f>IF(INT(T80/20)&gt;INT(T79/20), "Lần " &amp; INT(T80/20), "")</f>
        <v/>
      </c>
      <c r="AF80" s="11">
        <f>IF(INT(U80/20)&gt;INT(U79/20), "Lần " &amp; INT(U80/20), "")</f>
        <v/>
      </c>
      <c r="AG80" s="11">
        <f>IF(INT(V80/20)&gt;INT(V79/20), "Lần " &amp; INT(V80/20), "")</f>
        <v/>
      </c>
      <c r="AH80" s="11">
        <f>IF(INT(W80/20)&gt;INT(W79/20), "Lần " &amp; INT(W80/20), "")</f>
        <v/>
      </c>
      <c r="AI80" s="11">
        <f>IF(INT(X80/20)&gt;INT(X79/20), "Lần " &amp; INT(X80/20), "")</f>
        <v/>
      </c>
      <c r="AJ80" s="11">
        <f>IF(INT(Y80/20)&gt;INT(Y79/20), "Lần " &amp; INT(Y80/20), "")</f>
        <v/>
      </c>
      <c r="AK80" s="11">
        <f>IF(INT(Z80/20)&gt;INT(Z79/20), "Lần " &amp; INT(Z80/20), "")</f>
        <v/>
      </c>
      <c r="AL80" s="6" t="inlineStr">
        <is>
          <t>ĐẠT TCVN 1651:2018</t>
        </is>
      </c>
    </row>
    <row r="81" ht="20" customHeight="1">
      <c r="A81" s="17" t="inlineStr">
        <is>
          <t>--- CỌC KHOAN NHỒI C3 TRỤ T1 (D1.2M, L=40.0M) ---</t>
        </is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</row>
    <row r="82" ht="19" customHeight="1">
      <c r="A82" s="6" t="n">
        <v>73</v>
      </c>
      <c r="B82" s="7" t="inlineStr">
        <is>
          <t>Cọc khoan nhồi C3 Trụ T1 (D1.2m, L=40.0m)</t>
        </is>
      </c>
      <c r="C82" s="7" t="inlineStr">
        <is>
          <t>Thép đai xoắn lồng cọc</t>
        </is>
      </c>
      <c r="D82" s="18" t="inlineStr">
        <is>
          <t>P1</t>
        </is>
      </c>
      <c r="E82" s="19" t="n">
        <v>10</v>
      </c>
      <c r="F82" s="6" t="inlineStr">
        <is>
          <t>CB240-T</t>
        </is>
      </c>
      <c r="G82" s="7" t="inlineStr">
        <is>
          <t>Đai xoắn tròn</t>
        </is>
      </c>
      <c r="H82" s="20" t="n">
        <v>96.604</v>
      </c>
      <c r="I82" s="21" t="n">
        <v>1</v>
      </c>
      <c r="J82" s="22" t="n">
        <v>0.617</v>
      </c>
      <c r="K82" s="9">
        <f>ROUND(H82*I82*J82, 2)</f>
        <v/>
      </c>
      <c r="L82" s="23">
        <f>ROUND(K82/1000, 3)</f>
        <v/>
      </c>
      <c r="M82" s="8" t="n"/>
      <c r="N82" s="6" t="n"/>
      <c r="O82" s="24">
        <f>IF(AND(E82&lt;=10, F82&lt;&gt;"ASTM A416", INT(P82/20)&gt;INT(P80/20)), "TN Ø10 (Lần " &amp; INT(P82/20) &amp; ")", IF(AND(E82=12, INT(Q82/20)&gt;INT(Q80/20)), "TN Ø12 (Lần " &amp; INT(Q82/20) &amp; ")", IF(AND(E82=14, INT(R82/20)&gt;INT(R80/20)), "TN Ø14 (Lần " &amp; INT(R82/20) &amp; ")", IF(AND(E82=16, INT(S82/20)&gt;INT(S80/20)), "TN Ø16 (Lần " &amp; INT(S82/20) &amp; ")", IF(AND(E82=18, INT(T82/20)&gt;INT(T80/20)), "TN Ø18 (Lần " &amp; INT(T82/20) &amp; ")", IF(AND(E82=20, INT(U82/20)&gt;INT(U80/20)), "TN Ø20 (Lần " &amp; INT(U82/20) &amp; ")", IF(AND(E82=22, INT(V82/20)&gt;INT(V80/20)), "TN Ø22 (Lần " &amp; INT(V82/20) &amp; ")", IF(AND(E82=25, INT(W82/20)&gt;INT(W80/20)), "TN Ø25 (Lần " &amp; INT(W82/20) &amp; ")", IF(AND(E82=28, INT(X82/20)&gt;INT(X80/20)), "TN Ø28 (Lần " &amp; INT(X82/20) &amp; ")", IF(AND(E82=32, INT(Y82/20)&gt;INT(Y80/20)), "TN Ø32 (Lần " &amp; INT(Y82/20) &amp; ")", IF(AND(F82="ASTM A416", INT(Z82/20)&gt;INT(Z80/20)), "TN Cáp 15.2 (Lần " &amp; INT(Z82/20) &amp; ")", "")))))))))))</f>
        <v/>
      </c>
      <c r="P82" s="20">
        <f>ROUND(P80 + IF(AND(E82&lt;=10, F82&lt;&gt;"ASTM A416"), L82, 0), 3)</f>
        <v/>
      </c>
      <c r="Q82" s="20">
        <f>ROUND(Q80 + IF(AND(E82=12, F82&lt;&gt;"ASTM A416"), L82, 0), 3)</f>
        <v/>
      </c>
      <c r="R82" s="20">
        <f>ROUND(R80 + IF(AND(E82=14, F82&lt;&gt;"ASTM A416"), L82, 0), 3)</f>
        <v/>
      </c>
      <c r="S82" s="20">
        <f>ROUND(S80 + IF(AND(E82=16, F82&lt;&gt;"ASTM A416"), L82, 0), 3)</f>
        <v/>
      </c>
      <c r="T82" s="20">
        <f>ROUND(T80 + IF(AND(E82=18, F82&lt;&gt;"ASTM A416"), L82, 0), 3)</f>
        <v/>
      </c>
      <c r="U82" s="20">
        <f>ROUND(U80 + IF(AND(E82=20, F82&lt;&gt;"ASTM A416"), L82, 0), 3)</f>
        <v/>
      </c>
      <c r="V82" s="20">
        <f>ROUND(V80 + IF(AND(E82=22, F82&lt;&gt;"ASTM A416"), L82, 0), 3)</f>
        <v/>
      </c>
      <c r="W82" s="20">
        <f>ROUND(W80 + IF(AND(E82=25, F82&lt;&gt;"ASTM A416"), L82, 0), 3)</f>
        <v/>
      </c>
      <c r="X82" s="20">
        <f>ROUND(X80 + IF(AND(E82=28, F82&lt;&gt;"ASTM A416"), L82, 0), 3)</f>
        <v/>
      </c>
      <c r="Y82" s="20">
        <f>ROUND(Y80 + IF(AND(E82=32, F82&lt;&gt;"ASTM A416"), L82, 0), 3)</f>
        <v/>
      </c>
      <c r="Z82" s="20">
        <f>ROUND(Z80 + IF(F82="ASTM A416", L82, 0), 3)</f>
        <v/>
      </c>
      <c r="AA82" s="11">
        <f>IF(INT(P82/20)&gt;INT(P80/20), "Lần " &amp; INT(P82/20), "")</f>
        <v/>
      </c>
      <c r="AB82" s="11">
        <f>IF(INT(Q82/20)&gt;INT(Q80/20), "Lần " &amp; INT(Q82/20), "")</f>
        <v/>
      </c>
      <c r="AC82" s="11">
        <f>IF(INT(R82/20)&gt;INT(R80/20), "Lần " &amp; INT(R82/20), "")</f>
        <v/>
      </c>
      <c r="AD82" s="11">
        <f>IF(INT(S82/20)&gt;INT(S80/20), "Lần " &amp; INT(S82/20), "")</f>
        <v/>
      </c>
      <c r="AE82" s="11">
        <f>IF(INT(T82/20)&gt;INT(T80/20), "Lần " &amp; INT(T82/20), "")</f>
        <v/>
      </c>
      <c r="AF82" s="11">
        <f>IF(INT(U82/20)&gt;INT(U80/20), "Lần " &amp; INT(U82/20), "")</f>
        <v/>
      </c>
      <c r="AG82" s="11">
        <f>IF(INT(V82/20)&gt;INT(V80/20), "Lần " &amp; INT(V82/20), "")</f>
        <v/>
      </c>
      <c r="AH82" s="11">
        <f>IF(INT(W82/20)&gt;INT(W80/20), "Lần " &amp; INT(W82/20), "")</f>
        <v/>
      </c>
      <c r="AI82" s="11">
        <f>IF(INT(X82/20)&gt;INT(X80/20), "Lần " &amp; INT(X82/20), "")</f>
        <v/>
      </c>
      <c r="AJ82" s="11">
        <f>IF(INT(Y82/20)&gt;INT(Y80/20), "Lần " &amp; INT(Y82/20), "")</f>
        <v/>
      </c>
      <c r="AK82" s="11">
        <f>IF(INT(Z82/20)&gt;INT(Z80/20), "Lần " &amp; INT(Z82/20), "")</f>
        <v/>
      </c>
      <c r="AL82" s="6" t="inlineStr">
        <is>
          <t>ĐẠT TCVN 1651:2018</t>
        </is>
      </c>
    </row>
    <row r="83" ht="19" customHeight="1">
      <c r="A83" s="6" t="n">
        <v>74</v>
      </c>
      <c r="B83" s="7" t="inlineStr">
        <is>
          <t>Cọc khoan nhồi C3 Trụ T1 (D1.2m, L=40.0m)</t>
        </is>
      </c>
      <c r="C83" s="7" t="inlineStr">
        <is>
          <t>Thép đai xoắn lồng cọc</t>
        </is>
      </c>
      <c r="D83" s="18" t="inlineStr">
        <is>
          <t>P1A</t>
        </is>
      </c>
      <c r="E83" s="19" t="n">
        <v>10</v>
      </c>
      <c r="F83" s="6" t="inlineStr">
        <is>
          <t>CB240-T</t>
        </is>
      </c>
      <c r="G83" s="7" t="inlineStr">
        <is>
          <t>Đai xoắn tròn</t>
        </is>
      </c>
      <c r="H83" s="20" t="n">
        <v>389.636</v>
      </c>
      <c r="I83" s="21" t="n">
        <v>1</v>
      </c>
      <c r="J83" s="22" t="n">
        <v>0.617</v>
      </c>
      <c r="K83" s="9">
        <f>ROUND(H83*I83*J83, 2)</f>
        <v/>
      </c>
      <c r="L83" s="23">
        <f>ROUND(K83/1000, 3)</f>
        <v/>
      </c>
      <c r="M83" s="8" t="n"/>
      <c r="N83" s="6" t="n"/>
      <c r="O83" s="24">
        <f>IF(AND(E83&lt;=10, F83&lt;&gt;"ASTM A416", INT(P83/20)&gt;INT(P82/20)), "TN Ø10 (Lần " &amp; INT(P83/20) &amp; ")", IF(AND(E83=12, INT(Q83/20)&gt;INT(Q82/20)), "TN Ø12 (Lần " &amp; INT(Q83/20) &amp; ")", IF(AND(E83=14, INT(R83/20)&gt;INT(R82/20)), "TN Ø14 (Lần " &amp; INT(R83/20) &amp; ")", IF(AND(E83=16, INT(S83/20)&gt;INT(S82/20)), "TN Ø16 (Lần " &amp; INT(S83/20) &amp; ")", IF(AND(E83=18, INT(T83/20)&gt;INT(T82/20)), "TN Ø18 (Lần " &amp; INT(T83/20) &amp; ")", IF(AND(E83=20, INT(U83/20)&gt;INT(U82/20)), "TN Ø20 (Lần " &amp; INT(U83/20) &amp; ")", IF(AND(E83=22, INT(V83/20)&gt;INT(V82/20)), "TN Ø22 (Lần " &amp; INT(V83/20) &amp; ")", IF(AND(E83=25, INT(W83/20)&gt;INT(W82/20)), "TN Ø25 (Lần " &amp; INT(W83/20) &amp; ")", IF(AND(E83=28, INT(X83/20)&gt;INT(X82/20)), "TN Ø28 (Lần " &amp; INT(X83/20) &amp; ")", IF(AND(E83=32, INT(Y83/20)&gt;INT(Y82/20)), "TN Ø32 (Lần " &amp; INT(Y83/20) &amp; ")", IF(AND(F83="ASTM A416", INT(Z83/20)&gt;INT(Z82/20)), "TN Cáp 15.2 (Lần " &amp; INT(Z83/20) &amp; ")", "")))))))))))</f>
        <v/>
      </c>
      <c r="P83" s="20">
        <f>ROUND(P82 + IF(AND(E83&lt;=10, F83&lt;&gt;"ASTM A416"), L83, 0), 3)</f>
        <v/>
      </c>
      <c r="Q83" s="20">
        <f>ROUND(Q82 + IF(AND(E83=12, F83&lt;&gt;"ASTM A416"), L83, 0), 3)</f>
        <v/>
      </c>
      <c r="R83" s="20">
        <f>ROUND(R82 + IF(AND(E83=14, F83&lt;&gt;"ASTM A416"), L83, 0), 3)</f>
        <v/>
      </c>
      <c r="S83" s="20">
        <f>ROUND(S82 + IF(AND(E83=16, F83&lt;&gt;"ASTM A416"), L83, 0), 3)</f>
        <v/>
      </c>
      <c r="T83" s="20">
        <f>ROUND(T82 + IF(AND(E83=18, F83&lt;&gt;"ASTM A416"), L83, 0), 3)</f>
        <v/>
      </c>
      <c r="U83" s="20">
        <f>ROUND(U82 + IF(AND(E83=20, F83&lt;&gt;"ASTM A416"), L83, 0), 3)</f>
        <v/>
      </c>
      <c r="V83" s="20">
        <f>ROUND(V82 + IF(AND(E83=22, F83&lt;&gt;"ASTM A416"), L83, 0), 3)</f>
        <v/>
      </c>
      <c r="W83" s="20">
        <f>ROUND(W82 + IF(AND(E83=25, F83&lt;&gt;"ASTM A416"), L83, 0), 3)</f>
        <v/>
      </c>
      <c r="X83" s="20">
        <f>ROUND(X82 + IF(AND(E83=28, F83&lt;&gt;"ASTM A416"), L83, 0), 3)</f>
        <v/>
      </c>
      <c r="Y83" s="20">
        <f>ROUND(Y82 + IF(AND(E83=32, F83&lt;&gt;"ASTM A416"), L83, 0), 3)</f>
        <v/>
      </c>
      <c r="Z83" s="20">
        <f>ROUND(Z82 + IF(F83="ASTM A416", L83, 0), 3)</f>
        <v/>
      </c>
      <c r="AA83" s="11">
        <f>IF(INT(P83/20)&gt;INT(P82/20), "Lần " &amp; INT(P83/20), "")</f>
        <v/>
      </c>
      <c r="AB83" s="11">
        <f>IF(INT(Q83/20)&gt;INT(Q82/20), "Lần " &amp; INT(Q83/20), "")</f>
        <v/>
      </c>
      <c r="AC83" s="11">
        <f>IF(INT(R83/20)&gt;INT(R82/20), "Lần " &amp; INT(R83/20), "")</f>
        <v/>
      </c>
      <c r="AD83" s="11">
        <f>IF(INT(S83/20)&gt;INT(S82/20), "Lần " &amp; INT(S83/20), "")</f>
        <v/>
      </c>
      <c r="AE83" s="11">
        <f>IF(INT(T83/20)&gt;INT(T82/20), "Lần " &amp; INT(T83/20), "")</f>
        <v/>
      </c>
      <c r="AF83" s="11">
        <f>IF(INT(U83/20)&gt;INT(U82/20), "Lần " &amp; INT(U83/20), "")</f>
        <v/>
      </c>
      <c r="AG83" s="11">
        <f>IF(INT(V83/20)&gt;INT(V82/20), "Lần " &amp; INT(V83/20), "")</f>
        <v/>
      </c>
      <c r="AH83" s="11">
        <f>IF(INT(W83/20)&gt;INT(W82/20), "Lần " &amp; INT(W83/20), "")</f>
        <v/>
      </c>
      <c r="AI83" s="11">
        <f>IF(INT(X83/20)&gt;INT(X82/20), "Lần " &amp; INT(X83/20), "")</f>
        <v/>
      </c>
      <c r="AJ83" s="11">
        <f>IF(INT(Y83/20)&gt;INT(Y82/20), "Lần " &amp; INT(Y83/20), "")</f>
        <v/>
      </c>
      <c r="AK83" s="11">
        <f>IF(INT(Z83/20)&gt;INT(Z82/20), "Lần " &amp; INT(Z83/20), "")</f>
        <v/>
      </c>
      <c r="AL83" s="6" t="inlineStr">
        <is>
          <t>ĐẠT TCVN 1651:2018</t>
        </is>
      </c>
    </row>
    <row r="84" ht="19" customHeight="1">
      <c r="A84" s="6" t="n">
        <v>75</v>
      </c>
      <c r="B84" s="7" t="inlineStr">
        <is>
          <t>Cọc khoan nhồi C3 Trụ T1 (D1.2m, L=40.0m)</t>
        </is>
      </c>
      <c r="C84" s="7" t="inlineStr">
        <is>
          <t>Thép đai xoắn lồng cọc</t>
        </is>
      </c>
      <c r="D84" s="18" t="inlineStr">
        <is>
          <t>P1B</t>
        </is>
      </c>
      <c r="E84" s="19" t="n">
        <v>10</v>
      </c>
      <c r="F84" s="6" t="inlineStr">
        <is>
          <t>CB240-T</t>
        </is>
      </c>
      <c r="G84" s="7" t="inlineStr">
        <is>
          <t>Đai xoắn tròn</t>
        </is>
      </c>
      <c r="H84" s="20" t="n">
        <v>206.981</v>
      </c>
      <c r="I84" s="21" t="n">
        <v>1</v>
      </c>
      <c r="J84" s="22" t="n">
        <v>0.617</v>
      </c>
      <c r="K84" s="9">
        <f>ROUND(H84*I84*J84, 2)</f>
        <v/>
      </c>
      <c r="L84" s="23">
        <f>ROUND(K84/1000, 3)</f>
        <v/>
      </c>
      <c r="M84" s="8" t="n"/>
      <c r="N84" s="6" t="n"/>
      <c r="O84" s="24">
        <f>IF(AND(E84&lt;=10, F84&lt;&gt;"ASTM A416", INT(P84/20)&gt;INT(P83/20)), "TN Ø10 (Lần " &amp; INT(P84/20) &amp; ")", IF(AND(E84=12, INT(Q84/20)&gt;INT(Q83/20)), "TN Ø12 (Lần " &amp; INT(Q84/20) &amp; ")", IF(AND(E84=14, INT(R84/20)&gt;INT(R83/20)), "TN Ø14 (Lần " &amp; INT(R84/20) &amp; ")", IF(AND(E84=16, INT(S84/20)&gt;INT(S83/20)), "TN Ø16 (Lần " &amp; INT(S84/20) &amp; ")", IF(AND(E84=18, INT(T84/20)&gt;INT(T83/20)), "TN Ø18 (Lần " &amp; INT(T84/20) &amp; ")", IF(AND(E84=20, INT(U84/20)&gt;INT(U83/20)), "TN Ø20 (Lần " &amp; INT(U84/20) &amp; ")", IF(AND(E84=22, INT(V84/20)&gt;INT(V83/20)), "TN Ø22 (Lần " &amp; INT(V84/20) &amp; ")", IF(AND(E84=25, INT(W84/20)&gt;INT(W83/20)), "TN Ø25 (Lần " &amp; INT(W84/20) &amp; ")", IF(AND(E84=28, INT(X84/20)&gt;INT(X83/20)), "TN Ø28 (Lần " &amp; INT(X84/20) &amp; ")", IF(AND(E84=32, INT(Y84/20)&gt;INT(Y83/20)), "TN Ø32 (Lần " &amp; INT(Y84/20) &amp; ")", IF(AND(F84="ASTM A416", INT(Z84/20)&gt;INT(Z83/20)), "TN Cáp 15.2 (Lần " &amp; INT(Z84/20) &amp; ")", "")))))))))))</f>
        <v/>
      </c>
      <c r="P84" s="20">
        <f>ROUND(P83 + IF(AND(E84&lt;=10, F84&lt;&gt;"ASTM A416"), L84, 0), 3)</f>
        <v/>
      </c>
      <c r="Q84" s="20">
        <f>ROUND(Q83 + IF(AND(E84=12, F84&lt;&gt;"ASTM A416"), L84, 0), 3)</f>
        <v/>
      </c>
      <c r="R84" s="20">
        <f>ROUND(R83 + IF(AND(E84=14, F84&lt;&gt;"ASTM A416"), L84, 0), 3)</f>
        <v/>
      </c>
      <c r="S84" s="20">
        <f>ROUND(S83 + IF(AND(E84=16, F84&lt;&gt;"ASTM A416"), L84, 0), 3)</f>
        <v/>
      </c>
      <c r="T84" s="20">
        <f>ROUND(T83 + IF(AND(E84=18, F84&lt;&gt;"ASTM A416"), L84, 0), 3)</f>
        <v/>
      </c>
      <c r="U84" s="20">
        <f>ROUND(U83 + IF(AND(E84=20, F84&lt;&gt;"ASTM A416"), L84, 0), 3)</f>
        <v/>
      </c>
      <c r="V84" s="20">
        <f>ROUND(V83 + IF(AND(E84=22, F84&lt;&gt;"ASTM A416"), L84, 0), 3)</f>
        <v/>
      </c>
      <c r="W84" s="20">
        <f>ROUND(W83 + IF(AND(E84=25, F84&lt;&gt;"ASTM A416"), L84, 0), 3)</f>
        <v/>
      </c>
      <c r="X84" s="20">
        <f>ROUND(X83 + IF(AND(E84=28, F84&lt;&gt;"ASTM A416"), L84, 0), 3)</f>
        <v/>
      </c>
      <c r="Y84" s="20">
        <f>ROUND(Y83 + IF(AND(E84=32, F84&lt;&gt;"ASTM A416"), L84, 0), 3)</f>
        <v/>
      </c>
      <c r="Z84" s="20">
        <f>ROUND(Z83 + IF(F84="ASTM A416", L84, 0), 3)</f>
        <v/>
      </c>
      <c r="AA84" s="11">
        <f>IF(INT(P84/20)&gt;INT(P83/20), "Lần " &amp; INT(P84/20), "")</f>
        <v/>
      </c>
      <c r="AB84" s="11">
        <f>IF(INT(Q84/20)&gt;INT(Q83/20), "Lần " &amp; INT(Q84/20), "")</f>
        <v/>
      </c>
      <c r="AC84" s="11">
        <f>IF(INT(R84/20)&gt;INT(R83/20), "Lần " &amp; INT(R84/20), "")</f>
        <v/>
      </c>
      <c r="AD84" s="11">
        <f>IF(INT(S84/20)&gt;INT(S83/20), "Lần " &amp; INT(S84/20), "")</f>
        <v/>
      </c>
      <c r="AE84" s="11">
        <f>IF(INT(T84/20)&gt;INT(T83/20), "Lần " &amp; INT(T84/20), "")</f>
        <v/>
      </c>
      <c r="AF84" s="11">
        <f>IF(INT(U84/20)&gt;INT(U83/20), "Lần " &amp; INT(U84/20), "")</f>
        <v/>
      </c>
      <c r="AG84" s="11">
        <f>IF(INT(V84/20)&gt;INT(V83/20), "Lần " &amp; INT(V84/20), "")</f>
        <v/>
      </c>
      <c r="AH84" s="11">
        <f>IF(INT(W84/20)&gt;INT(W83/20), "Lần " &amp; INT(W84/20), "")</f>
        <v/>
      </c>
      <c r="AI84" s="11">
        <f>IF(INT(X84/20)&gt;INT(X83/20), "Lần " &amp; INT(X84/20), "")</f>
        <v/>
      </c>
      <c r="AJ84" s="11">
        <f>IF(INT(Y84/20)&gt;INT(Y83/20), "Lần " &amp; INT(Y84/20), "")</f>
        <v/>
      </c>
      <c r="AK84" s="11">
        <f>IF(INT(Z84/20)&gt;INT(Z83/20), "Lần " &amp; INT(Z84/20), "")</f>
        <v/>
      </c>
      <c r="AL84" s="6" t="inlineStr">
        <is>
          <t>ĐẠT TCVN 1651:2018</t>
        </is>
      </c>
    </row>
    <row r="85" ht="19" customHeight="1">
      <c r="A85" s="6" t="n">
        <v>76</v>
      </c>
      <c r="B85" s="7" t="inlineStr">
        <is>
          <t>Cọc khoan nhồi C3 Trụ T1 (D1.2m, L=40.0m)</t>
        </is>
      </c>
      <c r="C85" s="7" t="inlineStr">
        <is>
          <t>Thép đai xoắn lồng cọc</t>
        </is>
      </c>
      <c r="D85" s="18" t="inlineStr">
        <is>
          <t>P1C</t>
        </is>
      </c>
      <c r="E85" s="19" t="n">
        <v>10</v>
      </c>
      <c r="F85" s="6" t="inlineStr">
        <is>
          <t>CB240-T</t>
        </is>
      </c>
      <c r="G85" s="7" t="inlineStr">
        <is>
          <t>Đai xoắn tròn</t>
        </is>
      </c>
      <c r="H85" s="20" t="n">
        <v>3.592</v>
      </c>
      <c r="I85" s="21" t="n">
        <v>2</v>
      </c>
      <c r="J85" s="22" t="n">
        <v>0.617</v>
      </c>
      <c r="K85" s="9">
        <f>ROUND(H85*I85*J85, 2)</f>
        <v/>
      </c>
      <c r="L85" s="23">
        <f>ROUND(K85/1000, 3)</f>
        <v/>
      </c>
      <c r="M85" s="8" t="n"/>
      <c r="N85" s="6" t="n"/>
      <c r="O85" s="24">
        <f>IF(AND(E85&lt;=10, F85&lt;&gt;"ASTM A416", INT(P85/20)&gt;INT(P84/20)), "TN Ø10 (Lần " &amp; INT(P85/20) &amp; ")", IF(AND(E85=12, INT(Q85/20)&gt;INT(Q84/20)), "TN Ø12 (Lần " &amp; INT(Q85/20) &amp; ")", IF(AND(E85=14, INT(R85/20)&gt;INT(R84/20)), "TN Ø14 (Lần " &amp; INT(R85/20) &amp; ")", IF(AND(E85=16, INT(S85/20)&gt;INT(S84/20)), "TN Ø16 (Lần " &amp; INT(S85/20) &amp; ")", IF(AND(E85=18, INT(T85/20)&gt;INT(T84/20)), "TN Ø18 (Lần " &amp; INT(T85/20) &amp; ")", IF(AND(E85=20, INT(U85/20)&gt;INT(U84/20)), "TN Ø20 (Lần " &amp; INT(U85/20) &amp; ")", IF(AND(E85=22, INT(V85/20)&gt;INT(V84/20)), "TN Ø22 (Lần " &amp; INT(V85/20) &amp; ")", IF(AND(E85=25, INT(W85/20)&gt;INT(W84/20)), "TN Ø25 (Lần " &amp; INT(W85/20) &amp; ")", IF(AND(E85=28, INT(X85/20)&gt;INT(X84/20)), "TN Ø28 (Lần " &amp; INT(X85/20) &amp; ")", IF(AND(E85=32, INT(Y85/20)&gt;INT(Y84/20)), "TN Ø32 (Lần " &amp; INT(Y85/20) &amp; ")", IF(AND(F85="ASTM A416", INT(Z85/20)&gt;INT(Z84/20)), "TN Cáp 15.2 (Lần " &amp; INT(Z85/20) &amp; ")", "")))))))))))</f>
        <v/>
      </c>
      <c r="P85" s="20">
        <f>ROUND(P84 + IF(AND(E85&lt;=10, F85&lt;&gt;"ASTM A416"), L85, 0), 3)</f>
        <v/>
      </c>
      <c r="Q85" s="20">
        <f>ROUND(Q84 + IF(AND(E85=12, F85&lt;&gt;"ASTM A416"), L85, 0), 3)</f>
        <v/>
      </c>
      <c r="R85" s="20">
        <f>ROUND(R84 + IF(AND(E85=14, F85&lt;&gt;"ASTM A416"), L85, 0), 3)</f>
        <v/>
      </c>
      <c r="S85" s="20">
        <f>ROUND(S84 + IF(AND(E85=16, F85&lt;&gt;"ASTM A416"), L85, 0), 3)</f>
        <v/>
      </c>
      <c r="T85" s="20">
        <f>ROUND(T84 + IF(AND(E85=18, F85&lt;&gt;"ASTM A416"), L85, 0), 3)</f>
        <v/>
      </c>
      <c r="U85" s="20">
        <f>ROUND(U84 + IF(AND(E85=20, F85&lt;&gt;"ASTM A416"), L85, 0), 3)</f>
        <v/>
      </c>
      <c r="V85" s="20">
        <f>ROUND(V84 + IF(AND(E85=22, F85&lt;&gt;"ASTM A416"), L85, 0), 3)</f>
        <v/>
      </c>
      <c r="W85" s="20">
        <f>ROUND(W84 + IF(AND(E85=25, F85&lt;&gt;"ASTM A416"), L85, 0), 3)</f>
        <v/>
      </c>
      <c r="X85" s="20">
        <f>ROUND(X84 + IF(AND(E85=28, F85&lt;&gt;"ASTM A416"), L85, 0), 3)</f>
        <v/>
      </c>
      <c r="Y85" s="20">
        <f>ROUND(Y84 + IF(AND(E85=32, F85&lt;&gt;"ASTM A416"), L85, 0), 3)</f>
        <v/>
      </c>
      <c r="Z85" s="20">
        <f>ROUND(Z84 + IF(F85="ASTM A416", L85, 0), 3)</f>
        <v/>
      </c>
      <c r="AA85" s="11">
        <f>IF(INT(P85/20)&gt;INT(P84/20), "Lần " &amp; INT(P85/20), "")</f>
        <v/>
      </c>
      <c r="AB85" s="11">
        <f>IF(INT(Q85/20)&gt;INT(Q84/20), "Lần " &amp; INT(Q85/20), "")</f>
        <v/>
      </c>
      <c r="AC85" s="11">
        <f>IF(INT(R85/20)&gt;INT(R84/20), "Lần " &amp; INT(R85/20), "")</f>
        <v/>
      </c>
      <c r="AD85" s="11">
        <f>IF(INT(S85/20)&gt;INT(S84/20), "Lần " &amp; INT(S85/20), "")</f>
        <v/>
      </c>
      <c r="AE85" s="11">
        <f>IF(INT(T85/20)&gt;INT(T84/20), "Lần " &amp; INT(T85/20), "")</f>
        <v/>
      </c>
      <c r="AF85" s="11">
        <f>IF(INT(U85/20)&gt;INT(U84/20), "Lần " &amp; INT(U85/20), "")</f>
        <v/>
      </c>
      <c r="AG85" s="11">
        <f>IF(INT(V85/20)&gt;INT(V84/20), "Lần " &amp; INT(V85/20), "")</f>
        <v/>
      </c>
      <c r="AH85" s="11">
        <f>IF(INT(W85/20)&gt;INT(W84/20), "Lần " &amp; INT(W85/20), "")</f>
        <v/>
      </c>
      <c r="AI85" s="11">
        <f>IF(INT(X85/20)&gt;INT(X84/20), "Lần " &amp; INT(X85/20), "")</f>
        <v/>
      </c>
      <c r="AJ85" s="11">
        <f>IF(INT(Y85/20)&gt;INT(Y84/20), "Lần " &amp; INT(Y85/20), "")</f>
        <v/>
      </c>
      <c r="AK85" s="11">
        <f>IF(INT(Z85/20)&gt;INT(Z84/20), "Lần " &amp; INT(Z85/20), "")</f>
        <v/>
      </c>
      <c r="AL85" s="6" t="inlineStr">
        <is>
          <t>ĐẠT TCVN 1651:2018</t>
        </is>
      </c>
    </row>
    <row r="86" ht="19" customHeight="1">
      <c r="A86" s="6" t="n">
        <v>77</v>
      </c>
      <c r="B86" s="7" t="inlineStr">
        <is>
          <t>Cọc khoan nhồi C3 Trụ T1 (D1.2m, L=40.0m)</t>
        </is>
      </c>
      <c r="C86" s="7" t="inlineStr">
        <is>
          <t>Thép đai xoắn lồng cọc</t>
        </is>
      </c>
      <c r="D86" s="18" t="inlineStr">
        <is>
          <t>P1D</t>
        </is>
      </c>
      <c r="E86" s="19" t="n">
        <v>10</v>
      </c>
      <c r="F86" s="6" t="inlineStr">
        <is>
          <t>CB240-T</t>
        </is>
      </c>
      <c r="G86" s="7" t="inlineStr">
        <is>
          <t>Đai xoắn tròn</t>
        </is>
      </c>
      <c r="H86" s="20" t="n">
        <v>19.721</v>
      </c>
      <c r="I86" s="21" t="n">
        <v>1</v>
      </c>
      <c r="J86" s="22" t="n">
        <v>0.617</v>
      </c>
      <c r="K86" s="9">
        <f>ROUND(H86*I86*J86, 2)</f>
        <v/>
      </c>
      <c r="L86" s="23">
        <f>ROUND(K86/1000, 3)</f>
        <v/>
      </c>
      <c r="M86" s="8" t="n"/>
      <c r="N86" s="6" t="n"/>
      <c r="O86" s="24">
        <f>IF(AND(E86&lt;=10, F86&lt;&gt;"ASTM A416", INT(P86/20)&gt;INT(P85/20)), "TN Ø10 (Lần " &amp; INT(P86/20) &amp; ")", IF(AND(E86=12, INT(Q86/20)&gt;INT(Q85/20)), "TN Ø12 (Lần " &amp; INT(Q86/20) &amp; ")", IF(AND(E86=14, INT(R86/20)&gt;INT(R85/20)), "TN Ø14 (Lần " &amp; INT(R86/20) &amp; ")", IF(AND(E86=16, INT(S86/20)&gt;INT(S85/20)), "TN Ø16 (Lần " &amp; INT(S86/20) &amp; ")", IF(AND(E86=18, INT(T86/20)&gt;INT(T85/20)), "TN Ø18 (Lần " &amp; INT(T86/20) &amp; ")", IF(AND(E86=20, INT(U86/20)&gt;INT(U85/20)), "TN Ø20 (Lần " &amp; INT(U86/20) &amp; ")", IF(AND(E86=22, INT(V86/20)&gt;INT(V85/20)), "TN Ø22 (Lần " &amp; INT(V86/20) &amp; ")", IF(AND(E86=25, INT(W86/20)&gt;INT(W85/20)), "TN Ø25 (Lần " &amp; INT(W86/20) &amp; ")", IF(AND(E86=28, INT(X86/20)&gt;INT(X85/20)), "TN Ø28 (Lần " &amp; INT(X86/20) &amp; ")", IF(AND(E86=32, INT(Y86/20)&gt;INT(Y85/20)), "TN Ø32 (Lần " &amp; INT(Y86/20) &amp; ")", IF(AND(F86="ASTM A416", INT(Z86/20)&gt;INT(Z85/20)), "TN Cáp 15.2 (Lần " &amp; INT(Z86/20) &amp; ")", "")))))))))))</f>
        <v/>
      </c>
      <c r="P86" s="20">
        <f>ROUND(P85 + IF(AND(E86&lt;=10, F86&lt;&gt;"ASTM A416"), L86, 0), 3)</f>
        <v/>
      </c>
      <c r="Q86" s="20">
        <f>ROUND(Q85 + IF(AND(E86=12, F86&lt;&gt;"ASTM A416"), L86, 0), 3)</f>
        <v/>
      </c>
      <c r="R86" s="20">
        <f>ROUND(R85 + IF(AND(E86=14, F86&lt;&gt;"ASTM A416"), L86, 0), 3)</f>
        <v/>
      </c>
      <c r="S86" s="20">
        <f>ROUND(S85 + IF(AND(E86=16, F86&lt;&gt;"ASTM A416"), L86, 0), 3)</f>
        <v/>
      </c>
      <c r="T86" s="20">
        <f>ROUND(T85 + IF(AND(E86=18, F86&lt;&gt;"ASTM A416"), L86, 0), 3)</f>
        <v/>
      </c>
      <c r="U86" s="20">
        <f>ROUND(U85 + IF(AND(E86=20, F86&lt;&gt;"ASTM A416"), L86, 0), 3)</f>
        <v/>
      </c>
      <c r="V86" s="20">
        <f>ROUND(V85 + IF(AND(E86=22, F86&lt;&gt;"ASTM A416"), L86, 0), 3)</f>
        <v/>
      </c>
      <c r="W86" s="20">
        <f>ROUND(W85 + IF(AND(E86=25, F86&lt;&gt;"ASTM A416"), L86, 0), 3)</f>
        <v/>
      </c>
      <c r="X86" s="20">
        <f>ROUND(X85 + IF(AND(E86=28, F86&lt;&gt;"ASTM A416"), L86, 0), 3)</f>
        <v/>
      </c>
      <c r="Y86" s="20">
        <f>ROUND(Y85 + IF(AND(E86=32, F86&lt;&gt;"ASTM A416"), L86, 0), 3)</f>
        <v/>
      </c>
      <c r="Z86" s="20">
        <f>ROUND(Z85 + IF(F86="ASTM A416", L86, 0), 3)</f>
        <v/>
      </c>
      <c r="AA86" s="11">
        <f>IF(INT(P86/20)&gt;INT(P85/20), "Lần " &amp; INT(P86/20), "")</f>
        <v/>
      </c>
      <c r="AB86" s="11">
        <f>IF(INT(Q86/20)&gt;INT(Q85/20), "Lần " &amp; INT(Q86/20), "")</f>
        <v/>
      </c>
      <c r="AC86" s="11">
        <f>IF(INT(R86/20)&gt;INT(R85/20), "Lần " &amp; INT(R86/20), "")</f>
        <v/>
      </c>
      <c r="AD86" s="11">
        <f>IF(INT(S86/20)&gt;INT(S85/20), "Lần " &amp; INT(S86/20), "")</f>
        <v/>
      </c>
      <c r="AE86" s="11">
        <f>IF(INT(T86/20)&gt;INT(T85/20), "Lần " &amp; INT(T86/20), "")</f>
        <v/>
      </c>
      <c r="AF86" s="11">
        <f>IF(INT(U86/20)&gt;INT(U85/20), "Lần " &amp; INT(U86/20), "")</f>
        <v/>
      </c>
      <c r="AG86" s="11">
        <f>IF(INT(V86/20)&gt;INT(V85/20), "Lần " &amp; INT(V86/20), "")</f>
        <v/>
      </c>
      <c r="AH86" s="11">
        <f>IF(INT(W86/20)&gt;INT(W85/20), "Lần " &amp; INT(W86/20), "")</f>
        <v/>
      </c>
      <c r="AI86" s="11">
        <f>IF(INT(X86/20)&gt;INT(X85/20), "Lần " &amp; INT(X86/20), "")</f>
        <v/>
      </c>
      <c r="AJ86" s="11">
        <f>IF(INT(Y86/20)&gt;INT(Y85/20), "Lần " &amp; INT(Y86/20), "")</f>
        <v/>
      </c>
      <c r="AK86" s="11">
        <f>IF(INT(Z86/20)&gt;INT(Z85/20), "Lần " &amp; INT(Z86/20), "")</f>
        <v/>
      </c>
      <c r="AL86" s="6" t="inlineStr">
        <is>
          <t>ĐẠT TCVN 1651:2018</t>
        </is>
      </c>
    </row>
    <row r="87" ht="19" customHeight="1">
      <c r="A87" s="6" t="n">
        <v>78</v>
      </c>
      <c r="B87" s="7" t="inlineStr">
        <is>
          <t>Cọc khoan nhồi C3 Trụ T1 (D1.2m, L=40.0m)</t>
        </is>
      </c>
      <c r="C87" s="7" t="inlineStr">
        <is>
          <t>Cốt thép chủ chịu lực cọc</t>
        </is>
      </c>
      <c r="D87" s="18" t="inlineStr">
        <is>
          <t>P2B</t>
        </is>
      </c>
      <c r="E87" s="19" t="n">
        <v>25</v>
      </c>
      <c r="F87" s="6" t="inlineStr">
        <is>
          <t>CB400-V</t>
        </is>
      </c>
      <c r="G87" s="7" t="inlineStr">
        <is>
          <t>Thanh thẳng nối ren/hàn</t>
        </is>
      </c>
      <c r="H87" s="20" t="n">
        <v>2.985</v>
      </c>
      <c r="I87" s="21" t="n">
        <v>16</v>
      </c>
      <c r="J87" s="22" t="n">
        <v>3.85</v>
      </c>
      <c r="K87" s="9">
        <f>ROUND(H87*I87*J87, 2)</f>
        <v/>
      </c>
      <c r="L87" s="23">
        <f>ROUND(K87/1000, 3)</f>
        <v/>
      </c>
      <c r="M87" s="8" t="n"/>
      <c r="N87" s="6" t="n"/>
      <c r="O87" s="24">
        <f>IF(AND(E87&lt;=10, F87&lt;&gt;"ASTM A416", INT(P87/20)&gt;INT(P86/20)), "TN Ø10 (Lần " &amp; INT(P87/20) &amp; ")", IF(AND(E87=12, INT(Q87/20)&gt;INT(Q86/20)), "TN Ø12 (Lần " &amp; INT(Q87/20) &amp; ")", IF(AND(E87=14, INT(R87/20)&gt;INT(R86/20)), "TN Ø14 (Lần " &amp; INT(R87/20) &amp; ")", IF(AND(E87=16, INT(S87/20)&gt;INT(S86/20)), "TN Ø16 (Lần " &amp; INT(S87/20) &amp; ")", IF(AND(E87=18, INT(T87/20)&gt;INT(T86/20)), "TN Ø18 (Lần " &amp; INT(T87/20) &amp; ")", IF(AND(E87=20, INT(U87/20)&gt;INT(U86/20)), "TN Ø20 (Lần " &amp; INT(U87/20) &amp; ")", IF(AND(E87=22, INT(V87/20)&gt;INT(V86/20)), "TN Ø22 (Lần " &amp; INT(V87/20) &amp; ")", IF(AND(E87=25, INT(W87/20)&gt;INT(W86/20)), "TN Ø25 (Lần " &amp; INT(W87/20) &amp; ")", IF(AND(E87=28, INT(X87/20)&gt;INT(X86/20)), "TN Ø28 (Lần " &amp; INT(X87/20) &amp; ")", IF(AND(E87=32, INT(Y87/20)&gt;INT(Y86/20)), "TN Ø32 (Lần " &amp; INT(Y87/20) &amp; ")", IF(AND(F87="ASTM A416", INT(Z87/20)&gt;INT(Z86/20)), "TN Cáp 15.2 (Lần " &amp; INT(Z87/20) &amp; ")", "")))))))))))</f>
        <v/>
      </c>
      <c r="P87" s="20">
        <f>ROUND(P86 + IF(AND(E87&lt;=10, F87&lt;&gt;"ASTM A416"), L87, 0), 3)</f>
        <v/>
      </c>
      <c r="Q87" s="20">
        <f>ROUND(Q86 + IF(AND(E87=12, F87&lt;&gt;"ASTM A416"), L87, 0), 3)</f>
        <v/>
      </c>
      <c r="R87" s="20">
        <f>ROUND(R86 + IF(AND(E87=14, F87&lt;&gt;"ASTM A416"), L87, 0), 3)</f>
        <v/>
      </c>
      <c r="S87" s="20">
        <f>ROUND(S86 + IF(AND(E87=16, F87&lt;&gt;"ASTM A416"), L87, 0), 3)</f>
        <v/>
      </c>
      <c r="T87" s="20">
        <f>ROUND(T86 + IF(AND(E87=18, F87&lt;&gt;"ASTM A416"), L87, 0), 3)</f>
        <v/>
      </c>
      <c r="U87" s="20">
        <f>ROUND(U86 + IF(AND(E87=20, F87&lt;&gt;"ASTM A416"), L87, 0), 3)</f>
        <v/>
      </c>
      <c r="V87" s="20">
        <f>ROUND(V86 + IF(AND(E87=22, F87&lt;&gt;"ASTM A416"), L87, 0), 3)</f>
        <v/>
      </c>
      <c r="W87" s="20">
        <f>ROUND(W86 + IF(AND(E87=25, F87&lt;&gt;"ASTM A416"), L87, 0), 3)</f>
        <v/>
      </c>
      <c r="X87" s="20">
        <f>ROUND(X86 + IF(AND(E87=28, F87&lt;&gt;"ASTM A416"), L87, 0), 3)</f>
        <v/>
      </c>
      <c r="Y87" s="20">
        <f>ROUND(Y86 + IF(AND(E87=32, F87&lt;&gt;"ASTM A416"), L87, 0), 3)</f>
        <v/>
      </c>
      <c r="Z87" s="20">
        <f>ROUND(Z86 + IF(F87="ASTM A416", L87, 0), 3)</f>
        <v/>
      </c>
      <c r="AA87" s="11">
        <f>IF(INT(P87/20)&gt;INT(P86/20), "Lần " &amp; INT(P87/20), "")</f>
        <v/>
      </c>
      <c r="AB87" s="11">
        <f>IF(INT(Q87/20)&gt;INT(Q86/20), "Lần " &amp; INT(Q87/20), "")</f>
        <v/>
      </c>
      <c r="AC87" s="11">
        <f>IF(INT(R87/20)&gt;INT(R86/20), "Lần " &amp; INT(R87/20), "")</f>
        <v/>
      </c>
      <c r="AD87" s="11">
        <f>IF(INT(S87/20)&gt;INT(S86/20), "Lần " &amp; INT(S87/20), "")</f>
        <v/>
      </c>
      <c r="AE87" s="11">
        <f>IF(INT(T87/20)&gt;INT(T86/20), "Lần " &amp; INT(T87/20), "")</f>
        <v/>
      </c>
      <c r="AF87" s="11">
        <f>IF(INT(U87/20)&gt;INT(U86/20), "Lần " &amp; INT(U87/20), "")</f>
        <v/>
      </c>
      <c r="AG87" s="11">
        <f>IF(INT(V87/20)&gt;INT(V86/20), "Lần " &amp; INT(V87/20), "")</f>
        <v/>
      </c>
      <c r="AH87" s="11">
        <f>IF(INT(W87/20)&gt;INT(W86/20), "Lần " &amp; INT(W87/20), "")</f>
        <v/>
      </c>
      <c r="AI87" s="11">
        <f>IF(INT(X87/20)&gt;INT(X86/20), "Lần " &amp; INT(X87/20), "")</f>
        <v/>
      </c>
      <c r="AJ87" s="11">
        <f>IF(INT(Y87/20)&gt;INT(Y86/20), "Lần " &amp; INT(Y87/20), "")</f>
        <v/>
      </c>
      <c r="AK87" s="11">
        <f>IF(INT(Z87/20)&gt;INT(Z86/20), "Lần " &amp; INT(Z87/20), "")</f>
        <v/>
      </c>
      <c r="AL87" s="6" t="inlineStr">
        <is>
          <t>ĐẠT TCVN 1651:2018</t>
        </is>
      </c>
    </row>
    <row r="88" ht="19" customHeight="1">
      <c r="A88" s="6" t="n">
        <v>79</v>
      </c>
      <c r="B88" s="7" t="inlineStr">
        <is>
          <t>Cọc khoan nhồi C3 Trụ T1 (D1.2m, L=40.0m)</t>
        </is>
      </c>
      <c r="C88" s="7" t="inlineStr">
        <is>
          <t>Cốt thép chủ chịu lực cọc</t>
        </is>
      </c>
      <c r="D88" s="18" t="inlineStr">
        <is>
          <t>P3</t>
        </is>
      </c>
      <c r="E88" s="19" t="n">
        <v>25</v>
      </c>
      <c r="F88" s="6" t="inlineStr">
        <is>
          <t>CB400-V</t>
        </is>
      </c>
      <c r="G88" s="7" t="inlineStr">
        <is>
          <t>Thanh thẳng nối ren/hàn</t>
        </is>
      </c>
      <c r="H88" s="20" t="n">
        <v>10.7</v>
      </c>
      <c r="I88" s="21" t="n">
        <v>12</v>
      </c>
      <c r="J88" s="22" t="n">
        <v>3.85</v>
      </c>
      <c r="K88" s="9">
        <f>ROUND(H88*I88*J88, 2)</f>
        <v/>
      </c>
      <c r="L88" s="23">
        <f>ROUND(K88/1000, 3)</f>
        <v/>
      </c>
      <c r="M88" s="8" t="n"/>
      <c r="N88" s="6" t="n"/>
      <c r="O88" s="24">
        <f>IF(AND(E88&lt;=10, F88&lt;&gt;"ASTM A416", INT(P88/20)&gt;INT(P87/20)), "TN Ø10 (Lần " &amp; INT(P88/20) &amp; ")", IF(AND(E88=12, INT(Q88/20)&gt;INT(Q87/20)), "TN Ø12 (Lần " &amp; INT(Q88/20) &amp; ")", IF(AND(E88=14, INT(R88/20)&gt;INT(R87/20)), "TN Ø14 (Lần " &amp; INT(R88/20) &amp; ")", IF(AND(E88=16, INT(S88/20)&gt;INT(S87/20)), "TN Ø16 (Lần " &amp; INT(S88/20) &amp; ")", IF(AND(E88=18, INT(T88/20)&gt;INT(T87/20)), "TN Ø18 (Lần " &amp; INT(T88/20) &amp; ")", IF(AND(E88=20, INT(U88/20)&gt;INT(U87/20)), "TN Ø20 (Lần " &amp; INT(U88/20) &amp; ")", IF(AND(E88=22, INT(V88/20)&gt;INT(V87/20)), "TN Ø22 (Lần " &amp; INT(V88/20) &amp; ")", IF(AND(E88=25, INT(W88/20)&gt;INT(W87/20)), "TN Ø25 (Lần " &amp; INT(W88/20) &amp; ")", IF(AND(E88=28, INT(X88/20)&gt;INT(X87/20)), "TN Ø28 (Lần " &amp; INT(X88/20) &amp; ")", IF(AND(E88=32, INT(Y88/20)&gt;INT(Y87/20)), "TN Ø32 (Lần " &amp; INT(Y88/20) &amp; ")", IF(AND(F88="ASTM A416", INT(Z88/20)&gt;INT(Z87/20)), "TN Cáp 15.2 (Lần " &amp; INT(Z88/20) &amp; ")", "")))))))))))</f>
        <v/>
      </c>
      <c r="P88" s="20">
        <f>ROUND(P87 + IF(AND(E88&lt;=10, F88&lt;&gt;"ASTM A416"), L88, 0), 3)</f>
        <v/>
      </c>
      <c r="Q88" s="20">
        <f>ROUND(Q87 + IF(AND(E88=12, F88&lt;&gt;"ASTM A416"), L88, 0), 3)</f>
        <v/>
      </c>
      <c r="R88" s="20">
        <f>ROUND(R87 + IF(AND(E88=14, F88&lt;&gt;"ASTM A416"), L88, 0), 3)</f>
        <v/>
      </c>
      <c r="S88" s="20">
        <f>ROUND(S87 + IF(AND(E88=16, F88&lt;&gt;"ASTM A416"), L88, 0), 3)</f>
        <v/>
      </c>
      <c r="T88" s="20">
        <f>ROUND(T87 + IF(AND(E88=18, F88&lt;&gt;"ASTM A416"), L88, 0), 3)</f>
        <v/>
      </c>
      <c r="U88" s="20">
        <f>ROUND(U87 + IF(AND(E88=20, F88&lt;&gt;"ASTM A416"), L88, 0), 3)</f>
        <v/>
      </c>
      <c r="V88" s="20">
        <f>ROUND(V87 + IF(AND(E88=22, F88&lt;&gt;"ASTM A416"), L88, 0), 3)</f>
        <v/>
      </c>
      <c r="W88" s="20">
        <f>ROUND(W87 + IF(AND(E88=25, F88&lt;&gt;"ASTM A416"), L88, 0), 3)</f>
        <v/>
      </c>
      <c r="X88" s="20">
        <f>ROUND(X87 + IF(AND(E88=28, F88&lt;&gt;"ASTM A416"), L88, 0), 3)</f>
        <v/>
      </c>
      <c r="Y88" s="20">
        <f>ROUND(Y87 + IF(AND(E88=32, F88&lt;&gt;"ASTM A416"), L88, 0), 3)</f>
        <v/>
      </c>
      <c r="Z88" s="20">
        <f>ROUND(Z87 + IF(F88="ASTM A416", L88, 0), 3)</f>
        <v/>
      </c>
      <c r="AA88" s="11">
        <f>IF(INT(P88/20)&gt;INT(P87/20), "Lần " &amp; INT(P88/20), "")</f>
        <v/>
      </c>
      <c r="AB88" s="11">
        <f>IF(INT(Q88/20)&gt;INT(Q87/20), "Lần " &amp; INT(Q88/20), "")</f>
        <v/>
      </c>
      <c r="AC88" s="11">
        <f>IF(INT(R88/20)&gt;INT(R87/20), "Lần " &amp; INT(R88/20), "")</f>
        <v/>
      </c>
      <c r="AD88" s="11">
        <f>IF(INT(S88/20)&gt;INT(S87/20), "Lần " &amp; INT(S88/20), "")</f>
        <v/>
      </c>
      <c r="AE88" s="11">
        <f>IF(INT(T88/20)&gt;INT(T87/20), "Lần " &amp; INT(T88/20), "")</f>
        <v/>
      </c>
      <c r="AF88" s="11">
        <f>IF(INT(U88/20)&gt;INT(U87/20), "Lần " &amp; INT(U88/20), "")</f>
        <v/>
      </c>
      <c r="AG88" s="11">
        <f>IF(INT(V88/20)&gt;INT(V87/20), "Lần " &amp; INT(V88/20), "")</f>
        <v/>
      </c>
      <c r="AH88" s="11">
        <f>IF(INT(W88/20)&gt;INT(W87/20), "Lần " &amp; INT(W88/20), "")</f>
        <v/>
      </c>
      <c r="AI88" s="11">
        <f>IF(INT(X88/20)&gt;INT(X87/20), "Lần " &amp; INT(X88/20), "")</f>
        <v/>
      </c>
      <c r="AJ88" s="11">
        <f>IF(INT(Y88/20)&gt;INT(Y87/20), "Lần " &amp; INT(Y88/20), "")</f>
        <v/>
      </c>
      <c r="AK88" s="11">
        <f>IF(INT(Z88/20)&gt;INT(Z87/20), "Lần " &amp; INT(Z88/20), "")</f>
        <v/>
      </c>
      <c r="AL88" s="6" t="inlineStr">
        <is>
          <t>ĐẠT TCVN 1651:2018</t>
        </is>
      </c>
    </row>
    <row r="89" ht="19" customHeight="1">
      <c r="A89" s="6" t="n">
        <v>80</v>
      </c>
      <c r="B89" s="7" t="inlineStr">
        <is>
          <t>Cọc khoan nhồi C3 Trụ T1 (D1.2m, L=40.0m)</t>
        </is>
      </c>
      <c r="C89" s="7" t="inlineStr">
        <is>
          <t>Cốt thép chủ chịu lực cọc</t>
        </is>
      </c>
      <c r="D89" s="18" t="inlineStr">
        <is>
          <t>P4</t>
        </is>
      </c>
      <c r="E89" s="19" t="n">
        <v>25</v>
      </c>
      <c r="F89" s="6" t="inlineStr">
        <is>
          <t>CB400-V</t>
        </is>
      </c>
      <c r="G89" s="7" t="inlineStr">
        <is>
          <t>Thanh thẳng nối ren/hàn</t>
        </is>
      </c>
      <c r="H89" s="20" t="n">
        <v>11.7</v>
      </c>
      <c r="I89" s="21" t="n">
        <v>60</v>
      </c>
      <c r="J89" s="22" t="n">
        <v>3.85</v>
      </c>
      <c r="K89" s="9">
        <f>ROUND(H89*I89*J89, 2)</f>
        <v/>
      </c>
      <c r="L89" s="23">
        <f>ROUND(K89/1000, 3)</f>
        <v/>
      </c>
      <c r="M89" s="8" t="n"/>
      <c r="N89" s="6" t="n"/>
      <c r="O89" s="24">
        <f>IF(AND(E89&lt;=10, F89&lt;&gt;"ASTM A416", INT(P89/20)&gt;INT(P88/20)), "TN Ø10 (Lần " &amp; INT(P89/20) &amp; ")", IF(AND(E89=12, INT(Q89/20)&gt;INT(Q88/20)), "TN Ø12 (Lần " &amp; INT(Q89/20) &amp; ")", IF(AND(E89=14, INT(R89/20)&gt;INT(R88/20)), "TN Ø14 (Lần " &amp; INT(R89/20) &amp; ")", IF(AND(E89=16, INT(S89/20)&gt;INT(S88/20)), "TN Ø16 (Lần " &amp; INT(S89/20) &amp; ")", IF(AND(E89=18, INT(T89/20)&gt;INT(T88/20)), "TN Ø18 (Lần " &amp; INT(T89/20) &amp; ")", IF(AND(E89=20, INT(U89/20)&gt;INT(U88/20)), "TN Ø20 (Lần " &amp; INT(U89/20) &amp; ")", IF(AND(E89=22, INT(V89/20)&gt;INT(V88/20)), "TN Ø22 (Lần " &amp; INT(V89/20) &amp; ")", IF(AND(E89=25, INT(W89/20)&gt;INT(W88/20)), "TN Ø25 (Lần " &amp; INT(W89/20) &amp; ")", IF(AND(E89=28, INT(X89/20)&gt;INT(X88/20)), "TN Ø28 (Lần " &amp; INT(X89/20) &amp; ")", IF(AND(E89=32, INT(Y89/20)&gt;INT(Y88/20)), "TN Ø32 (Lần " &amp; INT(Y89/20) &amp; ")", IF(AND(F89="ASTM A416", INT(Z89/20)&gt;INT(Z88/20)), "TN Cáp 15.2 (Lần " &amp; INT(Z89/20) &amp; ")", "")))))))))))</f>
        <v/>
      </c>
      <c r="P89" s="20">
        <f>ROUND(P88 + IF(AND(E89&lt;=10, F89&lt;&gt;"ASTM A416"), L89, 0), 3)</f>
        <v/>
      </c>
      <c r="Q89" s="20">
        <f>ROUND(Q88 + IF(AND(E89=12, F89&lt;&gt;"ASTM A416"), L89, 0), 3)</f>
        <v/>
      </c>
      <c r="R89" s="20">
        <f>ROUND(R88 + IF(AND(E89=14, F89&lt;&gt;"ASTM A416"), L89, 0), 3)</f>
        <v/>
      </c>
      <c r="S89" s="20">
        <f>ROUND(S88 + IF(AND(E89=16, F89&lt;&gt;"ASTM A416"), L89, 0), 3)</f>
        <v/>
      </c>
      <c r="T89" s="20">
        <f>ROUND(T88 + IF(AND(E89=18, F89&lt;&gt;"ASTM A416"), L89, 0), 3)</f>
        <v/>
      </c>
      <c r="U89" s="20">
        <f>ROUND(U88 + IF(AND(E89=20, F89&lt;&gt;"ASTM A416"), L89, 0), 3)</f>
        <v/>
      </c>
      <c r="V89" s="20">
        <f>ROUND(V88 + IF(AND(E89=22, F89&lt;&gt;"ASTM A416"), L89, 0), 3)</f>
        <v/>
      </c>
      <c r="W89" s="20">
        <f>ROUND(W88 + IF(AND(E89=25, F89&lt;&gt;"ASTM A416"), L89, 0), 3)</f>
        <v/>
      </c>
      <c r="X89" s="20">
        <f>ROUND(X88 + IF(AND(E89=28, F89&lt;&gt;"ASTM A416"), L89, 0), 3)</f>
        <v/>
      </c>
      <c r="Y89" s="20">
        <f>ROUND(Y88 + IF(AND(E89=32, F89&lt;&gt;"ASTM A416"), L89, 0), 3)</f>
        <v/>
      </c>
      <c r="Z89" s="20">
        <f>ROUND(Z88 + IF(F89="ASTM A416", L89, 0), 3)</f>
        <v/>
      </c>
      <c r="AA89" s="11">
        <f>IF(INT(P89/20)&gt;INT(P88/20), "Lần " &amp; INT(P89/20), "")</f>
        <v/>
      </c>
      <c r="AB89" s="11">
        <f>IF(INT(Q89/20)&gt;INT(Q88/20), "Lần " &amp; INT(Q89/20), "")</f>
        <v/>
      </c>
      <c r="AC89" s="11">
        <f>IF(INT(R89/20)&gt;INT(R88/20), "Lần " &amp; INT(R89/20), "")</f>
        <v/>
      </c>
      <c r="AD89" s="11">
        <f>IF(INT(S89/20)&gt;INT(S88/20), "Lần " &amp; INT(S89/20), "")</f>
        <v/>
      </c>
      <c r="AE89" s="11">
        <f>IF(INT(T89/20)&gt;INT(T88/20), "Lần " &amp; INT(T89/20), "")</f>
        <v/>
      </c>
      <c r="AF89" s="11">
        <f>IF(INT(U89/20)&gt;INT(U88/20), "Lần " &amp; INT(U89/20), "")</f>
        <v/>
      </c>
      <c r="AG89" s="11">
        <f>IF(INT(V89/20)&gt;INT(V88/20), "Lần " &amp; INT(V89/20), "")</f>
        <v/>
      </c>
      <c r="AH89" s="11">
        <f>IF(INT(W89/20)&gt;INT(W88/20), "Lần " &amp; INT(W89/20), "")</f>
        <v/>
      </c>
      <c r="AI89" s="11">
        <f>IF(INT(X89/20)&gt;INT(X88/20), "Lần " &amp; INT(X89/20), "")</f>
        <v/>
      </c>
      <c r="AJ89" s="11">
        <f>IF(INT(Y89/20)&gt;INT(Y88/20), "Lần " &amp; INT(Y89/20), "")</f>
        <v/>
      </c>
      <c r="AK89" s="11">
        <f>IF(INT(Z89/20)&gt;INT(Z88/20), "Lần " &amp; INT(Z89/20), "")</f>
        <v/>
      </c>
      <c r="AL89" s="6" t="inlineStr">
        <is>
          <t>ĐẠT TCVN 1651:2018</t>
        </is>
      </c>
    </row>
    <row r="90" ht="19" customHeight="1">
      <c r="A90" s="6" t="n">
        <v>81</v>
      </c>
      <c r="B90" s="7" t="inlineStr">
        <is>
          <t>Cọc khoan nhồi C3 Trụ T1 (D1.2m, L=40.0m)</t>
        </is>
      </c>
      <c r="C90" s="7" t="inlineStr">
        <is>
          <t>Cốt thép chủ chịu lực cọc</t>
        </is>
      </c>
      <c r="D90" s="18" t="inlineStr">
        <is>
          <t>P6</t>
        </is>
      </c>
      <c r="E90" s="19" t="n">
        <v>25</v>
      </c>
      <c r="F90" s="6" t="inlineStr">
        <is>
          <t>CB400-V</t>
        </is>
      </c>
      <c r="G90" s="7" t="inlineStr">
        <is>
          <t>Thanh thẳng nối ren/hàn</t>
        </is>
      </c>
      <c r="H90" s="20" t="n">
        <v>9.032999999999999</v>
      </c>
      <c r="I90" s="21" t="n">
        <v>12</v>
      </c>
      <c r="J90" s="22" t="n">
        <v>3.85</v>
      </c>
      <c r="K90" s="9">
        <f>ROUND(H90*I90*J90, 2)</f>
        <v/>
      </c>
      <c r="L90" s="23">
        <f>ROUND(K90/1000, 3)</f>
        <v/>
      </c>
      <c r="M90" s="8" t="n"/>
      <c r="N90" s="6" t="n"/>
      <c r="O90" s="24">
        <f>IF(AND(E90&lt;=10, F90&lt;&gt;"ASTM A416", INT(P90/20)&gt;INT(P89/20)), "TN Ø10 (Lần " &amp; INT(P90/20) &amp; ")", IF(AND(E90=12, INT(Q90/20)&gt;INT(Q89/20)), "TN Ø12 (Lần " &amp; INT(Q90/20) &amp; ")", IF(AND(E90=14, INT(R90/20)&gt;INT(R89/20)), "TN Ø14 (Lần " &amp; INT(R90/20) &amp; ")", IF(AND(E90=16, INT(S90/20)&gt;INT(S89/20)), "TN Ø16 (Lần " &amp; INT(S90/20) &amp; ")", IF(AND(E90=18, INT(T90/20)&gt;INT(T89/20)), "TN Ø18 (Lần " &amp; INT(T90/20) &amp; ")", IF(AND(E90=20, INT(U90/20)&gt;INT(U89/20)), "TN Ø20 (Lần " &amp; INT(U90/20) &amp; ")", IF(AND(E90=22, INT(V90/20)&gt;INT(V89/20)), "TN Ø22 (Lần " &amp; INT(V90/20) &amp; ")", IF(AND(E90=25, INT(W90/20)&gt;INT(W89/20)), "TN Ø25 (Lần " &amp; INT(W90/20) &amp; ")", IF(AND(E90=28, INT(X90/20)&gt;INT(X89/20)), "TN Ø28 (Lần " &amp; INT(X90/20) &amp; ")", IF(AND(E90=32, INT(Y90/20)&gt;INT(Y89/20)), "TN Ø32 (Lần " &amp; INT(Y90/20) &amp; ")", IF(AND(F90="ASTM A416", INT(Z90/20)&gt;INT(Z89/20)), "TN Cáp 15.2 (Lần " &amp; INT(Z90/20) &amp; ")", "")))))))))))</f>
        <v/>
      </c>
      <c r="P90" s="20">
        <f>ROUND(P89 + IF(AND(E90&lt;=10, F90&lt;&gt;"ASTM A416"), L90, 0), 3)</f>
        <v/>
      </c>
      <c r="Q90" s="20">
        <f>ROUND(Q89 + IF(AND(E90=12, F90&lt;&gt;"ASTM A416"), L90, 0), 3)</f>
        <v/>
      </c>
      <c r="R90" s="20">
        <f>ROUND(R89 + IF(AND(E90=14, F90&lt;&gt;"ASTM A416"), L90, 0), 3)</f>
        <v/>
      </c>
      <c r="S90" s="20">
        <f>ROUND(S89 + IF(AND(E90=16, F90&lt;&gt;"ASTM A416"), L90, 0), 3)</f>
        <v/>
      </c>
      <c r="T90" s="20">
        <f>ROUND(T89 + IF(AND(E90=18, F90&lt;&gt;"ASTM A416"), L90, 0), 3)</f>
        <v/>
      </c>
      <c r="U90" s="20">
        <f>ROUND(U89 + IF(AND(E90=20, F90&lt;&gt;"ASTM A416"), L90, 0), 3)</f>
        <v/>
      </c>
      <c r="V90" s="20">
        <f>ROUND(V89 + IF(AND(E90=22, F90&lt;&gt;"ASTM A416"), L90, 0), 3)</f>
        <v/>
      </c>
      <c r="W90" s="20">
        <f>ROUND(W89 + IF(AND(E90=25, F90&lt;&gt;"ASTM A416"), L90, 0), 3)</f>
        <v/>
      </c>
      <c r="X90" s="20">
        <f>ROUND(X89 + IF(AND(E90=28, F90&lt;&gt;"ASTM A416"), L90, 0), 3)</f>
        <v/>
      </c>
      <c r="Y90" s="20">
        <f>ROUND(Y89 + IF(AND(E90=32, F90&lt;&gt;"ASTM A416"), L90, 0), 3)</f>
        <v/>
      </c>
      <c r="Z90" s="20">
        <f>ROUND(Z89 + IF(F90="ASTM A416", L90, 0), 3)</f>
        <v/>
      </c>
      <c r="AA90" s="11">
        <f>IF(INT(P90/20)&gt;INT(P89/20), "Lần " &amp; INT(P90/20), "")</f>
        <v/>
      </c>
      <c r="AB90" s="11">
        <f>IF(INT(Q90/20)&gt;INT(Q89/20), "Lần " &amp; INT(Q90/20), "")</f>
        <v/>
      </c>
      <c r="AC90" s="11">
        <f>IF(INT(R90/20)&gt;INT(R89/20), "Lần " &amp; INT(R90/20), "")</f>
        <v/>
      </c>
      <c r="AD90" s="11">
        <f>IF(INT(S90/20)&gt;INT(S89/20), "Lần " &amp; INT(S90/20), "")</f>
        <v/>
      </c>
      <c r="AE90" s="11">
        <f>IF(INT(T90/20)&gt;INT(T89/20), "Lần " &amp; INT(T90/20), "")</f>
        <v/>
      </c>
      <c r="AF90" s="11">
        <f>IF(INT(U90/20)&gt;INT(U89/20), "Lần " &amp; INT(U90/20), "")</f>
        <v/>
      </c>
      <c r="AG90" s="11">
        <f>IF(INT(V90/20)&gt;INT(V89/20), "Lần " &amp; INT(V90/20), "")</f>
        <v/>
      </c>
      <c r="AH90" s="11">
        <f>IF(INT(W90/20)&gt;INT(W89/20), "Lần " &amp; INT(W90/20), "")</f>
        <v/>
      </c>
      <c r="AI90" s="11">
        <f>IF(INT(X90/20)&gt;INT(X89/20), "Lần " &amp; INT(X90/20), "")</f>
        <v/>
      </c>
      <c r="AJ90" s="11">
        <f>IF(INT(Y90/20)&gt;INT(Y89/20), "Lần " &amp; INT(Y90/20), "")</f>
        <v/>
      </c>
      <c r="AK90" s="11">
        <f>IF(INT(Z90/20)&gt;INT(Z89/20), "Lần " &amp; INT(Z90/20), "")</f>
        <v/>
      </c>
      <c r="AL90" s="6" t="inlineStr">
        <is>
          <t>ĐẠT TCVN 1651:2018</t>
        </is>
      </c>
    </row>
    <row r="91" ht="19" customHeight="1">
      <c r="A91" s="6" t="n">
        <v>82</v>
      </c>
      <c r="B91" s="7" t="inlineStr">
        <is>
          <t>Cọc khoan nhồi C3 Trụ T1 (D1.2m, L=40.0m)</t>
        </is>
      </c>
      <c r="C91" s="7" t="inlineStr">
        <is>
          <t>Cốt thép chủ chịu lực cọc</t>
        </is>
      </c>
      <c r="D91" s="18" t="inlineStr">
        <is>
          <t>P7</t>
        </is>
      </c>
      <c r="E91" s="19" t="n">
        <v>25</v>
      </c>
      <c r="F91" s="6" t="inlineStr">
        <is>
          <t>CB400-V</t>
        </is>
      </c>
      <c r="G91" s="7" t="inlineStr">
        <is>
          <t>Thanh thẳng nối ren/hàn</t>
        </is>
      </c>
      <c r="H91" s="20" t="n">
        <v>10.033</v>
      </c>
      <c r="I91" s="21" t="n">
        <v>12</v>
      </c>
      <c r="J91" s="22" t="n">
        <v>3.85</v>
      </c>
      <c r="K91" s="9">
        <f>ROUND(H91*I91*J91, 2)</f>
        <v/>
      </c>
      <c r="L91" s="23">
        <f>ROUND(K91/1000, 3)</f>
        <v/>
      </c>
      <c r="M91" s="8" t="n"/>
      <c r="N91" s="6" t="n"/>
      <c r="O91" s="24">
        <f>IF(AND(E91&lt;=10, F91&lt;&gt;"ASTM A416", INT(P91/20)&gt;INT(P90/20)), "TN Ø10 (Lần " &amp; INT(P91/20) &amp; ")", IF(AND(E91=12, INT(Q91/20)&gt;INT(Q90/20)), "TN Ø12 (Lần " &amp; INT(Q91/20) &amp; ")", IF(AND(E91=14, INT(R91/20)&gt;INT(R90/20)), "TN Ø14 (Lần " &amp; INT(R91/20) &amp; ")", IF(AND(E91=16, INT(S91/20)&gt;INT(S90/20)), "TN Ø16 (Lần " &amp; INT(S91/20) &amp; ")", IF(AND(E91=18, INT(T91/20)&gt;INT(T90/20)), "TN Ø18 (Lần " &amp; INT(T91/20) &amp; ")", IF(AND(E91=20, INT(U91/20)&gt;INT(U90/20)), "TN Ø20 (Lần " &amp; INT(U91/20) &amp; ")", IF(AND(E91=22, INT(V91/20)&gt;INT(V90/20)), "TN Ø22 (Lần " &amp; INT(V91/20) &amp; ")", IF(AND(E91=25, INT(W91/20)&gt;INT(W90/20)), "TN Ø25 (Lần " &amp; INT(W91/20) &amp; ")", IF(AND(E91=28, INT(X91/20)&gt;INT(X90/20)), "TN Ø28 (Lần " &amp; INT(X91/20) &amp; ")", IF(AND(E91=32, INT(Y91/20)&gt;INT(Y90/20)), "TN Ø32 (Lần " &amp; INT(Y91/20) &amp; ")", IF(AND(F91="ASTM A416", INT(Z91/20)&gt;INT(Z90/20)), "TN Cáp 15.2 (Lần " &amp; INT(Z91/20) &amp; ")", "")))))))))))</f>
        <v/>
      </c>
      <c r="P91" s="20">
        <f>ROUND(P90 + IF(AND(E91&lt;=10, F91&lt;&gt;"ASTM A416"), L91, 0), 3)</f>
        <v/>
      </c>
      <c r="Q91" s="20">
        <f>ROUND(Q90 + IF(AND(E91=12, F91&lt;&gt;"ASTM A416"), L91, 0), 3)</f>
        <v/>
      </c>
      <c r="R91" s="20">
        <f>ROUND(R90 + IF(AND(E91=14, F91&lt;&gt;"ASTM A416"), L91, 0), 3)</f>
        <v/>
      </c>
      <c r="S91" s="20">
        <f>ROUND(S90 + IF(AND(E91=16, F91&lt;&gt;"ASTM A416"), L91, 0), 3)</f>
        <v/>
      </c>
      <c r="T91" s="20">
        <f>ROUND(T90 + IF(AND(E91=18, F91&lt;&gt;"ASTM A416"), L91, 0), 3)</f>
        <v/>
      </c>
      <c r="U91" s="20">
        <f>ROUND(U90 + IF(AND(E91=20, F91&lt;&gt;"ASTM A416"), L91, 0), 3)</f>
        <v/>
      </c>
      <c r="V91" s="20">
        <f>ROUND(V90 + IF(AND(E91=22, F91&lt;&gt;"ASTM A416"), L91, 0), 3)</f>
        <v/>
      </c>
      <c r="W91" s="20">
        <f>ROUND(W90 + IF(AND(E91=25, F91&lt;&gt;"ASTM A416"), L91, 0), 3)</f>
        <v/>
      </c>
      <c r="X91" s="20">
        <f>ROUND(X90 + IF(AND(E91=28, F91&lt;&gt;"ASTM A416"), L91, 0), 3)</f>
        <v/>
      </c>
      <c r="Y91" s="20">
        <f>ROUND(Y90 + IF(AND(E91=32, F91&lt;&gt;"ASTM A416"), L91, 0), 3)</f>
        <v/>
      </c>
      <c r="Z91" s="20">
        <f>ROUND(Z90 + IF(F91="ASTM A416", L91, 0), 3)</f>
        <v/>
      </c>
      <c r="AA91" s="11">
        <f>IF(INT(P91/20)&gt;INT(P90/20), "Lần " &amp; INT(P91/20), "")</f>
        <v/>
      </c>
      <c r="AB91" s="11">
        <f>IF(INT(Q91/20)&gt;INT(Q90/20), "Lần " &amp; INT(Q91/20), "")</f>
        <v/>
      </c>
      <c r="AC91" s="11">
        <f>IF(INT(R91/20)&gt;INT(R90/20), "Lần " &amp; INT(R91/20), "")</f>
        <v/>
      </c>
      <c r="AD91" s="11">
        <f>IF(INT(S91/20)&gt;INT(S90/20), "Lần " &amp; INT(S91/20), "")</f>
        <v/>
      </c>
      <c r="AE91" s="11">
        <f>IF(INT(T91/20)&gt;INT(T90/20), "Lần " &amp; INT(T91/20), "")</f>
        <v/>
      </c>
      <c r="AF91" s="11">
        <f>IF(INT(U91/20)&gt;INT(U90/20), "Lần " &amp; INT(U91/20), "")</f>
        <v/>
      </c>
      <c r="AG91" s="11">
        <f>IF(INT(V91/20)&gt;INT(V90/20), "Lần " &amp; INT(V91/20), "")</f>
        <v/>
      </c>
      <c r="AH91" s="11">
        <f>IF(INT(W91/20)&gt;INT(W90/20), "Lần " &amp; INT(W91/20), "")</f>
        <v/>
      </c>
      <c r="AI91" s="11">
        <f>IF(INT(X91/20)&gt;INT(X90/20), "Lần " &amp; INT(X91/20), "")</f>
        <v/>
      </c>
      <c r="AJ91" s="11">
        <f>IF(INT(Y91/20)&gt;INT(Y90/20), "Lần " &amp; INT(Y91/20), "")</f>
        <v/>
      </c>
      <c r="AK91" s="11">
        <f>IF(INT(Z91/20)&gt;INT(Z90/20), "Lần " &amp; INT(Z91/20), "")</f>
        <v/>
      </c>
      <c r="AL91" s="6" t="inlineStr">
        <is>
          <t>ĐẠT TCVN 1651:2018</t>
        </is>
      </c>
    </row>
    <row r="92" ht="19" customHeight="1">
      <c r="A92" s="6" t="n">
        <v>83</v>
      </c>
      <c r="B92" s="7" t="inlineStr">
        <is>
          <t>Cọc khoan nhồi C3 Trụ T1 (D1.2m, L=40.0m)</t>
        </is>
      </c>
      <c r="C92" s="7" t="inlineStr">
        <is>
          <t>Đai tăng cường / Con kê bảo vệ</t>
        </is>
      </c>
      <c r="D92" s="18" t="inlineStr">
        <is>
          <t>P8</t>
        </is>
      </c>
      <c r="E92" s="19" t="n">
        <v>12</v>
      </c>
      <c r="F92" s="6" t="inlineStr">
        <is>
          <t>CB400-V</t>
        </is>
      </c>
      <c r="G92" s="7" t="inlineStr">
        <is>
          <t>Móc neo / Vòng đai</t>
        </is>
      </c>
      <c r="H92" s="20" t="n">
        <v>0.647</v>
      </c>
      <c r="I92" s="21" t="n">
        <v>16</v>
      </c>
      <c r="J92" s="22" t="n">
        <v>0.888</v>
      </c>
      <c r="K92" s="9">
        <f>ROUND(H92*I92*J92, 2)</f>
        <v/>
      </c>
      <c r="L92" s="23">
        <f>ROUND(K92/1000, 3)</f>
        <v/>
      </c>
      <c r="M92" s="8" t="n"/>
      <c r="N92" s="6" t="n"/>
      <c r="O92" s="24">
        <f>IF(AND(E92&lt;=10, F92&lt;&gt;"ASTM A416", INT(P92/20)&gt;INT(P91/20)), "TN Ø10 (Lần " &amp; INT(P92/20) &amp; ")", IF(AND(E92=12, INT(Q92/20)&gt;INT(Q91/20)), "TN Ø12 (Lần " &amp; INT(Q92/20) &amp; ")", IF(AND(E92=14, INT(R92/20)&gt;INT(R91/20)), "TN Ø14 (Lần " &amp; INT(R92/20) &amp; ")", IF(AND(E92=16, INT(S92/20)&gt;INT(S91/20)), "TN Ø16 (Lần " &amp; INT(S92/20) &amp; ")", IF(AND(E92=18, INT(T92/20)&gt;INT(T91/20)), "TN Ø18 (Lần " &amp; INT(T92/20) &amp; ")", IF(AND(E92=20, INT(U92/20)&gt;INT(U91/20)), "TN Ø20 (Lần " &amp; INT(U92/20) &amp; ")", IF(AND(E92=22, INT(V92/20)&gt;INT(V91/20)), "TN Ø22 (Lần " &amp; INT(V92/20) &amp; ")", IF(AND(E92=25, INT(W92/20)&gt;INT(W91/20)), "TN Ø25 (Lần " &amp; INT(W92/20) &amp; ")", IF(AND(E92=28, INT(X92/20)&gt;INT(X91/20)), "TN Ø28 (Lần " &amp; INT(X92/20) &amp; ")", IF(AND(E92=32, INT(Y92/20)&gt;INT(Y91/20)), "TN Ø32 (Lần " &amp; INT(Y92/20) &amp; ")", IF(AND(F92="ASTM A416", INT(Z92/20)&gt;INT(Z91/20)), "TN Cáp 15.2 (Lần " &amp; INT(Z92/20) &amp; ")", "")))))))))))</f>
        <v/>
      </c>
      <c r="P92" s="20">
        <f>ROUND(P91 + IF(AND(E92&lt;=10, F92&lt;&gt;"ASTM A416"), L92, 0), 3)</f>
        <v/>
      </c>
      <c r="Q92" s="20">
        <f>ROUND(Q91 + IF(AND(E92=12, F92&lt;&gt;"ASTM A416"), L92, 0), 3)</f>
        <v/>
      </c>
      <c r="R92" s="20">
        <f>ROUND(R91 + IF(AND(E92=14, F92&lt;&gt;"ASTM A416"), L92, 0), 3)</f>
        <v/>
      </c>
      <c r="S92" s="20">
        <f>ROUND(S91 + IF(AND(E92=16, F92&lt;&gt;"ASTM A416"), L92, 0), 3)</f>
        <v/>
      </c>
      <c r="T92" s="20">
        <f>ROUND(T91 + IF(AND(E92=18, F92&lt;&gt;"ASTM A416"), L92, 0), 3)</f>
        <v/>
      </c>
      <c r="U92" s="20">
        <f>ROUND(U91 + IF(AND(E92=20, F92&lt;&gt;"ASTM A416"), L92, 0), 3)</f>
        <v/>
      </c>
      <c r="V92" s="20">
        <f>ROUND(V91 + IF(AND(E92=22, F92&lt;&gt;"ASTM A416"), L92, 0), 3)</f>
        <v/>
      </c>
      <c r="W92" s="20">
        <f>ROUND(W91 + IF(AND(E92=25, F92&lt;&gt;"ASTM A416"), L92, 0), 3)</f>
        <v/>
      </c>
      <c r="X92" s="20">
        <f>ROUND(X91 + IF(AND(E92=28, F92&lt;&gt;"ASTM A416"), L92, 0), 3)</f>
        <v/>
      </c>
      <c r="Y92" s="20">
        <f>ROUND(Y91 + IF(AND(E92=32, F92&lt;&gt;"ASTM A416"), L92, 0), 3)</f>
        <v/>
      </c>
      <c r="Z92" s="20">
        <f>ROUND(Z91 + IF(F92="ASTM A416", L92, 0), 3)</f>
        <v/>
      </c>
      <c r="AA92" s="11">
        <f>IF(INT(P92/20)&gt;INT(P91/20), "Lần " &amp; INT(P92/20), "")</f>
        <v/>
      </c>
      <c r="AB92" s="11">
        <f>IF(INT(Q92/20)&gt;INT(Q91/20), "Lần " &amp; INT(Q92/20), "")</f>
        <v/>
      </c>
      <c r="AC92" s="11">
        <f>IF(INT(R92/20)&gt;INT(R91/20), "Lần " &amp; INT(R92/20), "")</f>
        <v/>
      </c>
      <c r="AD92" s="11">
        <f>IF(INT(S92/20)&gt;INT(S91/20), "Lần " &amp; INT(S92/20), "")</f>
        <v/>
      </c>
      <c r="AE92" s="11">
        <f>IF(INT(T92/20)&gt;INT(T91/20), "Lần " &amp; INT(T92/20), "")</f>
        <v/>
      </c>
      <c r="AF92" s="11">
        <f>IF(INT(U92/20)&gt;INT(U91/20), "Lần " &amp; INT(U92/20), "")</f>
        <v/>
      </c>
      <c r="AG92" s="11">
        <f>IF(INT(V92/20)&gt;INT(V91/20), "Lần " &amp; INT(V92/20), "")</f>
        <v/>
      </c>
      <c r="AH92" s="11">
        <f>IF(INT(W92/20)&gt;INT(W91/20), "Lần " &amp; INT(W92/20), "")</f>
        <v/>
      </c>
      <c r="AI92" s="11">
        <f>IF(INT(X92/20)&gt;INT(X91/20), "Lần " &amp; INT(X92/20), "")</f>
        <v/>
      </c>
      <c r="AJ92" s="11">
        <f>IF(INT(Y92/20)&gt;INT(Y91/20), "Lần " &amp; INT(Y92/20), "")</f>
        <v/>
      </c>
      <c r="AK92" s="11">
        <f>IF(INT(Z92/20)&gt;INT(Z91/20), "Lần " &amp; INT(Z92/20), "")</f>
        <v/>
      </c>
      <c r="AL92" s="6" t="inlineStr">
        <is>
          <t>ĐẠT TCVN 1651:2018</t>
        </is>
      </c>
    </row>
    <row r="93" ht="19" customHeight="1">
      <c r="A93" s="6" t="n">
        <v>84</v>
      </c>
      <c r="B93" s="7" t="inlineStr">
        <is>
          <t>Cọc khoan nhồi C3 Trụ T1 (D1.2m, L=40.0m)</t>
        </is>
      </c>
      <c r="C93" s="7" t="inlineStr">
        <is>
          <t>Đai tăng cường / Con kê bảo vệ</t>
        </is>
      </c>
      <c r="D93" s="18" t="inlineStr">
        <is>
          <t>P9</t>
        </is>
      </c>
      <c r="E93" s="19" t="n">
        <v>12</v>
      </c>
      <c r="F93" s="6" t="inlineStr">
        <is>
          <t>CB400-V</t>
        </is>
      </c>
      <c r="G93" s="7" t="inlineStr">
        <is>
          <t>Móc neo / Vòng đai</t>
        </is>
      </c>
      <c r="H93" s="20" t="n">
        <v>0.379</v>
      </c>
      <c r="I93" s="21" t="n">
        <v>48</v>
      </c>
      <c r="J93" s="22" t="n">
        <v>0.888</v>
      </c>
      <c r="K93" s="9">
        <f>ROUND(H93*I93*J93, 2)</f>
        <v/>
      </c>
      <c r="L93" s="23">
        <f>ROUND(K93/1000, 3)</f>
        <v/>
      </c>
      <c r="M93" s="8" t="n"/>
      <c r="N93" s="6" t="n"/>
      <c r="O93" s="24">
        <f>IF(AND(E93&lt;=10, F93&lt;&gt;"ASTM A416", INT(P93/20)&gt;INT(P92/20)), "TN Ø10 (Lần " &amp; INT(P93/20) &amp; ")", IF(AND(E93=12, INT(Q93/20)&gt;INT(Q92/20)), "TN Ø12 (Lần " &amp; INT(Q93/20) &amp; ")", IF(AND(E93=14, INT(R93/20)&gt;INT(R92/20)), "TN Ø14 (Lần " &amp; INT(R93/20) &amp; ")", IF(AND(E93=16, INT(S93/20)&gt;INT(S92/20)), "TN Ø16 (Lần " &amp; INT(S93/20) &amp; ")", IF(AND(E93=18, INT(T93/20)&gt;INT(T92/20)), "TN Ø18 (Lần " &amp; INT(T93/20) &amp; ")", IF(AND(E93=20, INT(U93/20)&gt;INT(U92/20)), "TN Ø20 (Lần " &amp; INT(U93/20) &amp; ")", IF(AND(E93=22, INT(V93/20)&gt;INT(V92/20)), "TN Ø22 (Lần " &amp; INT(V93/20) &amp; ")", IF(AND(E93=25, INT(W93/20)&gt;INT(W92/20)), "TN Ø25 (Lần " &amp; INT(W93/20) &amp; ")", IF(AND(E93=28, INT(X93/20)&gt;INT(X92/20)), "TN Ø28 (Lần " &amp; INT(X93/20) &amp; ")", IF(AND(E93=32, INT(Y93/20)&gt;INT(Y92/20)), "TN Ø32 (Lần " &amp; INT(Y93/20) &amp; ")", IF(AND(F93="ASTM A416", INT(Z93/20)&gt;INT(Z92/20)), "TN Cáp 15.2 (Lần " &amp; INT(Z93/20) &amp; ")", "")))))))))))</f>
        <v/>
      </c>
      <c r="P93" s="20">
        <f>ROUND(P92 + IF(AND(E93&lt;=10, F93&lt;&gt;"ASTM A416"), L93, 0), 3)</f>
        <v/>
      </c>
      <c r="Q93" s="20">
        <f>ROUND(Q92 + IF(AND(E93=12, F93&lt;&gt;"ASTM A416"), L93, 0), 3)</f>
        <v/>
      </c>
      <c r="R93" s="20">
        <f>ROUND(R92 + IF(AND(E93=14, F93&lt;&gt;"ASTM A416"), L93, 0), 3)</f>
        <v/>
      </c>
      <c r="S93" s="20">
        <f>ROUND(S92 + IF(AND(E93=16, F93&lt;&gt;"ASTM A416"), L93, 0), 3)</f>
        <v/>
      </c>
      <c r="T93" s="20">
        <f>ROUND(T92 + IF(AND(E93=18, F93&lt;&gt;"ASTM A416"), L93, 0), 3)</f>
        <v/>
      </c>
      <c r="U93" s="20">
        <f>ROUND(U92 + IF(AND(E93=20, F93&lt;&gt;"ASTM A416"), L93, 0), 3)</f>
        <v/>
      </c>
      <c r="V93" s="20">
        <f>ROUND(V92 + IF(AND(E93=22, F93&lt;&gt;"ASTM A416"), L93, 0), 3)</f>
        <v/>
      </c>
      <c r="W93" s="20">
        <f>ROUND(W92 + IF(AND(E93=25, F93&lt;&gt;"ASTM A416"), L93, 0), 3)</f>
        <v/>
      </c>
      <c r="X93" s="20">
        <f>ROUND(X92 + IF(AND(E93=28, F93&lt;&gt;"ASTM A416"), L93, 0), 3)</f>
        <v/>
      </c>
      <c r="Y93" s="20">
        <f>ROUND(Y92 + IF(AND(E93=32, F93&lt;&gt;"ASTM A416"), L93, 0), 3)</f>
        <v/>
      </c>
      <c r="Z93" s="20">
        <f>ROUND(Z92 + IF(F93="ASTM A416", L93, 0), 3)</f>
        <v/>
      </c>
      <c r="AA93" s="11">
        <f>IF(INT(P93/20)&gt;INT(P92/20), "Lần " &amp; INT(P93/20), "")</f>
        <v/>
      </c>
      <c r="AB93" s="11">
        <f>IF(INT(Q93/20)&gt;INT(Q92/20), "Lần " &amp; INT(Q93/20), "")</f>
        <v/>
      </c>
      <c r="AC93" s="11">
        <f>IF(INT(R93/20)&gt;INT(R92/20), "Lần " &amp; INT(R93/20), "")</f>
        <v/>
      </c>
      <c r="AD93" s="11">
        <f>IF(INT(S93/20)&gt;INT(S92/20), "Lần " &amp; INT(S93/20), "")</f>
        <v/>
      </c>
      <c r="AE93" s="11">
        <f>IF(INT(T93/20)&gt;INT(T92/20), "Lần " &amp; INT(T93/20), "")</f>
        <v/>
      </c>
      <c r="AF93" s="11">
        <f>IF(INT(U93/20)&gt;INT(U92/20), "Lần " &amp; INT(U93/20), "")</f>
        <v/>
      </c>
      <c r="AG93" s="11">
        <f>IF(INT(V93/20)&gt;INT(V92/20), "Lần " &amp; INT(V93/20), "")</f>
        <v/>
      </c>
      <c r="AH93" s="11">
        <f>IF(INT(W93/20)&gt;INT(W92/20), "Lần " &amp; INT(W93/20), "")</f>
        <v/>
      </c>
      <c r="AI93" s="11">
        <f>IF(INT(X93/20)&gt;INT(X92/20), "Lần " &amp; INT(X93/20), "")</f>
        <v/>
      </c>
      <c r="AJ93" s="11">
        <f>IF(INT(Y93/20)&gt;INT(Y92/20), "Lần " &amp; INT(Y93/20), "")</f>
        <v/>
      </c>
      <c r="AK93" s="11">
        <f>IF(INT(Z93/20)&gt;INT(Z92/20), "Lần " &amp; INT(Z93/20), "")</f>
        <v/>
      </c>
      <c r="AL93" s="6" t="inlineStr">
        <is>
          <t>ĐẠT TCVN 1651:2018</t>
        </is>
      </c>
    </row>
    <row r="94" ht="19" customHeight="1">
      <c r="A94" s="6" t="n">
        <v>85</v>
      </c>
      <c r="B94" s="7" t="inlineStr">
        <is>
          <t>Cọc khoan nhồi C3 Trụ T1 (D1.2m, L=40.0m)</t>
        </is>
      </c>
      <c r="C94" s="7" t="inlineStr">
        <is>
          <t>Thép đai xoắn lồng cọc</t>
        </is>
      </c>
      <c r="D94" s="18" t="inlineStr">
        <is>
          <t>P10</t>
        </is>
      </c>
      <c r="E94" s="19" t="n">
        <v>20</v>
      </c>
      <c r="F94" s="6" t="inlineStr">
        <is>
          <t>CB400-V</t>
        </is>
      </c>
      <c r="G94" s="7" t="inlineStr">
        <is>
          <t>Đai xoắn tròn</t>
        </is>
      </c>
      <c r="H94" s="20" t="n">
        <v>2.057</v>
      </c>
      <c r="I94" s="21" t="n">
        <v>1</v>
      </c>
      <c r="J94" s="22" t="n">
        <v>2.47</v>
      </c>
      <c r="K94" s="9">
        <f>ROUND(H94*I94*J94, 2)</f>
        <v/>
      </c>
      <c r="L94" s="23">
        <f>ROUND(K94/1000, 3)</f>
        <v/>
      </c>
      <c r="M94" s="8" t="n"/>
      <c r="N94" s="6" t="n"/>
      <c r="O94" s="24">
        <f>IF(AND(E94&lt;=10, F94&lt;&gt;"ASTM A416", INT(P94/20)&gt;INT(P93/20)), "TN Ø10 (Lần " &amp; INT(P94/20) &amp; ")", IF(AND(E94=12, INT(Q94/20)&gt;INT(Q93/20)), "TN Ø12 (Lần " &amp; INT(Q94/20) &amp; ")", IF(AND(E94=14, INT(R94/20)&gt;INT(R93/20)), "TN Ø14 (Lần " &amp; INT(R94/20) &amp; ")", IF(AND(E94=16, INT(S94/20)&gt;INT(S93/20)), "TN Ø16 (Lần " &amp; INT(S94/20) &amp; ")", IF(AND(E94=18, INT(T94/20)&gt;INT(T93/20)), "TN Ø18 (Lần " &amp; INT(T94/20) &amp; ")", IF(AND(E94=20, INT(U94/20)&gt;INT(U93/20)), "TN Ø20 (Lần " &amp; INT(U94/20) &amp; ")", IF(AND(E94=22, INT(V94/20)&gt;INT(V93/20)), "TN Ø22 (Lần " &amp; INT(V94/20) &amp; ")", IF(AND(E94=25, INT(W94/20)&gt;INT(W93/20)), "TN Ø25 (Lần " &amp; INT(W94/20) &amp; ")", IF(AND(E94=28, INT(X94/20)&gt;INT(X93/20)), "TN Ø28 (Lần " &amp; INT(X94/20) &amp; ")", IF(AND(E94=32, INT(Y94/20)&gt;INT(Y93/20)), "TN Ø32 (Lần " &amp; INT(Y94/20) &amp; ")", IF(AND(F94="ASTM A416", INT(Z94/20)&gt;INT(Z93/20)), "TN Cáp 15.2 (Lần " &amp; INT(Z94/20) &amp; ")", "")))))))))))</f>
        <v/>
      </c>
      <c r="P94" s="20">
        <f>ROUND(P93 + IF(AND(E94&lt;=10, F94&lt;&gt;"ASTM A416"), L94, 0), 3)</f>
        <v/>
      </c>
      <c r="Q94" s="20">
        <f>ROUND(Q93 + IF(AND(E94=12, F94&lt;&gt;"ASTM A416"), L94, 0), 3)</f>
        <v/>
      </c>
      <c r="R94" s="20">
        <f>ROUND(R93 + IF(AND(E94=14, F94&lt;&gt;"ASTM A416"), L94, 0), 3)</f>
        <v/>
      </c>
      <c r="S94" s="20">
        <f>ROUND(S93 + IF(AND(E94=16, F94&lt;&gt;"ASTM A416"), L94, 0), 3)</f>
        <v/>
      </c>
      <c r="T94" s="20">
        <f>ROUND(T93 + IF(AND(E94=18, F94&lt;&gt;"ASTM A416"), L94, 0), 3)</f>
        <v/>
      </c>
      <c r="U94" s="20">
        <f>ROUND(U93 + IF(AND(E94=20, F94&lt;&gt;"ASTM A416"), L94, 0), 3)</f>
        <v/>
      </c>
      <c r="V94" s="20">
        <f>ROUND(V93 + IF(AND(E94=22, F94&lt;&gt;"ASTM A416"), L94, 0), 3)</f>
        <v/>
      </c>
      <c r="W94" s="20">
        <f>ROUND(W93 + IF(AND(E94=25, F94&lt;&gt;"ASTM A416"), L94, 0), 3)</f>
        <v/>
      </c>
      <c r="X94" s="20">
        <f>ROUND(X93 + IF(AND(E94=28, F94&lt;&gt;"ASTM A416"), L94, 0), 3)</f>
        <v/>
      </c>
      <c r="Y94" s="20">
        <f>ROUND(Y93 + IF(AND(E94=32, F94&lt;&gt;"ASTM A416"), L94, 0), 3)</f>
        <v/>
      </c>
      <c r="Z94" s="20">
        <f>ROUND(Z93 + IF(F94="ASTM A416", L94, 0), 3)</f>
        <v/>
      </c>
      <c r="AA94" s="11">
        <f>IF(INT(P94/20)&gt;INT(P93/20), "Lần " &amp; INT(P94/20), "")</f>
        <v/>
      </c>
      <c r="AB94" s="11">
        <f>IF(INT(Q94/20)&gt;INT(Q93/20), "Lần " &amp; INT(Q94/20), "")</f>
        <v/>
      </c>
      <c r="AC94" s="11">
        <f>IF(INT(R94/20)&gt;INT(R93/20), "Lần " &amp; INT(R94/20), "")</f>
        <v/>
      </c>
      <c r="AD94" s="11">
        <f>IF(INT(S94/20)&gt;INT(S93/20), "Lần " &amp; INT(S94/20), "")</f>
        <v/>
      </c>
      <c r="AE94" s="11">
        <f>IF(INT(T94/20)&gt;INT(T93/20), "Lần " &amp; INT(T94/20), "")</f>
        <v/>
      </c>
      <c r="AF94" s="11">
        <f>IF(INT(U94/20)&gt;INT(U93/20), "Lần " &amp; INT(U94/20), "")</f>
        <v/>
      </c>
      <c r="AG94" s="11">
        <f>IF(INT(V94/20)&gt;INT(V93/20), "Lần " &amp; INT(V94/20), "")</f>
        <v/>
      </c>
      <c r="AH94" s="11">
        <f>IF(INT(W94/20)&gt;INT(W93/20), "Lần " &amp; INT(W94/20), "")</f>
        <v/>
      </c>
      <c r="AI94" s="11">
        <f>IF(INT(X94/20)&gt;INT(X93/20), "Lần " &amp; INT(X94/20), "")</f>
        <v/>
      </c>
      <c r="AJ94" s="11">
        <f>IF(INT(Y94/20)&gt;INT(Y93/20), "Lần " &amp; INT(Y94/20), "")</f>
        <v/>
      </c>
      <c r="AK94" s="11">
        <f>IF(INT(Z94/20)&gt;INT(Z93/20), "Lần " &amp; INT(Z94/20), "")</f>
        <v/>
      </c>
      <c r="AL94" s="6" t="inlineStr">
        <is>
          <t>ĐẠT TCVN 1651:2018</t>
        </is>
      </c>
    </row>
    <row r="95" ht="19" customHeight="1">
      <c r="A95" s="6" t="n">
        <v>86</v>
      </c>
      <c r="B95" s="7" t="inlineStr">
        <is>
          <t>Cọc khoan nhồi C3 Trụ T1 (D1.2m, L=40.0m)</t>
        </is>
      </c>
      <c r="C95" s="7" t="inlineStr">
        <is>
          <t>Thanh thép treo lồng cọc</t>
        </is>
      </c>
      <c r="D95" s="18" t="inlineStr">
        <is>
          <t>P11</t>
        </is>
      </c>
      <c r="E95" s="19" t="n">
        <v>16</v>
      </c>
      <c r="F95" s="6" t="inlineStr">
        <is>
          <t>CB400-V</t>
        </is>
      </c>
      <c r="G95" s="7" t="inlineStr">
        <is>
          <t>Thanh treo lồng (bảng phụ tr.68)</t>
        </is>
      </c>
      <c r="H95" s="20" t="n">
        <v>2.604</v>
      </c>
      <c r="I95" s="21" t="n">
        <v>4</v>
      </c>
      <c r="J95" s="22" t="n">
        <v>1.58</v>
      </c>
      <c r="K95" s="9">
        <f>ROUND(H95*I95*J95, 2)</f>
        <v/>
      </c>
      <c r="L95" s="23">
        <f>ROUND(K95/1000, 3)</f>
        <v/>
      </c>
      <c r="M95" s="8" t="n"/>
      <c r="N95" s="6" t="n"/>
      <c r="O95" s="24">
        <f>IF(AND(E95&lt;=10, F95&lt;&gt;"ASTM A416", INT(P95/20)&gt;INT(P94/20)), "TN Ø10 (Lần " &amp; INT(P95/20) &amp; ")", IF(AND(E95=12, INT(Q95/20)&gt;INT(Q94/20)), "TN Ø12 (Lần " &amp; INT(Q95/20) &amp; ")", IF(AND(E95=14, INT(R95/20)&gt;INT(R94/20)), "TN Ø14 (Lần " &amp; INT(R95/20) &amp; ")", IF(AND(E95=16, INT(S95/20)&gt;INT(S94/20)), "TN Ø16 (Lần " &amp; INT(S95/20) &amp; ")", IF(AND(E95=18, INT(T95/20)&gt;INT(T94/20)), "TN Ø18 (Lần " &amp; INT(T95/20) &amp; ")", IF(AND(E95=20, INT(U95/20)&gt;INT(U94/20)), "TN Ø20 (Lần " &amp; INT(U95/20) &amp; ")", IF(AND(E95=22, INT(V95/20)&gt;INT(V94/20)), "TN Ø22 (Lần " &amp; INT(V95/20) &amp; ")", IF(AND(E95=25, INT(W95/20)&gt;INT(W94/20)), "TN Ø25 (Lần " &amp; INT(W95/20) &amp; ")", IF(AND(E95=28, INT(X95/20)&gt;INT(X94/20)), "TN Ø28 (Lần " &amp; INT(X95/20) &amp; ")", IF(AND(E95=32, INT(Y95/20)&gt;INT(Y94/20)), "TN Ø32 (Lần " &amp; INT(Y95/20) &amp; ")", IF(AND(F95="ASTM A416", INT(Z95/20)&gt;INT(Z94/20)), "TN Cáp 15.2 (Lần " &amp; INT(Z95/20) &amp; ")", "")))))))))))</f>
        <v/>
      </c>
      <c r="P95" s="20">
        <f>ROUND(P94 + IF(AND(E95&lt;=10, F95&lt;&gt;"ASTM A416"), L95, 0), 3)</f>
        <v/>
      </c>
      <c r="Q95" s="20">
        <f>ROUND(Q94 + IF(AND(E95=12, F95&lt;&gt;"ASTM A416"), L95, 0), 3)</f>
        <v/>
      </c>
      <c r="R95" s="20">
        <f>ROUND(R94 + IF(AND(E95=14, F95&lt;&gt;"ASTM A416"), L95, 0), 3)</f>
        <v/>
      </c>
      <c r="S95" s="20">
        <f>ROUND(S94 + IF(AND(E95=16, F95&lt;&gt;"ASTM A416"), L95, 0), 3)</f>
        <v/>
      </c>
      <c r="T95" s="20">
        <f>ROUND(T94 + IF(AND(E95=18, F95&lt;&gt;"ASTM A416"), L95, 0), 3)</f>
        <v/>
      </c>
      <c r="U95" s="20">
        <f>ROUND(U94 + IF(AND(E95=20, F95&lt;&gt;"ASTM A416"), L95, 0), 3)</f>
        <v/>
      </c>
      <c r="V95" s="20">
        <f>ROUND(V94 + IF(AND(E95=22, F95&lt;&gt;"ASTM A416"), L95, 0), 3)</f>
        <v/>
      </c>
      <c r="W95" s="20">
        <f>ROUND(W94 + IF(AND(E95=25, F95&lt;&gt;"ASTM A416"), L95, 0), 3)</f>
        <v/>
      </c>
      <c r="X95" s="20">
        <f>ROUND(X94 + IF(AND(E95=28, F95&lt;&gt;"ASTM A416"), L95, 0), 3)</f>
        <v/>
      </c>
      <c r="Y95" s="20">
        <f>ROUND(Y94 + IF(AND(E95=32, F95&lt;&gt;"ASTM A416"), L95, 0), 3)</f>
        <v/>
      </c>
      <c r="Z95" s="20">
        <f>ROUND(Z94 + IF(F95="ASTM A416", L95, 0), 3)</f>
        <v/>
      </c>
      <c r="AA95" s="11">
        <f>IF(INT(P95/20)&gt;INT(P94/20), "Lần " &amp; INT(P95/20), "")</f>
        <v/>
      </c>
      <c r="AB95" s="11">
        <f>IF(INT(Q95/20)&gt;INT(Q94/20), "Lần " &amp; INT(Q95/20), "")</f>
        <v/>
      </c>
      <c r="AC95" s="11">
        <f>IF(INT(R95/20)&gt;INT(R94/20), "Lần " &amp; INT(R95/20), "")</f>
        <v/>
      </c>
      <c r="AD95" s="11">
        <f>IF(INT(S95/20)&gt;INT(S94/20), "Lần " &amp; INT(S95/20), "")</f>
        <v/>
      </c>
      <c r="AE95" s="11">
        <f>IF(INT(T95/20)&gt;INT(T94/20), "Lần " &amp; INT(T95/20), "")</f>
        <v/>
      </c>
      <c r="AF95" s="11">
        <f>IF(INT(U95/20)&gt;INT(U94/20), "Lần " &amp; INT(U95/20), "")</f>
        <v/>
      </c>
      <c r="AG95" s="11">
        <f>IF(INT(V95/20)&gt;INT(V94/20), "Lần " &amp; INT(V95/20), "")</f>
        <v/>
      </c>
      <c r="AH95" s="11">
        <f>IF(INT(W95/20)&gt;INT(W94/20), "Lần " &amp; INT(W95/20), "")</f>
        <v/>
      </c>
      <c r="AI95" s="11">
        <f>IF(INT(X95/20)&gt;INT(X94/20), "Lần " &amp; INT(X95/20), "")</f>
        <v/>
      </c>
      <c r="AJ95" s="11">
        <f>IF(INT(Y95/20)&gt;INT(Y94/20), "Lần " &amp; INT(Y95/20), "")</f>
        <v/>
      </c>
      <c r="AK95" s="11">
        <f>IF(INT(Z95/20)&gt;INT(Z94/20), "Lần " &amp; INT(Z95/20), "")</f>
        <v/>
      </c>
      <c r="AL95" s="6" t="inlineStr">
        <is>
          <t>ĐẠT TCVN 1651:2018</t>
        </is>
      </c>
    </row>
    <row r="96" ht="19" customHeight="1">
      <c r="A96" s="6" t="n">
        <v>87</v>
      </c>
      <c r="B96" s="7" t="inlineStr">
        <is>
          <t>Cọc khoan nhồi C3 Trụ T1 (D1.2m, L=40.0m)</t>
        </is>
      </c>
      <c r="C96" s="7" t="inlineStr">
        <is>
          <t>Thép đai xoắn lồng cọc</t>
        </is>
      </c>
      <c r="D96" s="18" t="inlineStr">
        <is>
          <t>P12</t>
        </is>
      </c>
      <c r="E96" s="19" t="n">
        <v>20</v>
      </c>
      <c r="F96" s="6" t="inlineStr">
        <is>
          <t>CB400-V</t>
        </is>
      </c>
      <c r="G96" s="7" t="inlineStr">
        <is>
          <t>Đai xoắn tròn</t>
        </is>
      </c>
      <c r="H96" s="20" t="n">
        <v>0.583</v>
      </c>
      <c r="I96" s="21" t="n">
        <v>64</v>
      </c>
      <c r="J96" s="22" t="n">
        <v>2.47</v>
      </c>
      <c r="K96" s="9">
        <f>ROUND(H96*I96*J96, 2)</f>
        <v/>
      </c>
      <c r="L96" s="23">
        <f>ROUND(K96/1000, 3)</f>
        <v/>
      </c>
      <c r="M96" s="8" t="n"/>
      <c r="N96" s="6" t="n"/>
      <c r="O96" s="24">
        <f>IF(AND(E96&lt;=10, F96&lt;&gt;"ASTM A416", INT(P96/20)&gt;INT(P95/20)), "TN Ø10 (Lần " &amp; INT(P96/20) &amp; ")", IF(AND(E96=12, INT(Q96/20)&gt;INT(Q95/20)), "TN Ø12 (Lần " &amp; INT(Q96/20) &amp; ")", IF(AND(E96=14, INT(R96/20)&gt;INT(R95/20)), "TN Ø14 (Lần " &amp; INT(R96/20) &amp; ")", IF(AND(E96=16, INT(S96/20)&gt;INT(S95/20)), "TN Ø16 (Lần " &amp; INT(S96/20) &amp; ")", IF(AND(E96=18, INT(T96/20)&gt;INT(T95/20)), "TN Ø18 (Lần " &amp; INT(T96/20) &amp; ")", IF(AND(E96=20, INT(U96/20)&gt;INT(U95/20)), "TN Ø20 (Lần " &amp; INT(U96/20) &amp; ")", IF(AND(E96=22, INT(V96/20)&gt;INT(V95/20)), "TN Ø22 (Lần " &amp; INT(V96/20) &amp; ")", IF(AND(E96=25, INT(W96/20)&gt;INT(W95/20)), "TN Ø25 (Lần " &amp; INT(W96/20) &amp; ")", IF(AND(E96=28, INT(X96/20)&gt;INT(X95/20)), "TN Ø28 (Lần " &amp; INT(X96/20) &amp; ")", IF(AND(E96=32, INT(Y96/20)&gt;INT(Y95/20)), "TN Ø32 (Lần " &amp; INT(Y96/20) &amp; ")", IF(AND(F96="ASTM A416", INT(Z96/20)&gt;INT(Z95/20)), "TN Cáp 15.2 (Lần " &amp; INT(Z96/20) &amp; ")", "")))))))))))</f>
        <v/>
      </c>
      <c r="P96" s="20">
        <f>ROUND(P95 + IF(AND(E96&lt;=10, F96&lt;&gt;"ASTM A416"), L96, 0), 3)</f>
        <v/>
      </c>
      <c r="Q96" s="20">
        <f>ROUND(Q95 + IF(AND(E96=12, F96&lt;&gt;"ASTM A416"), L96, 0), 3)</f>
        <v/>
      </c>
      <c r="R96" s="20">
        <f>ROUND(R95 + IF(AND(E96=14, F96&lt;&gt;"ASTM A416"), L96, 0), 3)</f>
        <v/>
      </c>
      <c r="S96" s="20">
        <f>ROUND(S95 + IF(AND(E96=16, F96&lt;&gt;"ASTM A416"), L96, 0), 3)</f>
        <v/>
      </c>
      <c r="T96" s="20">
        <f>ROUND(T95 + IF(AND(E96=18, F96&lt;&gt;"ASTM A416"), L96, 0), 3)</f>
        <v/>
      </c>
      <c r="U96" s="20">
        <f>ROUND(U95 + IF(AND(E96=20, F96&lt;&gt;"ASTM A416"), L96, 0), 3)</f>
        <v/>
      </c>
      <c r="V96" s="20">
        <f>ROUND(V95 + IF(AND(E96=22, F96&lt;&gt;"ASTM A416"), L96, 0), 3)</f>
        <v/>
      </c>
      <c r="W96" s="20">
        <f>ROUND(W95 + IF(AND(E96=25, F96&lt;&gt;"ASTM A416"), L96, 0), 3)</f>
        <v/>
      </c>
      <c r="X96" s="20">
        <f>ROUND(X95 + IF(AND(E96=28, F96&lt;&gt;"ASTM A416"), L96, 0), 3)</f>
        <v/>
      </c>
      <c r="Y96" s="20">
        <f>ROUND(Y95 + IF(AND(E96=32, F96&lt;&gt;"ASTM A416"), L96, 0), 3)</f>
        <v/>
      </c>
      <c r="Z96" s="20">
        <f>ROUND(Z95 + IF(F96="ASTM A416", L96, 0), 3)</f>
        <v/>
      </c>
      <c r="AA96" s="11">
        <f>IF(INT(P96/20)&gt;INT(P95/20), "Lần " &amp; INT(P96/20), "")</f>
        <v/>
      </c>
      <c r="AB96" s="11">
        <f>IF(INT(Q96/20)&gt;INT(Q95/20), "Lần " &amp; INT(Q96/20), "")</f>
        <v/>
      </c>
      <c r="AC96" s="11">
        <f>IF(INT(R96/20)&gt;INT(R95/20), "Lần " &amp; INT(R96/20), "")</f>
        <v/>
      </c>
      <c r="AD96" s="11">
        <f>IF(INT(S96/20)&gt;INT(S95/20), "Lần " &amp; INT(S96/20), "")</f>
        <v/>
      </c>
      <c r="AE96" s="11">
        <f>IF(INT(T96/20)&gt;INT(T95/20), "Lần " &amp; INT(T96/20), "")</f>
        <v/>
      </c>
      <c r="AF96" s="11">
        <f>IF(INT(U96/20)&gt;INT(U95/20), "Lần " &amp; INT(U96/20), "")</f>
        <v/>
      </c>
      <c r="AG96" s="11">
        <f>IF(INT(V96/20)&gt;INT(V95/20), "Lần " &amp; INT(V96/20), "")</f>
        <v/>
      </c>
      <c r="AH96" s="11">
        <f>IF(INT(W96/20)&gt;INT(W95/20), "Lần " &amp; INT(W96/20), "")</f>
        <v/>
      </c>
      <c r="AI96" s="11">
        <f>IF(INT(X96/20)&gt;INT(X95/20), "Lần " &amp; INT(X96/20), "")</f>
        <v/>
      </c>
      <c r="AJ96" s="11">
        <f>IF(INT(Y96/20)&gt;INT(Y95/20), "Lần " &amp; INT(Y96/20), "")</f>
        <v/>
      </c>
      <c r="AK96" s="11">
        <f>IF(INT(Z96/20)&gt;INT(Z95/20), "Lần " &amp; INT(Z96/20), "")</f>
        <v/>
      </c>
      <c r="AL96" s="6" t="inlineStr">
        <is>
          <t>ĐẠT TCVN 1651:2018</t>
        </is>
      </c>
    </row>
    <row r="97" ht="20" customHeight="1">
      <c r="A97" s="17" t="inlineStr">
        <is>
          <t>--- CỌC KHOAN NHỒI C4 TRỤ T1 (D1.2M, L=40.0M) ---</t>
        </is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</row>
    <row r="98" ht="19" customHeight="1">
      <c r="A98" s="6" t="n">
        <v>88</v>
      </c>
      <c r="B98" s="7" t="inlineStr">
        <is>
          <t>Cọc khoan nhồi C4 Trụ T1 (D1.2m, L=40.0m)</t>
        </is>
      </c>
      <c r="C98" s="7" t="inlineStr">
        <is>
          <t>Thép đai xoắn lồng cọc</t>
        </is>
      </c>
      <c r="D98" s="18" t="inlineStr">
        <is>
          <t>P1</t>
        </is>
      </c>
      <c r="E98" s="19" t="n">
        <v>10</v>
      </c>
      <c r="F98" s="6" t="inlineStr">
        <is>
          <t>CB240-T</t>
        </is>
      </c>
      <c r="G98" s="7" t="inlineStr">
        <is>
          <t>Đai xoắn tròn</t>
        </is>
      </c>
      <c r="H98" s="20" t="n">
        <v>96.604</v>
      </c>
      <c r="I98" s="21" t="n">
        <v>1</v>
      </c>
      <c r="J98" s="22" t="n">
        <v>0.617</v>
      </c>
      <c r="K98" s="9">
        <f>ROUND(H98*I98*J98, 2)</f>
        <v/>
      </c>
      <c r="L98" s="23">
        <f>ROUND(K98/1000, 3)</f>
        <v/>
      </c>
      <c r="M98" s="8" t="n"/>
      <c r="N98" s="6" t="n"/>
      <c r="O98" s="24">
        <f>IF(AND(E98&lt;=10, F98&lt;&gt;"ASTM A416", INT(P98/20)&gt;INT(P96/20)), "TN Ø10 (Lần " &amp; INT(P98/20) &amp; ")", IF(AND(E98=12, INT(Q98/20)&gt;INT(Q96/20)), "TN Ø12 (Lần " &amp; INT(Q98/20) &amp; ")", IF(AND(E98=14, INT(R98/20)&gt;INT(R96/20)), "TN Ø14 (Lần " &amp; INT(R98/20) &amp; ")", IF(AND(E98=16, INT(S98/20)&gt;INT(S96/20)), "TN Ø16 (Lần " &amp; INT(S98/20) &amp; ")", IF(AND(E98=18, INT(T98/20)&gt;INT(T96/20)), "TN Ø18 (Lần " &amp; INT(T98/20) &amp; ")", IF(AND(E98=20, INT(U98/20)&gt;INT(U96/20)), "TN Ø20 (Lần " &amp; INT(U98/20) &amp; ")", IF(AND(E98=22, INT(V98/20)&gt;INT(V96/20)), "TN Ø22 (Lần " &amp; INT(V98/20) &amp; ")", IF(AND(E98=25, INT(W98/20)&gt;INT(W96/20)), "TN Ø25 (Lần " &amp; INT(W98/20) &amp; ")", IF(AND(E98=28, INT(X98/20)&gt;INT(X96/20)), "TN Ø28 (Lần " &amp; INT(X98/20) &amp; ")", IF(AND(E98=32, INT(Y98/20)&gt;INT(Y96/20)), "TN Ø32 (Lần " &amp; INT(Y98/20) &amp; ")", IF(AND(F98="ASTM A416", INT(Z98/20)&gt;INT(Z96/20)), "TN Cáp 15.2 (Lần " &amp; INT(Z98/20) &amp; ")", "")))))))))))</f>
        <v/>
      </c>
      <c r="P98" s="20">
        <f>ROUND(P96 + IF(AND(E98&lt;=10, F98&lt;&gt;"ASTM A416"), L98, 0), 3)</f>
        <v/>
      </c>
      <c r="Q98" s="20">
        <f>ROUND(Q96 + IF(AND(E98=12, F98&lt;&gt;"ASTM A416"), L98, 0), 3)</f>
        <v/>
      </c>
      <c r="R98" s="20">
        <f>ROUND(R96 + IF(AND(E98=14, F98&lt;&gt;"ASTM A416"), L98, 0), 3)</f>
        <v/>
      </c>
      <c r="S98" s="20">
        <f>ROUND(S96 + IF(AND(E98=16, F98&lt;&gt;"ASTM A416"), L98, 0), 3)</f>
        <v/>
      </c>
      <c r="T98" s="20">
        <f>ROUND(T96 + IF(AND(E98=18, F98&lt;&gt;"ASTM A416"), L98, 0), 3)</f>
        <v/>
      </c>
      <c r="U98" s="20">
        <f>ROUND(U96 + IF(AND(E98=20, F98&lt;&gt;"ASTM A416"), L98, 0), 3)</f>
        <v/>
      </c>
      <c r="V98" s="20">
        <f>ROUND(V96 + IF(AND(E98=22, F98&lt;&gt;"ASTM A416"), L98, 0), 3)</f>
        <v/>
      </c>
      <c r="W98" s="20">
        <f>ROUND(W96 + IF(AND(E98=25, F98&lt;&gt;"ASTM A416"), L98, 0), 3)</f>
        <v/>
      </c>
      <c r="X98" s="20">
        <f>ROUND(X96 + IF(AND(E98=28, F98&lt;&gt;"ASTM A416"), L98, 0), 3)</f>
        <v/>
      </c>
      <c r="Y98" s="20">
        <f>ROUND(Y96 + IF(AND(E98=32, F98&lt;&gt;"ASTM A416"), L98, 0), 3)</f>
        <v/>
      </c>
      <c r="Z98" s="20">
        <f>ROUND(Z96 + IF(F98="ASTM A416", L98, 0), 3)</f>
        <v/>
      </c>
      <c r="AA98" s="11">
        <f>IF(INT(P98/20)&gt;INT(P96/20), "Lần " &amp; INT(P98/20), "")</f>
        <v/>
      </c>
      <c r="AB98" s="11">
        <f>IF(INT(Q98/20)&gt;INT(Q96/20), "Lần " &amp; INT(Q98/20), "")</f>
        <v/>
      </c>
      <c r="AC98" s="11">
        <f>IF(INT(R98/20)&gt;INT(R96/20), "Lần " &amp; INT(R98/20), "")</f>
        <v/>
      </c>
      <c r="AD98" s="11">
        <f>IF(INT(S98/20)&gt;INT(S96/20), "Lần " &amp; INT(S98/20), "")</f>
        <v/>
      </c>
      <c r="AE98" s="11">
        <f>IF(INT(T98/20)&gt;INT(T96/20), "Lần " &amp; INT(T98/20), "")</f>
        <v/>
      </c>
      <c r="AF98" s="11">
        <f>IF(INT(U98/20)&gt;INT(U96/20), "Lần " &amp; INT(U98/20), "")</f>
        <v/>
      </c>
      <c r="AG98" s="11">
        <f>IF(INT(V98/20)&gt;INT(V96/20), "Lần " &amp; INT(V98/20), "")</f>
        <v/>
      </c>
      <c r="AH98" s="11">
        <f>IF(INT(W98/20)&gt;INT(W96/20), "Lần " &amp; INT(W98/20), "")</f>
        <v/>
      </c>
      <c r="AI98" s="11">
        <f>IF(INT(X98/20)&gt;INT(X96/20), "Lần " &amp; INT(X98/20), "")</f>
        <v/>
      </c>
      <c r="AJ98" s="11">
        <f>IF(INT(Y98/20)&gt;INT(Y96/20), "Lần " &amp; INT(Y98/20), "")</f>
        <v/>
      </c>
      <c r="AK98" s="11">
        <f>IF(INT(Z98/20)&gt;INT(Z96/20), "Lần " &amp; INT(Z98/20), "")</f>
        <v/>
      </c>
      <c r="AL98" s="6" t="inlineStr">
        <is>
          <t>ĐẠT TCVN 1651:2018</t>
        </is>
      </c>
    </row>
    <row r="99" ht="19" customHeight="1">
      <c r="A99" s="6" t="n">
        <v>89</v>
      </c>
      <c r="B99" s="7" t="inlineStr">
        <is>
          <t>Cọc khoan nhồi C4 Trụ T1 (D1.2m, L=40.0m)</t>
        </is>
      </c>
      <c r="C99" s="7" t="inlineStr">
        <is>
          <t>Thép đai xoắn lồng cọc</t>
        </is>
      </c>
      <c r="D99" s="18" t="inlineStr">
        <is>
          <t>P1A</t>
        </is>
      </c>
      <c r="E99" s="19" t="n">
        <v>10</v>
      </c>
      <c r="F99" s="6" t="inlineStr">
        <is>
          <t>CB240-T</t>
        </is>
      </c>
      <c r="G99" s="7" t="inlineStr">
        <is>
          <t>Đai xoắn tròn</t>
        </is>
      </c>
      <c r="H99" s="20" t="n">
        <v>389.636</v>
      </c>
      <c r="I99" s="21" t="n">
        <v>1</v>
      </c>
      <c r="J99" s="22" t="n">
        <v>0.617</v>
      </c>
      <c r="K99" s="9">
        <f>ROUND(H99*I99*J99, 2)</f>
        <v/>
      </c>
      <c r="L99" s="23">
        <f>ROUND(K99/1000, 3)</f>
        <v/>
      </c>
      <c r="M99" s="8" t="n"/>
      <c r="N99" s="6" t="n"/>
      <c r="O99" s="24">
        <f>IF(AND(E99&lt;=10, F99&lt;&gt;"ASTM A416", INT(P99/20)&gt;INT(P98/20)), "TN Ø10 (Lần " &amp; INT(P99/20) &amp; ")", IF(AND(E99=12, INT(Q99/20)&gt;INT(Q98/20)), "TN Ø12 (Lần " &amp; INT(Q99/20) &amp; ")", IF(AND(E99=14, INT(R99/20)&gt;INT(R98/20)), "TN Ø14 (Lần " &amp; INT(R99/20) &amp; ")", IF(AND(E99=16, INT(S99/20)&gt;INT(S98/20)), "TN Ø16 (Lần " &amp; INT(S99/20) &amp; ")", IF(AND(E99=18, INT(T99/20)&gt;INT(T98/20)), "TN Ø18 (Lần " &amp; INT(T99/20) &amp; ")", IF(AND(E99=20, INT(U99/20)&gt;INT(U98/20)), "TN Ø20 (Lần " &amp; INT(U99/20) &amp; ")", IF(AND(E99=22, INT(V99/20)&gt;INT(V98/20)), "TN Ø22 (Lần " &amp; INT(V99/20) &amp; ")", IF(AND(E99=25, INT(W99/20)&gt;INT(W98/20)), "TN Ø25 (Lần " &amp; INT(W99/20) &amp; ")", IF(AND(E99=28, INT(X99/20)&gt;INT(X98/20)), "TN Ø28 (Lần " &amp; INT(X99/20) &amp; ")", IF(AND(E99=32, INT(Y99/20)&gt;INT(Y98/20)), "TN Ø32 (Lần " &amp; INT(Y99/20) &amp; ")", IF(AND(F99="ASTM A416", INT(Z99/20)&gt;INT(Z98/20)), "TN Cáp 15.2 (Lần " &amp; INT(Z99/20) &amp; ")", "")))))))))))</f>
        <v/>
      </c>
      <c r="P99" s="20">
        <f>ROUND(P98 + IF(AND(E99&lt;=10, F99&lt;&gt;"ASTM A416"), L99, 0), 3)</f>
        <v/>
      </c>
      <c r="Q99" s="20">
        <f>ROUND(Q98 + IF(AND(E99=12, F99&lt;&gt;"ASTM A416"), L99, 0), 3)</f>
        <v/>
      </c>
      <c r="R99" s="20">
        <f>ROUND(R98 + IF(AND(E99=14, F99&lt;&gt;"ASTM A416"), L99, 0), 3)</f>
        <v/>
      </c>
      <c r="S99" s="20">
        <f>ROUND(S98 + IF(AND(E99=16, F99&lt;&gt;"ASTM A416"), L99, 0), 3)</f>
        <v/>
      </c>
      <c r="T99" s="20">
        <f>ROUND(T98 + IF(AND(E99=18, F99&lt;&gt;"ASTM A416"), L99, 0), 3)</f>
        <v/>
      </c>
      <c r="U99" s="20">
        <f>ROUND(U98 + IF(AND(E99=20, F99&lt;&gt;"ASTM A416"), L99, 0), 3)</f>
        <v/>
      </c>
      <c r="V99" s="20">
        <f>ROUND(V98 + IF(AND(E99=22, F99&lt;&gt;"ASTM A416"), L99, 0), 3)</f>
        <v/>
      </c>
      <c r="W99" s="20">
        <f>ROUND(W98 + IF(AND(E99=25, F99&lt;&gt;"ASTM A416"), L99, 0), 3)</f>
        <v/>
      </c>
      <c r="X99" s="20">
        <f>ROUND(X98 + IF(AND(E99=28, F99&lt;&gt;"ASTM A416"), L99, 0), 3)</f>
        <v/>
      </c>
      <c r="Y99" s="20">
        <f>ROUND(Y98 + IF(AND(E99=32, F99&lt;&gt;"ASTM A416"), L99, 0), 3)</f>
        <v/>
      </c>
      <c r="Z99" s="20">
        <f>ROUND(Z98 + IF(F99="ASTM A416", L99, 0), 3)</f>
        <v/>
      </c>
      <c r="AA99" s="11">
        <f>IF(INT(P99/20)&gt;INT(P98/20), "Lần " &amp; INT(P99/20), "")</f>
        <v/>
      </c>
      <c r="AB99" s="11">
        <f>IF(INT(Q99/20)&gt;INT(Q98/20), "Lần " &amp; INT(Q99/20), "")</f>
        <v/>
      </c>
      <c r="AC99" s="11">
        <f>IF(INT(R99/20)&gt;INT(R98/20), "Lần " &amp; INT(R99/20), "")</f>
        <v/>
      </c>
      <c r="AD99" s="11">
        <f>IF(INT(S99/20)&gt;INT(S98/20), "Lần " &amp; INT(S99/20), "")</f>
        <v/>
      </c>
      <c r="AE99" s="11">
        <f>IF(INT(T99/20)&gt;INT(T98/20), "Lần " &amp; INT(T99/20), "")</f>
        <v/>
      </c>
      <c r="AF99" s="11">
        <f>IF(INT(U99/20)&gt;INT(U98/20), "Lần " &amp; INT(U99/20), "")</f>
        <v/>
      </c>
      <c r="AG99" s="11">
        <f>IF(INT(V99/20)&gt;INT(V98/20), "Lần " &amp; INT(V99/20), "")</f>
        <v/>
      </c>
      <c r="AH99" s="11">
        <f>IF(INT(W99/20)&gt;INT(W98/20), "Lần " &amp; INT(W99/20), "")</f>
        <v/>
      </c>
      <c r="AI99" s="11">
        <f>IF(INT(X99/20)&gt;INT(X98/20), "Lần " &amp; INT(X99/20), "")</f>
        <v/>
      </c>
      <c r="AJ99" s="11">
        <f>IF(INT(Y99/20)&gt;INT(Y98/20), "Lần " &amp; INT(Y99/20), "")</f>
        <v/>
      </c>
      <c r="AK99" s="11">
        <f>IF(INT(Z99/20)&gt;INT(Z98/20), "Lần " &amp; INT(Z99/20), "")</f>
        <v/>
      </c>
      <c r="AL99" s="6" t="inlineStr">
        <is>
          <t>ĐẠT TCVN 1651:2018</t>
        </is>
      </c>
    </row>
    <row r="100" ht="19" customHeight="1">
      <c r="A100" s="6" t="n">
        <v>90</v>
      </c>
      <c r="B100" s="7" t="inlineStr">
        <is>
          <t>Cọc khoan nhồi C4 Trụ T1 (D1.2m, L=40.0m)</t>
        </is>
      </c>
      <c r="C100" s="7" t="inlineStr">
        <is>
          <t>Thép đai xoắn lồng cọc</t>
        </is>
      </c>
      <c r="D100" s="18" t="inlineStr">
        <is>
          <t>P1B</t>
        </is>
      </c>
      <c r="E100" s="19" t="n">
        <v>10</v>
      </c>
      <c r="F100" s="6" t="inlineStr">
        <is>
          <t>CB240-T</t>
        </is>
      </c>
      <c r="G100" s="7" t="inlineStr">
        <is>
          <t>Đai xoắn tròn</t>
        </is>
      </c>
      <c r="H100" s="20" t="n">
        <v>206.981</v>
      </c>
      <c r="I100" s="21" t="n">
        <v>1</v>
      </c>
      <c r="J100" s="22" t="n">
        <v>0.617</v>
      </c>
      <c r="K100" s="9">
        <f>ROUND(H100*I100*J100, 2)</f>
        <v/>
      </c>
      <c r="L100" s="23">
        <f>ROUND(K100/1000, 3)</f>
        <v/>
      </c>
      <c r="M100" s="8" t="n"/>
      <c r="N100" s="6" t="n"/>
      <c r="O100" s="24">
        <f>IF(AND(E100&lt;=10, F100&lt;&gt;"ASTM A416", INT(P100/20)&gt;INT(P99/20)), "TN Ø10 (Lần " &amp; INT(P100/20) &amp; ")", IF(AND(E100=12, INT(Q100/20)&gt;INT(Q99/20)), "TN Ø12 (Lần " &amp; INT(Q100/20) &amp; ")", IF(AND(E100=14, INT(R100/20)&gt;INT(R99/20)), "TN Ø14 (Lần " &amp; INT(R100/20) &amp; ")", IF(AND(E100=16, INT(S100/20)&gt;INT(S99/20)), "TN Ø16 (Lần " &amp; INT(S100/20) &amp; ")", IF(AND(E100=18, INT(T100/20)&gt;INT(T99/20)), "TN Ø18 (Lần " &amp; INT(T100/20) &amp; ")", IF(AND(E100=20, INT(U100/20)&gt;INT(U99/20)), "TN Ø20 (Lần " &amp; INT(U100/20) &amp; ")", IF(AND(E100=22, INT(V100/20)&gt;INT(V99/20)), "TN Ø22 (Lần " &amp; INT(V100/20) &amp; ")", IF(AND(E100=25, INT(W100/20)&gt;INT(W99/20)), "TN Ø25 (Lần " &amp; INT(W100/20) &amp; ")", IF(AND(E100=28, INT(X100/20)&gt;INT(X99/20)), "TN Ø28 (Lần " &amp; INT(X100/20) &amp; ")", IF(AND(E100=32, INT(Y100/20)&gt;INT(Y99/20)), "TN Ø32 (Lần " &amp; INT(Y100/20) &amp; ")", IF(AND(F100="ASTM A416", INT(Z100/20)&gt;INT(Z99/20)), "TN Cáp 15.2 (Lần " &amp; INT(Z100/20) &amp; ")", "")))))))))))</f>
        <v/>
      </c>
      <c r="P100" s="20">
        <f>ROUND(P99 + IF(AND(E100&lt;=10, F100&lt;&gt;"ASTM A416"), L100, 0), 3)</f>
        <v/>
      </c>
      <c r="Q100" s="20">
        <f>ROUND(Q99 + IF(AND(E100=12, F100&lt;&gt;"ASTM A416"), L100, 0), 3)</f>
        <v/>
      </c>
      <c r="R100" s="20">
        <f>ROUND(R99 + IF(AND(E100=14, F100&lt;&gt;"ASTM A416"), L100, 0), 3)</f>
        <v/>
      </c>
      <c r="S100" s="20">
        <f>ROUND(S99 + IF(AND(E100=16, F100&lt;&gt;"ASTM A416"), L100, 0), 3)</f>
        <v/>
      </c>
      <c r="T100" s="20">
        <f>ROUND(T99 + IF(AND(E100=18, F100&lt;&gt;"ASTM A416"), L100, 0), 3)</f>
        <v/>
      </c>
      <c r="U100" s="20">
        <f>ROUND(U99 + IF(AND(E100=20, F100&lt;&gt;"ASTM A416"), L100, 0), 3)</f>
        <v/>
      </c>
      <c r="V100" s="20">
        <f>ROUND(V99 + IF(AND(E100=22, F100&lt;&gt;"ASTM A416"), L100, 0), 3)</f>
        <v/>
      </c>
      <c r="W100" s="20">
        <f>ROUND(W99 + IF(AND(E100=25, F100&lt;&gt;"ASTM A416"), L100, 0), 3)</f>
        <v/>
      </c>
      <c r="X100" s="20">
        <f>ROUND(X99 + IF(AND(E100=28, F100&lt;&gt;"ASTM A416"), L100, 0), 3)</f>
        <v/>
      </c>
      <c r="Y100" s="20">
        <f>ROUND(Y99 + IF(AND(E100=32, F100&lt;&gt;"ASTM A416"), L100, 0), 3)</f>
        <v/>
      </c>
      <c r="Z100" s="20">
        <f>ROUND(Z99 + IF(F100="ASTM A416", L100, 0), 3)</f>
        <v/>
      </c>
      <c r="AA100" s="11">
        <f>IF(INT(P100/20)&gt;INT(P99/20), "Lần " &amp; INT(P100/20), "")</f>
        <v/>
      </c>
      <c r="AB100" s="11">
        <f>IF(INT(Q100/20)&gt;INT(Q99/20), "Lần " &amp; INT(Q100/20), "")</f>
        <v/>
      </c>
      <c r="AC100" s="11">
        <f>IF(INT(R100/20)&gt;INT(R99/20), "Lần " &amp; INT(R100/20), "")</f>
        <v/>
      </c>
      <c r="AD100" s="11">
        <f>IF(INT(S100/20)&gt;INT(S99/20), "Lần " &amp; INT(S100/20), "")</f>
        <v/>
      </c>
      <c r="AE100" s="11">
        <f>IF(INT(T100/20)&gt;INT(T99/20), "Lần " &amp; INT(T100/20), "")</f>
        <v/>
      </c>
      <c r="AF100" s="11">
        <f>IF(INT(U100/20)&gt;INT(U99/20), "Lần " &amp; INT(U100/20), "")</f>
        <v/>
      </c>
      <c r="AG100" s="11">
        <f>IF(INT(V100/20)&gt;INT(V99/20), "Lần " &amp; INT(V100/20), "")</f>
        <v/>
      </c>
      <c r="AH100" s="11">
        <f>IF(INT(W100/20)&gt;INT(W99/20), "Lần " &amp; INT(W100/20), "")</f>
        <v/>
      </c>
      <c r="AI100" s="11">
        <f>IF(INT(X100/20)&gt;INT(X99/20), "Lần " &amp; INT(X100/20), "")</f>
        <v/>
      </c>
      <c r="AJ100" s="11">
        <f>IF(INT(Y100/20)&gt;INT(Y99/20), "Lần " &amp; INT(Y100/20), "")</f>
        <v/>
      </c>
      <c r="AK100" s="11">
        <f>IF(INT(Z100/20)&gt;INT(Z99/20), "Lần " &amp; INT(Z100/20), "")</f>
        <v/>
      </c>
      <c r="AL100" s="6" t="inlineStr">
        <is>
          <t>ĐẠT TCVN 1651:2018</t>
        </is>
      </c>
    </row>
    <row r="101" ht="19" customHeight="1">
      <c r="A101" s="6" t="n">
        <v>91</v>
      </c>
      <c r="B101" s="7" t="inlineStr">
        <is>
          <t>Cọc khoan nhồi C4 Trụ T1 (D1.2m, L=40.0m)</t>
        </is>
      </c>
      <c r="C101" s="7" t="inlineStr">
        <is>
          <t>Thép đai xoắn lồng cọc</t>
        </is>
      </c>
      <c r="D101" s="18" t="inlineStr">
        <is>
          <t>P1C</t>
        </is>
      </c>
      <c r="E101" s="19" t="n">
        <v>10</v>
      </c>
      <c r="F101" s="6" t="inlineStr">
        <is>
          <t>CB240-T</t>
        </is>
      </c>
      <c r="G101" s="7" t="inlineStr">
        <is>
          <t>Đai xoắn tròn</t>
        </is>
      </c>
      <c r="H101" s="20" t="n">
        <v>3.592</v>
      </c>
      <c r="I101" s="21" t="n">
        <v>2</v>
      </c>
      <c r="J101" s="22" t="n">
        <v>0.617</v>
      </c>
      <c r="K101" s="9">
        <f>ROUND(H101*I101*J101, 2)</f>
        <v/>
      </c>
      <c r="L101" s="23">
        <f>ROUND(K101/1000, 3)</f>
        <v/>
      </c>
      <c r="M101" s="8" t="n"/>
      <c r="N101" s="6" t="n"/>
      <c r="O101" s="24">
        <f>IF(AND(E101&lt;=10, F101&lt;&gt;"ASTM A416", INT(P101/20)&gt;INT(P100/20)), "TN Ø10 (Lần " &amp; INT(P101/20) &amp; ")", IF(AND(E101=12, INT(Q101/20)&gt;INT(Q100/20)), "TN Ø12 (Lần " &amp; INT(Q101/20) &amp; ")", IF(AND(E101=14, INT(R101/20)&gt;INT(R100/20)), "TN Ø14 (Lần " &amp; INT(R101/20) &amp; ")", IF(AND(E101=16, INT(S101/20)&gt;INT(S100/20)), "TN Ø16 (Lần " &amp; INT(S101/20) &amp; ")", IF(AND(E101=18, INT(T101/20)&gt;INT(T100/20)), "TN Ø18 (Lần " &amp; INT(T101/20) &amp; ")", IF(AND(E101=20, INT(U101/20)&gt;INT(U100/20)), "TN Ø20 (Lần " &amp; INT(U101/20) &amp; ")", IF(AND(E101=22, INT(V101/20)&gt;INT(V100/20)), "TN Ø22 (Lần " &amp; INT(V101/20) &amp; ")", IF(AND(E101=25, INT(W101/20)&gt;INT(W100/20)), "TN Ø25 (Lần " &amp; INT(W101/20) &amp; ")", IF(AND(E101=28, INT(X101/20)&gt;INT(X100/20)), "TN Ø28 (Lần " &amp; INT(X101/20) &amp; ")", IF(AND(E101=32, INT(Y101/20)&gt;INT(Y100/20)), "TN Ø32 (Lần " &amp; INT(Y101/20) &amp; ")", IF(AND(F101="ASTM A416", INT(Z101/20)&gt;INT(Z100/20)), "TN Cáp 15.2 (Lần " &amp; INT(Z101/20) &amp; ")", "")))))))))))</f>
        <v/>
      </c>
      <c r="P101" s="20">
        <f>ROUND(P100 + IF(AND(E101&lt;=10, F101&lt;&gt;"ASTM A416"), L101, 0), 3)</f>
        <v/>
      </c>
      <c r="Q101" s="20">
        <f>ROUND(Q100 + IF(AND(E101=12, F101&lt;&gt;"ASTM A416"), L101, 0), 3)</f>
        <v/>
      </c>
      <c r="R101" s="20">
        <f>ROUND(R100 + IF(AND(E101=14, F101&lt;&gt;"ASTM A416"), L101, 0), 3)</f>
        <v/>
      </c>
      <c r="S101" s="20">
        <f>ROUND(S100 + IF(AND(E101=16, F101&lt;&gt;"ASTM A416"), L101, 0), 3)</f>
        <v/>
      </c>
      <c r="T101" s="20">
        <f>ROUND(T100 + IF(AND(E101=18, F101&lt;&gt;"ASTM A416"), L101, 0), 3)</f>
        <v/>
      </c>
      <c r="U101" s="20">
        <f>ROUND(U100 + IF(AND(E101=20, F101&lt;&gt;"ASTM A416"), L101, 0), 3)</f>
        <v/>
      </c>
      <c r="V101" s="20">
        <f>ROUND(V100 + IF(AND(E101=22, F101&lt;&gt;"ASTM A416"), L101, 0), 3)</f>
        <v/>
      </c>
      <c r="W101" s="20">
        <f>ROUND(W100 + IF(AND(E101=25, F101&lt;&gt;"ASTM A416"), L101, 0), 3)</f>
        <v/>
      </c>
      <c r="X101" s="20">
        <f>ROUND(X100 + IF(AND(E101=28, F101&lt;&gt;"ASTM A416"), L101, 0), 3)</f>
        <v/>
      </c>
      <c r="Y101" s="20">
        <f>ROUND(Y100 + IF(AND(E101=32, F101&lt;&gt;"ASTM A416"), L101, 0), 3)</f>
        <v/>
      </c>
      <c r="Z101" s="20">
        <f>ROUND(Z100 + IF(F101="ASTM A416", L101, 0), 3)</f>
        <v/>
      </c>
      <c r="AA101" s="11">
        <f>IF(INT(P101/20)&gt;INT(P100/20), "Lần " &amp; INT(P101/20), "")</f>
        <v/>
      </c>
      <c r="AB101" s="11">
        <f>IF(INT(Q101/20)&gt;INT(Q100/20), "Lần " &amp; INT(Q101/20), "")</f>
        <v/>
      </c>
      <c r="AC101" s="11">
        <f>IF(INT(R101/20)&gt;INT(R100/20), "Lần " &amp; INT(R101/20), "")</f>
        <v/>
      </c>
      <c r="AD101" s="11">
        <f>IF(INT(S101/20)&gt;INT(S100/20), "Lần " &amp; INT(S101/20), "")</f>
        <v/>
      </c>
      <c r="AE101" s="11">
        <f>IF(INT(T101/20)&gt;INT(T100/20), "Lần " &amp; INT(T101/20), "")</f>
        <v/>
      </c>
      <c r="AF101" s="11">
        <f>IF(INT(U101/20)&gt;INT(U100/20), "Lần " &amp; INT(U101/20), "")</f>
        <v/>
      </c>
      <c r="AG101" s="11">
        <f>IF(INT(V101/20)&gt;INT(V100/20), "Lần " &amp; INT(V101/20), "")</f>
        <v/>
      </c>
      <c r="AH101" s="11">
        <f>IF(INT(W101/20)&gt;INT(W100/20), "Lần " &amp; INT(W101/20), "")</f>
        <v/>
      </c>
      <c r="AI101" s="11">
        <f>IF(INT(X101/20)&gt;INT(X100/20), "Lần " &amp; INT(X101/20), "")</f>
        <v/>
      </c>
      <c r="AJ101" s="11">
        <f>IF(INT(Y101/20)&gt;INT(Y100/20), "Lần " &amp; INT(Y101/20), "")</f>
        <v/>
      </c>
      <c r="AK101" s="11">
        <f>IF(INT(Z101/20)&gt;INT(Z100/20), "Lần " &amp; INT(Z101/20), "")</f>
        <v/>
      </c>
      <c r="AL101" s="6" t="inlineStr">
        <is>
          <t>ĐẠT TCVN 1651:2018</t>
        </is>
      </c>
    </row>
    <row r="102" ht="19" customHeight="1">
      <c r="A102" s="6" t="n">
        <v>92</v>
      </c>
      <c r="B102" s="7" t="inlineStr">
        <is>
          <t>Cọc khoan nhồi C4 Trụ T1 (D1.2m, L=40.0m)</t>
        </is>
      </c>
      <c r="C102" s="7" t="inlineStr">
        <is>
          <t>Thép đai xoắn lồng cọc</t>
        </is>
      </c>
      <c r="D102" s="18" t="inlineStr">
        <is>
          <t>P1D</t>
        </is>
      </c>
      <c r="E102" s="19" t="n">
        <v>10</v>
      </c>
      <c r="F102" s="6" t="inlineStr">
        <is>
          <t>CB240-T</t>
        </is>
      </c>
      <c r="G102" s="7" t="inlineStr">
        <is>
          <t>Đai xoắn tròn</t>
        </is>
      </c>
      <c r="H102" s="20" t="n">
        <v>19.721</v>
      </c>
      <c r="I102" s="21" t="n">
        <v>1</v>
      </c>
      <c r="J102" s="22" t="n">
        <v>0.617</v>
      </c>
      <c r="K102" s="9">
        <f>ROUND(H102*I102*J102, 2)</f>
        <v/>
      </c>
      <c r="L102" s="23">
        <f>ROUND(K102/1000, 3)</f>
        <v/>
      </c>
      <c r="M102" s="8" t="n"/>
      <c r="N102" s="6" t="n"/>
      <c r="O102" s="24">
        <f>IF(AND(E102&lt;=10, F102&lt;&gt;"ASTM A416", INT(P102/20)&gt;INT(P101/20)), "TN Ø10 (Lần " &amp; INT(P102/20) &amp; ")", IF(AND(E102=12, INT(Q102/20)&gt;INT(Q101/20)), "TN Ø12 (Lần " &amp; INT(Q102/20) &amp; ")", IF(AND(E102=14, INT(R102/20)&gt;INT(R101/20)), "TN Ø14 (Lần " &amp; INT(R102/20) &amp; ")", IF(AND(E102=16, INT(S102/20)&gt;INT(S101/20)), "TN Ø16 (Lần " &amp; INT(S102/20) &amp; ")", IF(AND(E102=18, INT(T102/20)&gt;INT(T101/20)), "TN Ø18 (Lần " &amp; INT(T102/20) &amp; ")", IF(AND(E102=20, INT(U102/20)&gt;INT(U101/20)), "TN Ø20 (Lần " &amp; INT(U102/20) &amp; ")", IF(AND(E102=22, INT(V102/20)&gt;INT(V101/20)), "TN Ø22 (Lần " &amp; INT(V102/20) &amp; ")", IF(AND(E102=25, INT(W102/20)&gt;INT(W101/20)), "TN Ø25 (Lần " &amp; INT(W102/20) &amp; ")", IF(AND(E102=28, INT(X102/20)&gt;INT(X101/20)), "TN Ø28 (Lần " &amp; INT(X102/20) &amp; ")", IF(AND(E102=32, INT(Y102/20)&gt;INT(Y101/20)), "TN Ø32 (Lần " &amp; INT(Y102/20) &amp; ")", IF(AND(F102="ASTM A416", INT(Z102/20)&gt;INT(Z101/20)), "TN Cáp 15.2 (Lần " &amp; INT(Z102/20) &amp; ")", "")))))))))))</f>
        <v/>
      </c>
      <c r="P102" s="20">
        <f>ROUND(P101 + IF(AND(E102&lt;=10, F102&lt;&gt;"ASTM A416"), L102, 0), 3)</f>
        <v/>
      </c>
      <c r="Q102" s="20">
        <f>ROUND(Q101 + IF(AND(E102=12, F102&lt;&gt;"ASTM A416"), L102, 0), 3)</f>
        <v/>
      </c>
      <c r="R102" s="20">
        <f>ROUND(R101 + IF(AND(E102=14, F102&lt;&gt;"ASTM A416"), L102, 0), 3)</f>
        <v/>
      </c>
      <c r="S102" s="20">
        <f>ROUND(S101 + IF(AND(E102=16, F102&lt;&gt;"ASTM A416"), L102, 0), 3)</f>
        <v/>
      </c>
      <c r="T102" s="20">
        <f>ROUND(T101 + IF(AND(E102=18, F102&lt;&gt;"ASTM A416"), L102, 0), 3)</f>
        <v/>
      </c>
      <c r="U102" s="20">
        <f>ROUND(U101 + IF(AND(E102=20, F102&lt;&gt;"ASTM A416"), L102, 0), 3)</f>
        <v/>
      </c>
      <c r="V102" s="20">
        <f>ROUND(V101 + IF(AND(E102=22, F102&lt;&gt;"ASTM A416"), L102, 0), 3)</f>
        <v/>
      </c>
      <c r="W102" s="20">
        <f>ROUND(W101 + IF(AND(E102=25, F102&lt;&gt;"ASTM A416"), L102, 0), 3)</f>
        <v/>
      </c>
      <c r="X102" s="20">
        <f>ROUND(X101 + IF(AND(E102=28, F102&lt;&gt;"ASTM A416"), L102, 0), 3)</f>
        <v/>
      </c>
      <c r="Y102" s="20">
        <f>ROUND(Y101 + IF(AND(E102=32, F102&lt;&gt;"ASTM A416"), L102, 0), 3)</f>
        <v/>
      </c>
      <c r="Z102" s="20">
        <f>ROUND(Z101 + IF(F102="ASTM A416", L102, 0), 3)</f>
        <v/>
      </c>
      <c r="AA102" s="11">
        <f>IF(INT(P102/20)&gt;INT(P101/20), "Lần " &amp; INT(P102/20), "")</f>
        <v/>
      </c>
      <c r="AB102" s="11">
        <f>IF(INT(Q102/20)&gt;INT(Q101/20), "Lần " &amp; INT(Q102/20), "")</f>
        <v/>
      </c>
      <c r="AC102" s="11">
        <f>IF(INT(R102/20)&gt;INT(R101/20), "Lần " &amp; INT(R102/20), "")</f>
        <v/>
      </c>
      <c r="AD102" s="11">
        <f>IF(INT(S102/20)&gt;INT(S101/20), "Lần " &amp; INT(S102/20), "")</f>
        <v/>
      </c>
      <c r="AE102" s="11">
        <f>IF(INT(T102/20)&gt;INT(T101/20), "Lần " &amp; INT(T102/20), "")</f>
        <v/>
      </c>
      <c r="AF102" s="11">
        <f>IF(INT(U102/20)&gt;INT(U101/20), "Lần " &amp; INT(U102/20), "")</f>
        <v/>
      </c>
      <c r="AG102" s="11">
        <f>IF(INT(V102/20)&gt;INT(V101/20), "Lần " &amp; INT(V102/20), "")</f>
        <v/>
      </c>
      <c r="AH102" s="11">
        <f>IF(INT(W102/20)&gt;INT(W101/20), "Lần " &amp; INT(W102/20), "")</f>
        <v/>
      </c>
      <c r="AI102" s="11">
        <f>IF(INT(X102/20)&gt;INT(X101/20), "Lần " &amp; INT(X102/20), "")</f>
        <v/>
      </c>
      <c r="AJ102" s="11">
        <f>IF(INT(Y102/20)&gt;INT(Y101/20), "Lần " &amp; INT(Y102/20), "")</f>
        <v/>
      </c>
      <c r="AK102" s="11">
        <f>IF(INT(Z102/20)&gt;INT(Z101/20), "Lần " &amp; INT(Z102/20), "")</f>
        <v/>
      </c>
      <c r="AL102" s="6" t="inlineStr">
        <is>
          <t>ĐẠT TCVN 1651:2018</t>
        </is>
      </c>
    </row>
    <row r="103" ht="19" customHeight="1">
      <c r="A103" s="6" t="n">
        <v>93</v>
      </c>
      <c r="B103" s="7" t="inlineStr">
        <is>
          <t>Cọc khoan nhồi C4 Trụ T1 (D1.2m, L=40.0m)</t>
        </is>
      </c>
      <c r="C103" s="7" t="inlineStr">
        <is>
          <t>Cốt thép chủ chịu lực cọc</t>
        </is>
      </c>
      <c r="D103" s="18" t="inlineStr">
        <is>
          <t>P2B</t>
        </is>
      </c>
      <c r="E103" s="19" t="n">
        <v>25</v>
      </c>
      <c r="F103" s="6" t="inlineStr">
        <is>
          <t>CB400-V</t>
        </is>
      </c>
      <c r="G103" s="7" t="inlineStr">
        <is>
          <t>Thanh thẳng nối ren/hàn</t>
        </is>
      </c>
      <c r="H103" s="20" t="n">
        <v>2.985</v>
      </c>
      <c r="I103" s="21" t="n">
        <v>16</v>
      </c>
      <c r="J103" s="22" t="n">
        <v>3.85</v>
      </c>
      <c r="K103" s="9">
        <f>ROUND(H103*I103*J103, 2)</f>
        <v/>
      </c>
      <c r="L103" s="23">
        <f>ROUND(K103/1000, 3)</f>
        <v/>
      </c>
      <c r="M103" s="8" t="n"/>
      <c r="N103" s="6" t="n"/>
      <c r="O103" s="24">
        <f>IF(AND(E103&lt;=10, F103&lt;&gt;"ASTM A416", INT(P103/20)&gt;INT(P102/20)), "TN Ø10 (Lần " &amp; INT(P103/20) &amp; ")", IF(AND(E103=12, INT(Q103/20)&gt;INT(Q102/20)), "TN Ø12 (Lần " &amp; INT(Q103/20) &amp; ")", IF(AND(E103=14, INT(R103/20)&gt;INT(R102/20)), "TN Ø14 (Lần " &amp; INT(R103/20) &amp; ")", IF(AND(E103=16, INT(S103/20)&gt;INT(S102/20)), "TN Ø16 (Lần " &amp; INT(S103/20) &amp; ")", IF(AND(E103=18, INT(T103/20)&gt;INT(T102/20)), "TN Ø18 (Lần " &amp; INT(T103/20) &amp; ")", IF(AND(E103=20, INT(U103/20)&gt;INT(U102/20)), "TN Ø20 (Lần " &amp; INT(U103/20) &amp; ")", IF(AND(E103=22, INT(V103/20)&gt;INT(V102/20)), "TN Ø22 (Lần " &amp; INT(V103/20) &amp; ")", IF(AND(E103=25, INT(W103/20)&gt;INT(W102/20)), "TN Ø25 (Lần " &amp; INT(W103/20) &amp; ")", IF(AND(E103=28, INT(X103/20)&gt;INT(X102/20)), "TN Ø28 (Lần " &amp; INT(X103/20) &amp; ")", IF(AND(E103=32, INT(Y103/20)&gt;INT(Y102/20)), "TN Ø32 (Lần " &amp; INT(Y103/20) &amp; ")", IF(AND(F103="ASTM A416", INT(Z103/20)&gt;INT(Z102/20)), "TN Cáp 15.2 (Lần " &amp; INT(Z103/20) &amp; ")", "")))))))))))</f>
        <v/>
      </c>
      <c r="P103" s="20">
        <f>ROUND(P102 + IF(AND(E103&lt;=10, F103&lt;&gt;"ASTM A416"), L103, 0), 3)</f>
        <v/>
      </c>
      <c r="Q103" s="20">
        <f>ROUND(Q102 + IF(AND(E103=12, F103&lt;&gt;"ASTM A416"), L103, 0), 3)</f>
        <v/>
      </c>
      <c r="R103" s="20">
        <f>ROUND(R102 + IF(AND(E103=14, F103&lt;&gt;"ASTM A416"), L103, 0), 3)</f>
        <v/>
      </c>
      <c r="S103" s="20">
        <f>ROUND(S102 + IF(AND(E103=16, F103&lt;&gt;"ASTM A416"), L103, 0), 3)</f>
        <v/>
      </c>
      <c r="T103" s="20">
        <f>ROUND(T102 + IF(AND(E103=18, F103&lt;&gt;"ASTM A416"), L103, 0), 3)</f>
        <v/>
      </c>
      <c r="U103" s="20">
        <f>ROUND(U102 + IF(AND(E103=20, F103&lt;&gt;"ASTM A416"), L103, 0), 3)</f>
        <v/>
      </c>
      <c r="V103" s="20">
        <f>ROUND(V102 + IF(AND(E103=22, F103&lt;&gt;"ASTM A416"), L103, 0), 3)</f>
        <v/>
      </c>
      <c r="W103" s="20">
        <f>ROUND(W102 + IF(AND(E103=25, F103&lt;&gt;"ASTM A416"), L103, 0), 3)</f>
        <v/>
      </c>
      <c r="X103" s="20">
        <f>ROUND(X102 + IF(AND(E103=28, F103&lt;&gt;"ASTM A416"), L103, 0), 3)</f>
        <v/>
      </c>
      <c r="Y103" s="20">
        <f>ROUND(Y102 + IF(AND(E103=32, F103&lt;&gt;"ASTM A416"), L103, 0), 3)</f>
        <v/>
      </c>
      <c r="Z103" s="20">
        <f>ROUND(Z102 + IF(F103="ASTM A416", L103, 0), 3)</f>
        <v/>
      </c>
      <c r="AA103" s="11">
        <f>IF(INT(P103/20)&gt;INT(P102/20), "Lần " &amp; INT(P103/20), "")</f>
        <v/>
      </c>
      <c r="AB103" s="11">
        <f>IF(INT(Q103/20)&gt;INT(Q102/20), "Lần " &amp; INT(Q103/20), "")</f>
        <v/>
      </c>
      <c r="AC103" s="11">
        <f>IF(INT(R103/20)&gt;INT(R102/20), "Lần " &amp; INT(R103/20), "")</f>
        <v/>
      </c>
      <c r="AD103" s="11">
        <f>IF(INT(S103/20)&gt;INT(S102/20), "Lần " &amp; INT(S103/20), "")</f>
        <v/>
      </c>
      <c r="AE103" s="11">
        <f>IF(INT(T103/20)&gt;INT(T102/20), "Lần " &amp; INT(T103/20), "")</f>
        <v/>
      </c>
      <c r="AF103" s="11">
        <f>IF(INT(U103/20)&gt;INT(U102/20), "Lần " &amp; INT(U103/20), "")</f>
        <v/>
      </c>
      <c r="AG103" s="11">
        <f>IF(INT(V103/20)&gt;INT(V102/20), "Lần " &amp; INT(V103/20), "")</f>
        <v/>
      </c>
      <c r="AH103" s="11">
        <f>IF(INT(W103/20)&gt;INT(W102/20), "Lần " &amp; INT(W103/20), "")</f>
        <v/>
      </c>
      <c r="AI103" s="11">
        <f>IF(INT(X103/20)&gt;INT(X102/20), "Lần " &amp; INT(X103/20), "")</f>
        <v/>
      </c>
      <c r="AJ103" s="11">
        <f>IF(INT(Y103/20)&gt;INT(Y102/20), "Lần " &amp; INT(Y103/20), "")</f>
        <v/>
      </c>
      <c r="AK103" s="11">
        <f>IF(INT(Z103/20)&gt;INT(Z102/20), "Lần " &amp; INT(Z103/20), "")</f>
        <v/>
      </c>
      <c r="AL103" s="6" t="inlineStr">
        <is>
          <t>ĐẠT TCVN 1651:2018</t>
        </is>
      </c>
    </row>
    <row r="104" ht="19" customHeight="1">
      <c r="A104" s="6" t="n">
        <v>94</v>
      </c>
      <c r="B104" s="7" t="inlineStr">
        <is>
          <t>Cọc khoan nhồi C4 Trụ T1 (D1.2m, L=40.0m)</t>
        </is>
      </c>
      <c r="C104" s="7" t="inlineStr">
        <is>
          <t>Cốt thép chủ chịu lực cọc</t>
        </is>
      </c>
      <c r="D104" s="18" t="inlineStr">
        <is>
          <t>P3</t>
        </is>
      </c>
      <c r="E104" s="19" t="n">
        <v>25</v>
      </c>
      <c r="F104" s="6" t="inlineStr">
        <is>
          <t>CB400-V</t>
        </is>
      </c>
      <c r="G104" s="7" t="inlineStr">
        <is>
          <t>Thanh thẳng nối ren/hàn</t>
        </is>
      </c>
      <c r="H104" s="20" t="n">
        <v>10.7</v>
      </c>
      <c r="I104" s="21" t="n">
        <v>12</v>
      </c>
      <c r="J104" s="22" t="n">
        <v>3.85</v>
      </c>
      <c r="K104" s="9">
        <f>ROUND(H104*I104*J104, 2)</f>
        <v/>
      </c>
      <c r="L104" s="23">
        <f>ROUND(K104/1000, 3)</f>
        <v/>
      </c>
      <c r="M104" s="8" t="n"/>
      <c r="N104" s="6" t="n"/>
      <c r="O104" s="24">
        <f>IF(AND(E104&lt;=10, F104&lt;&gt;"ASTM A416", INT(P104/20)&gt;INT(P103/20)), "TN Ø10 (Lần " &amp; INT(P104/20) &amp; ")", IF(AND(E104=12, INT(Q104/20)&gt;INT(Q103/20)), "TN Ø12 (Lần " &amp; INT(Q104/20) &amp; ")", IF(AND(E104=14, INT(R104/20)&gt;INT(R103/20)), "TN Ø14 (Lần " &amp; INT(R104/20) &amp; ")", IF(AND(E104=16, INT(S104/20)&gt;INT(S103/20)), "TN Ø16 (Lần " &amp; INT(S104/20) &amp; ")", IF(AND(E104=18, INT(T104/20)&gt;INT(T103/20)), "TN Ø18 (Lần " &amp; INT(T104/20) &amp; ")", IF(AND(E104=20, INT(U104/20)&gt;INT(U103/20)), "TN Ø20 (Lần " &amp; INT(U104/20) &amp; ")", IF(AND(E104=22, INT(V104/20)&gt;INT(V103/20)), "TN Ø22 (Lần " &amp; INT(V104/20) &amp; ")", IF(AND(E104=25, INT(W104/20)&gt;INT(W103/20)), "TN Ø25 (Lần " &amp; INT(W104/20) &amp; ")", IF(AND(E104=28, INT(X104/20)&gt;INT(X103/20)), "TN Ø28 (Lần " &amp; INT(X104/20) &amp; ")", IF(AND(E104=32, INT(Y104/20)&gt;INT(Y103/20)), "TN Ø32 (Lần " &amp; INT(Y104/20) &amp; ")", IF(AND(F104="ASTM A416", INT(Z104/20)&gt;INT(Z103/20)), "TN Cáp 15.2 (Lần " &amp; INT(Z104/20) &amp; ")", "")))))))))))</f>
        <v/>
      </c>
      <c r="P104" s="20">
        <f>ROUND(P103 + IF(AND(E104&lt;=10, F104&lt;&gt;"ASTM A416"), L104, 0), 3)</f>
        <v/>
      </c>
      <c r="Q104" s="20">
        <f>ROUND(Q103 + IF(AND(E104=12, F104&lt;&gt;"ASTM A416"), L104, 0), 3)</f>
        <v/>
      </c>
      <c r="R104" s="20">
        <f>ROUND(R103 + IF(AND(E104=14, F104&lt;&gt;"ASTM A416"), L104, 0), 3)</f>
        <v/>
      </c>
      <c r="S104" s="20">
        <f>ROUND(S103 + IF(AND(E104=16, F104&lt;&gt;"ASTM A416"), L104, 0), 3)</f>
        <v/>
      </c>
      <c r="T104" s="20">
        <f>ROUND(T103 + IF(AND(E104=18, F104&lt;&gt;"ASTM A416"), L104, 0), 3)</f>
        <v/>
      </c>
      <c r="U104" s="20">
        <f>ROUND(U103 + IF(AND(E104=20, F104&lt;&gt;"ASTM A416"), L104, 0), 3)</f>
        <v/>
      </c>
      <c r="V104" s="20">
        <f>ROUND(V103 + IF(AND(E104=22, F104&lt;&gt;"ASTM A416"), L104, 0), 3)</f>
        <v/>
      </c>
      <c r="W104" s="20">
        <f>ROUND(W103 + IF(AND(E104=25, F104&lt;&gt;"ASTM A416"), L104, 0), 3)</f>
        <v/>
      </c>
      <c r="X104" s="20">
        <f>ROUND(X103 + IF(AND(E104=28, F104&lt;&gt;"ASTM A416"), L104, 0), 3)</f>
        <v/>
      </c>
      <c r="Y104" s="20">
        <f>ROUND(Y103 + IF(AND(E104=32, F104&lt;&gt;"ASTM A416"), L104, 0), 3)</f>
        <v/>
      </c>
      <c r="Z104" s="20">
        <f>ROUND(Z103 + IF(F104="ASTM A416", L104, 0), 3)</f>
        <v/>
      </c>
      <c r="AA104" s="11">
        <f>IF(INT(P104/20)&gt;INT(P103/20), "Lần " &amp; INT(P104/20), "")</f>
        <v/>
      </c>
      <c r="AB104" s="11">
        <f>IF(INT(Q104/20)&gt;INT(Q103/20), "Lần " &amp; INT(Q104/20), "")</f>
        <v/>
      </c>
      <c r="AC104" s="11">
        <f>IF(INT(R104/20)&gt;INT(R103/20), "Lần " &amp; INT(R104/20), "")</f>
        <v/>
      </c>
      <c r="AD104" s="11">
        <f>IF(INT(S104/20)&gt;INT(S103/20), "Lần " &amp; INT(S104/20), "")</f>
        <v/>
      </c>
      <c r="AE104" s="11">
        <f>IF(INT(T104/20)&gt;INT(T103/20), "Lần " &amp; INT(T104/20), "")</f>
        <v/>
      </c>
      <c r="AF104" s="11">
        <f>IF(INT(U104/20)&gt;INT(U103/20), "Lần " &amp; INT(U104/20), "")</f>
        <v/>
      </c>
      <c r="AG104" s="11">
        <f>IF(INT(V104/20)&gt;INT(V103/20), "Lần " &amp; INT(V104/20), "")</f>
        <v/>
      </c>
      <c r="AH104" s="11">
        <f>IF(INT(W104/20)&gt;INT(W103/20), "Lần " &amp; INT(W104/20), "")</f>
        <v/>
      </c>
      <c r="AI104" s="11">
        <f>IF(INT(X104/20)&gt;INT(X103/20), "Lần " &amp; INT(X104/20), "")</f>
        <v/>
      </c>
      <c r="AJ104" s="11">
        <f>IF(INT(Y104/20)&gt;INT(Y103/20), "Lần " &amp; INT(Y104/20), "")</f>
        <v/>
      </c>
      <c r="AK104" s="11">
        <f>IF(INT(Z104/20)&gt;INT(Z103/20), "Lần " &amp; INT(Z104/20), "")</f>
        <v/>
      </c>
      <c r="AL104" s="6" t="inlineStr">
        <is>
          <t>ĐẠT TCVN 1651:2018</t>
        </is>
      </c>
    </row>
    <row r="105" ht="19" customHeight="1">
      <c r="A105" s="6" t="n">
        <v>95</v>
      </c>
      <c r="B105" s="7" t="inlineStr">
        <is>
          <t>Cọc khoan nhồi C4 Trụ T1 (D1.2m, L=40.0m)</t>
        </is>
      </c>
      <c r="C105" s="7" t="inlineStr">
        <is>
          <t>Cốt thép chủ chịu lực cọc</t>
        </is>
      </c>
      <c r="D105" s="18" t="inlineStr">
        <is>
          <t>P4</t>
        </is>
      </c>
      <c r="E105" s="19" t="n">
        <v>25</v>
      </c>
      <c r="F105" s="6" t="inlineStr">
        <is>
          <t>CB400-V</t>
        </is>
      </c>
      <c r="G105" s="7" t="inlineStr">
        <is>
          <t>Thanh thẳng nối ren/hàn</t>
        </is>
      </c>
      <c r="H105" s="20" t="n">
        <v>11.7</v>
      </c>
      <c r="I105" s="21" t="n">
        <v>60</v>
      </c>
      <c r="J105" s="22" t="n">
        <v>3.85</v>
      </c>
      <c r="K105" s="9">
        <f>ROUND(H105*I105*J105, 2)</f>
        <v/>
      </c>
      <c r="L105" s="23">
        <f>ROUND(K105/1000, 3)</f>
        <v/>
      </c>
      <c r="M105" s="8" t="n"/>
      <c r="N105" s="6" t="n"/>
      <c r="O105" s="24">
        <f>IF(AND(E105&lt;=10, F105&lt;&gt;"ASTM A416", INT(P105/20)&gt;INT(P104/20)), "TN Ø10 (Lần " &amp; INT(P105/20) &amp; ")", IF(AND(E105=12, INT(Q105/20)&gt;INT(Q104/20)), "TN Ø12 (Lần " &amp; INT(Q105/20) &amp; ")", IF(AND(E105=14, INT(R105/20)&gt;INT(R104/20)), "TN Ø14 (Lần " &amp; INT(R105/20) &amp; ")", IF(AND(E105=16, INT(S105/20)&gt;INT(S104/20)), "TN Ø16 (Lần " &amp; INT(S105/20) &amp; ")", IF(AND(E105=18, INT(T105/20)&gt;INT(T104/20)), "TN Ø18 (Lần " &amp; INT(T105/20) &amp; ")", IF(AND(E105=20, INT(U105/20)&gt;INT(U104/20)), "TN Ø20 (Lần " &amp; INT(U105/20) &amp; ")", IF(AND(E105=22, INT(V105/20)&gt;INT(V104/20)), "TN Ø22 (Lần " &amp; INT(V105/20) &amp; ")", IF(AND(E105=25, INT(W105/20)&gt;INT(W104/20)), "TN Ø25 (Lần " &amp; INT(W105/20) &amp; ")", IF(AND(E105=28, INT(X105/20)&gt;INT(X104/20)), "TN Ø28 (Lần " &amp; INT(X105/20) &amp; ")", IF(AND(E105=32, INT(Y105/20)&gt;INT(Y104/20)), "TN Ø32 (Lần " &amp; INT(Y105/20) &amp; ")", IF(AND(F105="ASTM A416", INT(Z105/20)&gt;INT(Z104/20)), "TN Cáp 15.2 (Lần " &amp; INT(Z105/20) &amp; ")", "")))))))))))</f>
        <v/>
      </c>
      <c r="P105" s="20">
        <f>ROUND(P104 + IF(AND(E105&lt;=10, F105&lt;&gt;"ASTM A416"), L105, 0), 3)</f>
        <v/>
      </c>
      <c r="Q105" s="20">
        <f>ROUND(Q104 + IF(AND(E105=12, F105&lt;&gt;"ASTM A416"), L105, 0), 3)</f>
        <v/>
      </c>
      <c r="R105" s="20">
        <f>ROUND(R104 + IF(AND(E105=14, F105&lt;&gt;"ASTM A416"), L105, 0), 3)</f>
        <v/>
      </c>
      <c r="S105" s="20">
        <f>ROUND(S104 + IF(AND(E105=16, F105&lt;&gt;"ASTM A416"), L105, 0), 3)</f>
        <v/>
      </c>
      <c r="T105" s="20">
        <f>ROUND(T104 + IF(AND(E105=18, F105&lt;&gt;"ASTM A416"), L105, 0), 3)</f>
        <v/>
      </c>
      <c r="U105" s="20">
        <f>ROUND(U104 + IF(AND(E105=20, F105&lt;&gt;"ASTM A416"), L105, 0), 3)</f>
        <v/>
      </c>
      <c r="V105" s="20">
        <f>ROUND(V104 + IF(AND(E105=22, F105&lt;&gt;"ASTM A416"), L105, 0), 3)</f>
        <v/>
      </c>
      <c r="W105" s="20">
        <f>ROUND(W104 + IF(AND(E105=25, F105&lt;&gt;"ASTM A416"), L105, 0), 3)</f>
        <v/>
      </c>
      <c r="X105" s="20">
        <f>ROUND(X104 + IF(AND(E105=28, F105&lt;&gt;"ASTM A416"), L105, 0), 3)</f>
        <v/>
      </c>
      <c r="Y105" s="20">
        <f>ROUND(Y104 + IF(AND(E105=32, F105&lt;&gt;"ASTM A416"), L105, 0), 3)</f>
        <v/>
      </c>
      <c r="Z105" s="20">
        <f>ROUND(Z104 + IF(F105="ASTM A416", L105, 0), 3)</f>
        <v/>
      </c>
      <c r="AA105" s="11">
        <f>IF(INT(P105/20)&gt;INT(P104/20), "Lần " &amp; INT(P105/20), "")</f>
        <v/>
      </c>
      <c r="AB105" s="11">
        <f>IF(INT(Q105/20)&gt;INT(Q104/20), "Lần " &amp; INT(Q105/20), "")</f>
        <v/>
      </c>
      <c r="AC105" s="11">
        <f>IF(INT(R105/20)&gt;INT(R104/20), "Lần " &amp; INT(R105/20), "")</f>
        <v/>
      </c>
      <c r="AD105" s="11">
        <f>IF(INT(S105/20)&gt;INT(S104/20), "Lần " &amp; INT(S105/20), "")</f>
        <v/>
      </c>
      <c r="AE105" s="11">
        <f>IF(INT(T105/20)&gt;INT(T104/20), "Lần " &amp; INT(T105/20), "")</f>
        <v/>
      </c>
      <c r="AF105" s="11">
        <f>IF(INT(U105/20)&gt;INT(U104/20), "Lần " &amp; INT(U105/20), "")</f>
        <v/>
      </c>
      <c r="AG105" s="11">
        <f>IF(INT(V105/20)&gt;INT(V104/20), "Lần " &amp; INT(V105/20), "")</f>
        <v/>
      </c>
      <c r="AH105" s="11">
        <f>IF(INT(W105/20)&gt;INT(W104/20), "Lần " &amp; INT(W105/20), "")</f>
        <v/>
      </c>
      <c r="AI105" s="11">
        <f>IF(INT(X105/20)&gt;INT(X104/20), "Lần " &amp; INT(X105/20), "")</f>
        <v/>
      </c>
      <c r="AJ105" s="11">
        <f>IF(INT(Y105/20)&gt;INT(Y104/20), "Lần " &amp; INT(Y105/20), "")</f>
        <v/>
      </c>
      <c r="AK105" s="11">
        <f>IF(INT(Z105/20)&gt;INT(Z104/20), "Lần " &amp; INT(Z105/20), "")</f>
        <v/>
      </c>
      <c r="AL105" s="6" t="inlineStr">
        <is>
          <t>ĐẠT TCVN 1651:2018</t>
        </is>
      </c>
    </row>
    <row r="106" ht="19" customHeight="1">
      <c r="A106" s="6" t="n">
        <v>96</v>
      </c>
      <c r="B106" s="7" t="inlineStr">
        <is>
          <t>Cọc khoan nhồi C4 Trụ T1 (D1.2m, L=40.0m)</t>
        </is>
      </c>
      <c r="C106" s="7" t="inlineStr">
        <is>
          <t>Cốt thép chủ chịu lực cọc</t>
        </is>
      </c>
      <c r="D106" s="18" t="inlineStr">
        <is>
          <t>P6</t>
        </is>
      </c>
      <c r="E106" s="19" t="n">
        <v>25</v>
      </c>
      <c r="F106" s="6" t="inlineStr">
        <is>
          <t>CB400-V</t>
        </is>
      </c>
      <c r="G106" s="7" t="inlineStr">
        <is>
          <t>Thanh thẳng nối ren/hàn</t>
        </is>
      </c>
      <c r="H106" s="20" t="n">
        <v>9.032999999999999</v>
      </c>
      <c r="I106" s="21" t="n">
        <v>12</v>
      </c>
      <c r="J106" s="22" t="n">
        <v>3.85</v>
      </c>
      <c r="K106" s="9">
        <f>ROUND(H106*I106*J106, 2)</f>
        <v/>
      </c>
      <c r="L106" s="23">
        <f>ROUND(K106/1000, 3)</f>
        <v/>
      </c>
      <c r="M106" s="8" t="n"/>
      <c r="N106" s="6" t="n"/>
      <c r="O106" s="24">
        <f>IF(AND(E106&lt;=10, F106&lt;&gt;"ASTM A416", INT(P106/20)&gt;INT(P105/20)), "TN Ø10 (Lần " &amp; INT(P106/20) &amp; ")", IF(AND(E106=12, INT(Q106/20)&gt;INT(Q105/20)), "TN Ø12 (Lần " &amp; INT(Q106/20) &amp; ")", IF(AND(E106=14, INT(R106/20)&gt;INT(R105/20)), "TN Ø14 (Lần " &amp; INT(R106/20) &amp; ")", IF(AND(E106=16, INT(S106/20)&gt;INT(S105/20)), "TN Ø16 (Lần " &amp; INT(S106/20) &amp; ")", IF(AND(E106=18, INT(T106/20)&gt;INT(T105/20)), "TN Ø18 (Lần " &amp; INT(T106/20) &amp; ")", IF(AND(E106=20, INT(U106/20)&gt;INT(U105/20)), "TN Ø20 (Lần " &amp; INT(U106/20) &amp; ")", IF(AND(E106=22, INT(V106/20)&gt;INT(V105/20)), "TN Ø22 (Lần " &amp; INT(V106/20) &amp; ")", IF(AND(E106=25, INT(W106/20)&gt;INT(W105/20)), "TN Ø25 (Lần " &amp; INT(W106/20) &amp; ")", IF(AND(E106=28, INT(X106/20)&gt;INT(X105/20)), "TN Ø28 (Lần " &amp; INT(X106/20) &amp; ")", IF(AND(E106=32, INT(Y106/20)&gt;INT(Y105/20)), "TN Ø32 (Lần " &amp; INT(Y106/20) &amp; ")", IF(AND(F106="ASTM A416", INT(Z106/20)&gt;INT(Z105/20)), "TN Cáp 15.2 (Lần " &amp; INT(Z106/20) &amp; ")", "")))))))))))</f>
        <v/>
      </c>
      <c r="P106" s="20">
        <f>ROUND(P105 + IF(AND(E106&lt;=10, F106&lt;&gt;"ASTM A416"), L106, 0), 3)</f>
        <v/>
      </c>
      <c r="Q106" s="20">
        <f>ROUND(Q105 + IF(AND(E106=12, F106&lt;&gt;"ASTM A416"), L106, 0), 3)</f>
        <v/>
      </c>
      <c r="R106" s="20">
        <f>ROUND(R105 + IF(AND(E106=14, F106&lt;&gt;"ASTM A416"), L106, 0), 3)</f>
        <v/>
      </c>
      <c r="S106" s="20">
        <f>ROUND(S105 + IF(AND(E106=16, F106&lt;&gt;"ASTM A416"), L106, 0), 3)</f>
        <v/>
      </c>
      <c r="T106" s="20">
        <f>ROUND(T105 + IF(AND(E106=18, F106&lt;&gt;"ASTM A416"), L106, 0), 3)</f>
        <v/>
      </c>
      <c r="U106" s="20">
        <f>ROUND(U105 + IF(AND(E106=20, F106&lt;&gt;"ASTM A416"), L106, 0), 3)</f>
        <v/>
      </c>
      <c r="V106" s="20">
        <f>ROUND(V105 + IF(AND(E106=22, F106&lt;&gt;"ASTM A416"), L106, 0), 3)</f>
        <v/>
      </c>
      <c r="W106" s="20">
        <f>ROUND(W105 + IF(AND(E106=25, F106&lt;&gt;"ASTM A416"), L106, 0), 3)</f>
        <v/>
      </c>
      <c r="X106" s="20">
        <f>ROUND(X105 + IF(AND(E106=28, F106&lt;&gt;"ASTM A416"), L106, 0), 3)</f>
        <v/>
      </c>
      <c r="Y106" s="20">
        <f>ROUND(Y105 + IF(AND(E106=32, F106&lt;&gt;"ASTM A416"), L106, 0), 3)</f>
        <v/>
      </c>
      <c r="Z106" s="20">
        <f>ROUND(Z105 + IF(F106="ASTM A416", L106, 0), 3)</f>
        <v/>
      </c>
      <c r="AA106" s="11">
        <f>IF(INT(P106/20)&gt;INT(P105/20), "Lần " &amp; INT(P106/20), "")</f>
        <v/>
      </c>
      <c r="AB106" s="11">
        <f>IF(INT(Q106/20)&gt;INT(Q105/20), "Lần " &amp; INT(Q106/20), "")</f>
        <v/>
      </c>
      <c r="AC106" s="11">
        <f>IF(INT(R106/20)&gt;INT(R105/20), "Lần " &amp; INT(R106/20), "")</f>
        <v/>
      </c>
      <c r="AD106" s="11">
        <f>IF(INT(S106/20)&gt;INT(S105/20), "Lần " &amp; INT(S106/20), "")</f>
        <v/>
      </c>
      <c r="AE106" s="11">
        <f>IF(INT(T106/20)&gt;INT(T105/20), "Lần " &amp; INT(T106/20), "")</f>
        <v/>
      </c>
      <c r="AF106" s="11">
        <f>IF(INT(U106/20)&gt;INT(U105/20), "Lần " &amp; INT(U106/20), "")</f>
        <v/>
      </c>
      <c r="AG106" s="11">
        <f>IF(INT(V106/20)&gt;INT(V105/20), "Lần " &amp; INT(V106/20), "")</f>
        <v/>
      </c>
      <c r="AH106" s="11">
        <f>IF(INT(W106/20)&gt;INT(W105/20), "Lần " &amp; INT(W106/20), "")</f>
        <v/>
      </c>
      <c r="AI106" s="11">
        <f>IF(INT(X106/20)&gt;INT(X105/20), "Lần " &amp; INT(X106/20), "")</f>
        <v/>
      </c>
      <c r="AJ106" s="11">
        <f>IF(INT(Y106/20)&gt;INT(Y105/20), "Lần " &amp; INT(Y106/20), "")</f>
        <v/>
      </c>
      <c r="AK106" s="11">
        <f>IF(INT(Z106/20)&gt;INT(Z105/20), "Lần " &amp; INT(Z106/20), "")</f>
        <v/>
      </c>
      <c r="AL106" s="6" t="inlineStr">
        <is>
          <t>ĐẠT TCVN 1651:2018</t>
        </is>
      </c>
    </row>
    <row r="107" ht="19" customHeight="1">
      <c r="A107" s="6" t="n">
        <v>97</v>
      </c>
      <c r="B107" s="7" t="inlineStr">
        <is>
          <t>Cọc khoan nhồi C4 Trụ T1 (D1.2m, L=40.0m)</t>
        </is>
      </c>
      <c r="C107" s="7" t="inlineStr">
        <is>
          <t>Cốt thép chủ chịu lực cọc</t>
        </is>
      </c>
      <c r="D107" s="18" t="inlineStr">
        <is>
          <t>P7</t>
        </is>
      </c>
      <c r="E107" s="19" t="n">
        <v>25</v>
      </c>
      <c r="F107" s="6" t="inlineStr">
        <is>
          <t>CB400-V</t>
        </is>
      </c>
      <c r="G107" s="7" t="inlineStr">
        <is>
          <t>Thanh thẳng nối ren/hàn</t>
        </is>
      </c>
      <c r="H107" s="20" t="n">
        <v>10.033</v>
      </c>
      <c r="I107" s="21" t="n">
        <v>12</v>
      </c>
      <c r="J107" s="22" t="n">
        <v>3.85</v>
      </c>
      <c r="K107" s="9">
        <f>ROUND(H107*I107*J107, 2)</f>
        <v/>
      </c>
      <c r="L107" s="23">
        <f>ROUND(K107/1000, 3)</f>
        <v/>
      </c>
      <c r="M107" s="8" t="n"/>
      <c r="N107" s="6" t="n"/>
      <c r="O107" s="24">
        <f>IF(AND(E107&lt;=10, F107&lt;&gt;"ASTM A416", INT(P107/20)&gt;INT(P106/20)), "TN Ø10 (Lần " &amp; INT(P107/20) &amp; ")", IF(AND(E107=12, INT(Q107/20)&gt;INT(Q106/20)), "TN Ø12 (Lần " &amp; INT(Q107/20) &amp; ")", IF(AND(E107=14, INT(R107/20)&gt;INT(R106/20)), "TN Ø14 (Lần " &amp; INT(R107/20) &amp; ")", IF(AND(E107=16, INT(S107/20)&gt;INT(S106/20)), "TN Ø16 (Lần " &amp; INT(S107/20) &amp; ")", IF(AND(E107=18, INT(T107/20)&gt;INT(T106/20)), "TN Ø18 (Lần " &amp; INT(T107/20) &amp; ")", IF(AND(E107=20, INT(U107/20)&gt;INT(U106/20)), "TN Ø20 (Lần " &amp; INT(U107/20) &amp; ")", IF(AND(E107=22, INT(V107/20)&gt;INT(V106/20)), "TN Ø22 (Lần " &amp; INT(V107/20) &amp; ")", IF(AND(E107=25, INT(W107/20)&gt;INT(W106/20)), "TN Ø25 (Lần " &amp; INT(W107/20) &amp; ")", IF(AND(E107=28, INT(X107/20)&gt;INT(X106/20)), "TN Ø28 (Lần " &amp; INT(X107/20) &amp; ")", IF(AND(E107=32, INT(Y107/20)&gt;INT(Y106/20)), "TN Ø32 (Lần " &amp; INT(Y107/20) &amp; ")", IF(AND(F107="ASTM A416", INT(Z107/20)&gt;INT(Z106/20)), "TN Cáp 15.2 (Lần " &amp; INT(Z107/20) &amp; ")", "")))))))))))</f>
        <v/>
      </c>
      <c r="P107" s="20">
        <f>ROUND(P106 + IF(AND(E107&lt;=10, F107&lt;&gt;"ASTM A416"), L107, 0), 3)</f>
        <v/>
      </c>
      <c r="Q107" s="20">
        <f>ROUND(Q106 + IF(AND(E107=12, F107&lt;&gt;"ASTM A416"), L107, 0), 3)</f>
        <v/>
      </c>
      <c r="R107" s="20">
        <f>ROUND(R106 + IF(AND(E107=14, F107&lt;&gt;"ASTM A416"), L107, 0), 3)</f>
        <v/>
      </c>
      <c r="S107" s="20">
        <f>ROUND(S106 + IF(AND(E107=16, F107&lt;&gt;"ASTM A416"), L107, 0), 3)</f>
        <v/>
      </c>
      <c r="T107" s="20">
        <f>ROUND(T106 + IF(AND(E107=18, F107&lt;&gt;"ASTM A416"), L107, 0), 3)</f>
        <v/>
      </c>
      <c r="U107" s="20">
        <f>ROUND(U106 + IF(AND(E107=20, F107&lt;&gt;"ASTM A416"), L107, 0), 3)</f>
        <v/>
      </c>
      <c r="V107" s="20">
        <f>ROUND(V106 + IF(AND(E107=22, F107&lt;&gt;"ASTM A416"), L107, 0), 3)</f>
        <v/>
      </c>
      <c r="W107" s="20">
        <f>ROUND(W106 + IF(AND(E107=25, F107&lt;&gt;"ASTM A416"), L107, 0), 3)</f>
        <v/>
      </c>
      <c r="X107" s="20">
        <f>ROUND(X106 + IF(AND(E107=28, F107&lt;&gt;"ASTM A416"), L107, 0), 3)</f>
        <v/>
      </c>
      <c r="Y107" s="20">
        <f>ROUND(Y106 + IF(AND(E107=32, F107&lt;&gt;"ASTM A416"), L107, 0), 3)</f>
        <v/>
      </c>
      <c r="Z107" s="20">
        <f>ROUND(Z106 + IF(F107="ASTM A416", L107, 0), 3)</f>
        <v/>
      </c>
      <c r="AA107" s="11">
        <f>IF(INT(P107/20)&gt;INT(P106/20), "Lần " &amp; INT(P107/20), "")</f>
        <v/>
      </c>
      <c r="AB107" s="11">
        <f>IF(INT(Q107/20)&gt;INT(Q106/20), "Lần " &amp; INT(Q107/20), "")</f>
        <v/>
      </c>
      <c r="AC107" s="11">
        <f>IF(INT(R107/20)&gt;INT(R106/20), "Lần " &amp; INT(R107/20), "")</f>
        <v/>
      </c>
      <c r="AD107" s="11">
        <f>IF(INT(S107/20)&gt;INT(S106/20), "Lần " &amp; INT(S107/20), "")</f>
        <v/>
      </c>
      <c r="AE107" s="11">
        <f>IF(INT(T107/20)&gt;INT(T106/20), "Lần " &amp; INT(T107/20), "")</f>
        <v/>
      </c>
      <c r="AF107" s="11">
        <f>IF(INT(U107/20)&gt;INT(U106/20), "Lần " &amp; INT(U107/20), "")</f>
        <v/>
      </c>
      <c r="AG107" s="11">
        <f>IF(INT(V107/20)&gt;INT(V106/20), "Lần " &amp; INT(V107/20), "")</f>
        <v/>
      </c>
      <c r="AH107" s="11">
        <f>IF(INT(W107/20)&gt;INT(W106/20), "Lần " &amp; INT(W107/20), "")</f>
        <v/>
      </c>
      <c r="AI107" s="11">
        <f>IF(INT(X107/20)&gt;INT(X106/20), "Lần " &amp; INT(X107/20), "")</f>
        <v/>
      </c>
      <c r="AJ107" s="11">
        <f>IF(INT(Y107/20)&gt;INT(Y106/20), "Lần " &amp; INT(Y107/20), "")</f>
        <v/>
      </c>
      <c r="AK107" s="11">
        <f>IF(INT(Z107/20)&gt;INT(Z106/20), "Lần " &amp; INT(Z107/20), "")</f>
        <v/>
      </c>
      <c r="AL107" s="6" t="inlineStr">
        <is>
          <t>ĐẠT TCVN 1651:2018</t>
        </is>
      </c>
    </row>
    <row r="108" ht="19" customHeight="1">
      <c r="A108" s="6" t="n">
        <v>98</v>
      </c>
      <c r="B108" s="7" t="inlineStr">
        <is>
          <t>Cọc khoan nhồi C4 Trụ T1 (D1.2m, L=40.0m)</t>
        </is>
      </c>
      <c r="C108" s="7" t="inlineStr">
        <is>
          <t>Đai tăng cường / Con kê bảo vệ</t>
        </is>
      </c>
      <c r="D108" s="18" t="inlineStr">
        <is>
          <t>P8</t>
        </is>
      </c>
      <c r="E108" s="19" t="n">
        <v>12</v>
      </c>
      <c r="F108" s="6" t="inlineStr">
        <is>
          <t>CB400-V</t>
        </is>
      </c>
      <c r="G108" s="7" t="inlineStr">
        <is>
          <t>Móc neo / Vòng đai</t>
        </is>
      </c>
      <c r="H108" s="20" t="n">
        <v>0.647</v>
      </c>
      <c r="I108" s="21" t="n">
        <v>16</v>
      </c>
      <c r="J108" s="22" t="n">
        <v>0.888</v>
      </c>
      <c r="K108" s="9">
        <f>ROUND(H108*I108*J108, 2)</f>
        <v/>
      </c>
      <c r="L108" s="23">
        <f>ROUND(K108/1000, 3)</f>
        <v/>
      </c>
      <c r="M108" s="8" t="n"/>
      <c r="N108" s="6" t="n"/>
      <c r="O108" s="24">
        <f>IF(AND(E108&lt;=10, F108&lt;&gt;"ASTM A416", INT(P108/20)&gt;INT(P107/20)), "TN Ø10 (Lần " &amp; INT(P108/20) &amp; ")", IF(AND(E108=12, INT(Q108/20)&gt;INT(Q107/20)), "TN Ø12 (Lần " &amp; INT(Q108/20) &amp; ")", IF(AND(E108=14, INT(R108/20)&gt;INT(R107/20)), "TN Ø14 (Lần " &amp; INT(R108/20) &amp; ")", IF(AND(E108=16, INT(S108/20)&gt;INT(S107/20)), "TN Ø16 (Lần " &amp; INT(S108/20) &amp; ")", IF(AND(E108=18, INT(T108/20)&gt;INT(T107/20)), "TN Ø18 (Lần " &amp; INT(T108/20) &amp; ")", IF(AND(E108=20, INT(U108/20)&gt;INT(U107/20)), "TN Ø20 (Lần " &amp; INT(U108/20) &amp; ")", IF(AND(E108=22, INT(V108/20)&gt;INT(V107/20)), "TN Ø22 (Lần " &amp; INT(V108/20) &amp; ")", IF(AND(E108=25, INT(W108/20)&gt;INT(W107/20)), "TN Ø25 (Lần " &amp; INT(W108/20) &amp; ")", IF(AND(E108=28, INT(X108/20)&gt;INT(X107/20)), "TN Ø28 (Lần " &amp; INT(X108/20) &amp; ")", IF(AND(E108=32, INT(Y108/20)&gt;INT(Y107/20)), "TN Ø32 (Lần " &amp; INT(Y108/20) &amp; ")", IF(AND(F108="ASTM A416", INT(Z108/20)&gt;INT(Z107/20)), "TN Cáp 15.2 (Lần " &amp; INT(Z108/20) &amp; ")", "")))))))))))</f>
        <v/>
      </c>
      <c r="P108" s="20">
        <f>ROUND(P107 + IF(AND(E108&lt;=10, F108&lt;&gt;"ASTM A416"), L108, 0), 3)</f>
        <v/>
      </c>
      <c r="Q108" s="20">
        <f>ROUND(Q107 + IF(AND(E108=12, F108&lt;&gt;"ASTM A416"), L108, 0), 3)</f>
        <v/>
      </c>
      <c r="R108" s="20">
        <f>ROUND(R107 + IF(AND(E108=14, F108&lt;&gt;"ASTM A416"), L108, 0), 3)</f>
        <v/>
      </c>
      <c r="S108" s="20">
        <f>ROUND(S107 + IF(AND(E108=16, F108&lt;&gt;"ASTM A416"), L108, 0), 3)</f>
        <v/>
      </c>
      <c r="T108" s="20">
        <f>ROUND(T107 + IF(AND(E108=18, F108&lt;&gt;"ASTM A416"), L108, 0), 3)</f>
        <v/>
      </c>
      <c r="U108" s="20">
        <f>ROUND(U107 + IF(AND(E108=20, F108&lt;&gt;"ASTM A416"), L108, 0), 3)</f>
        <v/>
      </c>
      <c r="V108" s="20">
        <f>ROUND(V107 + IF(AND(E108=22, F108&lt;&gt;"ASTM A416"), L108, 0), 3)</f>
        <v/>
      </c>
      <c r="W108" s="20">
        <f>ROUND(W107 + IF(AND(E108=25, F108&lt;&gt;"ASTM A416"), L108, 0), 3)</f>
        <v/>
      </c>
      <c r="X108" s="20">
        <f>ROUND(X107 + IF(AND(E108=28, F108&lt;&gt;"ASTM A416"), L108, 0), 3)</f>
        <v/>
      </c>
      <c r="Y108" s="20">
        <f>ROUND(Y107 + IF(AND(E108=32, F108&lt;&gt;"ASTM A416"), L108, 0), 3)</f>
        <v/>
      </c>
      <c r="Z108" s="20">
        <f>ROUND(Z107 + IF(F108="ASTM A416", L108, 0), 3)</f>
        <v/>
      </c>
      <c r="AA108" s="11">
        <f>IF(INT(P108/20)&gt;INT(P107/20), "Lần " &amp; INT(P108/20), "")</f>
        <v/>
      </c>
      <c r="AB108" s="11">
        <f>IF(INT(Q108/20)&gt;INT(Q107/20), "Lần " &amp; INT(Q108/20), "")</f>
        <v/>
      </c>
      <c r="AC108" s="11">
        <f>IF(INT(R108/20)&gt;INT(R107/20), "Lần " &amp; INT(R108/20), "")</f>
        <v/>
      </c>
      <c r="AD108" s="11">
        <f>IF(INT(S108/20)&gt;INT(S107/20), "Lần " &amp; INT(S108/20), "")</f>
        <v/>
      </c>
      <c r="AE108" s="11">
        <f>IF(INT(T108/20)&gt;INT(T107/20), "Lần " &amp; INT(T108/20), "")</f>
        <v/>
      </c>
      <c r="AF108" s="11">
        <f>IF(INT(U108/20)&gt;INT(U107/20), "Lần " &amp; INT(U108/20), "")</f>
        <v/>
      </c>
      <c r="AG108" s="11">
        <f>IF(INT(V108/20)&gt;INT(V107/20), "Lần " &amp; INT(V108/20), "")</f>
        <v/>
      </c>
      <c r="AH108" s="11">
        <f>IF(INT(W108/20)&gt;INT(W107/20), "Lần " &amp; INT(W108/20), "")</f>
        <v/>
      </c>
      <c r="AI108" s="11">
        <f>IF(INT(X108/20)&gt;INT(X107/20), "Lần " &amp; INT(X108/20), "")</f>
        <v/>
      </c>
      <c r="AJ108" s="11">
        <f>IF(INT(Y108/20)&gt;INT(Y107/20), "Lần " &amp; INT(Y108/20), "")</f>
        <v/>
      </c>
      <c r="AK108" s="11">
        <f>IF(INT(Z108/20)&gt;INT(Z107/20), "Lần " &amp; INT(Z108/20), "")</f>
        <v/>
      </c>
      <c r="AL108" s="6" t="inlineStr">
        <is>
          <t>ĐẠT TCVN 1651:2018</t>
        </is>
      </c>
    </row>
    <row r="109" ht="19" customHeight="1">
      <c r="A109" s="6" t="n">
        <v>99</v>
      </c>
      <c r="B109" s="7" t="inlineStr">
        <is>
          <t>Cọc khoan nhồi C4 Trụ T1 (D1.2m, L=40.0m)</t>
        </is>
      </c>
      <c r="C109" s="7" t="inlineStr">
        <is>
          <t>Đai tăng cường / Con kê bảo vệ</t>
        </is>
      </c>
      <c r="D109" s="18" t="inlineStr">
        <is>
          <t>P9</t>
        </is>
      </c>
      <c r="E109" s="19" t="n">
        <v>12</v>
      </c>
      <c r="F109" s="6" t="inlineStr">
        <is>
          <t>CB400-V</t>
        </is>
      </c>
      <c r="G109" s="7" t="inlineStr">
        <is>
          <t>Móc neo / Vòng đai</t>
        </is>
      </c>
      <c r="H109" s="20" t="n">
        <v>0.379</v>
      </c>
      <c r="I109" s="21" t="n">
        <v>48</v>
      </c>
      <c r="J109" s="22" t="n">
        <v>0.888</v>
      </c>
      <c r="K109" s="9">
        <f>ROUND(H109*I109*J109, 2)</f>
        <v/>
      </c>
      <c r="L109" s="23">
        <f>ROUND(K109/1000, 3)</f>
        <v/>
      </c>
      <c r="M109" s="8" t="n"/>
      <c r="N109" s="6" t="n"/>
      <c r="O109" s="24">
        <f>IF(AND(E109&lt;=10, F109&lt;&gt;"ASTM A416", INT(P109/20)&gt;INT(P108/20)), "TN Ø10 (Lần " &amp; INT(P109/20) &amp; ")", IF(AND(E109=12, INT(Q109/20)&gt;INT(Q108/20)), "TN Ø12 (Lần " &amp; INT(Q109/20) &amp; ")", IF(AND(E109=14, INT(R109/20)&gt;INT(R108/20)), "TN Ø14 (Lần " &amp; INT(R109/20) &amp; ")", IF(AND(E109=16, INT(S109/20)&gt;INT(S108/20)), "TN Ø16 (Lần " &amp; INT(S109/20) &amp; ")", IF(AND(E109=18, INT(T109/20)&gt;INT(T108/20)), "TN Ø18 (Lần " &amp; INT(T109/20) &amp; ")", IF(AND(E109=20, INT(U109/20)&gt;INT(U108/20)), "TN Ø20 (Lần " &amp; INT(U109/20) &amp; ")", IF(AND(E109=22, INT(V109/20)&gt;INT(V108/20)), "TN Ø22 (Lần " &amp; INT(V109/20) &amp; ")", IF(AND(E109=25, INT(W109/20)&gt;INT(W108/20)), "TN Ø25 (Lần " &amp; INT(W109/20) &amp; ")", IF(AND(E109=28, INT(X109/20)&gt;INT(X108/20)), "TN Ø28 (Lần " &amp; INT(X109/20) &amp; ")", IF(AND(E109=32, INT(Y109/20)&gt;INT(Y108/20)), "TN Ø32 (Lần " &amp; INT(Y109/20) &amp; ")", IF(AND(F109="ASTM A416", INT(Z109/20)&gt;INT(Z108/20)), "TN Cáp 15.2 (Lần " &amp; INT(Z109/20) &amp; ")", "")))))))))))</f>
        <v/>
      </c>
      <c r="P109" s="20">
        <f>ROUND(P108 + IF(AND(E109&lt;=10, F109&lt;&gt;"ASTM A416"), L109, 0), 3)</f>
        <v/>
      </c>
      <c r="Q109" s="20">
        <f>ROUND(Q108 + IF(AND(E109=12, F109&lt;&gt;"ASTM A416"), L109, 0), 3)</f>
        <v/>
      </c>
      <c r="R109" s="20">
        <f>ROUND(R108 + IF(AND(E109=14, F109&lt;&gt;"ASTM A416"), L109, 0), 3)</f>
        <v/>
      </c>
      <c r="S109" s="20">
        <f>ROUND(S108 + IF(AND(E109=16, F109&lt;&gt;"ASTM A416"), L109, 0), 3)</f>
        <v/>
      </c>
      <c r="T109" s="20">
        <f>ROUND(T108 + IF(AND(E109=18, F109&lt;&gt;"ASTM A416"), L109, 0), 3)</f>
        <v/>
      </c>
      <c r="U109" s="20">
        <f>ROUND(U108 + IF(AND(E109=20, F109&lt;&gt;"ASTM A416"), L109, 0), 3)</f>
        <v/>
      </c>
      <c r="V109" s="20">
        <f>ROUND(V108 + IF(AND(E109=22, F109&lt;&gt;"ASTM A416"), L109, 0), 3)</f>
        <v/>
      </c>
      <c r="W109" s="20">
        <f>ROUND(W108 + IF(AND(E109=25, F109&lt;&gt;"ASTM A416"), L109, 0), 3)</f>
        <v/>
      </c>
      <c r="X109" s="20">
        <f>ROUND(X108 + IF(AND(E109=28, F109&lt;&gt;"ASTM A416"), L109, 0), 3)</f>
        <v/>
      </c>
      <c r="Y109" s="20">
        <f>ROUND(Y108 + IF(AND(E109=32, F109&lt;&gt;"ASTM A416"), L109, 0), 3)</f>
        <v/>
      </c>
      <c r="Z109" s="20">
        <f>ROUND(Z108 + IF(F109="ASTM A416", L109, 0), 3)</f>
        <v/>
      </c>
      <c r="AA109" s="11">
        <f>IF(INT(P109/20)&gt;INT(P108/20), "Lần " &amp; INT(P109/20), "")</f>
        <v/>
      </c>
      <c r="AB109" s="11">
        <f>IF(INT(Q109/20)&gt;INT(Q108/20), "Lần " &amp; INT(Q109/20), "")</f>
        <v/>
      </c>
      <c r="AC109" s="11">
        <f>IF(INT(R109/20)&gt;INT(R108/20), "Lần " &amp; INT(R109/20), "")</f>
        <v/>
      </c>
      <c r="AD109" s="11">
        <f>IF(INT(S109/20)&gt;INT(S108/20), "Lần " &amp; INT(S109/20), "")</f>
        <v/>
      </c>
      <c r="AE109" s="11">
        <f>IF(INT(T109/20)&gt;INT(T108/20), "Lần " &amp; INT(T109/20), "")</f>
        <v/>
      </c>
      <c r="AF109" s="11">
        <f>IF(INT(U109/20)&gt;INT(U108/20), "Lần " &amp; INT(U109/20), "")</f>
        <v/>
      </c>
      <c r="AG109" s="11">
        <f>IF(INT(V109/20)&gt;INT(V108/20), "Lần " &amp; INT(V109/20), "")</f>
        <v/>
      </c>
      <c r="AH109" s="11">
        <f>IF(INT(W109/20)&gt;INT(W108/20), "Lần " &amp; INT(W109/20), "")</f>
        <v/>
      </c>
      <c r="AI109" s="11">
        <f>IF(INT(X109/20)&gt;INT(X108/20), "Lần " &amp; INT(X109/20), "")</f>
        <v/>
      </c>
      <c r="AJ109" s="11">
        <f>IF(INT(Y109/20)&gt;INT(Y108/20), "Lần " &amp; INT(Y109/20), "")</f>
        <v/>
      </c>
      <c r="AK109" s="11">
        <f>IF(INT(Z109/20)&gt;INT(Z108/20), "Lần " &amp; INT(Z109/20), "")</f>
        <v/>
      </c>
      <c r="AL109" s="6" t="inlineStr">
        <is>
          <t>ĐẠT TCVN 1651:2018</t>
        </is>
      </c>
    </row>
    <row r="110" ht="19" customHeight="1">
      <c r="A110" s="6" t="n">
        <v>100</v>
      </c>
      <c r="B110" s="7" t="inlineStr">
        <is>
          <t>Cọc khoan nhồi C4 Trụ T1 (D1.2m, L=40.0m)</t>
        </is>
      </c>
      <c r="C110" s="7" t="inlineStr">
        <is>
          <t>Thép đai xoắn lồng cọc</t>
        </is>
      </c>
      <c r="D110" s="18" t="inlineStr">
        <is>
          <t>P10</t>
        </is>
      </c>
      <c r="E110" s="19" t="n">
        <v>20</v>
      </c>
      <c r="F110" s="6" t="inlineStr">
        <is>
          <t>CB400-V</t>
        </is>
      </c>
      <c r="G110" s="7" t="inlineStr">
        <is>
          <t>Đai xoắn tròn</t>
        </is>
      </c>
      <c r="H110" s="20" t="n">
        <v>2.057</v>
      </c>
      <c r="I110" s="21" t="n">
        <v>1</v>
      </c>
      <c r="J110" s="22" t="n">
        <v>2.47</v>
      </c>
      <c r="K110" s="9">
        <f>ROUND(H110*I110*J110, 2)</f>
        <v/>
      </c>
      <c r="L110" s="23">
        <f>ROUND(K110/1000, 3)</f>
        <v/>
      </c>
      <c r="M110" s="8" t="n"/>
      <c r="N110" s="6" t="n"/>
      <c r="O110" s="24">
        <f>IF(AND(E110&lt;=10, F110&lt;&gt;"ASTM A416", INT(P110/20)&gt;INT(P109/20)), "TN Ø10 (Lần " &amp; INT(P110/20) &amp; ")", IF(AND(E110=12, INT(Q110/20)&gt;INT(Q109/20)), "TN Ø12 (Lần " &amp; INT(Q110/20) &amp; ")", IF(AND(E110=14, INT(R110/20)&gt;INT(R109/20)), "TN Ø14 (Lần " &amp; INT(R110/20) &amp; ")", IF(AND(E110=16, INT(S110/20)&gt;INT(S109/20)), "TN Ø16 (Lần " &amp; INT(S110/20) &amp; ")", IF(AND(E110=18, INT(T110/20)&gt;INT(T109/20)), "TN Ø18 (Lần " &amp; INT(T110/20) &amp; ")", IF(AND(E110=20, INT(U110/20)&gt;INT(U109/20)), "TN Ø20 (Lần " &amp; INT(U110/20) &amp; ")", IF(AND(E110=22, INT(V110/20)&gt;INT(V109/20)), "TN Ø22 (Lần " &amp; INT(V110/20) &amp; ")", IF(AND(E110=25, INT(W110/20)&gt;INT(W109/20)), "TN Ø25 (Lần " &amp; INT(W110/20) &amp; ")", IF(AND(E110=28, INT(X110/20)&gt;INT(X109/20)), "TN Ø28 (Lần " &amp; INT(X110/20) &amp; ")", IF(AND(E110=32, INT(Y110/20)&gt;INT(Y109/20)), "TN Ø32 (Lần " &amp; INT(Y110/20) &amp; ")", IF(AND(F110="ASTM A416", INT(Z110/20)&gt;INT(Z109/20)), "TN Cáp 15.2 (Lần " &amp; INT(Z110/20) &amp; ")", "")))))))))))</f>
        <v/>
      </c>
      <c r="P110" s="20">
        <f>ROUND(P109 + IF(AND(E110&lt;=10, F110&lt;&gt;"ASTM A416"), L110, 0), 3)</f>
        <v/>
      </c>
      <c r="Q110" s="20">
        <f>ROUND(Q109 + IF(AND(E110=12, F110&lt;&gt;"ASTM A416"), L110, 0), 3)</f>
        <v/>
      </c>
      <c r="R110" s="20">
        <f>ROUND(R109 + IF(AND(E110=14, F110&lt;&gt;"ASTM A416"), L110, 0), 3)</f>
        <v/>
      </c>
      <c r="S110" s="20">
        <f>ROUND(S109 + IF(AND(E110=16, F110&lt;&gt;"ASTM A416"), L110, 0), 3)</f>
        <v/>
      </c>
      <c r="T110" s="20">
        <f>ROUND(T109 + IF(AND(E110=18, F110&lt;&gt;"ASTM A416"), L110, 0), 3)</f>
        <v/>
      </c>
      <c r="U110" s="20">
        <f>ROUND(U109 + IF(AND(E110=20, F110&lt;&gt;"ASTM A416"), L110, 0), 3)</f>
        <v/>
      </c>
      <c r="V110" s="20">
        <f>ROUND(V109 + IF(AND(E110=22, F110&lt;&gt;"ASTM A416"), L110, 0), 3)</f>
        <v/>
      </c>
      <c r="W110" s="20">
        <f>ROUND(W109 + IF(AND(E110=25, F110&lt;&gt;"ASTM A416"), L110, 0), 3)</f>
        <v/>
      </c>
      <c r="X110" s="20">
        <f>ROUND(X109 + IF(AND(E110=28, F110&lt;&gt;"ASTM A416"), L110, 0), 3)</f>
        <v/>
      </c>
      <c r="Y110" s="20">
        <f>ROUND(Y109 + IF(AND(E110=32, F110&lt;&gt;"ASTM A416"), L110, 0), 3)</f>
        <v/>
      </c>
      <c r="Z110" s="20">
        <f>ROUND(Z109 + IF(F110="ASTM A416", L110, 0), 3)</f>
        <v/>
      </c>
      <c r="AA110" s="11">
        <f>IF(INT(P110/20)&gt;INT(P109/20), "Lần " &amp; INT(P110/20), "")</f>
        <v/>
      </c>
      <c r="AB110" s="11">
        <f>IF(INT(Q110/20)&gt;INT(Q109/20), "Lần " &amp; INT(Q110/20), "")</f>
        <v/>
      </c>
      <c r="AC110" s="11">
        <f>IF(INT(R110/20)&gt;INT(R109/20), "Lần " &amp; INT(R110/20), "")</f>
        <v/>
      </c>
      <c r="AD110" s="11">
        <f>IF(INT(S110/20)&gt;INT(S109/20), "Lần " &amp; INT(S110/20), "")</f>
        <v/>
      </c>
      <c r="AE110" s="11">
        <f>IF(INT(T110/20)&gt;INT(T109/20), "Lần " &amp; INT(T110/20), "")</f>
        <v/>
      </c>
      <c r="AF110" s="11">
        <f>IF(INT(U110/20)&gt;INT(U109/20), "Lần " &amp; INT(U110/20), "")</f>
        <v/>
      </c>
      <c r="AG110" s="11">
        <f>IF(INT(V110/20)&gt;INT(V109/20), "Lần " &amp; INT(V110/20), "")</f>
        <v/>
      </c>
      <c r="AH110" s="11">
        <f>IF(INT(W110/20)&gt;INT(W109/20), "Lần " &amp; INT(W110/20), "")</f>
        <v/>
      </c>
      <c r="AI110" s="11">
        <f>IF(INT(X110/20)&gt;INT(X109/20), "Lần " &amp; INT(X110/20), "")</f>
        <v/>
      </c>
      <c r="AJ110" s="11">
        <f>IF(INT(Y110/20)&gt;INT(Y109/20), "Lần " &amp; INT(Y110/20), "")</f>
        <v/>
      </c>
      <c r="AK110" s="11">
        <f>IF(INT(Z110/20)&gt;INT(Z109/20), "Lần " &amp; INT(Z110/20), "")</f>
        <v/>
      </c>
      <c r="AL110" s="6" t="inlineStr">
        <is>
          <t>ĐẠT TCVN 1651:2018</t>
        </is>
      </c>
    </row>
    <row r="111" ht="19" customHeight="1">
      <c r="A111" s="6" t="n">
        <v>101</v>
      </c>
      <c r="B111" s="7" t="inlineStr">
        <is>
          <t>Cọc khoan nhồi C4 Trụ T1 (D1.2m, L=40.0m)</t>
        </is>
      </c>
      <c r="C111" s="7" t="inlineStr">
        <is>
          <t>Thanh thép treo lồng cọc</t>
        </is>
      </c>
      <c r="D111" s="18" t="inlineStr">
        <is>
          <t>P11</t>
        </is>
      </c>
      <c r="E111" s="19" t="n">
        <v>16</v>
      </c>
      <c r="F111" s="6" t="inlineStr">
        <is>
          <t>CB400-V</t>
        </is>
      </c>
      <c r="G111" s="7" t="inlineStr">
        <is>
          <t>Thanh treo lồng (bảng phụ tr.68)</t>
        </is>
      </c>
      <c r="H111" s="20" t="n">
        <v>2.604</v>
      </c>
      <c r="I111" s="21" t="n">
        <v>4</v>
      </c>
      <c r="J111" s="22" t="n">
        <v>1.58</v>
      </c>
      <c r="K111" s="9">
        <f>ROUND(H111*I111*J111, 2)</f>
        <v/>
      </c>
      <c r="L111" s="23">
        <f>ROUND(K111/1000, 3)</f>
        <v/>
      </c>
      <c r="M111" s="8" t="n"/>
      <c r="N111" s="6" t="n"/>
      <c r="O111" s="24">
        <f>IF(AND(E111&lt;=10, F111&lt;&gt;"ASTM A416", INT(P111/20)&gt;INT(P110/20)), "TN Ø10 (Lần " &amp; INT(P111/20) &amp; ")", IF(AND(E111=12, INT(Q111/20)&gt;INT(Q110/20)), "TN Ø12 (Lần " &amp; INT(Q111/20) &amp; ")", IF(AND(E111=14, INT(R111/20)&gt;INT(R110/20)), "TN Ø14 (Lần " &amp; INT(R111/20) &amp; ")", IF(AND(E111=16, INT(S111/20)&gt;INT(S110/20)), "TN Ø16 (Lần " &amp; INT(S111/20) &amp; ")", IF(AND(E111=18, INT(T111/20)&gt;INT(T110/20)), "TN Ø18 (Lần " &amp; INT(T111/20) &amp; ")", IF(AND(E111=20, INT(U111/20)&gt;INT(U110/20)), "TN Ø20 (Lần " &amp; INT(U111/20) &amp; ")", IF(AND(E111=22, INT(V111/20)&gt;INT(V110/20)), "TN Ø22 (Lần " &amp; INT(V111/20) &amp; ")", IF(AND(E111=25, INT(W111/20)&gt;INT(W110/20)), "TN Ø25 (Lần " &amp; INT(W111/20) &amp; ")", IF(AND(E111=28, INT(X111/20)&gt;INT(X110/20)), "TN Ø28 (Lần " &amp; INT(X111/20) &amp; ")", IF(AND(E111=32, INT(Y111/20)&gt;INT(Y110/20)), "TN Ø32 (Lần " &amp; INT(Y111/20) &amp; ")", IF(AND(F111="ASTM A416", INT(Z111/20)&gt;INT(Z110/20)), "TN Cáp 15.2 (Lần " &amp; INT(Z111/20) &amp; ")", "")))))))))))</f>
        <v/>
      </c>
      <c r="P111" s="20">
        <f>ROUND(P110 + IF(AND(E111&lt;=10, F111&lt;&gt;"ASTM A416"), L111, 0), 3)</f>
        <v/>
      </c>
      <c r="Q111" s="20">
        <f>ROUND(Q110 + IF(AND(E111=12, F111&lt;&gt;"ASTM A416"), L111, 0), 3)</f>
        <v/>
      </c>
      <c r="R111" s="20">
        <f>ROUND(R110 + IF(AND(E111=14, F111&lt;&gt;"ASTM A416"), L111, 0), 3)</f>
        <v/>
      </c>
      <c r="S111" s="20">
        <f>ROUND(S110 + IF(AND(E111=16, F111&lt;&gt;"ASTM A416"), L111, 0), 3)</f>
        <v/>
      </c>
      <c r="T111" s="20">
        <f>ROUND(T110 + IF(AND(E111=18, F111&lt;&gt;"ASTM A416"), L111, 0), 3)</f>
        <v/>
      </c>
      <c r="U111" s="20">
        <f>ROUND(U110 + IF(AND(E111=20, F111&lt;&gt;"ASTM A416"), L111, 0), 3)</f>
        <v/>
      </c>
      <c r="V111" s="20">
        <f>ROUND(V110 + IF(AND(E111=22, F111&lt;&gt;"ASTM A416"), L111, 0), 3)</f>
        <v/>
      </c>
      <c r="W111" s="20">
        <f>ROUND(W110 + IF(AND(E111=25, F111&lt;&gt;"ASTM A416"), L111, 0), 3)</f>
        <v/>
      </c>
      <c r="X111" s="20">
        <f>ROUND(X110 + IF(AND(E111=28, F111&lt;&gt;"ASTM A416"), L111, 0), 3)</f>
        <v/>
      </c>
      <c r="Y111" s="20">
        <f>ROUND(Y110 + IF(AND(E111=32, F111&lt;&gt;"ASTM A416"), L111, 0), 3)</f>
        <v/>
      </c>
      <c r="Z111" s="20">
        <f>ROUND(Z110 + IF(F111="ASTM A416", L111, 0), 3)</f>
        <v/>
      </c>
      <c r="AA111" s="11">
        <f>IF(INT(P111/20)&gt;INT(P110/20), "Lần " &amp; INT(P111/20), "")</f>
        <v/>
      </c>
      <c r="AB111" s="11">
        <f>IF(INT(Q111/20)&gt;INT(Q110/20), "Lần " &amp; INT(Q111/20), "")</f>
        <v/>
      </c>
      <c r="AC111" s="11">
        <f>IF(INT(R111/20)&gt;INT(R110/20), "Lần " &amp; INT(R111/20), "")</f>
        <v/>
      </c>
      <c r="AD111" s="11">
        <f>IF(INT(S111/20)&gt;INT(S110/20), "Lần " &amp; INT(S111/20), "")</f>
        <v/>
      </c>
      <c r="AE111" s="11">
        <f>IF(INT(T111/20)&gt;INT(T110/20), "Lần " &amp; INT(T111/20), "")</f>
        <v/>
      </c>
      <c r="AF111" s="11">
        <f>IF(INT(U111/20)&gt;INT(U110/20), "Lần " &amp; INT(U111/20), "")</f>
        <v/>
      </c>
      <c r="AG111" s="11">
        <f>IF(INT(V111/20)&gt;INT(V110/20), "Lần " &amp; INT(V111/20), "")</f>
        <v/>
      </c>
      <c r="AH111" s="11">
        <f>IF(INT(W111/20)&gt;INT(W110/20), "Lần " &amp; INT(W111/20), "")</f>
        <v/>
      </c>
      <c r="AI111" s="11">
        <f>IF(INT(X111/20)&gt;INT(X110/20), "Lần " &amp; INT(X111/20), "")</f>
        <v/>
      </c>
      <c r="AJ111" s="11">
        <f>IF(INT(Y111/20)&gt;INT(Y110/20), "Lần " &amp; INT(Y111/20), "")</f>
        <v/>
      </c>
      <c r="AK111" s="11">
        <f>IF(INT(Z111/20)&gt;INT(Z110/20), "Lần " &amp; INT(Z111/20), "")</f>
        <v/>
      </c>
      <c r="AL111" s="6" t="inlineStr">
        <is>
          <t>ĐẠT TCVN 1651:2018</t>
        </is>
      </c>
    </row>
    <row r="112" ht="19" customHeight="1">
      <c r="A112" s="6" t="n">
        <v>102</v>
      </c>
      <c r="B112" s="7" t="inlineStr">
        <is>
          <t>Cọc khoan nhồi C4 Trụ T1 (D1.2m, L=40.0m)</t>
        </is>
      </c>
      <c r="C112" s="7" t="inlineStr">
        <is>
          <t>Thép đai xoắn lồng cọc</t>
        </is>
      </c>
      <c r="D112" s="18" t="inlineStr">
        <is>
          <t>P12</t>
        </is>
      </c>
      <c r="E112" s="19" t="n">
        <v>20</v>
      </c>
      <c r="F112" s="6" t="inlineStr">
        <is>
          <t>CB400-V</t>
        </is>
      </c>
      <c r="G112" s="7" t="inlineStr">
        <is>
          <t>Đai xoắn tròn</t>
        </is>
      </c>
      <c r="H112" s="20" t="n">
        <v>0.583</v>
      </c>
      <c r="I112" s="21" t="n">
        <v>64</v>
      </c>
      <c r="J112" s="22" t="n">
        <v>2.47</v>
      </c>
      <c r="K112" s="9">
        <f>ROUND(H112*I112*J112, 2)</f>
        <v/>
      </c>
      <c r="L112" s="23">
        <f>ROUND(K112/1000, 3)</f>
        <v/>
      </c>
      <c r="M112" s="8" t="n"/>
      <c r="N112" s="6" t="n"/>
      <c r="O112" s="24">
        <f>IF(AND(E112&lt;=10, F112&lt;&gt;"ASTM A416", INT(P112/20)&gt;INT(P111/20)), "TN Ø10 (Lần " &amp; INT(P112/20) &amp; ")", IF(AND(E112=12, INT(Q112/20)&gt;INT(Q111/20)), "TN Ø12 (Lần " &amp; INT(Q112/20) &amp; ")", IF(AND(E112=14, INT(R112/20)&gt;INT(R111/20)), "TN Ø14 (Lần " &amp; INT(R112/20) &amp; ")", IF(AND(E112=16, INT(S112/20)&gt;INT(S111/20)), "TN Ø16 (Lần " &amp; INT(S112/20) &amp; ")", IF(AND(E112=18, INT(T112/20)&gt;INT(T111/20)), "TN Ø18 (Lần " &amp; INT(T112/20) &amp; ")", IF(AND(E112=20, INT(U112/20)&gt;INT(U111/20)), "TN Ø20 (Lần " &amp; INT(U112/20) &amp; ")", IF(AND(E112=22, INT(V112/20)&gt;INT(V111/20)), "TN Ø22 (Lần " &amp; INT(V112/20) &amp; ")", IF(AND(E112=25, INT(W112/20)&gt;INT(W111/20)), "TN Ø25 (Lần " &amp; INT(W112/20) &amp; ")", IF(AND(E112=28, INT(X112/20)&gt;INT(X111/20)), "TN Ø28 (Lần " &amp; INT(X112/20) &amp; ")", IF(AND(E112=32, INT(Y112/20)&gt;INT(Y111/20)), "TN Ø32 (Lần " &amp; INT(Y112/20) &amp; ")", IF(AND(F112="ASTM A416", INT(Z112/20)&gt;INT(Z111/20)), "TN Cáp 15.2 (Lần " &amp; INT(Z112/20) &amp; ")", "")))))))))))</f>
        <v/>
      </c>
      <c r="P112" s="20">
        <f>ROUND(P111 + IF(AND(E112&lt;=10, F112&lt;&gt;"ASTM A416"), L112, 0), 3)</f>
        <v/>
      </c>
      <c r="Q112" s="20">
        <f>ROUND(Q111 + IF(AND(E112=12, F112&lt;&gt;"ASTM A416"), L112, 0), 3)</f>
        <v/>
      </c>
      <c r="R112" s="20">
        <f>ROUND(R111 + IF(AND(E112=14, F112&lt;&gt;"ASTM A416"), L112, 0), 3)</f>
        <v/>
      </c>
      <c r="S112" s="20">
        <f>ROUND(S111 + IF(AND(E112=16, F112&lt;&gt;"ASTM A416"), L112, 0), 3)</f>
        <v/>
      </c>
      <c r="T112" s="20">
        <f>ROUND(T111 + IF(AND(E112=18, F112&lt;&gt;"ASTM A416"), L112, 0), 3)</f>
        <v/>
      </c>
      <c r="U112" s="20">
        <f>ROUND(U111 + IF(AND(E112=20, F112&lt;&gt;"ASTM A416"), L112, 0), 3)</f>
        <v/>
      </c>
      <c r="V112" s="20">
        <f>ROUND(V111 + IF(AND(E112=22, F112&lt;&gt;"ASTM A416"), L112, 0), 3)</f>
        <v/>
      </c>
      <c r="W112" s="20">
        <f>ROUND(W111 + IF(AND(E112=25, F112&lt;&gt;"ASTM A416"), L112, 0), 3)</f>
        <v/>
      </c>
      <c r="X112" s="20">
        <f>ROUND(X111 + IF(AND(E112=28, F112&lt;&gt;"ASTM A416"), L112, 0), 3)</f>
        <v/>
      </c>
      <c r="Y112" s="20">
        <f>ROUND(Y111 + IF(AND(E112=32, F112&lt;&gt;"ASTM A416"), L112, 0), 3)</f>
        <v/>
      </c>
      <c r="Z112" s="20">
        <f>ROUND(Z111 + IF(F112="ASTM A416", L112, 0), 3)</f>
        <v/>
      </c>
      <c r="AA112" s="11">
        <f>IF(INT(P112/20)&gt;INT(P111/20), "Lần " &amp; INT(P112/20), "")</f>
        <v/>
      </c>
      <c r="AB112" s="11">
        <f>IF(INT(Q112/20)&gt;INT(Q111/20), "Lần " &amp; INT(Q112/20), "")</f>
        <v/>
      </c>
      <c r="AC112" s="11">
        <f>IF(INT(R112/20)&gt;INT(R111/20), "Lần " &amp; INT(R112/20), "")</f>
        <v/>
      </c>
      <c r="AD112" s="11">
        <f>IF(INT(S112/20)&gt;INT(S111/20), "Lần " &amp; INT(S112/20), "")</f>
        <v/>
      </c>
      <c r="AE112" s="11">
        <f>IF(INT(T112/20)&gt;INT(T111/20), "Lần " &amp; INT(T112/20), "")</f>
        <v/>
      </c>
      <c r="AF112" s="11">
        <f>IF(INT(U112/20)&gt;INT(U111/20), "Lần " &amp; INT(U112/20), "")</f>
        <v/>
      </c>
      <c r="AG112" s="11">
        <f>IF(INT(V112/20)&gt;INT(V111/20), "Lần " &amp; INT(V112/20), "")</f>
        <v/>
      </c>
      <c r="AH112" s="11">
        <f>IF(INT(W112/20)&gt;INT(W111/20), "Lần " &amp; INT(W112/20), "")</f>
        <v/>
      </c>
      <c r="AI112" s="11">
        <f>IF(INT(X112/20)&gt;INT(X111/20), "Lần " &amp; INT(X112/20), "")</f>
        <v/>
      </c>
      <c r="AJ112" s="11">
        <f>IF(INT(Y112/20)&gt;INT(Y111/20), "Lần " &amp; INT(Y112/20), "")</f>
        <v/>
      </c>
      <c r="AK112" s="11">
        <f>IF(INT(Z112/20)&gt;INT(Z111/20), "Lần " &amp; INT(Z112/20), "")</f>
        <v/>
      </c>
      <c r="AL112" s="6" t="inlineStr">
        <is>
          <t>ĐẠT TCVN 1651:2018</t>
        </is>
      </c>
    </row>
    <row r="113" ht="20" customHeight="1">
      <c r="A113" s="17" t="inlineStr">
        <is>
          <t>--- CỌC KHOAN NHỒI C5 TRỤ T1 (D1.2M, L=40.0M) ---</t>
        </is>
      </c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</row>
    <row r="114" ht="19" customHeight="1">
      <c r="A114" s="6" t="n">
        <v>103</v>
      </c>
      <c r="B114" s="7" t="inlineStr">
        <is>
          <t>Cọc khoan nhồi C5 Trụ T1 (D1.2m, L=40.0m)</t>
        </is>
      </c>
      <c r="C114" s="7" t="inlineStr">
        <is>
          <t>Thép đai xoắn lồng cọc</t>
        </is>
      </c>
      <c r="D114" s="18" t="inlineStr">
        <is>
          <t>P1</t>
        </is>
      </c>
      <c r="E114" s="19" t="n">
        <v>10</v>
      </c>
      <c r="F114" s="6" t="inlineStr">
        <is>
          <t>CB240-T</t>
        </is>
      </c>
      <c r="G114" s="7" t="inlineStr">
        <is>
          <t>Đai xoắn tròn</t>
        </is>
      </c>
      <c r="H114" s="20" t="n">
        <v>96.604</v>
      </c>
      <c r="I114" s="21" t="n">
        <v>1</v>
      </c>
      <c r="J114" s="22" t="n">
        <v>0.617</v>
      </c>
      <c r="K114" s="9">
        <f>ROUND(H114*I114*J114, 2)</f>
        <v/>
      </c>
      <c r="L114" s="23">
        <f>ROUND(K114/1000, 3)</f>
        <v/>
      </c>
      <c r="M114" s="8" t="n"/>
      <c r="N114" s="6" t="n"/>
      <c r="O114" s="24">
        <f>IF(AND(E114&lt;=10, F114&lt;&gt;"ASTM A416", INT(P114/20)&gt;INT(P112/20)), "TN Ø10 (Lần " &amp; INT(P114/20) &amp; ")", IF(AND(E114=12, INT(Q114/20)&gt;INT(Q112/20)), "TN Ø12 (Lần " &amp; INT(Q114/20) &amp; ")", IF(AND(E114=14, INT(R114/20)&gt;INT(R112/20)), "TN Ø14 (Lần " &amp; INT(R114/20) &amp; ")", IF(AND(E114=16, INT(S114/20)&gt;INT(S112/20)), "TN Ø16 (Lần " &amp; INT(S114/20) &amp; ")", IF(AND(E114=18, INT(T114/20)&gt;INT(T112/20)), "TN Ø18 (Lần " &amp; INT(T114/20) &amp; ")", IF(AND(E114=20, INT(U114/20)&gt;INT(U112/20)), "TN Ø20 (Lần " &amp; INT(U114/20) &amp; ")", IF(AND(E114=22, INT(V114/20)&gt;INT(V112/20)), "TN Ø22 (Lần " &amp; INT(V114/20) &amp; ")", IF(AND(E114=25, INT(W114/20)&gt;INT(W112/20)), "TN Ø25 (Lần " &amp; INT(W114/20) &amp; ")", IF(AND(E114=28, INT(X114/20)&gt;INT(X112/20)), "TN Ø28 (Lần " &amp; INT(X114/20) &amp; ")", IF(AND(E114=32, INT(Y114/20)&gt;INT(Y112/20)), "TN Ø32 (Lần " &amp; INT(Y114/20) &amp; ")", IF(AND(F114="ASTM A416", INT(Z114/20)&gt;INT(Z112/20)), "TN Cáp 15.2 (Lần " &amp; INT(Z114/20) &amp; ")", "")))))))))))</f>
        <v/>
      </c>
      <c r="P114" s="20">
        <f>ROUND(P112 + IF(AND(E114&lt;=10, F114&lt;&gt;"ASTM A416"), L114, 0), 3)</f>
        <v/>
      </c>
      <c r="Q114" s="20">
        <f>ROUND(Q112 + IF(AND(E114=12, F114&lt;&gt;"ASTM A416"), L114, 0), 3)</f>
        <v/>
      </c>
      <c r="R114" s="20">
        <f>ROUND(R112 + IF(AND(E114=14, F114&lt;&gt;"ASTM A416"), L114, 0), 3)</f>
        <v/>
      </c>
      <c r="S114" s="20">
        <f>ROUND(S112 + IF(AND(E114=16, F114&lt;&gt;"ASTM A416"), L114, 0), 3)</f>
        <v/>
      </c>
      <c r="T114" s="20">
        <f>ROUND(T112 + IF(AND(E114=18, F114&lt;&gt;"ASTM A416"), L114, 0), 3)</f>
        <v/>
      </c>
      <c r="U114" s="20">
        <f>ROUND(U112 + IF(AND(E114=20, F114&lt;&gt;"ASTM A416"), L114, 0), 3)</f>
        <v/>
      </c>
      <c r="V114" s="20">
        <f>ROUND(V112 + IF(AND(E114=22, F114&lt;&gt;"ASTM A416"), L114, 0), 3)</f>
        <v/>
      </c>
      <c r="W114" s="20">
        <f>ROUND(W112 + IF(AND(E114=25, F114&lt;&gt;"ASTM A416"), L114, 0), 3)</f>
        <v/>
      </c>
      <c r="X114" s="20">
        <f>ROUND(X112 + IF(AND(E114=28, F114&lt;&gt;"ASTM A416"), L114, 0), 3)</f>
        <v/>
      </c>
      <c r="Y114" s="20">
        <f>ROUND(Y112 + IF(AND(E114=32, F114&lt;&gt;"ASTM A416"), L114, 0), 3)</f>
        <v/>
      </c>
      <c r="Z114" s="20">
        <f>ROUND(Z112 + IF(F114="ASTM A416", L114, 0), 3)</f>
        <v/>
      </c>
      <c r="AA114" s="11">
        <f>IF(INT(P114/20)&gt;INT(P112/20), "Lần " &amp; INT(P114/20), "")</f>
        <v/>
      </c>
      <c r="AB114" s="11">
        <f>IF(INT(Q114/20)&gt;INT(Q112/20), "Lần " &amp; INT(Q114/20), "")</f>
        <v/>
      </c>
      <c r="AC114" s="11">
        <f>IF(INT(R114/20)&gt;INT(R112/20), "Lần " &amp; INT(R114/20), "")</f>
        <v/>
      </c>
      <c r="AD114" s="11">
        <f>IF(INT(S114/20)&gt;INT(S112/20), "Lần " &amp; INT(S114/20), "")</f>
        <v/>
      </c>
      <c r="AE114" s="11">
        <f>IF(INT(T114/20)&gt;INT(T112/20), "Lần " &amp; INT(T114/20), "")</f>
        <v/>
      </c>
      <c r="AF114" s="11">
        <f>IF(INT(U114/20)&gt;INT(U112/20), "Lần " &amp; INT(U114/20), "")</f>
        <v/>
      </c>
      <c r="AG114" s="11">
        <f>IF(INT(V114/20)&gt;INT(V112/20), "Lần " &amp; INT(V114/20), "")</f>
        <v/>
      </c>
      <c r="AH114" s="11">
        <f>IF(INT(W114/20)&gt;INT(W112/20), "Lần " &amp; INT(W114/20), "")</f>
        <v/>
      </c>
      <c r="AI114" s="11">
        <f>IF(INT(X114/20)&gt;INT(X112/20), "Lần " &amp; INT(X114/20), "")</f>
        <v/>
      </c>
      <c r="AJ114" s="11">
        <f>IF(INT(Y114/20)&gt;INT(Y112/20), "Lần " &amp; INT(Y114/20), "")</f>
        <v/>
      </c>
      <c r="AK114" s="11">
        <f>IF(INT(Z114/20)&gt;INT(Z112/20), "Lần " &amp; INT(Z114/20), "")</f>
        <v/>
      </c>
      <c r="AL114" s="6" t="inlineStr">
        <is>
          <t>ĐẠT TCVN 1651:2018</t>
        </is>
      </c>
    </row>
    <row r="115" ht="19" customHeight="1">
      <c r="A115" s="6" t="n">
        <v>104</v>
      </c>
      <c r="B115" s="7" t="inlineStr">
        <is>
          <t>Cọc khoan nhồi C5 Trụ T1 (D1.2m, L=40.0m)</t>
        </is>
      </c>
      <c r="C115" s="7" t="inlineStr">
        <is>
          <t>Thép đai xoắn lồng cọc</t>
        </is>
      </c>
      <c r="D115" s="18" t="inlineStr">
        <is>
          <t>P1A</t>
        </is>
      </c>
      <c r="E115" s="19" t="n">
        <v>10</v>
      </c>
      <c r="F115" s="6" t="inlineStr">
        <is>
          <t>CB240-T</t>
        </is>
      </c>
      <c r="G115" s="7" t="inlineStr">
        <is>
          <t>Đai xoắn tròn</t>
        </is>
      </c>
      <c r="H115" s="20" t="n">
        <v>389.636</v>
      </c>
      <c r="I115" s="21" t="n">
        <v>1</v>
      </c>
      <c r="J115" s="22" t="n">
        <v>0.617</v>
      </c>
      <c r="K115" s="9">
        <f>ROUND(H115*I115*J115, 2)</f>
        <v/>
      </c>
      <c r="L115" s="23">
        <f>ROUND(K115/1000, 3)</f>
        <v/>
      </c>
      <c r="M115" s="8" t="n"/>
      <c r="N115" s="6" t="n"/>
      <c r="O115" s="24">
        <f>IF(AND(E115&lt;=10, F115&lt;&gt;"ASTM A416", INT(P115/20)&gt;INT(P114/20)), "TN Ø10 (Lần " &amp; INT(P115/20) &amp; ")", IF(AND(E115=12, INT(Q115/20)&gt;INT(Q114/20)), "TN Ø12 (Lần " &amp; INT(Q115/20) &amp; ")", IF(AND(E115=14, INT(R115/20)&gt;INT(R114/20)), "TN Ø14 (Lần " &amp; INT(R115/20) &amp; ")", IF(AND(E115=16, INT(S115/20)&gt;INT(S114/20)), "TN Ø16 (Lần " &amp; INT(S115/20) &amp; ")", IF(AND(E115=18, INT(T115/20)&gt;INT(T114/20)), "TN Ø18 (Lần " &amp; INT(T115/20) &amp; ")", IF(AND(E115=20, INT(U115/20)&gt;INT(U114/20)), "TN Ø20 (Lần " &amp; INT(U115/20) &amp; ")", IF(AND(E115=22, INT(V115/20)&gt;INT(V114/20)), "TN Ø22 (Lần " &amp; INT(V115/20) &amp; ")", IF(AND(E115=25, INT(W115/20)&gt;INT(W114/20)), "TN Ø25 (Lần " &amp; INT(W115/20) &amp; ")", IF(AND(E115=28, INT(X115/20)&gt;INT(X114/20)), "TN Ø28 (Lần " &amp; INT(X115/20) &amp; ")", IF(AND(E115=32, INT(Y115/20)&gt;INT(Y114/20)), "TN Ø32 (Lần " &amp; INT(Y115/20) &amp; ")", IF(AND(F115="ASTM A416", INT(Z115/20)&gt;INT(Z114/20)), "TN Cáp 15.2 (Lần " &amp; INT(Z115/20) &amp; ")", "")))))))))))</f>
        <v/>
      </c>
      <c r="P115" s="20">
        <f>ROUND(P114 + IF(AND(E115&lt;=10, F115&lt;&gt;"ASTM A416"), L115, 0), 3)</f>
        <v/>
      </c>
      <c r="Q115" s="20">
        <f>ROUND(Q114 + IF(AND(E115=12, F115&lt;&gt;"ASTM A416"), L115, 0), 3)</f>
        <v/>
      </c>
      <c r="R115" s="20">
        <f>ROUND(R114 + IF(AND(E115=14, F115&lt;&gt;"ASTM A416"), L115, 0), 3)</f>
        <v/>
      </c>
      <c r="S115" s="20">
        <f>ROUND(S114 + IF(AND(E115=16, F115&lt;&gt;"ASTM A416"), L115, 0), 3)</f>
        <v/>
      </c>
      <c r="T115" s="20">
        <f>ROUND(T114 + IF(AND(E115=18, F115&lt;&gt;"ASTM A416"), L115, 0), 3)</f>
        <v/>
      </c>
      <c r="U115" s="20">
        <f>ROUND(U114 + IF(AND(E115=20, F115&lt;&gt;"ASTM A416"), L115, 0), 3)</f>
        <v/>
      </c>
      <c r="V115" s="20">
        <f>ROUND(V114 + IF(AND(E115=22, F115&lt;&gt;"ASTM A416"), L115, 0), 3)</f>
        <v/>
      </c>
      <c r="W115" s="20">
        <f>ROUND(W114 + IF(AND(E115=25, F115&lt;&gt;"ASTM A416"), L115, 0), 3)</f>
        <v/>
      </c>
      <c r="X115" s="20">
        <f>ROUND(X114 + IF(AND(E115=28, F115&lt;&gt;"ASTM A416"), L115, 0), 3)</f>
        <v/>
      </c>
      <c r="Y115" s="20">
        <f>ROUND(Y114 + IF(AND(E115=32, F115&lt;&gt;"ASTM A416"), L115, 0), 3)</f>
        <v/>
      </c>
      <c r="Z115" s="20">
        <f>ROUND(Z114 + IF(F115="ASTM A416", L115, 0), 3)</f>
        <v/>
      </c>
      <c r="AA115" s="11">
        <f>IF(INT(P115/20)&gt;INT(P114/20), "Lần " &amp; INT(P115/20), "")</f>
        <v/>
      </c>
      <c r="AB115" s="11">
        <f>IF(INT(Q115/20)&gt;INT(Q114/20), "Lần " &amp; INT(Q115/20), "")</f>
        <v/>
      </c>
      <c r="AC115" s="11">
        <f>IF(INT(R115/20)&gt;INT(R114/20), "Lần " &amp; INT(R115/20), "")</f>
        <v/>
      </c>
      <c r="AD115" s="11">
        <f>IF(INT(S115/20)&gt;INT(S114/20), "Lần " &amp; INT(S115/20), "")</f>
        <v/>
      </c>
      <c r="AE115" s="11">
        <f>IF(INT(T115/20)&gt;INT(T114/20), "Lần " &amp; INT(T115/20), "")</f>
        <v/>
      </c>
      <c r="AF115" s="11">
        <f>IF(INT(U115/20)&gt;INT(U114/20), "Lần " &amp; INT(U115/20), "")</f>
        <v/>
      </c>
      <c r="AG115" s="11">
        <f>IF(INT(V115/20)&gt;INT(V114/20), "Lần " &amp; INT(V115/20), "")</f>
        <v/>
      </c>
      <c r="AH115" s="11">
        <f>IF(INT(W115/20)&gt;INT(W114/20), "Lần " &amp; INT(W115/20), "")</f>
        <v/>
      </c>
      <c r="AI115" s="11">
        <f>IF(INT(X115/20)&gt;INT(X114/20), "Lần " &amp; INT(X115/20), "")</f>
        <v/>
      </c>
      <c r="AJ115" s="11">
        <f>IF(INT(Y115/20)&gt;INT(Y114/20), "Lần " &amp; INT(Y115/20), "")</f>
        <v/>
      </c>
      <c r="AK115" s="11">
        <f>IF(INT(Z115/20)&gt;INT(Z114/20), "Lần " &amp; INT(Z115/20), "")</f>
        <v/>
      </c>
      <c r="AL115" s="6" t="inlineStr">
        <is>
          <t>ĐẠT TCVN 1651:2018</t>
        </is>
      </c>
    </row>
    <row r="116" ht="19" customHeight="1">
      <c r="A116" s="6" t="n">
        <v>105</v>
      </c>
      <c r="B116" s="7" t="inlineStr">
        <is>
          <t>Cọc khoan nhồi C5 Trụ T1 (D1.2m, L=40.0m)</t>
        </is>
      </c>
      <c r="C116" s="7" t="inlineStr">
        <is>
          <t>Thép đai xoắn lồng cọc</t>
        </is>
      </c>
      <c r="D116" s="18" t="inlineStr">
        <is>
          <t>P1B</t>
        </is>
      </c>
      <c r="E116" s="19" t="n">
        <v>10</v>
      </c>
      <c r="F116" s="6" t="inlineStr">
        <is>
          <t>CB240-T</t>
        </is>
      </c>
      <c r="G116" s="7" t="inlineStr">
        <is>
          <t>Đai xoắn tròn</t>
        </is>
      </c>
      <c r="H116" s="20" t="n">
        <v>206.981</v>
      </c>
      <c r="I116" s="21" t="n">
        <v>1</v>
      </c>
      <c r="J116" s="22" t="n">
        <v>0.617</v>
      </c>
      <c r="K116" s="9">
        <f>ROUND(H116*I116*J116, 2)</f>
        <v/>
      </c>
      <c r="L116" s="23">
        <f>ROUND(K116/1000, 3)</f>
        <v/>
      </c>
      <c r="M116" s="8" t="n"/>
      <c r="N116" s="6" t="n"/>
      <c r="O116" s="24">
        <f>IF(AND(E116&lt;=10, F116&lt;&gt;"ASTM A416", INT(P116/20)&gt;INT(P115/20)), "TN Ø10 (Lần " &amp; INT(P116/20) &amp; ")", IF(AND(E116=12, INT(Q116/20)&gt;INT(Q115/20)), "TN Ø12 (Lần " &amp; INT(Q116/20) &amp; ")", IF(AND(E116=14, INT(R116/20)&gt;INT(R115/20)), "TN Ø14 (Lần " &amp; INT(R116/20) &amp; ")", IF(AND(E116=16, INT(S116/20)&gt;INT(S115/20)), "TN Ø16 (Lần " &amp; INT(S116/20) &amp; ")", IF(AND(E116=18, INT(T116/20)&gt;INT(T115/20)), "TN Ø18 (Lần " &amp; INT(T116/20) &amp; ")", IF(AND(E116=20, INT(U116/20)&gt;INT(U115/20)), "TN Ø20 (Lần " &amp; INT(U116/20) &amp; ")", IF(AND(E116=22, INT(V116/20)&gt;INT(V115/20)), "TN Ø22 (Lần " &amp; INT(V116/20) &amp; ")", IF(AND(E116=25, INT(W116/20)&gt;INT(W115/20)), "TN Ø25 (Lần " &amp; INT(W116/20) &amp; ")", IF(AND(E116=28, INT(X116/20)&gt;INT(X115/20)), "TN Ø28 (Lần " &amp; INT(X116/20) &amp; ")", IF(AND(E116=32, INT(Y116/20)&gt;INT(Y115/20)), "TN Ø32 (Lần " &amp; INT(Y116/20) &amp; ")", IF(AND(F116="ASTM A416", INT(Z116/20)&gt;INT(Z115/20)), "TN Cáp 15.2 (Lần " &amp; INT(Z116/20) &amp; ")", "")))))))))))</f>
        <v/>
      </c>
      <c r="P116" s="20">
        <f>ROUND(P115 + IF(AND(E116&lt;=10, F116&lt;&gt;"ASTM A416"), L116, 0), 3)</f>
        <v/>
      </c>
      <c r="Q116" s="20">
        <f>ROUND(Q115 + IF(AND(E116=12, F116&lt;&gt;"ASTM A416"), L116, 0), 3)</f>
        <v/>
      </c>
      <c r="R116" s="20">
        <f>ROUND(R115 + IF(AND(E116=14, F116&lt;&gt;"ASTM A416"), L116, 0), 3)</f>
        <v/>
      </c>
      <c r="S116" s="20">
        <f>ROUND(S115 + IF(AND(E116=16, F116&lt;&gt;"ASTM A416"), L116, 0), 3)</f>
        <v/>
      </c>
      <c r="T116" s="20">
        <f>ROUND(T115 + IF(AND(E116=18, F116&lt;&gt;"ASTM A416"), L116, 0), 3)</f>
        <v/>
      </c>
      <c r="U116" s="20">
        <f>ROUND(U115 + IF(AND(E116=20, F116&lt;&gt;"ASTM A416"), L116, 0), 3)</f>
        <v/>
      </c>
      <c r="V116" s="20">
        <f>ROUND(V115 + IF(AND(E116=22, F116&lt;&gt;"ASTM A416"), L116, 0), 3)</f>
        <v/>
      </c>
      <c r="W116" s="20">
        <f>ROUND(W115 + IF(AND(E116=25, F116&lt;&gt;"ASTM A416"), L116, 0), 3)</f>
        <v/>
      </c>
      <c r="X116" s="20">
        <f>ROUND(X115 + IF(AND(E116=28, F116&lt;&gt;"ASTM A416"), L116, 0), 3)</f>
        <v/>
      </c>
      <c r="Y116" s="20">
        <f>ROUND(Y115 + IF(AND(E116=32, F116&lt;&gt;"ASTM A416"), L116, 0), 3)</f>
        <v/>
      </c>
      <c r="Z116" s="20">
        <f>ROUND(Z115 + IF(F116="ASTM A416", L116, 0), 3)</f>
        <v/>
      </c>
      <c r="AA116" s="11">
        <f>IF(INT(P116/20)&gt;INT(P115/20), "Lần " &amp; INT(P116/20), "")</f>
        <v/>
      </c>
      <c r="AB116" s="11">
        <f>IF(INT(Q116/20)&gt;INT(Q115/20), "Lần " &amp; INT(Q116/20), "")</f>
        <v/>
      </c>
      <c r="AC116" s="11">
        <f>IF(INT(R116/20)&gt;INT(R115/20), "Lần " &amp; INT(R116/20), "")</f>
        <v/>
      </c>
      <c r="AD116" s="11">
        <f>IF(INT(S116/20)&gt;INT(S115/20), "Lần " &amp; INT(S116/20), "")</f>
        <v/>
      </c>
      <c r="AE116" s="11">
        <f>IF(INT(T116/20)&gt;INT(T115/20), "Lần " &amp; INT(T116/20), "")</f>
        <v/>
      </c>
      <c r="AF116" s="11">
        <f>IF(INT(U116/20)&gt;INT(U115/20), "Lần " &amp; INT(U116/20), "")</f>
        <v/>
      </c>
      <c r="AG116" s="11">
        <f>IF(INT(V116/20)&gt;INT(V115/20), "Lần " &amp; INT(V116/20), "")</f>
        <v/>
      </c>
      <c r="AH116" s="11">
        <f>IF(INT(W116/20)&gt;INT(W115/20), "Lần " &amp; INT(W116/20), "")</f>
        <v/>
      </c>
      <c r="AI116" s="11">
        <f>IF(INT(X116/20)&gt;INT(X115/20), "Lần " &amp; INT(X116/20), "")</f>
        <v/>
      </c>
      <c r="AJ116" s="11">
        <f>IF(INT(Y116/20)&gt;INT(Y115/20), "Lần " &amp; INT(Y116/20), "")</f>
        <v/>
      </c>
      <c r="AK116" s="11">
        <f>IF(INT(Z116/20)&gt;INT(Z115/20), "Lần " &amp; INT(Z116/20), "")</f>
        <v/>
      </c>
      <c r="AL116" s="6" t="inlineStr">
        <is>
          <t>ĐẠT TCVN 1651:2018</t>
        </is>
      </c>
    </row>
    <row r="117" ht="19" customHeight="1">
      <c r="A117" s="6" t="n">
        <v>106</v>
      </c>
      <c r="B117" s="7" t="inlineStr">
        <is>
          <t>Cọc khoan nhồi C5 Trụ T1 (D1.2m, L=40.0m)</t>
        </is>
      </c>
      <c r="C117" s="7" t="inlineStr">
        <is>
          <t>Thép đai xoắn lồng cọc</t>
        </is>
      </c>
      <c r="D117" s="18" t="inlineStr">
        <is>
          <t>P1C</t>
        </is>
      </c>
      <c r="E117" s="19" t="n">
        <v>10</v>
      </c>
      <c r="F117" s="6" t="inlineStr">
        <is>
          <t>CB240-T</t>
        </is>
      </c>
      <c r="G117" s="7" t="inlineStr">
        <is>
          <t>Đai xoắn tròn</t>
        </is>
      </c>
      <c r="H117" s="20" t="n">
        <v>3.592</v>
      </c>
      <c r="I117" s="21" t="n">
        <v>2</v>
      </c>
      <c r="J117" s="22" t="n">
        <v>0.617</v>
      </c>
      <c r="K117" s="9">
        <f>ROUND(H117*I117*J117, 2)</f>
        <v/>
      </c>
      <c r="L117" s="23">
        <f>ROUND(K117/1000, 3)</f>
        <v/>
      </c>
      <c r="M117" s="8" t="n"/>
      <c r="N117" s="6" t="n"/>
      <c r="O117" s="24">
        <f>IF(AND(E117&lt;=10, F117&lt;&gt;"ASTM A416", INT(P117/20)&gt;INT(P116/20)), "TN Ø10 (Lần " &amp; INT(P117/20) &amp; ")", IF(AND(E117=12, INT(Q117/20)&gt;INT(Q116/20)), "TN Ø12 (Lần " &amp; INT(Q117/20) &amp; ")", IF(AND(E117=14, INT(R117/20)&gt;INT(R116/20)), "TN Ø14 (Lần " &amp; INT(R117/20) &amp; ")", IF(AND(E117=16, INT(S117/20)&gt;INT(S116/20)), "TN Ø16 (Lần " &amp; INT(S117/20) &amp; ")", IF(AND(E117=18, INT(T117/20)&gt;INT(T116/20)), "TN Ø18 (Lần " &amp; INT(T117/20) &amp; ")", IF(AND(E117=20, INT(U117/20)&gt;INT(U116/20)), "TN Ø20 (Lần " &amp; INT(U117/20) &amp; ")", IF(AND(E117=22, INT(V117/20)&gt;INT(V116/20)), "TN Ø22 (Lần " &amp; INT(V117/20) &amp; ")", IF(AND(E117=25, INT(W117/20)&gt;INT(W116/20)), "TN Ø25 (Lần " &amp; INT(W117/20) &amp; ")", IF(AND(E117=28, INT(X117/20)&gt;INT(X116/20)), "TN Ø28 (Lần " &amp; INT(X117/20) &amp; ")", IF(AND(E117=32, INT(Y117/20)&gt;INT(Y116/20)), "TN Ø32 (Lần " &amp; INT(Y117/20) &amp; ")", IF(AND(F117="ASTM A416", INT(Z117/20)&gt;INT(Z116/20)), "TN Cáp 15.2 (Lần " &amp; INT(Z117/20) &amp; ")", "")))))))))))</f>
        <v/>
      </c>
      <c r="P117" s="20">
        <f>ROUND(P116 + IF(AND(E117&lt;=10, F117&lt;&gt;"ASTM A416"), L117, 0), 3)</f>
        <v/>
      </c>
      <c r="Q117" s="20">
        <f>ROUND(Q116 + IF(AND(E117=12, F117&lt;&gt;"ASTM A416"), L117, 0), 3)</f>
        <v/>
      </c>
      <c r="R117" s="20">
        <f>ROUND(R116 + IF(AND(E117=14, F117&lt;&gt;"ASTM A416"), L117, 0), 3)</f>
        <v/>
      </c>
      <c r="S117" s="20">
        <f>ROUND(S116 + IF(AND(E117=16, F117&lt;&gt;"ASTM A416"), L117, 0), 3)</f>
        <v/>
      </c>
      <c r="T117" s="20">
        <f>ROUND(T116 + IF(AND(E117=18, F117&lt;&gt;"ASTM A416"), L117, 0), 3)</f>
        <v/>
      </c>
      <c r="U117" s="20">
        <f>ROUND(U116 + IF(AND(E117=20, F117&lt;&gt;"ASTM A416"), L117, 0), 3)</f>
        <v/>
      </c>
      <c r="V117" s="20">
        <f>ROUND(V116 + IF(AND(E117=22, F117&lt;&gt;"ASTM A416"), L117, 0), 3)</f>
        <v/>
      </c>
      <c r="W117" s="20">
        <f>ROUND(W116 + IF(AND(E117=25, F117&lt;&gt;"ASTM A416"), L117, 0), 3)</f>
        <v/>
      </c>
      <c r="X117" s="20">
        <f>ROUND(X116 + IF(AND(E117=28, F117&lt;&gt;"ASTM A416"), L117, 0), 3)</f>
        <v/>
      </c>
      <c r="Y117" s="20">
        <f>ROUND(Y116 + IF(AND(E117=32, F117&lt;&gt;"ASTM A416"), L117, 0), 3)</f>
        <v/>
      </c>
      <c r="Z117" s="20">
        <f>ROUND(Z116 + IF(F117="ASTM A416", L117, 0), 3)</f>
        <v/>
      </c>
      <c r="AA117" s="11">
        <f>IF(INT(P117/20)&gt;INT(P116/20), "Lần " &amp; INT(P117/20), "")</f>
        <v/>
      </c>
      <c r="AB117" s="11">
        <f>IF(INT(Q117/20)&gt;INT(Q116/20), "Lần " &amp; INT(Q117/20), "")</f>
        <v/>
      </c>
      <c r="AC117" s="11">
        <f>IF(INT(R117/20)&gt;INT(R116/20), "Lần " &amp; INT(R117/20), "")</f>
        <v/>
      </c>
      <c r="AD117" s="11">
        <f>IF(INT(S117/20)&gt;INT(S116/20), "Lần " &amp; INT(S117/20), "")</f>
        <v/>
      </c>
      <c r="AE117" s="11">
        <f>IF(INT(T117/20)&gt;INT(T116/20), "Lần " &amp; INT(T117/20), "")</f>
        <v/>
      </c>
      <c r="AF117" s="11">
        <f>IF(INT(U117/20)&gt;INT(U116/20), "Lần " &amp; INT(U117/20), "")</f>
        <v/>
      </c>
      <c r="AG117" s="11">
        <f>IF(INT(V117/20)&gt;INT(V116/20), "Lần " &amp; INT(V117/20), "")</f>
        <v/>
      </c>
      <c r="AH117" s="11">
        <f>IF(INT(W117/20)&gt;INT(W116/20), "Lần " &amp; INT(W117/20), "")</f>
        <v/>
      </c>
      <c r="AI117" s="11">
        <f>IF(INT(X117/20)&gt;INT(X116/20), "Lần " &amp; INT(X117/20), "")</f>
        <v/>
      </c>
      <c r="AJ117" s="11">
        <f>IF(INT(Y117/20)&gt;INT(Y116/20), "Lần " &amp; INT(Y117/20), "")</f>
        <v/>
      </c>
      <c r="AK117" s="11">
        <f>IF(INT(Z117/20)&gt;INT(Z116/20), "Lần " &amp; INT(Z117/20), "")</f>
        <v/>
      </c>
      <c r="AL117" s="6" t="inlineStr">
        <is>
          <t>ĐẠT TCVN 1651:2018</t>
        </is>
      </c>
    </row>
    <row r="118" ht="19" customHeight="1">
      <c r="A118" s="6" t="n">
        <v>107</v>
      </c>
      <c r="B118" s="7" t="inlineStr">
        <is>
          <t>Cọc khoan nhồi C5 Trụ T1 (D1.2m, L=40.0m)</t>
        </is>
      </c>
      <c r="C118" s="7" t="inlineStr">
        <is>
          <t>Thép đai xoắn lồng cọc</t>
        </is>
      </c>
      <c r="D118" s="18" t="inlineStr">
        <is>
          <t>P1D</t>
        </is>
      </c>
      <c r="E118" s="19" t="n">
        <v>10</v>
      </c>
      <c r="F118" s="6" t="inlineStr">
        <is>
          <t>CB240-T</t>
        </is>
      </c>
      <c r="G118" s="7" t="inlineStr">
        <is>
          <t>Đai xoắn tròn</t>
        </is>
      </c>
      <c r="H118" s="20" t="n">
        <v>19.721</v>
      </c>
      <c r="I118" s="21" t="n">
        <v>1</v>
      </c>
      <c r="J118" s="22" t="n">
        <v>0.617</v>
      </c>
      <c r="K118" s="9">
        <f>ROUND(H118*I118*J118, 2)</f>
        <v/>
      </c>
      <c r="L118" s="23">
        <f>ROUND(K118/1000, 3)</f>
        <v/>
      </c>
      <c r="M118" s="8" t="n"/>
      <c r="N118" s="6" t="n"/>
      <c r="O118" s="24">
        <f>IF(AND(E118&lt;=10, F118&lt;&gt;"ASTM A416", INT(P118/20)&gt;INT(P117/20)), "TN Ø10 (Lần " &amp; INT(P118/20) &amp; ")", IF(AND(E118=12, INT(Q118/20)&gt;INT(Q117/20)), "TN Ø12 (Lần " &amp; INT(Q118/20) &amp; ")", IF(AND(E118=14, INT(R118/20)&gt;INT(R117/20)), "TN Ø14 (Lần " &amp; INT(R118/20) &amp; ")", IF(AND(E118=16, INT(S118/20)&gt;INT(S117/20)), "TN Ø16 (Lần " &amp; INT(S118/20) &amp; ")", IF(AND(E118=18, INT(T118/20)&gt;INT(T117/20)), "TN Ø18 (Lần " &amp; INT(T118/20) &amp; ")", IF(AND(E118=20, INT(U118/20)&gt;INT(U117/20)), "TN Ø20 (Lần " &amp; INT(U118/20) &amp; ")", IF(AND(E118=22, INT(V118/20)&gt;INT(V117/20)), "TN Ø22 (Lần " &amp; INT(V118/20) &amp; ")", IF(AND(E118=25, INT(W118/20)&gt;INT(W117/20)), "TN Ø25 (Lần " &amp; INT(W118/20) &amp; ")", IF(AND(E118=28, INT(X118/20)&gt;INT(X117/20)), "TN Ø28 (Lần " &amp; INT(X118/20) &amp; ")", IF(AND(E118=32, INT(Y118/20)&gt;INT(Y117/20)), "TN Ø32 (Lần " &amp; INT(Y118/20) &amp; ")", IF(AND(F118="ASTM A416", INT(Z118/20)&gt;INT(Z117/20)), "TN Cáp 15.2 (Lần " &amp; INT(Z118/20) &amp; ")", "")))))))))))</f>
        <v/>
      </c>
      <c r="P118" s="20">
        <f>ROUND(P117 + IF(AND(E118&lt;=10, F118&lt;&gt;"ASTM A416"), L118, 0), 3)</f>
        <v/>
      </c>
      <c r="Q118" s="20">
        <f>ROUND(Q117 + IF(AND(E118=12, F118&lt;&gt;"ASTM A416"), L118, 0), 3)</f>
        <v/>
      </c>
      <c r="R118" s="20">
        <f>ROUND(R117 + IF(AND(E118=14, F118&lt;&gt;"ASTM A416"), L118, 0), 3)</f>
        <v/>
      </c>
      <c r="S118" s="20">
        <f>ROUND(S117 + IF(AND(E118=16, F118&lt;&gt;"ASTM A416"), L118, 0), 3)</f>
        <v/>
      </c>
      <c r="T118" s="20">
        <f>ROUND(T117 + IF(AND(E118=18, F118&lt;&gt;"ASTM A416"), L118, 0), 3)</f>
        <v/>
      </c>
      <c r="U118" s="20">
        <f>ROUND(U117 + IF(AND(E118=20, F118&lt;&gt;"ASTM A416"), L118, 0), 3)</f>
        <v/>
      </c>
      <c r="V118" s="20">
        <f>ROUND(V117 + IF(AND(E118=22, F118&lt;&gt;"ASTM A416"), L118, 0), 3)</f>
        <v/>
      </c>
      <c r="W118" s="20">
        <f>ROUND(W117 + IF(AND(E118=25, F118&lt;&gt;"ASTM A416"), L118, 0), 3)</f>
        <v/>
      </c>
      <c r="X118" s="20">
        <f>ROUND(X117 + IF(AND(E118=28, F118&lt;&gt;"ASTM A416"), L118, 0), 3)</f>
        <v/>
      </c>
      <c r="Y118" s="20">
        <f>ROUND(Y117 + IF(AND(E118=32, F118&lt;&gt;"ASTM A416"), L118, 0), 3)</f>
        <v/>
      </c>
      <c r="Z118" s="20">
        <f>ROUND(Z117 + IF(F118="ASTM A416", L118, 0), 3)</f>
        <v/>
      </c>
      <c r="AA118" s="11">
        <f>IF(INT(P118/20)&gt;INT(P117/20), "Lần " &amp; INT(P118/20), "")</f>
        <v/>
      </c>
      <c r="AB118" s="11">
        <f>IF(INT(Q118/20)&gt;INT(Q117/20), "Lần " &amp; INT(Q118/20), "")</f>
        <v/>
      </c>
      <c r="AC118" s="11">
        <f>IF(INT(R118/20)&gt;INT(R117/20), "Lần " &amp; INT(R118/20), "")</f>
        <v/>
      </c>
      <c r="AD118" s="11">
        <f>IF(INT(S118/20)&gt;INT(S117/20), "Lần " &amp; INT(S118/20), "")</f>
        <v/>
      </c>
      <c r="AE118" s="11">
        <f>IF(INT(T118/20)&gt;INT(T117/20), "Lần " &amp; INT(T118/20), "")</f>
        <v/>
      </c>
      <c r="AF118" s="11">
        <f>IF(INT(U118/20)&gt;INT(U117/20), "Lần " &amp; INT(U118/20), "")</f>
        <v/>
      </c>
      <c r="AG118" s="11">
        <f>IF(INT(V118/20)&gt;INT(V117/20), "Lần " &amp; INT(V118/20), "")</f>
        <v/>
      </c>
      <c r="AH118" s="11">
        <f>IF(INT(W118/20)&gt;INT(W117/20), "Lần " &amp; INT(W118/20), "")</f>
        <v/>
      </c>
      <c r="AI118" s="11">
        <f>IF(INT(X118/20)&gt;INT(X117/20), "Lần " &amp; INT(X118/20), "")</f>
        <v/>
      </c>
      <c r="AJ118" s="11">
        <f>IF(INT(Y118/20)&gt;INT(Y117/20), "Lần " &amp; INT(Y118/20), "")</f>
        <v/>
      </c>
      <c r="AK118" s="11">
        <f>IF(INT(Z118/20)&gt;INT(Z117/20), "Lần " &amp; INT(Z118/20), "")</f>
        <v/>
      </c>
      <c r="AL118" s="6" t="inlineStr">
        <is>
          <t>ĐẠT TCVN 1651:2018</t>
        </is>
      </c>
    </row>
    <row r="119" ht="19" customHeight="1">
      <c r="A119" s="6" t="n">
        <v>108</v>
      </c>
      <c r="B119" s="7" t="inlineStr">
        <is>
          <t>Cọc khoan nhồi C5 Trụ T1 (D1.2m, L=40.0m)</t>
        </is>
      </c>
      <c r="C119" s="7" t="inlineStr">
        <is>
          <t>Cốt thép chủ chịu lực cọc</t>
        </is>
      </c>
      <c r="D119" s="18" t="inlineStr">
        <is>
          <t>P2B</t>
        </is>
      </c>
      <c r="E119" s="19" t="n">
        <v>25</v>
      </c>
      <c r="F119" s="6" t="inlineStr">
        <is>
          <t>CB400-V</t>
        </is>
      </c>
      <c r="G119" s="7" t="inlineStr">
        <is>
          <t>Thanh thẳng nối ren/hàn</t>
        </is>
      </c>
      <c r="H119" s="20" t="n">
        <v>2.985</v>
      </c>
      <c r="I119" s="21" t="n">
        <v>16</v>
      </c>
      <c r="J119" s="22" t="n">
        <v>3.85</v>
      </c>
      <c r="K119" s="9">
        <f>ROUND(H119*I119*J119, 2)</f>
        <v/>
      </c>
      <c r="L119" s="23">
        <f>ROUND(K119/1000, 3)</f>
        <v/>
      </c>
      <c r="M119" s="8" t="n"/>
      <c r="N119" s="6" t="n"/>
      <c r="O119" s="24">
        <f>IF(AND(E119&lt;=10, F119&lt;&gt;"ASTM A416", INT(P119/20)&gt;INT(P118/20)), "TN Ø10 (Lần " &amp; INT(P119/20) &amp; ")", IF(AND(E119=12, INT(Q119/20)&gt;INT(Q118/20)), "TN Ø12 (Lần " &amp; INT(Q119/20) &amp; ")", IF(AND(E119=14, INT(R119/20)&gt;INT(R118/20)), "TN Ø14 (Lần " &amp; INT(R119/20) &amp; ")", IF(AND(E119=16, INT(S119/20)&gt;INT(S118/20)), "TN Ø16 (Lần " &amp; INT(S119/20) &amp; ")", IF(AND(E119=18, INT(T119/20)&gt;INT(T118/20)), "TN Ø18 (Lần " &amp; INT(T119/20) &amp; ")", IF(AND(E119=20, INT(U119/20)&gt;INT(U118/20)), "TN Ø20 (Lần " &amp; INT(U119/20) &amp; ")", IF(AND(E119=22, INT(V119/20)&gt;INT(V118/20)), "TN Ø22 (Lần " &amp; INT(V119/20) &amp; ")", IF(AND(E119=25, INT(W119/20)&gt;INT(W118/20)), "TN Ø25 (Lần " &amp; INT(W119/20) &amp; ")", IF(AND(E119=28, INT(X119/20)&gt;INT(X118/20)), "TN Ø28 (Lần " &amp; INT(X119/20) &amp; ")", IF(AND(E119=32, INT(Y119/20)&gt;INT(Y118/20)), "TN Ø32 (Lần " &amp; INT(Y119/20) &amp; ")", IF(AND(F119="ASTM A416", INT(Z119/20)&gt;INT(Z118/20)), "TN Cáp 15.2 (Lần " &amp; INT(Z119/20) &amp; ")", "")))))))))))</f>
        <v/>
      </c>
      <c r="P119" s="20">
        <f>ROUND(P118 + IF(AND(E119&lt;=10, F119&lt;&gt;"ASTM A416"), L119, 0), 3)</f>
        <v/>
      </c>
      <c r="Q119" s="20">
        <f>ROUND(Q118 + IF(AND(E119=12, F119&lt;&gt;"ASTM A416"), L119, 0), 3)</f>
        <v/>
      </c>
      <c r="R119" s="20">
        <f>ROUND(R118 + IF(AND(E119=14, F119&lt;&gt;"ASTM A416"), L119, 0), 3)</f>
        <v/>
      </c>
      <c r="S119" s="20">
        <f>ROUND(S118 + IF(AND(E119=16, F119&lt;&gt;"ASTM A416"), L119, 0), 3)</f>
        <v/>
      </c>
      <c r="T119" s="20">
        <f>ROUND(T118 + IF(AND(E119=18, F119&lt;&gt;"ASTM A416"), L119, 0), 3)</f>
        <v/>
      </c>
      <c r="U119" s="20">
        <f>ROUND(U118 + IF(AND(E119=20, F119&lt;&gt;"ASTM A416"), L119, 0), 3)</f>
        <v/>
      </c>
      <c r="V119" s="20">
        <f>ROUND(V118 + IF(AND(E119=22, F119&lt;&gt;"ASTM A416"), L119, 0), 3)</f>
        <v/>
      </c>
      <c r="W119" s="20">
        <f>ROUND(W118 + IF(AND(E119=25, F119&lt;&gt;"ASTM A416"), L119, 0), 3)</f>
        <v/>
      </c>
      <c r="X119" s="20">
        <f>ROUND(X118 + IF(AND(E119=28, F119&lt;&gt;"ASTM A416"), L119, 0), 3)</f>
        <v/>
      </c>
      <c r="Y119" s="20">
        <f>ROUND(Y118 + IF(AND(E119=32, F119&lt;&gt;"ASTM A416"), L119, 0), 3)</f>
        <v/>
      </c>
      <c r="Z119" s="20">
        <f>ROUND(Z118 + IF(F119="ASTM A416", L119, 0), 3)</f>
        <v/>
      </c>
      <c r="AA119" s="11">
        <f>IF(INT(P119/20)&gt;INT(P118/20), "Lần " &amp; INT(P119/20), "")</f>
        <v/>
      </c>
      <c r="AB119" s="11">
        <f>IF(INT(Q119/20)&gt;INT(Q118/20), "Lần " &amp; INT(Q119/20), "")</f>
        <v/>
      </c>
      <c r="AC119" s="11">
        <f>IF(INT(R119/20)&gt;INT(R118/20), "Lần " &amp; INT(R119/20), "")</f>
        <v/>
      </c>
      <c r="AD119" s="11">
        <f>IF(INT(S119/20)&gt;INT(S118/20), "Lần " &amp; INT(S119/20), "")</f>
        <v/>
      </c>
      <c r="AE119" s="11">
        <f>IF(INT(T119/20)&gt;INT(T118/20), "Lần " &amp; INT(T119/20), "")</f>
        <v/>
      </c>
      <c r="AF119" s="11">
        <f>IF(INT(U119/20)&gt;INT(U118/20), "Lần " &amp; INT(U119/20), "")</f>
        <v/>
      </c>
      <c r="AG119" s="11">
        <f>IF(INT(V119/20)&gt;INT(V118/20), "Lần " &amp; INT(V119/20), "")</f>
        <v/>
      </c>
      <c r="AH119" s="11">
        <f>IF(INT(W119/20)&gt;INT(W118/20), "Lần " &amp; INT(W119/20), "")</f>
        <v/>
      </c>
      <c r="AI119" s="11">
        <f>IF(INT(X119/20)&gt;INT(X118/20), "Lần " &amp; INT(X119/20), "")</f>
        <v/>
      </c>
      <c r="AJ119" s="11">
        <f>IF(INT(Y119/20)&gt;INT(Y118/20), "Lần " &amp; INT(Y119/20), "")</f>
        <v/>
      </c>
      <c r="AK119" s="11">
        <f>IF(INT(Z119/20)&gt;INT(Z118/20), "Lần " &amp; INT(Z119/20), "")</f>
        <v/>
      </c>
      <c r="AL119" s="6" t="inlineStr">
        <is>
          <t>ĐẠT TCVN 1651:2018</t>
        </is>
      </c>
    </row>
    <row r="120" ht="19" customHeight="1">
      <c r="A120" s="6" t="n">
        <v>109</v>
      </c>
      <c r="B120" s="7" t="inlineStr">
        <is>
          <t>Cọc khoan nhồi C5 Trụ T1 (D1.2m, L=40.0m)</t>
        </is>
      </c>
      <c r="C120" s="7" t="inlineStr">
        <is>
          <t>Cốt thép chủ chịu lực cọc</t>
        </is>
      </c>
      <c r="D120" s="18" t="inlineStr">
        <is>
          <t>P3</t>
        </is>
      </c>
      <c r="E120" s="19" t="n">
        <v>25</v>
      </c>
      <c r="F120" s="6" t="inlineStr">
        <is>
          <t>CB400-V</t>
        </is>
      </c>
      <c r="G120" s="7" t="inlineStr">
        <is>
          <t>Thanh thẳng nối ren/hàn</t>
        </is>
      </c>
      <c r="H120" s="20" t="n">
        <v>10.7</v>
      </c>
      <c r="I120" s="21" t="n">
        <v>12</v>
      </c>
      <c r="J120" s="22" t="n">
        <v>3.85</v>
      </c>
      <c r="K120" s="9">
        <f>ROUND(H120*I120*J120, 2)</f>
        <v/>
      </c>
      <c r="L120" s="23">
        <f>ROUND(K120/1000, 3)</f>
        <v/>
      </c>
      <c r="M120" s="8" t="n"/>
      <c r="N120" s="6" t="n"/>
      <c r="O120" s="24">
        <f>IF(AND(E120&lt;=10, F120&lt;&gt;"ASTM A416", INT(P120/20)&gt;INT(P119/20)), "TN Ø10 (Lần " &amp; INT(P120/20) &amp; ")", IF(AND(E120=12, INT(Q120/20)&gt;INT(Q119/20)), "TN Ø12 (Lần " &amp; INT(Q120/20) &amp; ")", IF(AND(E120=14, INT(R120/20)&gt;INT(R119/20)), "TN Ø14 (Lần " &amp; INT(R120/20) &amp; ")", IF(AND(E120=16, INT(S120/20)&gt;INT(S119/20)), "TN Ø16 (Lần " &amp; INT(S120/20) &amp; ")", IF(AND(E120=18, INT(T120/20)&gt;INT(T119/20)), "TN Ø18 (Lần " &amp; INT(T120/20) &amp; ")", IF(AND(E120=20, INT(U120/20)&gt;INT(U119/20)), "TN Ø20 (Lần " &amp; INT(U120/20) &amp; ")", IF(AND(E120=22, INT(V120/20)&gt;INT(V119/20)), "TN Ø22 (Lần " &amp; INT(V120/20) &amp; ")", IF(AND(E120=25, INT(W120/20)&gt;INT(W119/20)), "TN Ø25 (Lần " &amp; INT(W120/20) &amp; ")", IF(AND(E120=28, INT(X120/20)&gt;INT(X119/20)), "TN Ø28 (Lần " &amp; INT(X120/20) &amp; ")", IF(AND(E120=32, INT(Y120/20)&gt;INT(Y119/20)), "TN Ø32 (Lần " &amp; INT(Y120/20) &amp; ")", IF(AND(F120="ASTM A416", INT(Z120/20)&gt;INT(Z119/20)), "TN Cáp 15.2 (Lần " &amp; INT(Z120/20) &amp; ")", "")))))))))))</f>
        <v/>
      </c>
      <c r="P120" s="20">
        <f>ROUND(P119 + IF(AND(E120&lt;=10, F120&lt;&gt;"ASTM A416"), L120, 0), 3)</f>
        <v/>
      </c>
      <c r="Q120" s="20">
        <f>ROUND(Q119 + IF(AND(E120=12, F120&lt;&gt;"ASTM A416"), L120, 0), 3)</f>
        <v/>
      </c>
      <c r="R120" s="20">
        <f>ROUND(R119 + IF(AND(E120=14, F120&lt;&gt;"ASTM A416"), L120, 0), 3)</f>
        <v/>
      </c>
      <c r="S120" s="20">
        <f>ROUND(S119 + IF(AND(E120=16, F120&lt;&gt;"ASTM A416"), L120, 0), 3)</f>
        <v/>
      </c>
      <c r="T120" s="20">
        <f>ROUND(T119 + IF(AND(E120=18, F120&lt;&gt;"ASTM A416"), L120, 0), 3)</f>
        <v/>
      </c>
      <c r="U120" s="20">
        <f>ROUND(U119 + IF(AND(E120=20, F120&lt;&gt;"ASTM A416"), L120, 0), 3)</f>
        <v/>
      </c>
      <c r="V120" s="20">
        <f>ROUND(V119 + IF(AND(E120=22, F120&lt;&gt;"ASTM A416"), L120, 0), 3)</f>
        <v/>
      </c>
      <c r="W120" s="20">
        <f>ROUND(W119 + IF(AND(E120=25, F120&lt;&gt;"ASTM A416"), L120, 0), 3)</f>
        <v/>
      </c>
      <c r="X120" s="20">
        <f>ROUND(X119 + IF(AND(E120=28, F120&lt;&gt;"ASTM A416"), L120, 0), 3)</f>
        <v/>
      </c>
      <c r="Y120" s="20">
        <f>ROUND(Y119 + IF(AND(E120=32, F120&lt;&gt;"ASTM A416"), L120, 0), 3)</f>
        <v/>
      </c>
      <c r="Z120" s="20">
        <f>ROUND(Z119 + IF(F120="ASTM A416", L120, 0), 3)</f>
        <v/>
      </c>
      <c r="AA120" s="11">
        <f>IF(INT(P120/20)&gt;INT(P119/20), "Lần " &amp; INT(P120/20), "")</f>
        <v/>
      </c>
      <c r="AB120" s="11">
        <f>IF(INT(Q120/20)&gt;INT(Q119/20), "Lần " &amp; INT(Q120/20), "")</f>
        <v/>
      </c>
      <c r="AC120" s="11">
        <f>IF(INT(R120/20)&gt;INT(R119/20), "Lần " &amp; INT(R120/20), "")</f>
        <v/>
      </c>
      <c r="AD120" s="11">
        <f>IF(INT(S120/20)&gt;INT(S119/20), "Lần " &amp; INT(S120/20), "")</f>
        <v/>
      </c>
      <c r="AE120" s="11">
        <f>IF(INT(T120/20)&gt;INT(T119/20), "Lần " &amp; INT(T120/20), "")</f>
        <v/>
      </c>
      <c r="AF120" s="11">
        <f>IF(INT(U120/20)&gt;INT(U119/20), "Lần " &amp; INT(U120/20), "")</f>
        <v/>
      </c>
      <c r="AG120" s="11">
        <f>IF(INT(V120/20)&gt;INT(V119/20), "Lần " &amp; INT(V120/20), "")</f>
        <v/>
      </c>
      <c r="AH120" s="11">
        <f>IF(INT(W120/20)&gt;INT(W119/20), "Lần " &amp; INT(W120/20), "")</f>
        <v/>
      </c>
      <c r="AI120" s="11">
        <f>IF(INT(X120/20)&gt;INT(X119/20), "Lần " &amp; INT(X120/20), "")</f>
        <v/>
      </c>
      <c r="AJ120" s="11">
        <f>IF(INT(Y120/20)&gt;INT(Y119/20), "Lần " &amp; INT(Y120/20), "")</f>
        <v/>
      </c>
      <c r="AK120" s="11">
        <f>IF(INT(Z120/20)&gt;INT(Z119/20), "Lần " &amp; INT(Z120/20), "")</f>
        <v/>
      </c>
      <c r="AL120" s="6" t="inlineStr">
        <is>
          <t>ĐẠT TCVN 1651:2018</t>
        </is>
      </c>
    </row>
    <row r="121" ht="19" customHeight="1">
      <c r="A121" s="6" t="n">
        <v>110</v>
      </c>
      <c r="B121" s="7" t="inlineStr">
        <is>
          <t>Cọc khoan nhồi C5 Trụ T1 (D1.2m, L=40.0m)</t>
        </is>
      </c>
      <c r="C121" s="7" t="inlineStr">
        <is>
          <t>Cốt thép chủ chịu lực cọc</t>
        </is>
      </c>
      <c r="D121" s="18" t="inlineStr">
        <is>
          <t>P4</t>
        </is>
      </c>
      <c r="E121" s="19" t="n">
        <v>25</v>
      </c>
      <c r="F121" s="6" t="inlineStr">
        <is>
          <t>CB400-V</t>
        </is>
      </c>
      <c r="G121" s="7" t="inlineStr">
        <is>
          <t>Thanh thẳng nối ren/hàn</t>
        </is>
      </c>
      <c r="H121" s="20" t="n">
        <v>11.7</v>
      </c>
      <c r="I121" s="21" t="n">
        <v>60</v>
      </c>
      <c r="J121" s="22" t="n">
        <v>3.85</v>
      </c>
      <c r="K121" s="9">
        <f>ROUND(H121*I121*J121, 2)</f>
        <v/>
      </c>
      <c r="L121" s="23">
        <f>ROUND(K121/1000, 3)</f>
        <v/>
      </c>
      <c r="M121" s="8" t="n"/>
      <c r="N121" s="6" t="n"/>
      <c r="O121" s="24">
        <f>IF(AND(E121&lt;=10, F121&lt;&gt;"ASTM A416", INT(P121/20)&gt;INT(P120/20)), "TN Ø10 (Lần " &amp; INT(P121/20) &amp; ")", IF(AND(E121=12, INT(Q121/20)&gt;INT(Q120/20)), "TN Ø12 (Lần " &amp; INT(Q121/20) &amp; ")", IF(AND(E121=14, INT(R121/20)&gt;INT(R120/20)), "TN Ø14 (Lần " &amp; INT(R121/20) &amp; ")", IF(AND(E121=16, INT(S121/20)&gt;INT(S120/20)), "TN Ø16 (Lần " &amp; INT(S121/20) &amp; ")", IF(AND(E121=18, INT(T121/20)&gt;INT(T120/20)), "TN Ø18 (Lần " &amp; INT(T121/20) &amp; ")", IF(AND(E121=20, INT(U121/20)&gt;INT(U120/20)), "TN Ø20 (Lần " &amp; INT(U121/20) &amp; ")", IF(AND(E121=22, INT(V121/20)&gt;INT(V120/20)), "TN Ø22 (Lần " &amp; INT(V121/20) &amp; ")", IF(AND(E121=25, INT(W121/20)&gt;INT(W120/20)), "TN Ø25 (Lần " &amp; INT(W121/20) &amp; ")", IF(AND(E121=28, INT(X121/20)&gt;INT(X120/20)), "TN Ø28 (Lần " &amp; INT(X121/20) &amp; ")", IF(AND(E121=32, INT(Y121/20)&gt;INT(Y120/20)), "TN Ø32 (Lần " &amp; INT(Y121/20) &amp; ")", IF(AND(F121="ASTM A416", INT(Z121/20)&gt;INT(Z120/20)), "TN Cáp 15.2 (Lần " &amp; INT(Z121/20) &amp; ")", "")))))))))))</f>
        <v/>
      </c>
      <c r="P121" s="20">
        <f>ROUND(P120 + IF(AND(E121&lt;=10, F121&lt;&gt;"ASTM A416"), L121, 0), 3)</f>
        <v/>
      </c>
      <c r="Q121" s="20">
        <f>ROUND(Q120 + IF(AND(E121=12, F121&lt;&gt;"ASTM A416"), L121, 0), 3)</f>
        <v/>
      </c>
      <c r="R121" s="20">
        <f>ROUND(R120 + IF(AND(E121=14, F121&lt;&gt;"ASTM A416"), L121, 0), 3)</f>
        <v/>
      </c>
      <c r="S121" s="20">
        <f>ROUND(S120 + IF(AND(E121=16, F121&lt;&gt;"ASTM A416"), L121, 0), 3)</f>
        <v/>
      </c>
      <c r="T121" s="20">
        <f>ROUND(T120 + IF(AND(E121=18, F121&lt;&gt;"ASTM A416"), L121, 0), 3)</f>
        <v/>
      </c>
      <c r="U121" s="20">
        <f>ROUND(U120 + IF(AND(E121=20, F121&lt;&gt;"ASTM A416"), L121, 0), 3)</f>
        <v/>
      </c>
      <c r="V121" s="20">
        <f>ROUND(V120 + IF(AND(E121=22, F121&lt;&gt;"ASTM A416"), L121, 0), 3)</f>
        <v/>
      </c>
      <c r="W121" s="20">
        <f>ROUND(W120 + IF(AND(E121=25, F121&lt;&gt;"ASTM A416"), L121, 0), 3)</f>
        <v/>
      </c>
      <c r="X121" s="20">
        <f>ROUND(X120 + IF(AND(E121=28, F121&lt;&gt;"ASTM A416"), L121, 0), 3)</f>
        <v/>
      </c>
      <c r="Y121" s="20">
        <f>ROUND(Y120 + IF(AND(E121=32, F121&lt;&gt;"ASTM A416"), L121, 0), 3)</f>
        <v/>
      </c>
      <c r="Z121" s="20">
        <f>ROUND(Z120 + IF(F121="ASTM A416", L121, 0), 3)</f>
        <v/>
      </c>
      <c r="AA121" s="11">
        <f>IF(INT(P121/20)&gt;INT(P120/20), "Lần " &amp; INT(P121/20), "")</f>
        <v/>
      </c>
      <c r="AB121" s="11">
        <f>IF(INT(Q121/20)&gt;INT(Q120/20), "Lần " &amp; INT(Q121/20), "")</f>
        <v/>
      </c>
      <c r="AC121" s="11">
        <f>IF(INT(R121/20)&gt;INT(R120/20), "Lần " &amp; INT(R121/20), "")</f>
        <v/>
      </c>
      <c r="AD121" s="11">
        <f>IF(INT(S121/20)&gt;INT(S120/20), "Lần " &amp; INT(S121/20), "")</f>
        <v/>
      </c>
      <c r="AE121" s="11">
        <f>IF(INT(T121/20)&gt;INT(T120/20), "Lần " &amp; INT(T121/20), "")</f>
        <v/>
      </c>
      <c r="AF121" s="11">
        <f>IF(INT(U121/20)&gt;INT(U120/20), "Lần " &amp; INT(U121/20), "")</f>
        <v/>
      </c>
      <c r="AG121" s="11">
        <f>IF(INT(V121/20)&gt;INT(V120/20), "Lần " &amp; INT(V121/20), "")</f>
        <v/>
      </c>
      <c r="AH121" s="11">
        <f>IF(INT(W121/20)&gt;INT(W120/20), "Lần " &amp; INT(W121/20), "")</f>
        <v/>
      </c>
      <c r="AI121" s="11">
        <f>IF(INT(X121/20)&gt;INT(X120/20), "Lần " &amp; INT(X121/20), "")</f>
        <v/>
      </c>
      <c r="AJ121" s="11">
        <f>IF(INT(Y121/20)&gt;INT(Y120/20), "Lần " &amp; INT(Y121/20), "")</f>
        <v/>
      </c>
      <c r="AK121" s="11">
        <f>IF(INT(Z121/20)&gt;INT(Z120/20), "Lần " &amp; INT(Z121/20), "")</f>
        <v/>
      </c>
      <c r="AL121" s="6" t="inlineStr">
        <is>
          <t>ĐẠT TCVN 1651:2018</t>
        </is>
      </c>
    </row>
    <row r="122" ht="19" customHeight="1">
      <c r="A122" s="6" t="n">
        <v>111</v>
      </c>
      <c r="B122" s="7" t="inlineStr">
        <is>
          <t>Cọc khoan nhồi C5 Trụ T1 (D1.2m, L=40.0m)</t>
        </is>
      </c>
      <c r="C122" s="7" t="inlineStr">
        <is>
          <t>Cốt thép chủ chịu lực cọc</t>
        </is>
      </c>
      <c r="D122" s="18" t="inlineStr">
        <is>
          <t>P6</t>
        </is>
      </c>
      <c r="E122" s="19" t="n">
        <v>25</v>
      </c>
      <c r="F122" s="6" t="inlineStr">
        <is>
          <t>CB400-V</t>
        </is>
      </c>
      <c r="G122" s="7" t="inlineStr">
        <is>
          <t>Thanh thẳng nối ren/hàn</t>
        </is>
      </c>
      <c r="H122" s="20" t="n">
        <v>9.032999999999999</v>
      </c>
      <c r="I122" s="21" t="n">
        <v>12</v>
      </c>
      <c r="J122" s="22" t="n">
        <v>3.85</v>
      </c>
      <c r="K122" s="9">
        <f>ROUND(H122*I122*J122, 2)</f>
        <v/>
      </c>
      <c r="L122" s="23">
        <f>ROUND(K122/1000, 3)</f>
        <v/>
      </c>
      <c r="M122" s="8" t="n"/>
      <c r="N122" s="6" t="n"/>
      <c r="O122" s="24">
        <f>IF(AND(E122&lt;=10, F122&lt;&gt;"ASTM A416", INT(P122/20)&gt;INT(P121/20)), "TN Ø10 (Lần " &amp; INT(P122/20) &amp; ")", IF(AND(E122=12, INT(Q122/20)&gt;INT(Q121/20)), "TN Ø12 (Lần " &amp; INT(Q122/20) &amp; ")", IF(AND(E122=14, INT(R122/20)&gt;INT(R121/20)), "TN Ø14 (Lần " &amp; INT(R122/20) &amp; ")", IF(AND(E122=16, INT(S122/20)&gt;INT(S121/20)), "TN Ø16 (Lần " &amp; INT(S122/20) &amp; ")", IF(AND(E122=18, INT(T122/20)&gt;INT(T121/20)), "TN Ø18 (Lần " &amp; INT(T122/20) &amp; ")", IF(AND(E122=20, INT(U122/20)&gt;INT(U121/20)), "TN Ø20 (Lần " &amp; INT(U122/20) &amp; ")", IF(AND(E122=22, INT(V122/20)&gt;INT(V121/20)), "TN Ø22 (Lần " &amp; INT(V122/20) &amp; ")", IF(AND(E122=25, INT(W122/20)&gt;INT(W121/20)), "TN Ø25 (Lần " &amp; INT(W122/20) &amp; ")", IF(AND(E122=28, INT(X122/20)&gt;INT(X121/20)), "TN Ø28 (Lần " &amp; INT(X122/20) &amp; ")", IF(AND(E122=32, INT(Y122/20)&gt;INT(Y121/20)), "TN Ø32 (Lần " &amp; INT(Y122/20) &amp; ")", IF(AND(F122="ASTM A416", INT(Z122/20)&gt;INT(Z121/20)), "TN Cáp 15.2 (Lần " &amp; INT(Z122/20) &amp; ")", "")))))))))))</f>
        <v/>
      </c>
      <c r="P122" s="20">
        <f>ROUND(P121 + IF(AND(E122&lt;=10, F122&lt;&gt;"ASTM A416"), L122, 0), 3)</f>
        <v/>
      </c>
      <c r="Q122" s="20">
        <f>ROUND(Q121 + IF(AND(E122=12, F122&lt;&gt;"ASTM A416"), L122, 0), 3)</f>
        <v/>
      </c>
      <c r="R122" s="20">
        <f>ROUND(R121 + IF(AND(E122=14, F122&lt;&gt;"ASTM A416"), L122, 0), 3)</f>
        <v/>
      </c>
      <c r="S122" s="20">
        <f>ROUND(S121 + IF(AND(E122=16, F122&lt;&gt;"ASTM A416"), L122, 0), 3)</f>
        <v/>
      </c>
      <c r="T122" s="20">
        <f>ROUND(T121 + IF(AND(E122=18, F122&lt;&gt;"ASTM A416"), L122, 0), 3)</f>
        <v/>
      </c>
      <c r="U122" s="20">
        <f>ROUND(U121 + IF(AND(E122=20, F122&lt;&gt;"ASTM A416"), L122, 0), 3)</f>
        <v/>
      </c>
      <c r="V122" s="20">
        <f>ROUND(V121 + IF(AND(E122=22, F122&lt;&gt;"ASTM A416"), L122, 0), 3)</f>
        <v/>
      </c>
      <c r="W122" s="20">
        <f>ROUND(W121 + IF(AND(E122=25, F122&lt;&gt;"ASTM A416"), L122, 0), 3)</f>
        <v/>
      </c>
      <c r="X122" s="20">
        <f>ROUND(X121 + IF(AND(E122=28, F122&lt;&gt;"ASTM A416"), L122, 0), 3)</f>
        <v/>
      </c>
      <c r="Y122" s="20">
        <f>ROUND(Y121 + IF(AND(E122=32, F122&lt;&gt;"ASTM A416"), L122, 0), 3)</f>
        <v/>
      </c>
      <c r="Z122" s="20">
        <f>ROUND(Z121 + IF(F122="ASTM A416", L122, 0), 3)</f>
        <v/>
      </c>
      <c r="AA122" s="11">
        <f>IF(INT(P122/20)&gt;INT(P121/20), "Lần " &amp; INT(P122/20), "")</f>
        <v/>
      </c>
      <c r="AB122" s="11">
        <f>IF(INT(Q122/20)&gt;INT(Q121/20), "Lần " &amp; INT(Q122/20), "")</f>
        <v/>
      </c>
      <c r="AC122" s="11">
        <f>IF(INT(R122/20)&gt;INT(R121/20), "Lần " &amp; INT(R122/20), "")</f>
        <v/>
      </c>
      <c r="AD122" s="11">
        <f>IF(INT(S122/20)&gt;INT(S121/20), "Lần " &amp; INT(S122/20), "")</f>
        <v/>
      </c>
      <c r="AE122" s="11">
        <f>IF(INT(T122/20)&gt;INT(T121/20), "Lần " &amp; INT(T122/20), "")</f>
        <v/>
      </c>
      <c r="AF122" s="11">
        <f>IF(INT(U122/20)&gt;INT(U121/20), "Lần " &amp; INT(U122/20), "")</f>
        <v/>
      </c>
      <c r="AG122" s="11">
        <f>IF(INT(V122/20)&gt;INT(V121/20), "Lần " &amp; INT(V122/20), "")</f>
        <v/>
      </c>
      <c r="AH122" s="11">
        <f>IF(INT(W122/20)&gt;INT(W121/20), "Lần " &amp; INT(W122/20), "")</f>
        <v/>
      </c>
      <c r="AI122" s="11">
        <f>IF(INT(X122/20)&gt;INT(X121/20), "Lần " &amp; INT(X122/20), "")</f>
        <v/>
      </c>
      <c r="AJ122" s="11">
        <f>IF(INT(Y122/20)&gt;INT(Y121/20), "Lần " &amp; INT(Y122/20), "")</f>
        <v/>
      </c>
      <c r="AK122" s="11">
        <f>IF(INT(Z122/20)&gt;INT(Z121/20), "Lần " &amp; INT(Z122/20), "")</f>
        <v/>
      </c>
      <c r="AL122" s="6" t="inlineStr">
        <is>
          <t>ĐẠT TCVN 1651:2018</t>
        </is>
      </c>
    </row>
    <row r="123" ht="19" customHeight="1">
      <c r="A123" s="6" t="n">
        <v>112</v>
      </c>
      <c r="B123" s="7" t="inlineStr">
        <is>
          <t>Cọc khoan nhồi C5 Trụ T1 (D1.2m, L=40.0m)</t>
        </is>
      </c>
      <c r="C123" s="7" t="inlineStr">
        <is>
          <t>Cốt thép chủ chịu lực cọc</t>
        </is>
      </c>
      <c r="D123" s="18" t="inlineStr">
        <is>
          <t>P7</t>
        </is>
      </c>
      <c r="E123" s="19" t="n">
        <v>25</v>
      </c>
      <c r="F123" s="6" t="inlineStr">
        <is>
          <t>CB400-V</t>
        </is>
      </c>
      <c r="G123" s="7" t="inlineStr">
        <is>
          <t>Thanh thẳng nối ren/hàn</t>
        </is>
      </c>
      <c r="H123" s="20" t="n">
        <v>10.033</v>
      </c>
      <c r="I123" s="21" t="n">
        <v>12</v>
      </c>
      <c r="J123" s="22" t="n">
        <v>3.85</v>
      </c>
      <c r="K123" s="9">
        <f>ROUND(H123*I123*J123, 2)</f>
        <v/>
      </c>
      <c r="L123" s="23">
        <f>ROUND(K123/1000, 3)</f>
        <v/>
      </c>
      <c r="M123" s="8" t="n"/>
      <c r="N123" s="6" t="n"/>
      <c r="O123" s="24">
        <f>IF(AND(E123&lt;=10, F123&lt;&gt;"ASTM A416", INT(P123/20)&gt;INT(P122/20)), "TN Ø10 (Lần " &amp; INT(P123/20) &amp; ")", IF(AND(E123=12, INT(Q123/20)&gt;INT(Q122/20)), "TN Ø12 (Lần " &amp; INT(Q123/20) &amp; ")", IF(AND(E123=14, INT(R123/20)&gt;INT(R122/20)), "TN Ø14 (Lần " &amp; INT(R123/20) &amp; ")", IF(AND(E123=16, INT(S123/20)&gt;INT(S122/20)), "TN Ø16 (Lần " &amp; INT(S123/20) &amp; ")", IF(AND(E123=18, INT(T123/20)&gt;INT(T122/20)), "TN Ø18 (Lần " &amp; INT(T123/20) &amp; ")", IF(AND(E123=20, INT(U123/20)&gt;INT(U122/20)), "TN Ø20 (Lần " &amp; INT(U123/20) &amp; ")", IF(AND(E123=22, INT(V123/20)&gt;INT(V122/20)), "TN Ø22 (Lần " &amp; INT(V123/20) &amp; ")", IF(AND(E123=25, INT(W123/20)&gt;INT(W122/20)), "TN Ø25 (Lần " &amp; INT(W123/20) &amp; ")", IF(AND(E123=28, INT(X123/20)&gt;INT(X122/20)), "TN Ø28 (Lần " &amp; INT(X123/20) &amp; ")", IF(AND(E123=32, INT(Y123/20)&gt;INT(Y122/20)), "TN Ø32 (Lần " &amp; INT(Y123/20) &amp; ")", IF(AND(F123="ASTM A416", INT(Z123/20)&gt;INT(Z122/20)), "TN Cáp 15.2 (Lần " &amp; INT(Z123/20) &amp; ")", "")))))))))))</f>
        <v/>
      </c>
      <c r="P123" s="20">
        <f>ROUND(P122 + IF(AND(E123&lt;=10, F123&lt;&gt;"ASTM A416"), L123, 0), 3)</f>
        <v/>
      </c>
      <c r="Q123" s="20">
        <f>ROUND(Q122 + IF(AND(E123=12, F123&lt;&gt;"ASTM A416"), L123, 0), 3)</f>
        <v/>
      </c>
      <c r="R123" s="20">
        <f>ROUND(R122 + IF(AND(E123=14, F123&lt;&gt;"ASTM A416"), L123, 0), 3)</f>
        <v/>
      </c>
      <c r="S123" s="20">
        <f>ROUND(S122 + IF(AND(E123=16, F123&lt;&gt;"ASTM A416"), L123, 0), 3)</f>
        <v/>
      </c>
      <c r="T123" s="20">
        <f>ROUND(T122 + IF(AND(E123=18, F123&lt;&gt;"ASTM A416"), L123, 0), 3)</f>
        <v/>
      </c>
      <c r="U123" s="20">
        <f>ROUND(U122 + IF(AND(E123=20, F123&lt;&gt;"ASTM A416"), L123, 0), 3)</f>
        <v/>
      </c>
      <c r="V123" s="20">
        <f>ROUND(V122 + IF(AND(E123=22, F123&lt;&gt;"ASTM A416"), L123, 0), 3)</f>
        <v/>
      </c>
      <c r="W123" s="20">
        <f>ROUND(W122 + IF(AND(E123=25, F123&lt;&gt;"ASTM A416"), L123, 0), 3)</f>
        <v/>
      </c>
      <c r="X123" s="20">
        <f>ROUND(X122 + IF(AND(E123=28, F123&lt;&gt;"ASTM A416"), L123, 0), 3)</f>
        <v/>
      </c>
      <c r="Y123" s="20">
        <f>ROUND(Y122 + IF(AND(E123=32, F123&lt;&gt;"ASTM A416"), L123, 0), 3)</f>
        <v/>
      </c>
      <c r="Z123" s="20">
        <f>ROUND(Z122 + IF(F123="ASTM A416", L123, 0), 3)</f>
        <v/>
      </c>
      <c r="AA123" s="11">
        <f>IF(INT(P123/20)&gt;INT(P122/20), "Lần " &amp; INT(P123/20), "")</f>
        <v/>
      </c>
      <c r="AB123" s="11">
        <f>IF(INT(Q123/20)&gt;INT(Q122/20), "Lần " &amp; INT(Q123/20), "")</f>
        <v/>
      </c>
      <c r="AC123" s="11">
        <f>IF(INT(R123/20)&gt;INT(R122/20), "Lần " &amp; INT(R123/20), "")</f>
        <v/>
      </c>
      <c r="AD123" s="11">
        <f>IF(INT(S123/20)&gt;INT(S122/20), "Lần " &amp; INT(S123/20), "")</f>
        <v/>
      </c>
      <c r="AE123" s="11">
        <f>IF(INT(T123/20)&gt;INT(T122/20), "Lần " &amp; INT(T123/20), "")</f>
        <v/>
      </c>
      <c r="AF123" s="11">
        <f>IF(INT(U123/20)&gt;INT(U122/20), "Lần " &amp; INT(U123/20), "")</f>
        <v/>
      </c>
      <c r="AG123" s="11">
        <f>IF(INT(V123/20)&gt;INT(V122/20), "Lần " &amp; INT(V123/20), "")</f>
        <v/>
      </c>
      <c r="AH123" s="11">
        <f>IF(INT(W123/20)&gt;INT(W122/20), "Lần " &amp; INT(W123/20), "")</f>
        <v/>
      </c>
      <c r="AI123" s="11">
        <f>IF(INT(X123/20)&gt;INT(X122/20), "Lần " &amp; INT(X123/20), "")</f>
        <v/>
      </c>
      <c r="AJ123" s="11">
        <f>IF(INT(Y123/20)&gt;INT(Y122/20), "Lần " &amp; INT(Y123/20), "")</f>
        <v/>
      </c>
      <c r="AK123" s="11">
        <f>IF(INT(Z123/20)&gt;INT(Z122/20), "Lần " &amp; INT(Z123/20), "")</f>
        <v/>
      </c>
      <c r="AL123" s="6" t="inlineStr">
        <is>
          <t>ĐẠT TCVN 1651:2018</t>
        </is>
      </c>
    </row>
    <row r="124" ht="19" customHeight="1">
      <c r="A124" s="6" t="n">
        <v>113</v>
      </c>
      <c r="B124" s="7" t="inlineStr">
        <is>
          <t>Cọc khoan nhồi C5 Trụ T1 (D1.2m, L=40.0m)</t>
        </is>
      </c>
      <c r="C124" s="7" t="inlineStr">
        <is>
          <t>Đai tăng cường / Con kê bảo vệ</t>
        </is>
      </c>
      <c r="D124" s="18" t="inlineStr">
        <is>
          <t>P8</t>
        </is>
      </c>
      <c r="E124" s="19" t="n">
        <v>12</v>
      </c>
      <c r="F124" s="6" t="inlineStr">
        <is>
          <t>CB400-V</t>
        </is>
      </c>
      <c r="G124" s="7" t="inlineStr">
        <is>
          <t>Móc neo / Vòng đai</t>
        </is>
      </c>
      <c r="H124" s="20" t="n">
        <v>0.647</v>
      </c>
      <c r="I124" s="21" t="n">
        <v>16</v>
      </c>
      <c r="J124" s="22" t="n">
        <v>0.888</v>
      </c>
      <c r="K124" s="9">
        <f>ROUND(H124*I124*J124, 2)</f>
        <v/>
      </c>
      <c r="L124" s="23">
        <f>ROUND(K124/1000, 3)</f>
        <v/>
      </c>
      <c r="M124" s="8" t="n"/>
      <c r="N124" s="6" t="n"/>
      <c r="O124" s="24">
        <f>IF(AND(E124&lt;=10, F124&lt;&gt;"ASTM A416", INT(P124/20)&gt;INT(P123/20)), "TN Ø10 (Lần " &amp; INT(P124/20) &amp; ")", IF(AND(E124=12, INT(Q124/20)&gt;INT(Q123/20)), "TN Ø12 (Lần " &amp; INT(Q124/20) &amp; ")", IF(AND(E124=14, INT(R124/20)&gt;INT(R123/20)), "TN Ø14 (Lần " &amp; INT(R124/20) &amp; ")", IF(AND(E124=16, INT(S124/20)&gt;INT(S123/20)), "TN Ø16 (Lần " &amp; INT(S124/20) &amp; ")", IF(AND(E124=18, INT(T124/20)&gt;INT(T123/20)), "TN Ø18 (Lần " &amp; INT(T124/20) &amp; ")", IF(AND(E124=20, INT(U124/20)&gt;INT(U123/20)), "TN Ø20 (Lần " &amp; INT(U124/20) &amp; ")", IF(AND(E124=22, INT(V124/20)&gt;INT(V123/20)), "TN Ø22 (Lần " &amp; INT(V124/20) &amp; ")", IF(AND(E124=25, INT(W124/20)&gt;INT(W123/20)), "TN Ø25 (Lần " &amp; INT(W124/20) &amp; ")", IF(AND(E124=28, INT(X124/20)&gt;INT(X123/20)), "TN Ø28 (Lần " &amp; INT(X124/20) &amp; ")", IF(AND(E124=32, INT(Y124/20)&gt;INT(Y123/20)), "TN Ø32 (Lần " &amp; INT(Y124/20) &amp; ")", IF(AND(F124="ASTM A416", INT(Z124/20)&gt;INT(Z123/20)), "TN Cáp 15.2 (Lần " &amp; INT(Z124/20) &amp; ")", "")))))))))))</f>
        <v/>
      </c>
      <c r="P124" s="20">
        <f>ROUND(P123 + IF(AND(E124&lt;=10, F124&lt;&gt;"ASTM A416"), L124, 0), 3)</f>
        <v/>
      </c>
      <c r="Q124" s="20">
        <f>ROUND(Q123 + IF(AND(E124=12, F124&lt;&gt;"ASTM A416"), L124, 0), 3)</f>
        <v/>
      </c>
      <c r="R124" s="20">
        <f>ROUND(R123 + IF(AND(E124=14, F124&lt;&gt;"ASTM A416"), L124, 0), 3)</f>
        <v/>
      </c>
      <c r="S124" s="20">
        <f>ROUND(S123 + IF(AND(E124=16, F124&lt;&gt;"ASTM A416"), L124, 0), 3)</f>
        <v/>
      </c>
      <c r="T124" s="20">
        <f>ROUND(T123 + IF(AND(E124=18, F124&lt;&gt;"ASTM A416"), L124, 0), 3)</f>
        <v/>
      </c>
      <c r="U124" s="20">
        <f>ROUND(U123 + IF(AND(E124=20, F124&lt;&gt;"ASTM A416"), L124, 0), 3)</f>
        <v/>
      </c>
      <c r="V124" s="20">
        <f>ROUND(V123 + IF(AND(E124=22, F124&lt;&gt;"ASTM A416"), L124, 0), 3)</f>
        <v/>
      </c>
      <c r="W124" s="20">
        <f>ROUND(W123 + IF(AND(E124=25, F124&lt;&gt;"ASTM A416"), L124, 0), 3)</f>
        <v/>
      </c>
      <c r="X124" s="20">
        <f>ROUND(X123 + IF(AND(E124=28, F124&lt;&gt;"ASTM A416"), L124, 0), 3)</f>
        <v/>
      </c>
      <c r="Y124" s="20">
        <f>ROUND(Y123 + IF(AND(E124=32, F124&lt;&gt;"ASTM A416"), L124, 0), 3)</f>
        <v/>
      </c>
      <c r="Z124" s="20">
        <f>ROUND(Z123 + IF(F124="ASTM A416", L124, 0), 3)</f>
        <v/>
      </c>
      <c r="AA124" s="11">
        <f>IF(INT(P124/20)&gt;INT(P123/20), "Lần " &amp; INT(P124/20), "")</f>
        <v/>
      </c>
      <c r="AB124" s="11">
        <f>IF(INT(Q124/20)&gt;INT(Q123/20), "Lần " &amp; INT(Q124/20), "")</f>
        <v/>
      </c>
      <c r="AC124" s="11">
        <f>IF(INT(R124/20)&gt;INT(R123/20), "Lần " &amp; INT(R124/20), "")</f>
        <v/>
      </c>
      <c r="AD124" s="11">
        <f>IF(INT(S124/20)&gt;INT(S123/20), "Lần " &amp; INT(S124/20), "")</f>
        <v/>
      </c>
      <c r="AE124" s="11">
        <f>IF(INT(T124/20)&gt;INT(T123/20), "Lần " &amp; INT(T124/20), "")</f>
        <v/>
      </c>
      <c r="AF124" s="11">
        <f>IF(INT(U124/20)&gt;INT(U123/20), "Lần " &amp; INT(U124/20), "")</f>
        <v/>
      </c>
      <c r="AG124" s="11">
        <f>IF(INT(V124/20)&gt;INT(V123/20), "Lần " &amp; INT(V124/20), "")</f>
        <v/>
      </c>
      <c r="AH124" s="11">
        <f>IF(INT(W124/20)&gt;INT(W123/20), "Lần " &amp; INT(W124/20), "")</f>
        <v/>
      </c>
      <c r="AI124" s="11">
        <f>IF(INT(X124/20)&gt;INT(X123/20), "Lần " &amp; INT(X124/20), "")</f>
        <v/>
      </c>
      <c r="AJ124" s="11">
        <f>IF(INT(Y124/20)&gt;INT(Y123/20), "Lần " &amp; INT(Y124/20), "")</f>
        <v/>
      </c>
      <c r="AK124" s="11">
        <f>IF(INT(Z124/20)&gt;INT(Z123/20), "Lần " &amp; INT(Z124/20), "")</f>
        <v/>
      </c>
      <c r="AL124" s="6" t="inlineStr">
        <is>
          <t>ĐẠT TCVN 1651:2018</t>
        </is>
      </c>
    </row>
    <row r="125" ht="19" customHeight="1">
      <c r="A125" s="6" t="n">
        <v>114</v>
      </c>
      <c r="B125" s="7" t="inlineStr">
        <is>
          <t>Cọc khoan nhồi C5 Trụ T1 (D1.2m, L=40.0m)</t>
        </is>
      </c>
      <c r="C125" s="7" t="inlineStr">
        <is>
          <t>Đai tăng cường / Con kê bảo vệ</t>
        </is>
      </c>
      <c r="D125" s="18" t="inlineStr">
        <is>
          <t>P9</t>
        </is>
      </c>
      <c r="E125" s="19" t="n">
        <v>12</v>
      </c>
      <c r="F125" s="6" t="inlineStr">
        <is>
          <t>CB400-V</t>
        </is>
      </c>
      <c r="G125" s="7" t="inlineStr">
        <is>
          <t>Móc neo / Vòng đai</t>
        </is>
      </c>
      <c r="H125" s="20" t="n">
        <v>0.379</v>
      </c>
      <c r="I125" s="21" t="n">
        <v>48</v>
      </c>
      <c r="J125" s="22" t="n">
        <v>0.888</v>
      </c>
      <c r="K125" s="9">
        <f>ROUND(H125*I125*J125, 2)</f>
        <v/>
      </c>
      <c r="L125" s="23">
        <f>ROUND(K125/1000, 3)</f>
        <v/>
      </c>
      <c r="M125" s="8" t="n"/>
      <c r="N125" s="6" t="n"/>
      <c r="O125" s="24">
        <f>IF(AND(E125&lt;=10, F125&lt;&gt;"ASTM A416", INT(P125/20)&gt;INT(P124/20)), "TN Ø10 (Lần " &amp; INT(P125/20) &amp; ")", IF(AND(E125=12, INT(Q125/20)&gt;INT(Q124/20)), "TN Ø12 (Lần " &amp; INT(Q125/20) &amp; ")", IF(AND(E125=14, INT(R125/20)&gt;INT(R124/20)), "TN Ø14 (Lần " &amp; INT(R125/20) &amp; ")", IF(AND(E125=16, INT(S125/20)&gt;INT(S124/20)), "TN Ø16 (Lần " &amp; INT(S125/20) &amp; ")", IF(AND(E125=18, INT(T125/20)&gt;INT(T124/20)), "TN Ø18 (Lần " &amp; INT(T125/20) &amp; ")", IF(AND(E125=20, INT(U125/20)&gt;INT(U124/20)), "TN Ø20 (Lần " &amp; INT(U125/20) &amp; ")", IF(AND(E125=22, INT(V125/20)&gt;INT(V124/20)), "TN Ø22 (Lần " &amp; INT(V125/20) &amp; ")", IF(AND(E125=25, INT(W125/20)&gt;INT(W124/20)), "TN Ø25 (Lần " &amp; INT(W125/20) &amp; ")", IF(AND(E125=28, INT(X125/20)&gt;INT(X124/20)), "TN Ø28 (Lần " &amp; INT(X125/20) &amp; ")", IF(AND(E125=32, INT(Y125/20)&gt;INT(Y124/20)), "TN Ø32 (Lần " &amp; INT(Y125/20) &amp; ")", IF(AND(F125="ASTM A416", INT(Z125/20)&gt;INT(Z124/20)), "TN Cáp 15.2 (Lần " &amp; INT(Z125/20) &amp; ")", "")))))))))))</f>
        <v/>
      </c>
      <c r="P125" s="20">
        <f>ROUND(P124 + IF(AND(E125&lt;=10, F125&lt;&gt;"ASTM A416"), L125, 0), 3)</f>
        <v/>
      </c>
      <c r="Q125" s="20">
        <f>ROUND(Q124 + IF(AND(E125=12, F125&lt;&gt;"ASTM A416"), L125, 0), 3)</f>
        <v/>
      </c>
      <c r="R125" s="20">
        <f>ROUND(R124 + IF(AND(E125=14, F125&lt;&gt;"ASTM A416"), L125, 0), 3)</f>
        <v/>
      </c>
      <c r="S125" s="20">
        <f>ROUND(S124 + IF(AND(E125=16, F125&lt;&gt;"ASTM A416"), L125, 0), 3)</f>
        <v/>
      </c>
      <c r="T125" s="20">
        <f>ROUND(T124 + IF(AND(E125=18, F125&lt;&gt;"ASTM A416"), L125, 0), 3)</f>
        <v/>
      </c>
      <c r="U125" s="20">
        <f>ROUND(U124 + IF(AND(E125=20, F125&lt;&gt;"ASTM A416"), L125, 0), 3)</f>
        <v/>
      </c>
      <c r="V125" s="20">
        <f>ROUND(V124 + IF(AND(E125=22, F125&lt;&gt;"ASTM A416"), L125, 0), 3)</f>
        <v/>
      </c>
      <c r="W125" s="20">
        <f>ROUND(W124 + IF(AND(E125=25, F125&lt;&gt;"ASTM A416"), L125, 0), 3)</f>
        <v/>
      </c>
      <c r="X125" s="20">
        <f>ROUND(X124 + IF(AND(E125=28, F125&lt;&gt;"ASTM A416"), L125, 0), 3)</f>
        <v/>
      </c>
      <c r="Y125" s="20">
        <f>ROUND(Y124 + IF(AND(E125=32, F125&lt;&gt;"ASTM A416"), L125, 0), 3)</f>
        <v/>
      </c>
      <c r="Z125" s="20">
        <f>ROUND(Z124 + IF(F125="ASTM A416", L125, 0), 3)</f>
        <v/>
      </c>
      <c r="AA125" s="11">
        <f>IF(INT(P125/20)&gt;INT(P124/20), "Lần " &amp; INT(P125/20), "")</f>
        <v/>
      </c>
      <c r="AB125" s="11">
        <f>IF(INT(Q125/20)&gt;INT(Q124/20), "Lần " &amp; INT(Q125/20), "")</f>
        <v/>
      </c>
      <c r="AC125" s="11">
        <f>IF(INT(R125/20)&gt;INT(R124/20), "Lần " &amp; INT(R125/20), "")</f>
        <v/>
      </c>
      <c r="AD125" s="11">
        <f>IF(INT(S125/20)&gt;INT(S124/20), "Lần " &amp; INT(S125/20), "")</f>
        <v/>
      </c>
      <c r="AE125" s="11">
        <f>IF(INT(T125/20)&gt;INT(T124/20), "Lần " &amp; INT(T125/20), "")</f>
        <v/>
      </c>
      <c r="AF125" s="11">
        <f>IF(INT(U125/20)&gt;INT(U124/20), "Lần " &amp; INT(U125/20), "")</f>
        <v/>
      </c>
      <c r="AG125" s="11">
        <f>IF(INT(V125/20)&gt;INT(V124/20), "Lần " &amp; INT(V125/20), "")</f>
        <v/>
      </c>
      <c r="AH125" s="11">
        <f>IF(INT(W125/20)&gt;INT(W124/20), "Lần " &amp; INT(W125/20), "")</f>
        <v/>
      </c>
      <c r="AI125" s="11">
        <f>IF(INT(X125/20)&gt;INT(X124/20), "Lần " &amp; INT(X125/20), "")</f>
        <v/>
      </c>
      <c r="AJ125" s="11">
        <f>IF(INT(Y125/20)&gt;INT(Y124/20), "Lần " &amp; INT(Y125/20), "")</f>
        <v/>
      </c>
      <c r="AK125" s="11">
        <f>IF(INT(Z125/20)&gt;INT(Z124/20), "Lần " &amp; INT(Z125/20), "")</f>
        <v/>
      </c>
      <c r="AL125" s="6" t="inlineStr">
        <is>
          <t>ĐẠT TCVN 1651:2018</t>
        </is>
      </c>
    </row>
    <row r="126" ht="19" customHeight="1">
      <c r="A126" s="6" t="n">
        <v>115</v>
      </c>
      <c r="B126" s="7" t="inlineStr">
        <is>
          <t>Cọc khoan nhồi C5 Trụ T1 (D1.2m, L=40.0m)</t>
        </is>
      </c>
      <c r="C126" s="7" t="inlineStr">
        <is>
          <t>Thép đai xoắn lồng cọc</t>
        </is>
      </c>
      <c r="D126" s="18" t="inlineStr">
        <is>
          <t>P10</t>
        </is>
      </c>
      <c r="E126" s="19" t="n">
        <v>20</v>
      </c>
      <c r="F126" s="6" t="inlineStr">
        <is>
          <t>CB400-V</t>
        </is>
      </c>
      <c r="G126" s="7" t="inlineStr">
        <is>
          <t>Đai xoắn tròn</t>
        </is>
      </c>
      <c r="H126" s="20" t="n">
        <v>2.057</v>
      </c>
      <c r="I126" s="21" t="n">
        <v>1</v>
      </c>
      <c r="J126" s="22" t="n">
        <v>2.47</v>
      </c>
      <c r="K126" s="9">
        <f>ROUND(H126*I126*J126, 2)</f>
        <v/>
      </c>
      <c r="L126" s="23">
        <f>ROUND(K126/1000, 3)</f>
        <v/>
      </c>
      <c r="M126" s="8" t="n"/>
      <c r="N126" s="6" t="n"/>
      <c r="O126" s="24">
        <f>IF(AND(E126&lt;=10, F126&lt;&gt;"ASTM A416", INT(P126/20)&gt;INT(P125/20)), "TN Ø10 (Lần " &amp; INT(P126/20) &amp; ")", IF(AND(E126=12, INT(Q126/20)&gt;INT(Q125/20)), "TN Ø12 (Lần " &amp; INT(Q126/20) &amp; ")", IF(AND(E126=14, INT(R126/20)&gt;INT(R125/20)), "TN Ø14 (Lần " &amp; INT(R126/20) &amp; ")", IF(AND(E126=16, INT(S126/20)&gt;INT(S125/20)), "TN Ø16 (Lần " &amp; INT(S126/20) &amp; ")", IF(AND(E126=18, INT(T126/20)&gt;INT(T125/20)), "TN Ø18 (Lần " &amp; INT(T126/20) &amp; ")", IF(AND(E126=20, INT(U126/20)&gt;INT(U125/20)), "TN Ø20 (Lần " &amp; INT(U126/20) &amp; ")", IF(AND(E126=22, INT(V126/20)&gt;INT(V125/20)), "TN Ø22 (Lần " &amp; INT(V126/20) &amp; ")", IF(AND(E126=25, INT(W126/20)&gt;INT(W125/20)), "TN Ø25 (Lần " &amp; INT(W126/20) &amp; ")", IF(AND(E126=28, INT(X126/20)&gt;INT(X125/20)), "TN Ø28 (Lần " &amp; INT(X126/20) &amp; ")", IF(AND(E126=32, INT(Y126/20)&gt;INT(Y125/20)), "TN Ø32 (Lần " &amp; INT(Y126/20) &amp; ")", IF(AND(F126="ASTM A416", INT(Z126/20)&gt;INT(Z125/20)), "TN Cáp 15.2 (Lần " &amp; INT(Z126/20) &amp; ")", "")))))))))))</f>
        <v/>
      </c>
      <c r="P126" s="20">
        <f>ROUND(P125 + IF(AND(E126&lt;=10, F126&lt;&gt;"ASTM A416"), L126, 0), 3)</f>
        <v/>
      </c>
      <c r="Q126" s="20">
        <f>ROUND(Q125 + IF(AND(E126=12, F126&lt;&gt;"ASTM A416"), L126, 0), 3)</f>
        <v/>
      </c>
      <c r="R126" s="20">
        <f>ROUND(R125 + IF(AND(E126=14, F126&lt;&gt;"ASTM A416"), L126, 0), 3)</f>
        <v/>
      </c>
      <c r="S126" s="20">
        <f>ROUND(S125 + IF(AND(E126=16, F126&lt;&gt;"ASTM A416"), L126, 0), 3)</f>
        <v/>
      </c>
      <c r="T126" s="20">
        <f>ROUND(T125 + IF(AND(E126=18, F126&lt;&gt;"ASTM A416"), L126, 0), 3)</f>
        <v/>
      </c>
      <c r="U126" s="20">
        <f>ROUND(U125 + IF(AND(E126=20, F126&lt;&gt;"ASTM A416"), L126, 0), 3)</f>
        <v/>
      </c>
      <c r="V126" s="20">
        <f>ROUND(V125 + IF(AND(E126=22, F126&lt;&gt;"ASTM A416"), L126, 0), 3)</f>
        <v/>
      </c>
      <c r="W126" s="20">
        <f>ROUND(W125 + IF(AND(E126=25, F126&lt;&gt;"ASTM A416"), L126, 0), 3)</f>
        <v/>
      </c>
      <c r="X126" s="20">
        <f>ROUND(X125 + IF(AND(E126=28, F126&lt;&gt;"ASTM A416"), L126, 0), 3)</f>
        <v/>
      </c>
      <c r="Y126" s="20">
        <f>ROUND(Y125 + IF(AND(E126=32, F126&lt;&gt;"ASTM A416"), L126, 0), 3)</f>
        <v/>
      </c>
      <c r="Z126" s="20">
        <f>ROUND(Z125 + IF(F126="ASTM A416", L126, 0), 3)</f>
        <v/>
      </c>
      <c r="AA126" s="11">
        <f>IF(INT(P126/20)&gt;INT(P125/20), "Lần " &amp; INT(P126/20), "")</f>
        <v/>
      </c>
      <c r="AB126" s="11">
        <f>IF(INT(Q126/20)&gt;INT(Q125/20), "Lần " &amp; INT(Q126/20), "")</f>
        <v/>
      </c>
      <c r="AC126" s="11">
        <f>IF(INT(R126/20)&gt;INT(R125/20), "Lần " &amp; INT(R126/20), "")</f>
        <v/>
      </c>
      <c r="AD126" s="11">
        <f>IF(INT(S126/20)&gt;INT(S125/20), "Lần " &amp; INT(S126/20), "")</f>
        <v/>
      </c>
      <c r="AE126" s="11">
        <f>IF(INT(T126/20)&gt;INT(T125/20), "Lần " &amp; INT(T126/20), "")</f>
        <v/>
      </c>
      <c r="AF126" s="11">
        <f>IF(INT(U126/20)&gt;INT(U125/20), "Lần " &amp; INT(U126/20), "")</f>
        <v/>
      </c>
      <c r="AG126" s="11">
        <f>IF(INT(V126/20)&gt;INT(V125/20), "Lần " &amp; INT(V126/20), "")</f>
        <v/>
      </c>
      <c r="AH126" s="11">
        <f>IF(INT(W126/20)&gt;INT(W125/20), "Lần " &amp; INT(W126/20), "")</f>
        <v/>
      </c>
      <c r="AI126" s="11">
        <f>IF(INT(X126/20)&gt;INT(X125/20), "Lần " &amp; INT(X126/20), "")</f>
        <v/>
      </c>
      <c r="AJ126" s="11">
        <f>IF(INT(Y126/20)&gt;INT(Y125/20), "Lần " &amp; INT(Y126/20), "")</f>
        <v/>
      </c>
      <c r="AK126" s="11">
        <f>IF(INT(Z126/20)&gt;INT(Z125/20), "Lần " &amp; INT(Z126/20), "")</f>
        <v/>
      </c>
      <c r="AL126" s="6" t="inlineStr">
        <is>
          <t>ĐẠT TCVN 1651:2018</t>
        </is>
      </c>
    </row>
    <row r="127" ht="19" customHeight="1">
      <c r="A127" s="6" t="n">
        <v>116</v>
      </c>
      <c r="B127" s="7" t="inlineStr">
        <is>
          <t>Cọc khoan nhồi C5 Trụ T1 (D1.2m, L=40.0m)</t>
        </is>
      </c>
      <c r="C127" s="7" t="inlineStr">
        <is>
          <t>Thanh thép treo lồng cọc</t>
        </is>
      </c>
      <c r="D127" s="18" t="inlineStr">
        <is>
          <t>P11</t>
        </is>
      </c>
      <c r="E127" s="19" t="n">
        <v>16</v>
      </c>
      <c r="F127" s="6" t="inlineStr">
        <is>
          <t>CB400-V</t>
        </is>
      </c>
      <c r="G127" s="7" t="inlineStr">
        <is>
          <t>Thanh treo lồng (bảng phụ tr.68)</t>
        </is>
      </c>
      <c r="H127" s="20" t="n">
        <v>2.604</v>
      </c>
      <c r="I127" s="21" t="n">
        <v>4</v>
      </c>
      <c r="J127" s="22" t="n">
        <v>1.58</v>
      </c>
      <c r="K127" s="9">
        <f>ROUND(H127*I127*J127, 2)</f>
        <v/>
      </c>
      <c r="L127" s="23">
        <f>ROUND(K127/1000, 3)</f>
        <v/>
      </c>
      <c r="M127" s="8" t="n"/>
      <c r="N127" s="6" t="n"/>
      <c r="O127" s="24">
        <f>IF(AND(E127&lt;=10, F127&lt;&gt;"ASTM A416", INT(P127/20)&gt;INT(P126/20)), "TN Ø10 (Lần " &amp; INT(P127/20) &amp; ")", IF(AND(E127=12, INT(Q127/20)&gt;INT(Q126/20)), "TN Ø12 (Lần " &amp; INT(Q127/20) &amp; ")", IF(AND(E127=14, INT(R127/20)&gt;INT(R126/20)), "TN Ø14 (Lần " &amp; INT(R127/20) &amp; ")", IF(AND(E127=16, INT(S127/20)&gt;INT(S126/20)), "TN Ø16 (Lần " &amp; INT(S127/20) &amp; ")", IF(AND(E127=18, INT(T127/20)&gt;INT(T126/20)), "TN Ø18 (Lần " &amp; INT(T127/20) &amp; ")", IF(AND(E127=20, INT(U127/20)&gt;INT(U126/20)), "TN Ø20 (Lần " &amp; INT(U127/20) &amp; ")", IF(AND(E127=22, INT(V127/20)&gt;INT(V126/20)), "TN Ø22 (Lần " &amp; INT(V127/20) &amp; ")", IF(AND(E127=25, INT(W127/20)&gt;INT(W126/20)), "TN Ø25 (Lần " &amp; INT(W127/20) &amp; ")", IF(AND(E127=28, INT(X127/20)&gt;INT(X126/20)), "TN Ø28 (Lần " &amp; INT(X127/20) &amp; ")", IF(AND(E127=32, INT(Y127/20)&gt;INT(Y126/20)), "TN Ø32 (Lần " &amp; INT(Y127/20) &amp; ")", IF(AND(F127="ASTM A416", INT(Z127/20)&gt;INT(Z126/20)), "TN Cáp 15.2 (Lần " &amp; INT(Z127/20) &amp; ")", "")))))))))))</f>
        <v/>
      </c>
      <c r="P127" s="20">
        <f>ROUND(P126 + IF(AND(E127&lt;=10, F127&lt;&gt;"ASTM A416"), L127, 0), 3)</f>
        <v/>
      </c>
      <c r="Q127" s="20">
        <f>ROUND(Q126 + IF(AND(E127=12, F127&lt;&gt;"ASTM A416"), L127, 0), 3)</f>
        <v/>
      </c>
      <c r="R127" s="20">
        <f>ROUND(R126 + IF(AND(E127=14, F127&lt;&gt;"ASTM A416"), L127, 0), 3)</f>
        <v/>
      </c>
      <c r="S127" s="20">
        <f>ROUND(S126 + IF(AND(E127=16, F127&lt;&gt;"ASTM A416"), L127, 0), 3)</f>
        <v/>
      </c>
      <c r="T127" s="20">
        <f>ROUND(T126 + IF(AND(E127=18, F127&lt;&gt;"ASTM A416"), L127, 0), 3)</f>
        <v/>
      </c>
      <c r="U127" s="20">
        <f>ROUND(U126 + IF(AND(E127=20, F127&lt;&gt;"ASTM A416"), L127, 0), 3)</f>
        <v/>
      </c>
      <c r="V127" s="20">
        <f>ROUND(V126 + IF(AND(E127=22, F127&lt;&gt;"ASTM A416"), L127, 0), 3)</f>
        <v/>
      </c>
      <c r="W127" s="20">
        <f>ROUND(W126 + IF(AND(E127=25, F127&lt;&gt;"ASTM A416"), L127, 0), 3)</f>
        <v/>
      </c>
      <c r="X127" s="20">
        <f>ROUND(X126 + IF(AND(E127=28, F127&lt;&gt;"ASTM A416"), L127, 0), 3)</f>
        <v/>
      </c>
      <c r="Y127" s="20">
        <f>ROUND(Y126 + IF(AND(E127=32, F127&lt;&gt;"ASTM A416"), L127, 0), 3)</f>
        <v/>
      </c>
      <c r="Z127" s="20">
        <f>ROUND(Z126 + IF(F127="ASTM A416", L127, 0), 3)</f>
        <v/>
      </c>
      <c r="AA127" s="11">
        <f>IF(INT(P127/20)&gt;INT(P126/20), "Lần " &amp; INT(P127/20), "")</f>
        <v/>
      </c>
      <c r="AB127" s="11">
        <f>IF(INT(Q127/20)&gt;INT(Q126/20), "Lần " &amp; INT(Q127/20), "")</f>
        <v/>
      </c>
      <c r="AC127" s="11">
        <f>IF(INT(R127/20)&gt;INT(R126/20), "Lần " &amp; INT(R127/20), "")</f>
        <v/>
      </c>
      <c r="AD127" s="11">
        <f>IF(INT(S127/20)&gt;INT(S126/20), "Lần " &amp; INT(S127/20), "")</f>
        <v/>
      </c>
      <c r="AE127" s="11">
        <f>IF(INT(T127/20)&gt;INT(T126/20), "Lần " &amp; INT(T127/20), "")</f>
        <v/>
      </c>
      <c r="AF127" s="11">
        <f>IF(INT(U127/20)&gt;INT(U126/20), "Lần " &amp; INT(U127/20), "")</f>
        <v/>
      </c>
      <c r="AG127" s="11">
        <f>IF(INT(V127/20)&gt;INT(V126/20), "Lần " &amp; INT(V127/20), "")</f>
        <v/>
      </c>
      <c r="AH127" s="11">
        <f>IF(INT(W127/20)&gt;INT(W126/20), "Lần " &amp; INT(W127/20), "")</f>
        <v/>
      </c>
      <c r="AI127" s="11">
        <f>IF(INT(X127/20)&gt;INT(X126/20), "Lần " &amp; INT(X127/20), "")</f>
        <v/>
      </c>
      <c r="AJ127" s="11">
        <f>IF(INT(Y127/20)&gt;INT(Y126/20), "Lần " &amp; INT(Y127/20), "")</f>
        <v/>
      </c>
      <c r="AK127" s="11">
        <f>IF(INT(Z127/20)&gt;INT(Z126/20), "Lần " &amp; INT(Z127/20), "")</f>
        <v/>
      </c>
      <c r="AL127" s="6" t="inlineStr">
        <is>
          <t>ĐẠT TCVN 1651:2018</t>
        </is>
      </c>
    </row>
    <row r="128" ht="19" customHeight="1">
      <c r="A128" s="6" t="n">
        <v>117</v>
      </c>
      <c r="B128" s="7" t="inlineStr">
        <is>
          <t>Cọc khoan nhồi C5 Trụ T1 (D1.2m, L=40.0m)</t>
        </is>
      </c>
      <c r="C128" s="7" t="inlineStr">
        <is>
          <t>Thép đai xoắn lồng cọc</t>
        </is>
      </c>
      <c r="D128" s="18" t="inlineStr">
        <is>
          <t>P12</t>
        </is>
      </c>
      <c r="E128" s="19" t="n">
        <v>20</v>
      </c>
      <c r="F128" s="6" t="inlineStr">
        <is>
          <t>CB400-V</t>
        </is>
      </c>
      <c r="G128" s="7" t="inlineStr">
        <is>
          <t>Đai xoắn tròn</t>
        </is>
      </c>
      <c r="H128" s="20" t="n">
        <v>0.583</v>
      </c>
      <c r="I128" s="21" t="n">
        <v>64</v>
      </c>
      <c r="J128" s="22" t="n">
        <v>2.47</v>
      </c>
      <c r="K128" s="9">
        <f>ROUND(H128*I128*J128, 2)</f>
        <v/>
      </c>
      <c r="L128" s="23">
        <f>ROUND(K128/1000, 3)</f>
        <v/>
      </c>
      <c r="M128" s="8" t="n"/>
      <c r="N128" s="6" t="n"/>
      <c r="O128" s="24">
        <f>IF(AND(E128&lt;=10, F128&lt;&gt;"ASTM A416", INT(P128/20)&gt;INT(P127/20)), "TN Ø10 (Lần " &amp; INT(P128/20) &amp; ")", IF(AND(E128=12, INT(Q128/20)&gt;INT(Q127/20)), "TN Ø12 (Lần " &amp; INT(Q128/20) &amp; ")", IF(AND(E128=14, INT(R128/20)&gt;INT(R127/20)), "TN Ø14 (Lần " &amp; INT(R128/20) &amp; ")", IF(AND(E128=16, INT(S128/20)&gt;INT(S127/20)), "TN Ø16 (Lần " &amp; INT(S128/20) &amp; ")", IF(AND(E128=18, INT(T128/20)&gt;INT(T127/20)), "TN Ø18 (Lần " &amp; INT(T128/20) &amp; ")", IF(AND(E128=20, INT(U128/20)&gt;INT(U127/20)), "TN Ø20 (Lần " &amp; INT(U128/20) &amp; ")", IF(AND(E128=22, INT(V128/20)&gt;INT(V127/20)), "TN Ø22 (Lần " &amp; INT(V128/20) &amp; ")", IF(AND(E128=25, INT(W128/20)&gt;INT(W127/20)), "TN Ø25 (Lần " &amp; INT(W128/20) &amp; ")", IF(AND(E128=28, INT(X128/20)&gt;INT(X127/20)), "TN Ø28 (Lần " &amp; INT(X128/20) &amp; ")", IF(AND(E128=32, INT(Y128/20)&gt;INT(Y127/20)), "TN Ø32 (Lần " &amp; INT(Y128/20) &amp; ")", IF(AND(F128="ASTM A416", INT(Z128/20)&gt;INT(Z127/20)), "TN Cáp 15.2 (Lần " &amp; INT(Z128/20) &amp; ")", "")))))))))))</f>
        <v/>
      </c>
      <c r="P128" s="20">
        <f>ROUND(P127 + IF(AND(E128&lt;=10, F128&lt;&gt;"ASTM A416"), L128, 0), 3)</f>
        <v/>
      </c>
      <c r="Q128" s="20">
        <f>ROUND(Q127 + IF(AND(E128=12, F128&lt;&gt;"ASTM A416"), L128, 0), 3)</f>
        <v/>
      </c>
      <c r="R128" s="20">
        <f>ROUND(R127 + IF(AND(E128=14, F128&lt;&gt;"ASTM A416"), L128, 0), 3)</f>
        <v/>
      </c>
      <c r="S128" s="20">
        <f>ROUND(S127 + IF(AND(E128=16, F128&lt;&gt;"ASTM A416"), L128, 0), 3)</f>
        <v/>
      </c>
      <c r="T128" s="20">
        <f>ROUND(T127 + IF(AND(E128=18, F128&lt;&gt;"ASTM A416"), L128, 0), 3)</f>
        <v/>
      </c>
      <c r="U128" s="20">
        <f>ROUND(U127 + IF(AND(E128=20, F128&lt;&gt;"ASTM A416"), L128, 0), 3)</f>
        <v/>
      </c>
      <c r="V128" s="20">
        <f>ROUND(V127 + IF(AND(E128=22, F128&lt;&gt;"ASTM A416"), L128, 0), 3)</f>
        <v/>
      </c>
      <c r="W128" s="20">
        <f>ROUND(W127 + IF(AND(E128=25, F128&lt;&gt;"ASTM A416"), L128, 0), 3)</f>
        <v/>
      </c>
      <c r="X128" s="20">
        <f>ROUND(X127 + IF(AND(E128=28, F128&lt;&gt;"ASTM A416"), L128, 0), 3)</f>
        <v/>
      </c>
      <c r="Y128" s="20">
        <f>ROUND(Y127 + IF(AND(E128=32, F128&lt;&gt;"ASTM A416"), L128, 0), 3)</f>
        <v/>
      </c>
      <c r="Z128" s="20">
        <f>ROUND(Z127 + IF(F128="ASTM A416", L128, 0), 3)</f>
        <v/>
      </c>
      <c r="AA128" s="11">
        <f>IF(INT(P128/20)&gt;INT(P127/20), "Lần " &amp; INT(P128/20), "")</f>
        <v/>
      </c>
      <c r="AB128" s="11">
        <f>IF(INT(Q128/20)&gt;INT(Q127/20), "Lần " &amp; INT(Q128/20), "")</f>
        <v/>
      </c>
      <c r="AC128" s="11">
        <f>IF(INT(R128/20)&gt;INT(R127/20), "Lần " &amp; INT(R128/20), "")</f>
        <v/>
      </c>
      <c r="AD128" s="11">
        <f>IF(INT(S128/20)&gt;INT(S127/20), "Lần " &amp; INT(S128/20), "")</f>
        <v/>
      </c>
      <c r="AE128" s="11">
        <f>IF(INT(T128/20)&gt;INT(T127/20), "Lần " &amp; INT(T128/20), "")</f>
        <v/>
      </c>
      <c r="AF128" s="11">
        <f>IF(INT(U128/20)&gt;INT(U127/20), "Lần " &amp; INT(U128/20), "")</f>
        <v/>
      </c>
      <c r="AG128" s="11">
        <f>IF(INT(V128/20)&gt;INT(V127/20), "Lần " &amp; INT(V128/20), "")</f>
        <v/>
      </c>
      <c r="AH128" s="11">
        <f>IF(INT(W128/20)&gt;INT(W127/20), "Lần " &amp; INT(W128/20), "")</f>
        <v/>
      </c>
      <c r="AI128" s="11">
        <f>IF(INT(X128/20)&gt;INT(X127/20), "Lần " &amp; INT(X128/20), "")</f>
        <v/>
      </c>
      <c r="AJ128" s="11">
        <f>IF(INT(Y128/20)&gt;INT(Y127/20), "Lần " &amp; INT(Y128/20), "")</f>
        <v/>
      </c>
      <c r="AK128" s="11">
        <f>IF(INT(Z128/20)&gt;INT(Z127/20), "Lần " &amp; INT(Z128/20), "")</f>
        <v/>
      </c>
      <c r="AL128" s="6" t="inlineStr">
        <is>
          <t>ĐẠT TCVN 1651:2018</t>
        </is>
      </c>
    </row>
    <row r="129" ht="20" customHeight="1">
      <c r="A129" s="17" t="inlineStr">
        <is>
          <t>--- CỌC KHOAN NHỒI C6 TRỤ T1 (D1.2M, L=40.0M) ---</t>
        </is>
      </c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</row>
    <row r="130" ht="19" customHeight="1">
      <c r="A130" s="6" t="n">
        <v>118</v>
      </c>
      <c r="B130" s="7" t="inlineStr">
        <is>
          <t>Cọc khoan nhồi C6 Trụ T1 (D1.2m, L=40.0m)</t>
        </is>
      </c>
      <c r="C130" s="7" t="inlineStr">
        <is>
          <t>Thép đai xoắn lồng cọc</t>
        </is>
      </c>
      <c r="D130" s="18" t="inlineStr">
        <is>
          <t>P1</t>
        </is>
      </c>
      <c r="E130" s="19" t="n">
        <v>10</v>
      </c>
      <c r="F130" s="6" t="inlineStr">
        <is>
          <t>CB240-T</t>
        </is>
      </c>
      <c r="G130" s="7" t="inlineStr">
        <is>
          <t>Đai xoắn tròn</t>
        </is>
      </c>
      <c r="H130" s="20" t="n">
        <v>96.604</v>
      </c>
      <c r="I130" s="21" t="n">
        <v>1</v>
      </c>
      <c r="J130" s="22" t="n">
        <v>0.617</v>
      </c>
      <c r="K130" s="9">
        <f>ROUND(H130*I130*J130, 2)</f>
        <v/>
      </c>
      <c r="L130" s="23">
        <f>ROUND(K130/1000, 3)</f>
        <v/>
      </c>
      <c r="M130" s="8" t="n"/>
      <c r="N130" s="6" t="n"/>
      <c r="O130" s="24">
        <f>IF(AND(E130&lt;=10, F130&lt;&gt;"ASTM A416", INT(P130/20)&gt;INT(P128/20)), "TN Ø10 (Lần " &amp; INT(P130/20) &amp; ")", IF(AND(E130=12, INT(Q130/20)&gt;INT(Q128/20)), "TN Ø12 (Lần " &amp; INT(Q130/20) &amp; ")", IF(AND(E130=14, INT(R130/20)&gt;INT(R128/20)), "TN Ø14 (Lần " &amp; INT(R130/20) &amp; ")", IF(AND(E130=16, INT(S130/20)&gt;INT(S128/20)), "TN Ø16 (Lần " &amp; INT(S130/20) &amp; ")", IF(AND(E130=18, INT(T130/20)&gt;INT(T128/20)), "TN Ø18 (Lần " &amp; INT(T130/20) &amp; ")", IF(AND(E130=20, INT(U130/20)&gt;INT(U128/20)), "TN Ø20 (Lần " &amp; INT(U130/20) &amp; ")", IF(AND(E130=22, INT(V130/20)&gt;INT(V128/20)), "TN Ø22 (Lần " &amp; INT(V130/20) &amp; ")", IF(AND(E130=25, INT(W130/20)&gt;INT(W128/20)), "TN Ø25 (Lần " &amp; INT(W130/20) &amp; ")", IF(AND(E130=28, INT(X130/20)&gt;INT(X128/20)), "TN Ø28 (Lần " &amp; INT(X130/20) &amp; ")", IF(AND(E130=32, INT(Y130/20)&gt;INT(Y128/20)), "TN Ø32 (Lần " &amp; INT(Y130/20) &amp; ")", IF(AND(F130="ASTM A416", INT(Z130/20)&gt;INT(Z128/20)), "TN Cáp 15.2 (Lần " &amp; INT(Z130/20) &amp; ")", "")))))))))))</f>
        <v/>
      </c>
      <c r="P130" s="20">
        <f>ROUND(P128 + IF(AND(E130&lt;=10, F130&lt;&gt;"ASTM A416"), L130, 0), 3)</f>
        <v/>
      </c>
      <c r="Q130" s="20">
        <f>ROUND(Q128 + IF(AND(E130=12, F130&lt;&gt;"ASTM A416"), L130, 0), 3)</f>
        <v/>
      </c>
      <c r="R130" s="20">
        <f>ROUND(R128 + IF(AND(E130=14, F130&lt;&gt;"ASTM A416"), L130, 0), 3)</f>
        <v/>
      </c>
      <c r="S130" s="20">
        <f>ROUND(S128 + IF(AND(E130=16, F130&lt;&gt;"ASTM A416"), L130, 0), 3)</f>
        <v/>
      </c>
      <c r="T130" s="20">
        <f>ROUND(T128 + IF(AND(E130=18, F130&lt;&gt;"ASTM A416"), L130, 0), 3)</f>
        <v/>
      </c>
      <c r="U130" s="20">
        <f>ROUND(U128 + IF(AND(E130=20, F130&lt;&gt;"ASTM A416"), L130, 0), 3)</f>
        <v/>
      </c>
      <c r="V130" s="20">
        <f>ROUND(V128 + IF(AND(E130=22, F130&lt;&gt;"ASTM A416"), L130, 0), 3)</f>
        <v/>
      </c>
      <c r="W130" s="20">
        <f>ROUND(W128 + IF(AND(E130=25, F130&lt;&gt;"ASTM A416"), L130, 0), 3)</f>
        <v/>
      </c>
      <c r="X130" s="20">
        <f>ROUND(X128 + IF(AND(E130=28, F130&lt;&gt;"ASTM A416"), L130, 0), 3)</f>
        <v/>
      </c>
      <c r="Y130" s="20">
        <f>ROUND(Y128 + IF(AND(E130=32, F130&lt;&gt;"ASTM A416"), L130, 0), 3)</f>
        <v/>
      </c>
      <c r="Z130" s="20">
        <f>ROUND(Z128 + IF(F130="ASTM A416", L130, 0), 3)</f>
        <v/>
      </c>
      <c r="AA130" s="11">
        <f>IF(INT(P130/20)&gt;INT(P128/20), "Lần " &amp; INT(P130/20), "")</f>
        <v/>
      </c>
      <c r="AB130" s="11">
        <f>IF(INT(Q130/20)&gt;INT(Q128/20), "Lần " &amp; INT(Q130/20), "")</f>
        <v/>
      </c>
      <c r="AC130" s="11">
        <f>IF(INT(R130/20)&gt;INT(R128/20), "Lần " &amp; INT(R130/20), "")</f>
        <v/>
      </c>
      <c r="AD130" s="11">
        <f>IF(INT(S130/20)&gt;INT(S128/20), "Lần " &amp; INT(S130/20), "")</f>
        <v/>
      </c>
      <c r="AE130" s="11">
        <f>IF(INT(T130/20)&gt;INT(T128/20), "Lần " &amp; INT(T130/20), "")</f>
        <v/>
      </c>
      <c r="AF130" s="11">
        <f>IF(INT(U130/20)&gt;INT(U128/20), "Lần " &amp; INT(U130/20), "")</f>
        <v/>
      </c>
      <c r="AG130" s="11">
        <f>IF(INT(V130/20)&gt;INT(V128/20), "Lần " &amp; INT(V130/20), "")</f>
        <v/>
      </c>
      <c r="AH130" s="11">
        <f>IF(INT(W130/20)&gt;INT(W128/20), "Lần " &amp; INT(W130/20), "")</f>
        <v/>
      </c>
      <c r="AI130" s="11">
        <f>IF(INT(X130/20)&gt;INT(X128/20), "Lần " &amp; INT(X130/20), "")</f>
        <v/>
      </c>
      <c r="AJ130" s="11">
        <f>IF(INT(Y130/20)&gt;INT(Y128/20), "Lần " &amp; INT(Y130/20), "")</f>
        <v/>
      </c>
      <c r="AK130" s="11">
        <f>IF(INT(Z130/20)&gt;INT(Z128/20), "Lần " &amp; INT(Z130/20), "")</f>
        <v/>
      </c>
      <c r="AL130" s="6" t="inlineStr">
        <is>
          <t>ĐẠT TCVN 1651:2018</t>
        </is>
      </c>
    </row>
    <row r="131" ht="19" customHeight="1">
      <c r="A131" s="6" t="n">
        <v>119</v>
      </c>
      <c r="B131" s="7" t="inlineStr">
        <is>
          <t>Cọc khoan nhồi C6 Trụ T1 (D1.2m, L=40.0m)</t>
        </is>
      </c>
      <c r="C131" s="7" t="inlineStr">
        <is>
          <t>Thép đai xoắn lồng cọc</t>
        </is>
      </c>
      <c r="D131" s="18" t="inlineStr">
        <is>
          <t>P1A</t>
        </is>
      </c>
      <c r="E131" s="19" t="n">
        <v>10</v>
      </c>
      <c r="F131" s="6" t="inlineStr">
        <is>
          <t>CB240-T</t>
        </is>
      </c>
      <c r="G131" s="7" t="inlineStr">
        <is>
          <t>Đai xoắn tròn</t>
        </is>
      </c>
      <c r="H131" s="20" t="n">
        <v>389.636</v>
      </c>
      <c r="I131" s="21" t="n">
        <v>1</v>
      </c>
      <c r="J131" s="22" t="n">
        <v>0.617</v>
      </c>
      <c r="K131" s="9">
        <f>ROUND(H131*I131*J131, 2)</f>
        <v/>
      </c>
      <c r="L131" s="23">
        <f>ROUND(K131/1000, 3)</f>
        <v/>
      </c>
      <c r="M131" s="8" t="n"/>
      <c r="N131" s="6" t="n"/>
      <c r="O131" s="24">
        <f>IF(AND(E131&lt;=10, F131&lt;&gt;"ASTM A416", INT(P131/20)&gt;INT(P130/20)), "TN Ø10 (Lần " &amp; INT(P131/20) &amp; ")", IF(AND(E131=12, INT(Q131/20)&gt;INT(Q130/20)), "TN Ø12 (Lần " &amp; INT(Q131/20) &amp; ")", IF(AND(E131=14, INT(R131/20)&gt;INT(R130/20)), "TN Ø14 (Lần " &amp; INT(R131/20) &amp; ")", IF(AND(E131=16, INT(S131/20)&gt;INT(S130/20)), "TN Ø16 (Lần " &amp; INT(S131/20) &amp; ")", IF(AND(E131=18, INT(T131/20)&gt;INT(T130/20)), "TN Ø18 (Lần " &amp; INT(T131/20) &amp; ")", IF(AND(E131=20, INT(U131/20)&gt;INT(U130/20)), "TN Ø20 (Lần " &amp; INT(U131/20) &amp; ")", IF(AND(E131=22, INT(V131/20)&gt;INT(V130/20)), "TN Ø22 (Lần " &amp; INT(V131/20) &amp; ")", IF(AND(E131=25, INT(W131/20)&gt;INT(W130/20)), "TN Ø25 (Lần " &amp; INT(W131/20) &amp; ")", IF(AND(E131=28, INT(X131/20)&gt;INT(X130/20)), "TN Ø28 (Lần " &amp; INT(X131/20) &amp; ")", IF(AND(E131=32, INT(Y131/20)&gt;INT(Y130/20)), "TN Ø32 (Lần " &amp; INT(Y131/20) &amp; ")", IF(AND(F131="ASTM A416", INT(Z131/20)&gt;INT(Z130/20)), "TN Cáp 15.2 (Lần " &amp; INT(Z131/20) &amp; ")", "")))))))))))</f>
        <v/>
      </c>
      <c r="P131" s="20">
        <f>ROUND(P130 + IF(AND(E131&lt;=10, F131&lt;&gt;"ASTM A416"), L131, 0), 3)</f>
        <v/>
      </c>
      <c r="Q131" s="20">
        <f>ROUND(Q130 + IF(AND(E131=12, F131&lt;&gt;"ASTM A416"), L131, 0), 3)</f>
        <v/>
      </c>
      <c r="R131" s="20">
        <f>ROUND(R130 + IF(AND(E131=14, F131&lt;&gt;"ASTM A416"), L131, 0), 3)</f>
        <v/>
      </c>
      <c r="S131" s="20">
        <f>ROUND(S130 + IF(AND(E131=16, F131&lt;&gt;"ASTM A416"), L131, 0), 3)</f>
        <v/>
      </c>
      <c r="T131" s="20">
        <f>ROUND(T130 + IF(AND(E131=18, F131&lt;&gt;"ASTM A416"), L131, 0), 3)</f>
        <v/>
      </c>
      <c r="U131" s="20">
        <f>ROUND(U130 + IF(AND(E131=20, F131&lt;&gt;"ASTM A416"), L131, 0), 3)</f>
        <v/>
      </c>
      <c r="V131" s="20">
        <f>ROUND(V130 + IF(AND(E131=22, F131&lt;&gt;"ASTM A416"), L131, 0), 3)</f>
        <v/>
      </c>
      <c r="W131" s="20">
        <f>ROUND(W130 + IF(AND(E131=25, F131&lt;&gt;"ASTM A416"), L131, 0), 3)</f>
        <v/>
      </c>
      <c r="X131" s="20">
        <f>ROUND(X130 + IF(AND(E131=28, F131&lt;&gt;"ASTM A416"), L131, 0), 3)</f>
        <v/>
      </c>
      <c r="Y131" s="20">
        <f>ROUND(Y130 + IF(AND(E131=32, F131&lt;&gt;"ASTM A416"), L131, 0), 3)</f>
        <v/>
      </c>
      <c r="Z131" s="20">
        <f>ROUND(Z130 + IF(F131="ASTM A416", L131, 0), 3)</f>
        <v/>
      </c>
      <c r="AA131" s="11">
        <f>IF(INT(P131/20)&gt;INT(P130/20), "Lần " &amp; INT(P131/20), "")</f>
        <v/>
      </c>
      <c r="AB131" s="11">
        <f>IF(INT(Q131/20)&gt;INT(Q130/20), "Lần " &amp; INT(Q131/20), "")</f>
        <v/>
      </c>
      <c r="AC131" s="11">
        <f>IF(INT(R131/20)&gt;INT(R130/20), "Lần " &amp; INT(R131/20), "")</f>
        <v/>
      </c>
      <c r="AD131" s="11">
        <f>IF(INT(S131/20)&gt;INT(S130/20), "Lần " &amp; INT(S131/20), "")</f>
        <v/>
      </c>
      <c r="AE131" s="11">
        <f>IF(INT(T131/20)&gt;INT(T130/20), "Lần " &amp; INT(T131/20), "")</f>
        <v/>
      </c>
      <c r="AF131" s="11">
        <f>IF(INT(U131/20)&gt;INT(U130/20), "Lần " &amp; INT(U131/20), "")</f>
        <v/>
      </c>
      <c r="AG131" s="11">
        <f>IF(INT(V131/20)&gt;INT(V130/20), "Lần " &amp; INT(V131/20), "")</f>
        <v/>
      </c>
      <c r="AH131" s="11">
        <f>IF(INT(W131/20)&gt;INT(W130/20), "Lần " &amp; INT(W131/20), "")</f>
        <v/>
      </c>
      <c r="AI131" s="11">
        <f>IF(INT(X131/20)&gt;INT(X130/20), "Lần " &amp; INT(X131/20), "")</f>
        <v/>
      </c>
      <c r="AJ131" s="11">
        <f>IF(INT(Y131/20)&gt;INT(Y130/20), "Lần " &amp; INT(Y131/20), "")</f>
        <v/>
      </c>
      <c r="AK131" s="11">
        <f>IF(INT(Z131/20)&gt;INT(Z130/20), "Lần " &amp; INT(Z131/20), "")</f>
        <v/>
      </c>
      <c r="AL131" s="6" t="inlineStr">
        <is>
          <t>ĐẠT TCVN 1651:2018</t>
        </is>
      </c>
    </row>
    <row r="132" ht="19" customHeight="1">
      <c r="A132" s="6" t="n">
        <v>120</v>
      </c>
      <c r="B132" s="7" t="inlineStr">
        <is>
          <t>Cọc khoan nhồi C6 Trụ T1 (D1.2m, L=40.0m)</t>
        </is>
      </c>
      <c r="C132" s="7" t="inlineStr">
        <is>
          <t>Thép đai xoắn lồng cọc</t>
        </is>
      </c>
      <c r="D132" s="18" t="inlineStr">
        <is>
          <t>P1B</t>
        </is>
      </c>
      <c r="E132" s="19" t="n">
        <v>10</v>
      </c>
      <c r="F132" s="6" t="inlineStr">
        <is>
          <t>CB240-T</t>
        </is>
      </c>
      <c r="G132" s="7" t="inlineStr">
        <is>
          <t>Đai xoắn tròn</t>
        </is>
      </c>
      <c r="H132" s="20" t="n">
        <v>206.981</v>
      </c>
      <c r="I132" s="21" t="n">
        <v>1</v>
      </c>
      <c r="J132" s="22" t="n">
        <v>0.617</v>
      </c>
      <c r="K132" s="9">
        <f>ROUND(H132*I132*J132, 2)</f>
        <v/>
      </c>
      <c r="L132" s="23">
        <f>ROUND(K132/1000, 3)</f>
        <v/>
      </c>
      <c r="M132" s="8" t="n"/>
      <c r="N132" s="6" t="n"/>
      <c r="O132" s="24">
        <f>IF(AND(E132&lt;=10, F132&lt;&gt;"ASTM A416", INT(P132/20)&gt;INT(P131/20)), "TN Ø10 (Lần " &amp; INT(P132/20) &amp; ")", IF(AND(E132=12, INT(Q132/20)&gt;INT(Q131/20)), "TN Ø12 (Lần " &amp; INT(Q132/20) &amp; ")", IF(AND(E132=14, INT(R132/20)&gt;INT(R131/20)), "TN Ø14 (Lần " &amp; INT(R132/20) &amp; ")", IF(AND(E132=16, INT(S132/20)&gt;INT(S131/20)), "TN Ø16 (Lần " &amp; INT(S132/20) &amp; ")", IF(AND(E132=18, INT(T132/20)&gt;INT(T131/20)), "TN Ø18 (Lần " &amp; INT(T132/20) &amp; ")", IF(AND(E132=20, INT(U132/20)&gt;INT(U131/20)), "TN Ø20 (Lần " &amp; INT(U132/20) &amp; ")", IF(AND(E132=22, INT(V132/20)&gt;INT(V131/20)), "TN Ø22 (Lần " &amp; INT(V132/20) &amp; ")", IF(AND(E132=25, INT(W132/20)&gt;INT(W131/20)), "TN Ø25 (Lần " &amp; INT(W132/20) &amp; ")", IF(AND(E132=28, INT(X132/20)&gt;INT(X131/20)), "TN Ø28 (Lần " &amp; INT(X132/20) &amp; ")", IF(AND(E132=32, INT(Y132/20)&gt;INT(Y131/20)), "TN Ø32 (Lần " &amp; INT(Y132/20) &amp; ")", IF(AND(F132="ASTM A416", INT(Z132/20)&gt;INT(Z131/20)), "TN Cáp 15.2 (Lần " &amp; INT(Z132/20) &amp; ")", "")))))))))))</f>
        <v/>
      </c>
      <c r="P132" s="20">
        <f>ROUND(P131 + IF(AND(E132&lt;=10, F132&lt;&gt;"ASTM A416"), L132, 0), 3)</f>
        <v/>
      </c>
      <c r="Q132" s="20">
        <f>ROUND(Q131 + IF(AND(E132=12, F132&lt;&gt;"ASTM A416"), L132, 0), 3)</f>
        <v/>
      </c>
      <c r="R132" s="20">
        <f>ROUND(R131 + IF(AND(E132=14, F132&lt;&gt;"ASTM A416"), L132, 0), 3)</f>
        <v/>
      </c>
      <c r="S132" s="20">
        <f>ROUND(S131 + IF(AND(E132=16, F132&lt;&gt;"ASTM A416"), L132, 0), 3)</f>
        <v/>
      </c>
      <c r="T132" s="20">
        <f>ROUND(T131 + IF(AND(E132=18, F132&lt;&gt;"ASTM A416"), L132, 0), 3)</f>
        <v/>
      </c>
      <c r="U132" s="20">
        <f>ROUND(U131 + IF(AND(E132=20, F132&lt;&gt;"ASTM A416"), L132, 0), 3)</f>
        <v/>
      </c>
      <c r="V132" s="20">
        <f>ROUND(V131 + IF(AND(E132=22, F132&lt;&gt;"ASTM A416"), L132, 0), 3)</f>
        <v/>
      </c>
      <c r="W132" s="20">
        <f>ROUND(W131 + IF(AND(E132=25, F132&lt;&gt;"ASTM A416"), L132, 0), 3)</f>
        <v/>
      </c>
      <c r="X132" s="20">
        <f>ROUND(X131 + IF(AND(E132=28, F132&lt;&gt;"ASTM A416"), L132, 0), 3)</f>
        <v/>
      </c>
      <c r="Y132" s="20">
        <f>ROUND(Y131 + IF(AND(E132=32, F132&lt;&gt;"ASTM A416"), L132, 0), 3)</f>
        <v/>
      </c>
      <c r="Z132" s="20">
        <f>ROUND(Z131 + IF(F132="ASTM A416", L132, 0), 3)</f>
        <v/>
      </c>
      <c r="AA132" s="11">
        <f>IF(INT(P132/20)&gt;INT(P131/20), "Lần " &amp; INT(P132/20), "")</f>
        <v/>
      </c>
      <c r="AB132" s="11">
        <f>IF(INT(Q132/20)&gt;INT(Q131/20), "Lần " &amp; INT(Q132/20), "")</f>
        <v/>
      </c>
      <c r="AC132" s="11">
        <f>IF(INT(R132/20)&gt;INT(R131/20), "Lần " &amp; INT(R132/20), "")</f>
        <v/>
      </c>
      <c r="AD132" s="11">
        <f>IF(INT(S132/20)&gt;INT(S131/20), "Lần " &amp; INT(S132/20), "")</f>
        <v/>
      </c>
      <c r="AE132" s="11">
        <f>IF(INT(T132/20)&gt;INT(T131/20), "Lần " &amp; INT(T132/20), "")</f>
        <v/>
      </c>
      <c r="AF132" s="11">
        <f>IF(INT(U132/20)&gt;INT(U131/20), "Lần " &amp; INT(U132/20), "")</f>
        <v/>
      </c>
      <c r="AG132" s="11">
        <f>IF(INT(V132/20)&gt;INT(V131/20), "Lần " &amp; INT(V132/20), "")</f>
        <v/>
      </c>
      <c r="AH132" s="11">
        <f>IF(INT(W132/20)&gt;INT(W131/20), "Lần " &amp; INT(W132/20), "")</f>
        <v/>
      </c>
      <c r="AI132" s="11">
        <f>IF(INT(X132/20)&gt;INT(X131/20), "Lần " &amp; INT(X132/20), "")</f>
        <v/>
      </c>
      <c r="AJ132" s="11">
        <f>IF(INT(Y132/20)&gt;INT(Y131/20), "Lần " &amp; INT(Y132/20), "")</f>
        <v/>
      </c>
      <c r="AK132" s="11">
        <f>IF(INT(Z132/20)&gt;INT(Z131/20), "Lần " &amp; INT(Z132/20), "")</f>
        <v/>
      </c>
      <c r="AL132" s="6" t="inlineStr">
        <is>
          <t>ĐẠT TCVN 1651:2018</t>
        </is>
      </c>
    </row>
    <row r="133" ht="19" customHeight="1">
      <c r="A133" s="6" t="n">
        <v>121</v>
      </c>
      <c r="B133" s="7" t="inlineStr">
        <is>
          <t>Cọc khoan nhồi C6 Trụ T1 (D1.2m, L=40.0m)</t>
        </is>
      </c>
      <c r="C133" s="7" t="inlineStr">
        <is>
          <t>Thép đai xoắn lồng cọc</t>
        </is>
      </c>
      <c r="D133" s="18" t="inlineStr">
        <is>
          <t>P1C</t>
        </is>
      </c>
      <c r="E133" s="19" t="n">
        <v>10</v>
      </c>
      <c r="F133" s="6" t="inlineStr">
        <is>
          <t>CB240-T</t>
        </is>
      </c>
      <c r="G133" s="7" t="inlineStr">
        <is>
          <t>Đai xoắn tròn</t>
        </is>
      </c>
      <c r="H133" s="20" t="n">
        <v>3.592</v>
      </c>
      <c r="I133" s="21" t="n">
        <v>2</v>
      </c>
      <c r="J133" s="22" t="n">
        <v>0.617</v>
      </c>
      <c r="K133" s="9">
        <f>ROUND(H133*I133*J133, 2)</f>
        <v/>
      </c>
      <c r="L133" s="23">
        <f>ROUND(K133/1000, 3)</f>
        <v/>
      </c>
      <c r="M133" s="8" t="n"/>
      <c r="N133" s="6" t="n"/>
      <c r="O133" s="24">
        <f>IF(AND(E133&lt;=10, F133&lt;&gt;"ASTM A416", INT(P133/20)&gt;INT(P132/20)), "TN Ø10 (Lần " &amp; INT(P133/20) &amp; ")", IF(AND(E133=12, INT(Q133/20)&gt;INT(Q132/20)), "TN Ø12 (Lần " &amp; INT(Q133/20) &amp; ")", IF(AND(E133=14, INT(R133/20)&gt;INT(R132/20)), "TN Ø14 (Lần " &amp; INT(R133/20) &amp; ")", IF(AND(E133=16, INT(S133/20)&gt;INT(S132/20)), "TN Ø16 (Lần " &amp; INT(S133/20) &amp; ")", IF(AND(E133=18, INT(T133/20)&gt;INT(T132/20)), "TN Ø18 (Lần " &amp; INT(T133/20) &amp; ")", IF(AND(E133=20, INT(U133/20)&gt;INT(U132/20)), "TN Ø20 (Lần " &amp; INT(U133/20) &amp; ")", IF(AND(E133=22, INT(V133/20)&gt;INT(V132/20)), "TN Ø22 (Lần " &amp; INT(V133/20) &amp; ")", IF(AND(E133=25, INT(W133/20)&gt;INT(W132/20)), "TN Ø25 (Lần " &amp; INT(W133/20) &amp; ")", IF(AND(E133=28, INT(X133/20)&gt;INT(X132/20)), "TN Ø28 (Lần " &amp; INT(X133/20) &amp; ")", IF(AND(E133=32, INT(Y133/20)&gt;INT(Y132/20)), "TN Ø32 (Lần " &amp; INT(Y133/20) &amp; ")", IF(AND(F133="ASTM A416", INT(Z133/20)&gt;INT(Z132/20)), "TN Cáp 15.2 (Lần " &amp; INT(Z133/20) &amp; ")", "")))))))))))</f>
        <v/>
      </c>
      <c r="P133" s="20">
        <f>ROUND(P132 + IF(AND(E133&lt;=10, F133&lt;&gt;"ASTM A416"), L133, 0), 3)</f>
        <v/>
      </c>
      <c r="Q133" s="20">
        <f>ROUND(Q132 + IF(AND(E133=12, F133&lt;&gt;"ASTM A416"), L133, 0), 3)</f>
        <v/>
      </c>
      <c r="R133" s="20">
        <f>ROUND(R132 + IF(AND(E133=14, F133&lt;&gt;"ASTM A416"), L133, 0), 3)</f>
        <v/>
      </c>
      <c r="S133" s="20">
        <f>ROUND(S132 + IF(AND(E133=16, F133&lt;&gt;"ASTM A416"), L133, 0), 3)</f>
        <v/>
      </c>
      <c r="T133" s="20">
        <f>ROUND(T132 + IF(AND(E133=18, F133&lt;&gt;"ASTM A416"), L133, 0), 3)</f>
        <v/>
      </c>
      <c r="U133" s="20">
        <f>ROUND(U132 + IF(AND(E133=20, F133&lt;&gt;"ASTM A416"), L133, 0), 3)</f>
        <v/>
      </c>
      <c r="V133" s="20">
        <f>ROUND(V132 + IF(AND(E133=22, F133&lt;&gt;"ASTM A416"), L133, 0), 3)</f>
        <v/>
      </c>
      <c r="W133" s="20">
        <f>ROUND(W132 + IF(AND(E133=25, F133&lt;&gt;"ASTM A416"), L133, 0), 3)</f>
        <v/>
      </c>
      <c r="X133" s="20">
        <f>ROUND(X132 + IF(AND(E133=28, F133&lt;&gt;"ASTM A416"), L133, 0), 3)</f>
        <v/>
      </c>
      <c r="Y133" s="20">
        <f>ROUND(Y132 + IF(AND(E133=32, F133&lt;&gt;"ASTM A416"), L133, 0), 3)</f>
        <v/>
      </c>
      <c r="Z133" s="20">
        <f>ROUND(Z132 + IF(F133="ASTM A416", L133, 0), 3)</f>
        <v/>
      </c>
      <c r="AA133" s="11">
        <f>IF(INT(P133/20)&gt;INT(P132/20), "Lần " &amp; INT(P133/20), "")</f>
        <v/>
      </c>
      <c r="AB133" s="11">
        <f>IF(INT(Q133/20)&gt;INT(Q132/20), "Lần " &amp; INT(Q133/20), "")</f>
        <v/>
      </c>
      <c r="AC133" s="11">
        <f>IF(INT(R133/20)&gt;INT(R132/20), "Lần " &amp; INT(R133/20), "")</f>
        <v/>
      </c>
      <c r="AD133" s="11">
        <f>IF(INT(S133/20)&gt;INT(S132/20), "Lần " &amp; INT(S133/20), "")</f>
        <v/>
      </c>
      <c r="AE133" s="11">
        <f>IF(INT(T133/20)&gt;INT(T132/20), "Lần " &amp; INT(T133/20), "")</f>
        <v/>
      </c>
      <c r="AF133" s="11">
        <f>IF(INT(U133/20)&gt;INT(U132/20), "Lần " &amp; INT(U133/20), "")</f>
        <v/>
      </c>
      <c r="AG133" s="11">
        <f>IF(INT(V133/20)&gt;INT(V132/20), "Lần " &amp; INT(V133/20), "")</f>
        <v/>
      </c>
      <c r="AH133" s="11">
        <f>IF(INT(W133/20)&gt;INT(W132/20), "Lần " &amp; INT(W133/20), "")</f>
        <v/>
      </c>
      <c r="AI133" s="11">
        <f>IF(INT(X133/20)&gt;INT(X132/20), "Lần " &amp; INT(X133/20), "")</f>
        <v/>
      </c>
      <c r="AJ133" s="11">
        <f>IF(INT(Y133/20)&gt;INT(Y132/20), "Lần " &amp; INT(Y133/20), "")</f>
        <v/>
      </c>
      <c r="AK133" s="11">
        <f>IF(INT(Z133/20)&gt;INT(Z132/20), "Lần " &amp; INT(Z133/20), "")</f>
        <v/>
      </c>
      <c r="AL133" s="6" t="inlineStr">
        <is>
          <t>ĐẠT TCVN 1651:2018</t>
        </is>
      </c>
    </row>
    <row r="134" ht="19" customHeight="1">
      <c r="A134" s="6" t="n">
        <v>122</v>
      </c>
      <c r="B134" s="7" t="inlineStr">
        <is>
          <t>Cọc khoan nhồi C6 Trụ T1 (D1.2m, L=40.0m)</t>
        </is>
      </c>
      <c r="C134" s="7" t="inlineStr">
        <is>
          <t>Thép đai xoắn lồng cọc</t>
        </is>
      </c>
      <c r="D134" s="18" t="inlineStr">
        <is>
          <t>P1D</t>
        </is>
      </c>
      <c r="E134" s="19" t="n">
        <v>10</v>
      </c>
      <c r="F134" s="6" t="inlineStr">
        <is>
          <t>CB240-T</t>
        </is>
      </c>
      <c r="G134" s="7" t="inlineStr">
        <is>
          <t>Đai xoắn tròn</t>
        </is>
      </c>
      <c r="H134" s="20" t="n">
        <v>19.721</v>
      </c>
      <c r="I134" s="21" t="n">
        <v>1</v>
      </c>
      <c r="J134" s="22" t="n">
        <v>0.617</v>
      </c>
      <c r="K134" s="9">
        <f>ROUND(H134*I134*J134, 2)</f>
        <v/>
      </c>
      <c r="L134" s="23">
        <f>ROUND(K134/1000, 3)</f>
        <v/>
      </c>
      <c r="M134" s="8" t="n"/>
      <c r="N134" s="6" t="n"/>
      <c r="O134" s="24">
        <f>IF(AND(E134&lt;=10, F134&lt;&gt;"ASTM A416", INT(P134/20)&gt;INT(P133/20)), "TN Ø10 (Lần " &amp; INT(P134/20) &amp; ")", IF(AND(E134=12, INT(Q134/20)&gt;INT(Q133/20)), "TN Ø12 (Lần " &amp; INT(Q134/20) &amp; ")", IF(AND(E134=14, INT(R134/20)&gt;INT(R133/20)), "TN Ø14 (Lần " &amp; INT(R134/20) &amp; ")", IF(AND(E134=16, INT(S134/20)&gt;INT(S133/20)), "TN Ø16 (Lần " &amp; INT(S134/20) &amp; ")", IF(AND(E134=18, INT(T134/20)&gt;INT(T133/20)), "TN Ø18 (Lần " &amp; INT(T134/20) &amp; ")", IF(AND(E134=20, INT(U134/20)&gt;INT(U133/20)), "TN Ø20 (Lần " &amp; INT(U134/20) &amp; ")", IF(AND(E134=22, INT(V134/20)&gt;INT(V133/20)), "TN Ø22 (Lần " &amp; INT(V134/20) &amp; ")", IF(AND(E134=25, INT(W134/20)&gt;INT(W133/20)), "TN Ø25 (Lần " &amp; INT(W134/20) &amp; ")", IF(AND(E134=28, INT(X134/20)&gt;INT(X133/20)), "TN Ø28 (Lần " &amp; INT(X134/20) &amp; ")", IF(AND(E134=32, INT(Y134/20)&gt;INT(Y133/20)), "TN Ø32 (Lần " &amp; INT(Y134/20) &amp; ")", IF(AND(F134="ASTM A416", INT(Z134/20)&gt;INT(Z133/20)), "TN Cáp 15.2 (Lần " &amp; INT(Z134/20) &amp; ")", "")))))))))))</f>
        <v/>
      </c>
      <c r="P134" s="20">
        <f>ROUND(P133 + IF(AND(E134&lt;=10, F134&lt;&gt;"ASTM A416"), L134, 0), 3)</f>
        <v/>
      </c>
      <c r="Q134" s="20">
        <f>ROUND(Q133 + IF(AND(E134=12, F134&lt;&gt;"ASTM A416"), L134, 0), 3)</f>
        <v/>
      </c>
      <c r="R134" s="20">
        <f>ROUND(R133 + IF(AND(E134=14, F134&lt;&gt;"ASTM A416"), L134, 0), 3)</f>
        <v/>
      </c>
      <c r="S134" s="20">
        <f>ROUND(S133 + IF(AND(E134=16, F134&lt;&gt;"ASTM A416"), L134, 0), 3)</f>
        <v/>
      </c>
      <c r="T134" s="20">
        <f>ROUND(T133 + IF(AND(E134=18, F134&lt;&gt;"ASTM A416"), L134, 0), 3)</f>
        <v/>
      </c>
      <c r="U134" s="20">
        <f>ROUND(U133 + IF(AND(E134=20, F134&lt;&gt;"ASTM A416"), L134, 0), 3)</f>
        <v/>
      </c>
      <c r="V134" s="20">
        <f>ROUND(V133 + IF(AND(E134=22, F134&lt;&gt;"ASTM A416"), L134, 0), 3)</f>
        <v/>
      </c>
      <c r="W134" s="20">
        <f>ROUND(W133 + IF(AND(E134=25, F134&lt;&gt;"ASTM A416"), L134, 0), 3)</f>
        <v/>
      </c>
      <c r="X134" s="20">
        <f>ROUND(X133 + IF(AND(E134=28, F134&lt;&gt;"ASTM A416"), L134, 0), 3)</f>
        <v/>
      </c>
      <c r="Y134" s="20">
        <f>ROUND(Y133 + IF(AND(E134=32, F134&lt;&gt;"ASTM A416"), L134, 0), 3)</f>
        <v/>
      </c>
      <c r="Z134" s="20">
        <f>ROUND(Z133 + IF(F134="ASTM A416", L134, 0), 3)</f>
        <v/>
      </c>
      <c r="AA134" s="11">
        <f>IF(INT(P134/20)&gt;INT(P133/20), "Lần " &amp; INT(P134/20), "")</f>
        <v/>
      </c>
      <c r="AB134" s="11">
        <f>IF(INT(Q134/20)&gt;INT(Q133/20), "Lần " &amp; INT(Q134/20), "")</f>
        <v/>
      </c>
      <c r="AC134" s="11">
        <f>IF(INT(R134/20)&gt;INT(R133/20), "Lần " &amp; INT(R134/20), "")</f>
        <v/>
      </c>
      <c r="AD134" s="11">
        <f>IF(INT(S134/20)&gt;INT(S133/20), "Lần " &amp; INT(S134/20), "")</f>
        <v/>
      </c>
      <c r="AE134" s="11">
        <f>IF(INT(T134/20)&gt;INT(T133/20), "Lần " &amp; INT(T134/20), "")</f>
        <v/>
      </c>
      <c r="AF134" s="11">
        <f>IF(INT(U134/20)&gt;INT(U133/20), "Lần " &amp; INT(U134/20), "")</f>
        <v/>
      </c>
      <c r="AG134" s="11">
        <f>IF(INT(V134/20)&gt;INT(V133/20), "Lần " &amp; INT(V134/20), "")</f>
        <v/>
      </c>
      <c r="AH134" s="11">
        <f>IF(INT(W134/20)&gt;INT(W133/20), "Lần " &amp; INT(W134/20), "")</f>
        <v/>
      </c>
      <c r="AI134" s="11">
        <f>IF(INT(X134/20)&gt;INT(X133/20), "Lần " &amp; INT(X134/20), "")</f>
        <v/>
      </c>
      <c r="AJ134" s="11">
        <f>IF(INT(Y134/20)&gt;INT(Y133/20), "Lần " &amp; INT(Y134/20), "")</f>
        <v/>
      </c>
      <c r="AK134" s="11">
        <f>IF(INT(Z134/20)&gt;INT(Z133/20), "Lần " &amp; INT(Z134/20), "")</f>
        <v/>
      </c>
      <c r="AL134" s="6" t="inlineStr">
        <is>
          <t>ĐẠT TCVN 1651:2018</t>
        </is>
      </c>
    </row>
    <row r="135" ht="19" customHeight="1">
      <c r="A135" s="6" t="n">
        <v>123</v>
      </c>
      <c r="B135" s="7" t="inlineStr">
        <is>
          <t>Cọc khoan nhồi C6 Trụ T1 (D1.2m, L=40.0m)</t>
        </is>
      </c>
      <c r="C135" s="7" t="inlineStr">
        <is>
          <t>Cốt thép chủ chịu lực cọc</t>
        </is>
      </c>
      <c r="D135" s="18" t="inlineStr">
        <is>
          <t>P2B</t>
        </is>
      </c>
      <c r="E135" s="19" t="n">
        <v>25</v>
      </c>
      <c r="F135" s="6" t="inlineStr">
        <is>
          <t>CB400-V</t>
        </is>
      </c>
      <c r="G135" s="7" t="inlineStr">
        <is>
          <t>Thanh thẳng nối ren/hàn</t>
        </is>
      </c>
      <c r="H135" s="20" t="n">
        <v>2.985</v>
      </c>
      <c r="I135" s="21" t="n">
        <v>16</v>
      </c>
      <c r="J135" s="22" t="n">
        <v>3.85</v>
      </c>
      <c r="K135" s="9">
        <f>ROUND(H135*I135*J135, 2)</f>
        <v/>
      </c>
      <c r="L135" s="23">
        <f>ROUND(K135/1000, 3)</f>
        <v/>
      </c>
      <c r="M135" s="8" t="n"/>
      <c r="N135" s="6" t="n"/>
      <c r="O135" s="24">
        <f>IF(AND(E135&lt;=10, F135&lt;&gt;"ASTM A416", INT(P135/20)&gt;INT(P134/20)), "TN Ø10 (Lần " &amp; INT(P135/20) &amp; ")", IF(AND(E135=12, INT(Q135/20)&gt;INT(Q134/20)), "TN Ø12 (Lần " &amp; INT(Q135/20) &amp; ")", IF(AND(E135=14, INT(R135/20)&gt;INT(R134/20)), "TN Ø14 (Lần " &amp; INT(R135/20) &amp; ")", IF(AND(E135=16, INT(S135/20)&gt;INT(S134/20)), "TN Ø16 (Lần " &amp; INT(S135/20) &amp; ")", IF(AND(E135=18, INT(T135/20)&gt;INT(T134/20)), "TN Ø18 (Lần " &amp; INT(T135/20) &amp; ")", IF(AND(E135=20, INT(U135/20)&gt;INT(U134/20)), "TN Ø20 (Lần " &amp; INT(U135/20) &amp; ")", IF(AND(E135=22, INT(V135/20)&gt;INT(V134/20)), "TN Ø22 (Lần " &amp; INT(V135/20) &amp; ")", IF(AND(E135=25, INT(W135/20)&gt;INT(W134/20)), "TN Ø25 (Lần " &amp; INT(W135/20) &amp; ")", IF(AND(E135=28, INT(X135/20)&gt;INT(X134/20)), "TN Ø28 (Lần " &amp; INT(X135/20) &amp; ")", IF(AND(E135=32, INT(Y135/20)&gt;INT(Y134/20)), "TN Ø32 (Lần " &amp; INT(Y135/20) &amp; ")", IF(AND(F135="ASTM A416", INT(Z135/20)&gt;INT(Z134/20)), "TN Cáp 15.2 (Lần " &amp; INT(Z135/20) &amp; ")", "")))))))))))</f>
        <v/>
      </c>
      <c r="P135" s="20">
        <f>ROUND(P134 + IF(AND(E135&lt;=10, F135&lt;&gt;"ASTM A416"), L135, 0), 3)</f>
        <v/>
      </c>
      <c r="Q135" s="20">
        <f>ROUND(Q134 + IF(AND(E135=12, F135&lt;&gt;"ASTM A416"), L135, 0), 3)</f>
        <v/>
      </c>
      <c r="R135" s="20">
        <f>ROUND(R134 + IF(AND(E135=14, F135&lt;&gt;"ASTM A416"), L135, 0), 3)</f>
        <v/>
      </c>
      <c r="S135" s="20">
        <f>ROUND(S134 + IF(AND(E135=16, F135&lt;&gt;"ASTM A416"), L135, 0), 3)</f>
        <v/>
      </c>
      <c r="T135" s="20">
        <f>ROUND(T134 + IF(AND(E135=18, F135&lt;&gt;"ASTM A416"), L135, 0), 3)</f>
        <v/>
      </c>
      <c r="U135" s="20">
        <f>ROUND(U134 + IF(AND(E135=20, F135&lt;&gt;"ASTM A416"), L135, 0), 3)</f>
        <v/>
      </c>
      <c r="V135" s="20">
        <f>ROUND(V134 + IF(AND(E135=22, F135&lt;&gt;"ASTM A416"), L135, 0), 3)</f>
        <v/>
      </c>
      <c r="W135" s="20">
        <f>ROUND(W134 + IF(AND(E135=25, F135&lt;&gt;"ASTM A416"), L135, 0), 3)</f>
        <v/>
      </c>
      <c r="X135" s="20">
        <f>ROUND(X134 + IF(AND(E135=28, F135&lt;&gt;"ASTM A416"), L135, 0), 3)</f>
        <v/>
      </c>
      <c r="Y135" s="20">
        <f>ROUND(Y134 + IF(AND(E135=32, F135&lt;&gt;"ASTM A416"), L135, 0), 3)</f>
        <v/>
      </c>
      <c r="Z135" s="20">
        <f>ROUND(Z134 + IF(F135="ASTM A416", L135, 0), 3)</f>
        <v/>
      </c>
      <c r="AA135" s="11">
        <f>IF(INT(P135/20)&gt;INT(P134/20), "Lần " &amp; INT(P135/20), "")</f>
        <v/>
      </c>
      <c r="AB135" s="11">
        <f>IF(INT(Q135/20)&gt;INT(Q134/20), "Lần " &amp; INT(Q135/20), "")</f>
        <v/>
      </c>
      <c r="AC135" s="11">
        <f>IF(INT(R135/20)&gt;INT(R134/20), "Lần " &amp; INT(R135/20), "")</f>
        <v/>
      </c>
      <c r="AD135" s="11">
        <f>IF(INT(S135/20)&gt;INT(S134/20), "Lần " &amp; INT(S135/20), "")</f>
        <v/>
      </c>
      <c r="AE135" s="11">
        <f>IF(INT(T135/20)&gt;INT(T134/20), "Lần " &amp; INT(T135/20), "")</f>
        <v/>
      </c>
      <c r="AF135" s="11">
        <f>IF(INT(U135/20)&gt;INT(U134/20), "Lần " &amp; INT(U135/20), "")</f>
        <v/>
      </c>
      <c r="AG135" s="11">
        <f>IF(INT(V135/20)&gt;INT(V134/20), "Lần " &amp; INT(V135/20), "")</f>
        <v/>
      </c>
      <c r="AH135" s="11">
        <f>IF(INT(W135/20)&gt;INT(W134/20), "Lần " &amp; INT(W135/20), "")</f>
        <v/>
      </c>
      <c r="AI135" s="11">
        <f>IF(INT(X135/20)&gt;INT(X134/20), "Lần " &amp; INT(X135/20), "")</f>
        <v/>
      </c>
      <c r="AJ135" s="11">
        <f>IF(INT(Y135/20)&gt;INT(Y134/20), "Lần " &amp; INT(Y135/20), "")</f>
        <v/>
      </c>
      <c r="AK135" s="11">
        <f>IF(INT(Z135/20)&gt;INT(Z134/20), "Lần " &amp; INT(Z135/20), "")</f>
        <v/>
      </c>
      <c r="AL135" s="6" t="inlineStr">
        <is>
          <t>ĐẠT TCVN 1651:2018</t>
        </is>
      </c>
    </row>
    <row r="136" ht="19" customHeight="1">
      <c r="A136" s="6" t="n">
        <v>124</v>
      </c>
      <c r="B136" s="7" t="inlineStr">
        <is>
          <t>Cọc khoan nhồi C6 Trụ T1 (D1.2m, L=40.0m)</t>
        </is>
      </c>
      <c r="C136" s="7" t="inlineStr">
        <is>
          <t>Cốt thép chủ chịu lực cọc</t>
        </is>
      </c>
      <c r="D136" s="18" t="inlineStr">
        <is>
          <t>P3</t>
        </is>
      </c>
      <c r="E136" s="19" t="n">
        <v>25</v>
      </c>
      <c r="F136" s="6" t="inlineStr">
        <is>
          <t>CB400-V</t>
        </is>
      </c>
      <c r="G136" s="7" t="inlineStr">
        <is>
          <t>Thanh thẳng nối ren/hàn</t>
        </is>
      </c>
      <c r="H136" s="20" t="n">
        <v>10.7</v>
      </c>
      <c r="I136" s="21" t="n">
        <v>12</v>
      </c>
      <c r="J136" s="22" t="n">
        <v>3.85</v>
      </c>
      <c r="K136" s="9">
        <f>ROUND(H136*I136*J136, 2)</f>
        <v/>
      </c>
      <c r="L136" s="23">
        <f>ROUND(K136/1000, 3)</f>
        <v/>
      </c>
      <c r="M136" s="8" t="n"/>
      <c r="N136" s="6" t="n"/>
      <c r="O136" s="24">
        <f>IF(AND(E136&lt;=10, F136&lt;&gt;"ASTM A416", INT(P136/20)&gt;INT(P135/20)), "TN Ø10 (Lần " &amp; INT(P136/20) &amp; ")", IF(AND(E136=12, INT(Q136/20)&gt;INT(Q135/20)), "TN Ø12 (Lần " &amp; INT(Q136/20) &amp; ")", IF(AND(E136=14, INT(R136/20)&gt;INT(R135/20)), "TN Ø14 (Lần " &amp; INT(R136/20) &amp; ")", IF(AND(E136=16, INT(S136/20)&gt;INT(S135/20)), "TN Ø16 (Lần " &amp; INT(S136/20) &amp; ")", IF(AND(E136=18, INT(T136/20)&gt;INT(T135/20)), "TN Ø18 (Lần " &amp; INT(T136/20) &amp; ")", IF(AND(E136=20, INT(U136/20)&gt;INT(U135/20)), "TN Ø20 (Lần " &amp; INT(U136/20) &amp; ")", IF(AND(E136=22, INT(V136/20)&gt;INT(V135/20)), "TN Ø22 (Lần " &amp; INT(V136/20) &amp; ")", IF(AND(E136=25, INT(W136/20)&gt;INT(W135/20)), "TN Ø25 (Lần " &amp; INT(W136/20) &amp; ")", IF(AND(E136=28, INT(X136/20)&gt;INT(X135/20)), "TN Ø28 (Lần " &amp; INT(X136/20) &amp; ")", IF(AND(E136=32, INT(Y136/20)&gt;INT(Y135/20)), "TN Ø32 (Lần " &amp; INT(Y136/20) &amp; ")", IF(AND(F136="ASTM A416", INT(Z136/20)&gt;INT(Z135/20)), "TN Cáp 15.2 (Lần " &amp; INT(Z136/20) &amp; ")", "")))))))))))</f>
        <v/>
      </c>
      <c r="P136" s="20">
        <f>ROUND(P135 + IF(AND(E136&lt;=10, F136&lt;&gt;"ASTM A416"), L136, 0), 3)</f>
        <v/>
      </c>
      <c r="Q136" s="20">
        <f>ROUND(Q135 + IF(AND(E136=12, F136&lt;&gt;"ASTM A416"), L136, 0), 3)</f>
        <v/>
      </c>
      <c r="R136" s="20">
        <f>ROUND(R135 + IF(AND(E136=14, F136&lt;&gt;"ASTM A416"), L136, 0), 3)</f>
        <v/>
      </c>
      <c r="S136" s="20">
        <f>ROUND(S135 + IF(AND(E136=16, F136&lt;&gt;"ASTM A416"), L136, 0), 3)</f>
        <v/>
      </c>
      <c r="T136" s="20">
        <f>ROUND(T135 + IF(AND(E136=18, F136&lt;&gt;"ASTM A416"), L136, 0), 3)</f>
        <v/>
      </c>
      <c r="U136" s="20">
        <f>ROUND(U135 + IF(AND(E136=20, F136&lt;&gt;"ASTM A416"), L136, 0), 3)</f>
        <v/>
      </c>
      <c r="V136" s="20">
        <f>ROUND(V135 + IF(AND(E136=22, F136&lt;&gt;"ASTM A416"), L136, 0), 3)</f>
        <v/>
      </c>
      <c r="W136" s="20">
        <f>ROUND(W135 + IF(AND(E136=25, F136&lt;&gt;"ASTM A416"), L136, 0), 3)</f>
        <v/>
      </c>
      <c r="X136" s="20">
        <f>ROUND(X135 + IF(AND(E136=28, F136&lt;&gt;"ASTM A416"), L136, 0), 3)</f>
        <v/>
      </c>
      <c r="Y136" s="20">
        <f>ROUND(Y135 + IF(AND(E136=32, F136&lt;&gt;"ASTM A416"), L136, 0), 3)</f>
        <v/>
      </c>
      <c r="Z136" s="20">
        <f>ROUND(Z135 + IF(F136="ASTM A416", L136, 0), 3)</f>
        <v/>
      </c>
      <c r="AA136" s="11">
        <f>IF(INT(P136/20)&gt;INT(P135/20), "Lần " &amp; INT(P136/20), "")</f>
        <v/>
      </c>
      <c r="AB136" s="11">
        <f>IF(INT(Q136/20)&gt;INT(Q135/20), "Lần " &amp; INT(Q136/20), "")</f>
        <v/>
      </c>
      <c r="AC136" s="11">
        <f>IF(INT(R136/20)&gt;INT(R135/20), "Lần " &amp; INT(R136/20), "")</f>
        <v/>
      </c>
      <c r="AD136" s="11">
        <f>IF(INT(S136/20)&gt;INT(S135/20), "Lần " &amp; INT(S136/20), "")</f>
        <v/>
      </c>
      <c r="AE136" s="11">
        <f>IF(INT(T136/20)&gt;INT(T135/20), "Lần " &amp; INT(T136/20), "")</f>
        <v/>
      </c>
      <c r="AF136" s="11">
        <f>IF(INT(U136/20)&gt;INT(U135/20), "Lần " &amp; INT(U136/20), "")</f>
        <v/>
      </c>
      <c r="AG136" s="11">
        <f>IF(INT(V136/20)&gt;INT(V135/20), "Lần " &amp; INT(V136/20), "")</f>
        <v/>
      </c>
      <c r="AH136" s="11">
        <f>IF(INT(W136/20)&gt;INT(W135/20), "Lần " &amp; INT(W136/20), "")</f>
        <v/>
      </c>
      <c r="AI136" s="11">
        <f>IF(INT(X136/20)&gt;INT(X135/20), "Lần " &amp; INT(X136/20), "")</f>
        <v/>
      </c>
      <c r="AJ136" s="11">
        <f>IF(INT(Y136/20)&gt;INT(Y135/20), "Lần " &amp; INT(Y136/20), "")</f>
        <v/>
      </c>
      <c r="AK136" s="11">
        <f>IF(INT(Z136/20)&gt;INT(Z135/20), "Lần " &amp; INT(Z136/20), "")</f>
        <v/>
      </c>
      <c r="AL136" s="6" t="inlineStr">
        <is>
          <t>ĐẠT TCVN 1651:2018</t>
        </is>
      </c>
    </row>
    <row r="137" ht="19" customHeight="1">
      <c r="A137" s="6" t="n">
        <v>125</v>
      </c>
      <c r="B137" s="7" t="inlineStr">
        <is>
          <t>Cọc khoan nhồi C6 Trụ T1 (D1.2m, L=40.0m)</t>
        </is>
      </c>
      <c r="C137" s="7" t="inlineStr">
        <is>
          <t>Cốt thép chủ chịu lực cọc</t>
        </is>
      </c>
      <c r="D137" s="18" t="inlineStr">
        <is>
          <t>P4</t>
        </is>
      </c>
      <c r="E137" s="19" t="n">
        <v>25</v>
      </c>
      <c r="F137" s="6" t="inlineStr">
        <is>
          <t>CB400-V</t>
        </is>
      </c>
      <c r="G137" s="7" t="inlineStr">
        <is>
          <t>Thanh thẳng nối ren/hàn</t>
        </is>
      </c>
      <c r="H137" s="20" t="n">
        <v>11.7</v>
      </c>
      <c r="I137" s="21" t="n">
        <v>60</v>
      </c>
      <c r="J137" s="22" t="n">
        <v>3.85</v>
      </c>
      <c r="K137" s="9">
        <f>ROUND(H137*I137*J137, 2)</f>
        <v/>
      </c>
      <c r="L137" s="23">
        <f>ROUND(K137/1000, 3)</f>
        <v/>
      </c>
      <c r="M137" s="8" t="n"/>
      <c r="N137" s="6" t="n"/>
      <c r="O137" s="24">
        <f>IF(AND(E137&lt;=10, F137&lt;&gt;"ASTM A416", INT(P137/20)&gt;INT(P136/20)), "TN Ø10 (Lần " &amp; INT(P137/20) &amp; ")", IF(AND(E137=12, INT(Q137/20)&gt;INT(Q136/20)), "TN Ø12 (Lần " &amp; INT(Q137/20) &amp; ")", IF(AND(E137=14, INT(R137/20)&gt;INT(R136/20)), "TN Ø14 (Lần " &amp; INT(R137/20) &amp; ")", IF(AND(E137=16, INT(S137/20)&gt;INT(S136/20)), "TN Ø16 (Lần " &amp; INT(S137/20) &amp; ")", IF(AND(E137=18, INT(T137/20)&gt;INT(T136/20)), "TN Ø18 (Lần " &amp; INT(T137/20) &amp; ")", IF(AND(E137=20, INT(U137/20)&gt;INT(U136/20)), "TN Ø20 (Lần " &amp; INT(U137/20) &amp; ")", IF(AND(E137=22, INT(V137/20)&gt;INT(V136/20)), "TN Ø22 (Lần " &amp; INT(V137/20) &amp; ")", IF(AND(E137=25, INT(W137/20)&gt;INT(W136/20)), "TN Ø25 (Lần " &amp; INT(W137/20) &amp; ")", IF(AND(E137=28, INT(X137/20)&gt;INT(X136/20)), "TN Ø28 (Lần " &amp; INT(X137/20) &amp; ")", IF(AND(E137=32, INT(Y137/20)&gt;INT(Y136/20)), "TN Ø32 (Lần " &amp; INT(Y137/20) &amp; ")", IF(AND(F137="ASTM A416", INT(Z137/20)&gt;INT(Z136/20)), "TN Cáp 15.2 (Lần " &amp; INT(Z137/20) &amp; ")", "")))))))))))</f>
        <v/>
      </c>
      <c r="P137" s="20">
        <f>ROUND(P136 + IF(AND(E137&lt;=10, F137&lt;&gt;"ASTM A416"), L137, 0), 3)</f>
        <v/>
      </c>
      <c r="Q137" s="20">
        <f>ROUND(Q136 + IF(AND(E137=12, F137&lt;&gt;"ASTM A416"), L137, 0), 3)</f>
        <v/>
      </c>
      <c r="R137" s="20">
        <f>ROUND(R136 + IF(AND(E137=14, F137&lt;&gt;"ASTM A416"), L137, 0), 3)</f>
        <v/>
      </c>
      <c r="S137" s="20">
        <f>ROUND(S136 + IF(AND(E137=16, F137&lt;&gt;"ASTM A416"), L137, 0), 3)</f>
        <v/>
      </c>
      <c r="T137" s="20">
        <f>ROUND(T136 + IF(AND(E137=18, F137&lt;&gt;"ASTM A416"), L137, 0), 3)</f>
        <v/>
      </c>
      <c r="U137" s="20">
        <f>ROUND(U136 + IF(AND(E137=20, F137&lt;&gt;"ASTM A416"), L137, 0), 3)</f>
        <v/>
      </c>
      <c r="V137" s="20">
        <f>ROUND(V136 + IF(AND(E137=22, F137&lt;&gt;"ASTM A416"), L137, 0), 3)</f>
        <v/>
      </c>
      <c r="W137" s="20">
        <f>ROUND(W136 + IF(AND(E137=25, F137&lt;&gt;"ASTM A416"), L137, 0), 3)</f>
        <v/>
      </c>
      <c r="X137" s="20">
        <f>ROUND(X136 + IF(AND(E137=28, F137&lt;&gt;"ASTM A416"), L137, 0), 3)</f>
        <v/>
      </c>
      <c r="Y137" s="20">
        <f>ROUND(Y136 + IF(AND(E137=32, F137&lt;&gt;"ASTM A416"), L137, 0), 3)</f>
        <v/>
      </c>
      <c r="Z137" s="20">
        <f>ROUND(Z136 + IF(F137="ASTM A416", L137, 0), 3)</f>
        <v/>
      </c>
      <c r="AA137" s="11">
        <f>IF(INT(P137/20)&gt;INT(P136/20), "Lần " &amp; INT(P137/20), "")</f>
        <v/>
      </c>
      <c r="AB137" s="11">
        <f>IF(INT(Q137/20)&gt;INT(Q136/20), "Lần " &amp; INT(Q137/20), "")</f>
        <v/>
      </c>
      <c r="AC137" s="11">
        <f>IF(INT(R137/20)&gt;INT(R136/20), "Lần " &amp; INT(R137/20), "")</f>
        <v/>
      </c>
      <c r="AD137" s="11">
        <f>IF(INT(S137/20)&gt;INT(S136/20), "Lần " &amp; INT(S137/20), "")</f>
        <v/>
      </c>
      <c r="AE137" s="11">
        <f>IF(INT(T137/20)&gt;INT(T136/20), "Lần " &amp; INT(T137/20), "")</f>
        <v/>
      </c>
      <c r="AF137" s="11">
        <f>IF(INT(U137/20)&gt;INT(U136/20), "Lần " &amp; INT(U137/20), "")</f>
        <v/>
      </c>
      <c r="AG137" s="11">
        <f>IF(INT(V137/20)&gt;INT(V136/20), "Lần " &amp; INT(V137/20), "")</f>
        <v/>
      </c>
      <c r="AH137" s="11">
        <f>IF(INT(W137/20)&gt;INT(W136/20), "Lần " &amp; INT(W137/20), "")</f>
        <v/>
      </c>
      <c r="AI137" s="11">
        <f>IF(INT(X137/20)&gt;INT(X136/20), "Lần " &amp; INT(X137/20), "")</f>
        <v/>
      </c>
      <c r="AJ137" s="11">
        <f>IF(INT(Y137/20)&gt;INT(Y136/20), "Lần " &amp; INT(Y137/20), "")</f>
        <v/>
      </c>
      <c r="AK137" s="11">
        <f>IF(INT(Z137/20)&gt;INT(Z136/20), "Lần " &amp; INT(Z137/20), "")</f>
        <v/>
      </c>
      <c r="AL137" s="6" t="inlineStr">
        <is>
          <t>ĐẠT TCVN 1651:2018</t>
        </is>
      </c>
    </row>
    <row r="138" ht="19" customHeight="1">
      <c r="A138" s="6" t="n">
        <v>126</v>
      </c>
      <c r="B138" s="7" t="inlineStr">
        <is>
          <t>Cọc khoan nhồi C6 Trụ T1 (D1.2m, L=40.0m)</t>
        </is>
      </c>
      <c r="C138" s="7" t="inlineStr">
        <is>
          <t>Cốt thép chủ chịu lực cọc</t>
        </is>
      </c>
      <c r="D138" s="18" t="inlineStr">
        <is>
          <t>P6</t>
        </is>
      </c>
      <c r="E138" s="19" t="n">
        <v>25</v>
      </c>
      <c r="F138" s="6" t="inlineStr">
        <is>
          <t>CB400-V</t>
        </is>
      </c>
      <c r="G138" s="7" t="inlineStr">
        <is>
          <t>Thanh thẳng nối ren/hàn</t>
        </is>
      </c>
      <c r="H138" s="20" t="n">
        <v>9.032999999999999</v>
      </c>
      <c r="I138" s="21" t="n">
        <v>12</v>
      </c>
      <c r="J138" s="22" t="n">
        <v>3.85</v>
      </c>
      <c r="K138" s="9">
        <f>ROUND(H138*I138*J138, 2)</f>
        <v/>
      </c>
      <c r="L138" s="23">
        <f>ROUND(K138/1000, 3)</f>
        <v/>
      </c>
      <c r="M138" s="8" t="n"/>
      <c r="N138" s="6" t="n"/>
      <c r="O138" s="24">
        <f>IF(AND(E138&lt;=10, F138&lt;&gt;"ASTM A416", INT(P138/20)&gt;INT(P137/20)), "TN Ø10 (Lần " &amp; INT(P138/20) &amp; ")", IF(AND(E138=12, INT(Q138/20)&gt;INT(Q137/20)), "TN Ø12 (Lần " &amp; INT(Q138/20) &amp; ")", IF(AND(E138=14, INT(R138/20)&gt;INT(R137/20)), "TN Ø14 (Lần " &amp; INT(R138/20) &amp; ")", IF(AND(E138=16, INT(S138/20)&gt;INT(S137/20)), "TN Ø16 (Lần " &amp; INT(S138/20) &amp; ")", IF(AND(E138=18, INT(T138/20)&gt;INT(T137/20)), "TN Ø18 (Lần " &amp; INT(T138/20) &amp; ")", IF(AND(E138=20, INT(U138/20)&gt;INT(U137/20)), "TN Ø20 (Lần " &amp; INT(U138/20) &amp; ")", IF(AND(E138=22, INT(V138/20)&gt;INT(V137/20)), "TN Ø22 (Lần " &amp; INT(V138/20) &amp; ")", IF(AND(E138=25, INT(W138/20)&gt;INT(W137/20)), "TN Ø25 (Lần " &amp; INT(W138/20) &amp; ")", IF(AND(E138=28, INT(X138/20)&gt;INT(X137/20)), "TN Ø28 (Lần " &amp; INT(X138/20) &amp; ")", IF(AND(E138=32, INT(Y138/20)&gt;INT(Y137/20)), "TN Ø32 (Lần " &amp; INT(Y138/20) &amp; ")", IF(AND(F138="ASTM A416", INT(Z138/20)&gt;INT(Z137/20)), "TN Cáp 15.2 (Lần " &amp; INT(Z138/20) &amp; ")", "")))))))))))</f>
        <v/>
      </c>
      <c r="P138" s="20">
        <f>ROUND(P137 + IF(AND(E138&lt;=10, F138&lt;&gt;"ASTM A416"), L138, 0), 3)</f>
        <v/>
      </c>
      <c r="Q138" s="20">
        <f>ROUND(Q137 + IF(AND(E138=12, F138&lt;&gt;"ASTM A416"), L138, 0), 3)</f>
        <v/>
      </c>
      <c r="R138" s="20">
        <f>ROUND(R137 + IF(AND(E138=14, F138&lt;&gt;"ASTM A416"), L138, 0), 3)</f>
        <v/>
      </c>
      <c r="S138" s="20">
        <f>ROUND(S137 + IF(AND(E138=16, F138&lt;&gt;"ASTM A416"), L138, 0), 3)</f>
        <v/>
      </c>
      <c r="T138" s="20">
        <f>ROUND(T137 + IF(AND(E138=18, F138&lt;&gt;"ASTM A416"), L138, 0), 3)</f>
        <v/>
      </c>
      <c r="U138" s="20">
        <f>ROUND(U137 + IF(AND(E138=20, F138&lt;&gt;"ASTM A416"), L138, 0), 3)</f>
        <v/>
      </c>
      <c r="V138" s="20">
        <f>ROUND(V137 + IF(AND(E138=22, F138&lt;&gt;"ASTM A416"), L138, 0), 3)</f>
        <v/>
      </c>
      <c r="W138" s="20">
        <f>ROUND(W137 + IF(AND(E138=25, F138&lt;&gt;"ASTM A416"), L138, 0), 3)</f>
        <v/>
      </c>
      <c r="X138" s="20">
        <f>ROUND(X137 + IF(AND(E138=28, F138&lt;&gt;"ASTM A416"), L138, 0), 3)</f>
        <v/>
      </c>
      <c r="Y138" s="20">
        <f>ROUND(Y137 + IF(AND(E138=32, F138&lt;&gt;"ASTM A416"), L138, 0), 3)</f>
        <v/>
      </c>
      <c r="Z138" s="20">
        <f>ROUND(Z137 + IF(F138="ASTM A416", L138, 0), 3)</f>
        <v/>
      </c>
      <c r="AA138" s="11">
        <f>IF(INT(P138/20)&gt;INT(P137/20), "Lần " &amp; INT(P138/20), "")</f>
        <v/>
      </c>
      <c r="AB138" s="11">
        <f>IF(INT(Q138/20)&gt;INT(Q137/20), "Lần " &amp; INT(Q138/20), "")</f>
        <v/>
      </c>
      <c r="AC138" s="11">
        <f>IF(INT(R138/20)&gt;INT(R137/20), "Lần " &amp; INT(R138/20), "")</f>
        <v/>
      </c>
      <c r="AD138" s="11">
        <f>IF(INT(S138/20)&gt;INT(S137/20), "Lần " &amp; INT(S138/20), "")</f>
        <v/>
      </c>
      <c r="AE138" s="11">
        <f>IF(INT(T138/20)&gt;INT(T137/20), "Lần " &amp; INT(T138/20), "")</f>
        <v/>
      </c>
      <c r="AF138" s="11">
        <f>IF(INT(U138/20)&gt;INT(U137/20), "Lần " &amp; INT(U138/20), "")</f>
        <v/>
      </c>
      <c r="AG138" s="11">
        <f>IF(INT(V138/20)&gt;INT(V137/20), "Lần " &amp; INT(V138/20), "")</f>
        <v/>
      </c>
      <c r="AH138" s="11">
        <f>IF(INT(W138/20)&gt;INT(W137/20), "Lần " &amp; INT(W138/20), "")</f>
        <v/>
      </c>
      <c r="AI138" s="11">
        <f>IF(INT(X138/20)&gt;INT(X137/20), "Lần " &amp; INT(X138/20), "")</f>
        <v/>
      </c>
      <c r="AJ138" s="11">
        <f>IF(INT(Y138/20)&gt;INT(Y137/20), "Lần " &amp; INT(Y138/20), "")</f>
        <v/>
      </c>
      <c r="AK138" s="11">
        <f>IF(INT(Z138/20)&gt;INT(Z137/20), "Lần " &amp; INT(Z138/20), "")</f>
        <v/>
      </c>
      <c r="AL138" s="6" t="inlineStr">
        <is>
          <t>ĐẠT TCVN 1651:2018</t>
        </is>
      </c>
    </row>
    <row r="139" ht="19" customHeight="1">
      <c r="A139" s="6" t="n">
        <v>127</v>
      </c>
      <c r="B139" s="7" t="inlineStr">
        <is>
          <t>Cọc khoan nhồi C6 Trụ T1 (D1.2m, L=40.0m)</t>
        </is>
      </c>
      <c r="C139" s="7" t="inlineStr">
        <is>
          <t>Cốt thép chủ chịu lực cọc</t>
        </is>
      </c>
      <c r="D139" s="18" t="inlineStr">
        <is>
          <t>P7</t>
        </is>
      </c>
      <c r="E139" s="19" t="n">
        <v>25</v>
      </c>
      <c r="F139" s="6" t="inlineStr">
        <is>
          <t>CB400-V</t>
        </is>
      </c>
      <c r="G139" s="7" t="inlineStr">
        <is>
          <t>Thanh thẳng nối ren/hàn</t>
        </is>
      </c>
      <c r="H139" s="20" t="n">
        <v>10.033</v>
      </c>
      <c r="I139" s="21" t="n">
        <v>12</v>
      </c>
      <c r="J139" s="22" t="n">
        <v>3.85</v>
      </c>
      <c r="K139" s="9">
        <f>ROUND(H139*I139*J139, 2)</f>
        <v/>
      </c>
      <c r="L139" s="23">
        <f>ROUND(K139/1000, 3)</f>
        <v/>
      </c>
      <c r="M139" s="8" t="n"/>
      <c r="N139" s="6" t="n"/>
      <c r="O139" s="24">
        <f>IF(AND(E139&lt;=10, F139&lt;&gt;"ASTM A416", INT(P139/20)&gt;INT(P138/20)), "TN Ø10 (Lần " &amp; INT(P139/20) &amp; ")", IF(AND(E139=12, INT(Q139/20)&gt;INT(Q138/20)), "TN Ø12 (Lần " &amp; INT(Q139/20) &amp; ")", IF(AND(E139=14, INT(R139/20)&gt;INT(R138/20)), "TN Ø14 (Lần " &amp; INT(R139/20) &amp; ")", IF(AND(E139=16, INT(S139/20)&gt;INT(S138/20)), "TN Ø16 (Lần " &amp; INT(S139/20) &amp; ")", IF(AND(E139=18, INT(T139/20)&gt;INT(T138/20)), "TN Ø18 (Lần " &amp; INT(T139/20) &amp; ")", IF(AND(E139=20, INT(U139/20)&gt;INT(U138/20)), "TN Ø20 (Lần " &amp; INT(U139/20) &amp; ")", IF(AND(E139=22, INT(V139/20)&gt;INT(V138/20)), "TN Ø22 (Lần " &amp; INT(V139/20) &amp; ")", IF(AND(E139=25, INT(W139/20)&gt;INT(W138/20)), "TN Ø25 (Lần " &amp; INT(W139/20) &amp; ")", IF(AND(E139=28, INT(X139/20)&gt;INT(X138/20)), "TN Ø28 (Lần " &amp; INT(X139/20) &amp; ")", IF(AND(E139=32, INT(Y139/20)&gt;INT(Y138/20)), "TN Ø32 (Lần " &amp; INT(Y139/20) &amp; ")", IF(AND(F139="ASTM A416", INT(Z139/20)&gt;INT(Z138/20)), "TN Cáp 15.2 (Lần " &amp; INT(Z139/20) &amp; ")", "")))))))))))</f>
        <v/>
      </c>
      <c r="P139" s="20">
        <f>ROUND(P138 + IF(AND(E139&lt;=10, F139&lt;&gt;"ASTM A416"), L139, 0), 3)</f>
        <v/>
      </c>
      <c r="Q139" s="20">
        <f>ROUND(Q138 + IF(AND(E139=12, F139&lt;&gt;"ASTM A416"), L139, 0), 3)</f>
        <v/>
      </c>
      <c r="R139" s="20">
        <f>ROUND(R138 + IF(AND(E139=14, F139&lt;&gt;"ASTM A416"), L139, 0), 3)</f>
        <v/>
      </c>
      <c r="S139" s="20">
        <f>ROUND(S138 + IF(AND(E139=16, F139&lt;&gt;"ASTM A416"), L139, 0), 3)</f>
        <v/>
      </c>
      <c r="T139" s="20">
        <f>ROUND(T138 + IF(AND(E139=18, F139&lt;&gt;"ASTM A416"), L139, 0), 3)</f>
        <v/>
      </c>
      <c r="U139" s="20">
        <f>ROUND(U138 + IF(AND(E139=20, F139&lt;&gt;"ASTM A416"), L139, 0), 3)</f>
        <v/>
      </c>
      <c r="V139" s="20">
        <f>ROUND(V138 + IF(AND(E139=22, F139&lt;&gt;"ASTM A416"), L139, 0), 3)</f>
        <v/>
      </c>
      <c r="W139" s="20">
        <f>ROUND(W138 + IF(AND(E139=25, F139&lt;&gt;"ASTM A416"), L139, 0), 3)</f>
        <v/>
      </c>
      <c r="X139" s="20">
        <f>ROUND(X138 + IF(AND(E139=28, F139&lt;&gt;"ASTM A416"), L139, 0), 3)</f>
        <v/>
      </c>
      <c r="Y139" s="20">
        <f>ROUND(Y138 + IF(AND(E139=32, F139&lt;&gt;"ASTM A416"), L139, 0), 3)</f>
        <v/>
      </c>
      <c r="Z139" s="20">
        <f>ROUND(Z138 + IF(F139="ASTM A416", L139, 0), 3)</f>
        <v/>
      </c>
      <c r="AA139" s="11">
        <f>IF(INT(P139/20)&gt;INT(P138/20), "Lần " &amp; INT(P139/20), "")</f>
        <v/>
      </c>
      <c r="AB139" s="11">
        <f>IF(INT(Q139/20)&gt;INT(Q138/20), "Lần " &amp; INT(Q139/20), "")</f>
        <v/>
      </c>
      <c r="AC139" s="11">
        <f>IF(INT(R139/20)&gt;INT(R138/20), "Lần " &amp; INT(R139/20), "")</f>
        <v/>
      </c>
      <c r="AD139" s="11">
        <f>IF(INT(S139/20)&gt;INT(S138/20), "Lần " &amp; INT(S139/20), "")</f>
        <v/>
      </c>
      <c r="AE139" s="11">
        <f>IF(INT(T139/20)&gt;INT(T138/20), "Lần " &amp; INT(T139/20), "")</f>
        <v/>
      </c>
      <c r="AF139" s="11">
        <f>IF(INT(U139/20)&gt;INT(U138/20), "Lần " &amp; INT(U139/20), "")</f>
        <v/>
      </c>
      <c r="AG139" s="11">
        <f>IF(INT(V139/20)&gt;INT(V138/20), "Lần " &amp; INT(V139/20), "")</f>
        <v/>
      </c>
      <c r="AH139" s="11">
        <f>IF(INT(W139/20)&gt;INT(W138/20), "Lần " &amp; INT(W139/20), "")</f>
        <v/>
      </c>
      <c r="AI139" s="11">
        <f>IF(INT(X139/20)&gt;INT(X138/20), "Lần " &amp; INT(X139/20), "")</f>
        <v/>
      </c>
      <c r="AJ139" s="11">
        <f>IF(INT(Y139/20)&gt;INT(Y138/20), "Lần " &amp; INT(Y139/20), "")</f>
        <v/>
      </c>
      <c r="AK139" s="11">
        <f>IF(INT(Z139/20)&gt;INT(Z138/20), "Lần " &amp; INT(Z139/20), "")</f>
        <v/>
      </c>
      <c r="AL139" s="6" t="inlineStr">
        <is>
          <t>ĐẠT TCVN 1651:2018</t>
        </is>
      </c>
    </row>
    <row r="140" ht="19" customHeight="1">
      <c r="A140" s="6" t="n">
        <v>128</v>
      </c>
      <c r="B140" s="7" t="inlineStr">
        <is>
          <t>Cọc khoan nhồi C6 Trụ T1 (D1.2m, L=40.0m)</t>
        </is>
      </c>
      <c r="C140" s="7" t="inlineStr">
        <is>
          <t>Đai tăng cường / Con kê bảo vệ</t>
        </is>
      </c>
      <c r="D140" s="18" t="inlineStr">
        <is>
          <t>P8</t>
        </is>
      </c>
      <c r="E140" s="19" t="n">
        <v>12</v>
      </c>
      <c r="F140" s="6" t="inlineStr">
        <is>
          <t>CB400-V</t>
        </is>
      </c>
      <c r="G140" s="7" t="inlineStr">
        <is>
          <t>Móc neo / Vòng đai</t>
        </is>
      </c>
      <c r="H140" s="20" t="n">
        <v>0.647</v>
      </c>
      <c r="I140" s="21" t="n">
        <v>16</v>
      </c>
      <c r="J140" s="22" t="n">
        <v>0.888</v>
      </c>
      <c r="K140" s="9">
        <f>ROUND(H140*I140*J140, 2)</f>
        <v/>
      </c>
      <c r="L140" s="23">
        <f>ROUND(K140/1000, 3)</f>
        <v/>
      </c>
      <c r="M140" s="8" t="n"/>
      <c r="N140" s="6" t="n"/>
      <c r="O140" s="24">
        <f>IF(AND(E140&lt;=10, F140&lt;&gt;"ASTM A416", INT(P140/20)&gt;INT(P139/20)), "TN Ø10 (Lần " &amp; INT(P140/20) &amp; ")", IF(AND(E140=12, INT(Q140/20)&gt;INT(Q139/20)), "TN Ø12 (Lần " &amp; INT(Q140/20) &amp; ")", IF(AND(E140=14, INT(R140/20)&gt;INT(R139/20)), "TN Ø14 (Lần " &amp; INT(R140/20) &amp; ")", IF(AND(E140=16, INT(S140/20)&gt;INT(S139/20)), "TN Ø16 (Lần " &amp; INT(S140/20) &amp; ")", IF(AND(E140=18, INT(T140/20)&gt;INT(T139/20)), "TN Ø18 (Lần " &amp; INT(T140/20) &amp; ")", IF(AND(E140=20, INT(U140/20)&gt;INT(U139/20)), "TN Ø20 (Lần " &amp; INT(U140/20) &amp; ")", IF(AND(E140=22, INT(V140/20)&gt;INT(V139/20)), "TN Ø22 (Lần " &amp; INT(V140/20) &amp; ")", IF(AND(E140=25, INT(W140/20)&gt;INT(W139/20)), "TN Ø25 (Lần " &amp; INT(W140/20) &amp; ")", IF(AND(E140=28, INT(X140/20)&gt;INT(X139/20)), "TN Ø28 (Lần " &amp; INT(X140/20) &amp; ")", IF(AND(E140=32, INT(Y140/20)&gt;INT(Y139/20)), "TN Ø32 (Lần " &amp; INT(Y140/20) &amp; ")", IF(AND(F140="ASTM A416", INT(Z140/20)&gt;INT(Z139/20)), "TN Cáp 15.2 (Lần " &amp; INT(Z140/20) &amp; ")", "")))))))))))</f>
        <v/>
      </c>
      <c r="P140" s="20">
        <f>ROUND(P139 + IF(AND(E140&lt;=10, F140&lt;&gt;"ASTM A416"), L140, 0), 3)</f>
        <v/>
      </c>
      <c r="Q140" s="20">
        <f>ROUND(Q139 + IF(AND(E140=12, F140&lt;&gt;"ASTM A416"), L140, 0), 3)</f>
        <v/>
      </c>
      <c r="R140" s="20">
        <f>ROUND(R139 + IF(AND(E140=14, F140&lt;&gt;"ASTM A416"), L140, 0), 3)</f>
        <v/>
      </c>
      <c r="S140" s="20">
        <f>ROUND(S139 + IF(AND(E140=16, F140&lt;&gt;"ASTM A416"), L140, 0), 3)</f>
        <v/>
      </c>
      <c r="T140" s="20">
        <f>ROUND(T139 + IF(AND(E140=18, F140&lt;&gt;"ASTM A416"), L140, 0), 3)</f>
        <v/>
      </c>
      <c r="U140" s="20">
        <f>ROUND(U139 + IF(AND(E140=20, F140&lt;&gt;"ASTM A416"), L140, 0), 3)</f>
        <v/>
      </c>
      <c r="V140" s="20">
        <f>ROUND(V139 + IF(AND(E140=22, F140&lt;&gt;"ASTM A416"), L140, 0), 3)</f>
        <v/>
      </c>
      <c r="W140" s="20">
        <f>ROUND(W139 + IF(AND(E140=25, F140&lt;&gt;"ASTM A416"), L140, 0), 3)</f>
        <v/>
      </c>
      <c r="X140" s="20">
        <f>ROUND(X139 + IF(AND(E140=28, F140&lt;&gt;"ASTM A416"), L140, 0), 3)</f>
        <v/>
      </c>
      <c r="Y140" s="20">
        <f>ROUND(Y139 + IF(AND(E140=32, F140&lt;&gt;"ASTM A416"), L140, 0), 3)</f>
        <v/>
      </c>
      <c r="Z140" s="20">
        <f>ROUND(Z139 + IF(F140="ASTM A416", L140, 0), 3)</f>
        <v/>
      </c>
      <c r="AA140" s="11">
        <f>IF(INT(P140/20)&gt;INT(P139/20), "Lần " &amp; INT(P140/20), "")</f>
        <v/>
      </c>
      <c r="AB140" s="11">
        <f>IF(INT(Q140/20)&gt;INT(Q139/20), "Lần " &amp; INT(Q140/20), "")</f>
        <v/>
      </c>
      <c r="AC140" s="11">
        <f>IF(INT(R140/20)&gt;INT(R139/20), "Lần " &amp; INT(R140/20), "")</f>
        <v/>
      </c>
      <c r="AD140" s="11">
        <f>IF(INT(S140/20)&gt;INT(S139/20), "Lần " &amp; INT(S140/20), "")</f>
        <v/>
      </c>
      <c r="AE140" s="11">
        <f>IF(INT(T140/20)&gt;INT(T139/20), "Lần " &amp; INT(T140/20), "")</f>
        <v/>
      </c>
      <c r="AF140" s="11">
        <f>IF(INT(U140/20)&gt;INT(U139/20), "Lần " &amp; INT(U140/20), "")</f>
        <v/>
      </c>
      <c r="AG140" s="11">
        <f>IF(INT(V140/20)&gt;INT(V139/20), "Lần " &amp; INT(V140/20), "")</f>
        <v/>
      </c>
      <c r="AH140" s="11">
        <f>IF(INT(W140/20)&gt;INT(W139/20), "Lần " &amp; INT(W140/20), "")</f>
        <v/>
      </c>
      <c r="AI140" s="11">
        <f>IF(INT(X140/20)&gt;INT(X139/20), "Lần " &amp; INT(X140/20), "")</f>
        <v/>
      </c>
      <c r="AJ140" s="11">
        <f>IF(INT(Y140/20)&gt;INT(Y139/20), "Lần " &amp; INT(Y140/20), "")</f>
        <v/>
      </c>
      <c r="AK140" s="11">
        <f>IF(INT(Z140/20)&gt;INT(Z139/20), "Lần " &amp; INT(Z140/20), "")</f>
        <v/>
      </c>
      <c r="AL140" s="6" t="inlineStr">
        <is>
          <t>ĐẠT TCVN 1651:2018</t>
        </is>
      </c>
    </row>
    <row r="141" ht="19" customHeight="1">
      <c r="A141" s="6" t="n">
        <v>129</v>
      </c>
      <c r="B141" s="7" t="inlineStr">
        <is>
          <t>Cọc khoan nhồi C6 Trụ T1 (D1.2m, L=40.0m)</t>
        </is>
      </c>
      <c r="C141" s="7" t="inlineStr">
        <is>
          <t>Đai tăng cường / Con kê bảo vệ</t>
        </is>
      </c>
      <c r="D141" s="18" t="inlineStr">
        <is>
          <t>P9</t>
        </is>
      </c>
      <c r="E141" s="19" t="n">
        <v>12</v>
      </c>
      <c r="F141" s="6" t="inlineStr">
        <is>
          <t>CB400-V</t>
        </is>
      </c>
      <c r="G141" s="7" t="inlineStr">
        <is>
          <t>Móc neo / Vòng đai</t>
        </is>
      </c>
      <c r="H141" s="20" t="n">
        <v>0.379</v>
      </c>
      <c r="I141" s="21" t="n">
        <v>48</v>
      </c>
      <c r="J141" s="22" t="n">
        <v>0.888</v>
      </c>
      <c r="K141" s="9">
        <f>ROUND(H141*I141*J141, 2)</f>
        <v/>
      </c>
      <c r="L141" s="23">
        <f>ROUND(K141/1000, 3)</f>
        <v/>
      </c>
      <c r="M141" s="8" t="n"/>
      <c r="N141" s="6" t="n"/>
      <c r="O141" s="24">
        <f>IF(AND(E141&lt;=10, F141&lt;&gt;"ASTM A416", INT(P141/20)&gt;INT(P140/20)), "TN Ø10 (Lần " &amp; INT(P141/20) &amp; ")", IF(AND(E141=12, INT(Q141/20)&gt;INT(Q140/20)), "TN Ø12 (Lần " &amp; INT(Q141/20) &amp; ")", IF(AND(E141=14, INT(R141/20)&gt;INT(R140/20)), "TN Ø14 (Lần " &amp; INT(R141/20) &amp; ")", IF(AND(E141=16, INT(S141/20)&gt;INT(S140/20)), "TN Ø16 (Lần " &amp; INT(S141/20) &amp; ")", IF(AND(E141=18, INT(T141/20)&gt;INT(T140/20)), "TN Ø18 (Lần " &amp; INT(T141/20) &amp; ")", IF(AND(E141=20, INT(U141/20)&gt;INT(U140/20)), "TN Ø20 (Lần " &amp; INT(U141/20) &amp; ")", IF(AND(E141=22, INT(V141/20)&gt;INT(V140/20)), "TN Ø22 (Lần " &amp; INT(V141/20) &amp; ")", IF(AND(E141=25, INT(W141/20)&gt;INT(W140/20)), "TN Ø25 (Lần " &amp; INT(W141/20) &amp; ")", IF(AND(E141=28, INT(X141/20)&gt;INT(X140/20)), "TN Ø28 (Lần " &amp; INT(X141/20) &amp; ")", IF(AND(E141=32, INT(Y141/20)&gt;INT(Y140/20)), "TN Ø32 (Lần " &amp; INT(Y141/20) &amp; ")", IF(AND(F141="ASTM A416", INT(Z141/20)&gt;INT(Z140/20)), "TN Cáp 15.2 (Lần " &amp; INT(Z141/20) &amp; ")", "")))))))))))</f>
        <v/>
      </c>
      <c r="P141" s="20">
        <f>ROUND(P140 + IF(AND(E141&lt;=10, F141&lt;&gt;"ASTM A416"), L141, 0), 3)</f>
        <v/>
      </c>
      <c r="Q141" s="20">
        <f>ROUND(Q140 + IF(AND(E141=12, F141&lt;&gt;"ASTM A416"), L141, 0), 3)</f>
        <v/>
      </c>
      <c r="R141" s="20">
        <f>ROUND(R140 + IF(AND(E141=14, F141&lt;&gt;"ASTM A416"), L141, 0), 3)</f>
        <v/>
      </c>
      <c r="S141" s="20">
        <f>ROUND(S140 + IF(AND(E141=16, F141&lt;&gt;"ASTM A416"), L141, 0), 3)</f>
        <v/>
      </c>
      <c r="T141" s="20">
        <f>ROUND(T140 + IF(AND(E141=18, F141&lt;&gt;"ASTM A416"), L141, 0), 3)</f>
        <v/>
      </c>
      <c r="U141" s="20">
        <f>ROUND(U140 + IF(AND(E141=20, F141&lt;&gt;"ASTM A416"), L141, 0), 3)</f>
        <v/>
      </c>
      <c r="V141" s="20">
        <f>ROUND(V140 + IF(AND(E141=22, F141&lt;&gt;"ASTM A416"), L141, 0), 3)</f>
        <v/>
      </c>
      <c r="W141" s="20">
        <f>ROUND(W140 + IF(AND(E141=25, F141&lt;&gt;"ASTM A416"), L141, 0), 3)</f>
        <v/>
      </c>
      <c r="X141" s="20">
        <f>ROUND(X140 + IF(AND(E141=28, F141&lt;&gt;"ASTM A416"), L141, 0), 3)</f>
        <v/>
      </c>
      <c r="Y141" s="20">
        <f>ROUND(Y140 + IF(AND(E141=32, F141&lt;&gt;"ASTM A416"), L141, 0), 3)</f>
        <v/>
      </c>
      <c r="Z141" s="20">
        <f>ROUND(Z140 + IF(F141="ASTM A416", L141, 0), 3)</f>
        <v/>
      </c>
      <c r="AA141" s="11">
        <f>IF(INT(P141/20)&gt;INT(P140/20), "Lần " &amp; INT(P141/20), "")</f>
        <v/>
      </c>
      <c r="AB141" s="11">
        <f>IF(INT(Q141/20)&gt;INT(Q140/20), "Lần " &amp; INT(Q141/20), "")</f>
        <v/>
      </c>
      <c r="AC141" s="11">
        <f>IF(INT(R141/20)&gt;INT(R140/20), "Lần " &amp; INT(R141/20), "")</f>
        <v/>
      </c>
      <c r="AD141" s="11">
        <f>IF(INT(S141/20)&gt;INT(S140/20), "Lần " &amp; INT(S141/20), "")</f>
        <v/>
      </c>
      <c r="AE141" s="11">
        <f>IF(INT(T141/20)&gt;INT(T140/20), "Lần " &amp; INT(T141/20), "")</f>
        <v/>
      </c>
      <c r="AF141" s="11">
        <f>IF(INT(U141/20)&gt;INT(U140/20), "Lần " &amp; INT(U141/20), "")</f>
        <v/>
      </c>
      <c r="AG141" s="11">
        <f>IF(INT(V141/20)&gt;INT(V140/20), "Lần " &amp; INT(V141/20), "")</f>
        <v/>
      </c>
      <c r="AH141" s="11">
        <f>IF(INT(W141/20)&gt;INT(W140/20), "Lần " &amp; INT(W141/20), "")</f>
        <v/>
      </c>
      <c r="AI141" s="11">
        <f>IF(INT(X141/20)&gt;INT(X140/20), "Lần " &amp; INT(X141/20), "")</f>
        <v/>
      </c>
      <c r="AJ141" s="11">
        <f>IF(INT(Y141/20)&gt;INT(Y140/20), "Lần " &amp; INT(Y141/20), "")</f>
        <v/>
      </c>
      <c r="AK141" s="11">
        <f>IF(INT(Z141/20)&gt;INT(Z140/20), "Lần " &amp; INT(Z141/20), "")</f>
        <v/>
      </c>
      <c r="AL141" s="6" t="inlineStr">
        <is>
          <t>ĐẠT TCVN 1651:2018</t>
        </is>
      </c>
    </row>
    <row r="142" ht="19" customHeight="1">
      <c r="A142" s="6" t="n">
        <v>130</v>
      </c>
      <c r="B142" s="7" t="inlineStr">
        <is>
          <t>Cọc khoan nhồi C6 Trụ T1 (D1.2m, L=40.0m)</t>
        </is>
      </c>
      <c r="C142" s="7" t="inlineStr">
        <is>
          <t>Thép đai xoắn lồng cọc</t>
        </is>
      </c>
      <c r="D142" s="18" t="inlineStr">
        <is>
          <t>P10</t>
        </is>
      </c>
      <c r="E142" s="19" t="n">
        <v>20</v>
      </c>
      <c r="F142" s="6" t="inlineStr">
        <is>
          <t>CB400-V</t>
        </is>
      </c>
      <c r="G142" s="7" t="inlineStr">
        <is>
          <t>Đai xoắn tròn</t>
        </is>
      </c>
      <c r="H142" s="20" t="n">
        <v>2.057</v>
      </c>
      <c r="I142" s="21" t="n">
        <v>1</v>
      </c>
      <c r="J142" s="22" t="n">
        <v>2.47</v>
      </c>
      <c r="K142" s="9">
        <f>ROUND(H142*I142*J142, 2)</f>
        <v/>
      </c>
      <c r="L142" s="23">
        <f>ROUND(K142/1000, 3)</f>
        <v/>
      </c>
      <c r="M142" s="8" t="n"/>
      <c r="N142" s="6" t="n"/>
      <c r="O142" s="24">
        <f>IF(AND(E142&lt;=10, F142&lt;&gt;"ASTM A416", INT(P142/20)&gt;INT(P141/20)), "TN Ø10 (Lần " &amp; INT(P142/20) &amp; ")", IF(AND(E142=12, INT(Q142/20)&gt;INT(Q141/20)), "TN Ø12 (Lần " &amp; INT(Q142/20) &amp; ")", IF(AND(E142=14, INT(R142/20)&gt;INT(R141/20)), "TN Ø14 (Lần " &amp; INT(R142/20) &amp; ")", IF(AND(E142=16, INT(S142/20)&gt;INT(S141/20)), "TN Ø16 (Lần " &amp; INT(S142/20) &amp; ")", IF(AND(E142=18, INT(T142/20)&gt;INT(T141/20)), "TN Ø18 (Lần " &amp; INT(T142/20) &amp; ")", IF(AND(E142=20, INT(U142/20)&gt;INT(U141/20)), "TN Ø20 (Lần " &amp; INT(U142/20) &amp; ")", IF(AND(E142=22, INT(V142/20)&gt;INT(V141/20)), "TN Ø22 (Lần " &amp; INT(V142/20) &amp; ")", IF(AND(E142=25, INT(W142/20)&gt;INT(W141/20)), "TN Ø25 (Lần " &amp; INT(W142/20) &amp; ")", IF(AND(E142=28, INT(X142/20)&gt;INT(X141/20)), "TN Ø28 (Lần " &amp; INT(X142/20) &amp; ")", IF(AND(E142=32, INT(Y142/20)&gt;INT(Y141/20)), "TN Ø32 (Lần " &amp; INT(Y142/20) &amp; ")", IF(AND(F142="ASTM A416", INT(Z142/20)&gt;INT(Z141/20)), "TN Cáp 15.2 (Lần " &amp; INT(Z142/20) &amp; ")", "")))))))))))</f>
        <v/>
      </c>
      <c r="P142" s="20">
        <f>ROUND(P141 + IF(AND(E142&lt;=10, F142&lt;&gt;"ASTM A416"), L142, 0), 3)</f>
        <v/>
      </c>
      <c r="Q142" s="20">
        <f>ROUND(Q141 + IF(AND(E142=12, F142&lt;&gt;"ASTM A416"), L142, 0), 3)</f>
        <v/>
      </c>
      <c r="R142" s="20">
        <f>ROUND(R141 + IF(AND(E142=14, F142&lt;&gt;"ASTM A416"), L142, 0), 3)</f>
        <v/>
      </c>
      <c r="S142" s="20">
        <f>ROUND(S141 + IF(AND(E142=16, F142&lt;&gt;"ASTM A416"), L142, 0), 3)</f>
        <v/>
      </c>
      <c r="T142" s="20">
        <f>ROUND(T141 + IF(AND(E142=18, F142&lt;&gt;"ASTM A416"), L142, 0), 3)</f>
        <v/>
      </c>
      <c r="U142" s="20">
        <f>ROUND(U141 + IF(AND(E142=20, F142&lt;&gt;"ASTM A416"), L142, 0), 3)</f>
        <v/>
      </c>
      <c r="V142" s="20">
        <f>ROUND(V141 + IF(AND(E142=22, F142&lt;&gt;"ASTM A416"), L142, 0), 3)</f>
        <v/>
      </c>
      <c r="W142" s="20">
        <f>ROUND(W141 + IF(AND(E142=25, F142&lt;&gt;"ASTM A416"), L142, 0), 3)</f>
        <v/>
      </c>
      <c r="X142" s="20">
        <f>ROUND(X141 + IF(AND(E142=28, F142&lt;&gt;"ASTM A416"), L142, 0), 3)</f>
        <v/>
      </c>
      <c r="Y142" s="20">
        <f>ROUND(Y141 + IF(AND(E142=32, F142&lt;&gt;"ASTM A416"), L142, 0), 3)</f>
        <v/>
      </c>
      <c r="Z142" s="20">
        <f>ROUND(Z141 + IF(F142="ASTM A416", L142, 0), 3)</f>
        <v/>
      </c>
      <c r="AA142" s="11">
        <f>IF(INT(P142/20)&gt;INT(P141/20), "Lần " &amp; INT(P142/20), "")</f>
        <v/>
      </c>
      <c r="AB142" s="11">
        <f>IF(INT(Q142/20)&gt;INT(Q141/20), "Lần " &amp; INT(Q142/20), "")</f>
        <v/>
      </c>
      <c r="AC142" s="11">
        <f>IF(INT(R142/20)&gt;INT(R141/20), "Lần " &amp; INT(R142/20), "")</f>
        <v/>
      </c>
      <c r="AD142" s="11">
        <f>IF(INT(S142/20)&gt;INT(S141/20), "Lần " &amp; INT(S142/20), "")</f>
        <v/>
      </c>
      <c r="AE142" s="11">
        <f>IF(INT(T142/20)&gt;INT(T141/20), "Lần " &amp; INT(T142/20), "")</f>
        <v/>
      </c>
      <c r="AF142" s="11">
        <f>IF(INT(U142/20)&gt;INT(U141/20), "Lần " &amp; INT(U142/20), "")</f>
        <v/>
      </c>
      <c r="AG142" s="11">
        <f>IF(INT(V142/20)&gt;INT(V141/20), "Lần " &amp; INT(V142/20), "")</f>
        <v/>
      </c>
      <c r="AH142" s="11">
        <f>IF(INT(W142/20)&gt;INT(W141/20), "Lần " &amp; INT(W142/20), "")</f>
        <v/>
      </c>
      <c r="AI142" s="11">
        <f>IF(INT(X142/20)&gt;INT(X141/20), "Lần " &amp; INT(X142/20), "")</f>
        <v/>
      </c>
      <c r="AJ142" s="11">
        <f>IF(INT(Y142/20)&gt;INT(Y141/20), "Lần " &amp; INT(Y142/20), "")</f>
        <v/>
      </c>
      <c r="AK142" s="11">
        <f>IF(INT(Z142/20)&gt;INT(Z141/20), "Lần " &amp; INT(Z142/20), "")</f>
        <v/>
      </c>
      <c r="AL142" s="6" t="inlineStr">
        <is>
          <t>ĐẠT TCVN 1651:2018</t>
        </is>
      </c>
    </row>
    <row r="143" ht="19" customHeight="1">
      <c r="A143" s="6" t="n">
        <v>131</v>
      </c>
      <c r="B143" s="7" t="inlineStr">
        <is>
          <t>Cọc khoan nhồi C6 Trụ T1 (D1.2m, L=40.0m)</t>
        </is>
      </c>
      <c r="C143" s="7" t="inlineStr">
        <is>
          <t>Thanh thép treo lồng cọc</t>
        </is>
      </c>
      <c r="D143" s="18" t="inlineStr">
        <is>
          <t>P11</t>
        </is>
      </c>
      <c r="E143" s="19" t="n">
        <v>16</v>
      </c>
      <c r="F143" s="6" t="inlineStr">
        <is>
          <t>CB400-V</t>
        </is>
      </c>
      <c r="G143" s="7" t="inlineStr">
        <is>
          <t>Thanh treo lồng (bảng phụ tr.68)</t>
        </is>
      </c>
      <c r="H143" s="20" t="n">
        <v>2.604</v>
      </c>
      <c r="I143" s="21" t="n">
        <v>4</v>
      </c>
      <c r="J143" s="22" t="n">
        <v>1.58</v>
      </c>
      <c r="K143" s="9">
        <f>ROUND(H143*I143*J143, 2)</f>
        <v/>
      </c>
      <c r="L143" s="23">
        <f>ROUND(K143/1000, 3)</f>
        <v/>
      </c>
      <c r="M143" s="8" t="n"/>
      <c r="N143" s="6" t="n"/>
      <c r="O143" s="24">
        <f>IF(AND(E143&lt;=10, F143&lt;&gt;"ASTM A416", INT(P143/20)&gt;INT(P142/20)), "TN Ø10 (Lần " &amp; INT(P143/20) &amp; ")", IF(AND(E143=12, INT(Q143/20)&gt;INT(Q142/20)), "TN Ø12 (Lần " &amp; INT(Q143/20) &amp; ")", IF(AND(E143=14, INT(R143/20)&gt;INT(R142/20)), "TN Ø14 (Lần " &amp; INT(R143/20) &amp; ")", IF(AND(E143=16, INT(S143/20)&gt;INT(S142/20)), "TN Ø16 (Lần " &amp; INT(S143/20) &amp; ")", IF(AND(E143=18, INT(T143/20)&gt;INT(T142/20)), "TN Ø18 (Lần " &amp; INT(T143/20) &amp; ")", IF(AND(E143=20, INT(U143/20)&gt;INT(U142/20)), "TN Ø20 (Lần " &amp; INT(U143/20) &amp; ")", IF(AND(E143=22, INT(V143/20)&gt;INT(V142/20)), "TN Ø22 (Lần " &amp; INT(V143/20) &amp; ")", IF(AND(E143=25, INT(W143/20)&gt;INT(W142/20)), "TN Ø25 (Lần " &amp; INT(W143/20) &amp; ")", IF(AND(E143=28, INT(X143/20)&gt;INT(X142/20)), "TN Ø28 (Lần " &amp; INT(X143/20) &amp; ")", IF(AND(E143=32, INT(Y143/20)&gt;INT(Y142/20)), "TN Ø32 (Lần " &amp; INT(Y143/20) &amp; ")", IF(AND(F143="ASTM A416", INT(Z143/20)&gt;INT(Z142/20)), "TN Cáp 15.2 (Lần " &amp; INT(Z143/20) &amp; ")", "")))))))))))</f>
        <v/>
      </c>
      <c r="P143" s="20">
        <f>ROUND(P142 + IF(AND(E143&lt;=10, F143&lt;&gt;"ASTM A416"), L143, 0), 3)</f>
        <v/>
      </c>
      <c r="Q143" s="20">
        <f>ROUND(Q142 + IF(AND(E143=12, F143&lt;&gt;"ASTM A416"), L143, 0), 3)</f>
        <v/>
      </c>
      <c r="R143" s="20">
        <f>ROUND(R142 + IF(AND(E143=14, F143&lt;&gt;"ASTM A416"), L143, 0), 3)</f>
        <v/>
      </c>
      <c r="S143" s="20">
        <f>ROUND(S142 + IF(AND(E143=16, F143&lt;&gt;"ASTM A416"), L143, 0), 3)</f>
        <v/>
      </c>
      <c r="T143" s="20">
        <f>ROUND(T142 + IF(AND(E143=18, F143&lt;&gt;"ASTM A416"), L143, 0), 3)</f>
        <v/>
      </c>
      <c r="U143" s="20">
        <f>ROUND(U142 + IF(AND(E143=20, F143&lt;&gt;"ASTM A416"), L143, 0), 3)</f>
        <v/>
      </c>
      <c r="V143" s="20">
        <f>ROUND(V142 + IF(AND(E143=22, F143&lt;&gt;"ASTM A416"), L143, 0), 3)</f>
        <v/>
      </c>
      <c r="W143" s="20">
        <f>ROUND(W142 + IF(AND(E143=25, F143&lt;&gt;"ASTM A416"), L143, 0), 3)</f>
        <v/>
      </c>
      <c r="X143" s="20">
        <f>ROUND(X142 + IF(AND(E143=28, F143&lt;&gt;"ASTM A416"), L143, 0), 3)</f>
        <v/>
      </c>
      <c r="Y143" s="20">
        <f>ROUND(Y142 + IF(AND(E143=32, F143&lt;&gt;"ASTM A416"), L143, 0), 3)</f>
        <v/>
      </c>
      <c r="Z143" s="20">
        <f>ROUND(Z142 + IF(F143="ASTM A416", L143, 0), 3)</f>
        <v/>
      </c>
      <c r="AA143" s="11">
        <f>IF(INT(P143/20)&gt;INT(P142/20), "Lần " &amp; INT(P143/20), "")</f>
        <v/>
      </c>
      <c r="AB143" s="11">
        <f>IF(INT(Q143/20)&gt;INT(Q142/20), "Lần " &amp; INT(Q143/20), "")</f>
        <v/>
      </c>
      <c r="AC143" s="11">
        <f>IF(INT(R143/20)&gt;INT(R142/20), "Lần " &amp; INT(R143/20), "")</f>
        <v/>
      </c>
      <c r="AD143" s="11">
        <f>IF(INT(S143/20)&gt;INT(S142/20), "Lần " &amp; INT(S143/20), "")</f>
        <v/>
      </c>
      <c r="AE143" s="11">
        <f>IF(INT(T143/20)&gt;INT(T142/20), "Lần " &amp; INT(T143/20), "")</f>
        <v/>
      </c>
      <c r="AF143" s="11">
        <f>IF(INT(U143/20)&gt;INT(U142/20), "Lần " &amp; INT(U143/20), "")</f>
        <v/>
      </c>
      <c r="AG143" s="11">
        <f>IF(INT(V143/20)&gt;INT(V142/20), "Lần " &amp; INT(V143/20), "")</f>
        <v/>
      </c>
      <c r="AH143" s="11">
        <f>IF(INT(W143/20)&gt;INT(W142/20), "Lần " &amp; INT(W143/20), "")</f>
        <v/>
      </c>
      <c r="AI143" s="11">
        <f>IF(INT(X143/20)&gt;INT(X142/20), "Lần " &amp; INT(X143/20), "")</f>
        <v/>
      </c>
      <c r="AJ143" s="11">
        <f>IF(INT(Y143/20)&gt;INT(Y142/20), "Lần " &amp; INT(Y143/20), "")</f>
        <v/>
      </c>
      <c r="AK143" s="11">
        <f>IF(INT(Z143/20)&gt;INT(Z142/20), "Lần " &amp; INT(Z143/20), "")</f>
        <v/>
      </c>
      <c r="AL143" s="6" t="inlineStr">
        <is>
          <t>ĐẠT TCVN 1651:2018</t>
        </is>
      </c>
    </row>
    <row r="144" ht="19" customHeight="1">
      <c r="A144" s="6" t="n">
        <v>132</v>
      </c>
      <c r="B144" s="7" t="inlineStr">
        <is>
          <t>Cọc khoan nhồi C6 Trụ T1 (D1.2m, L=40.0m)</t>
        </is>
      </c>
      <c r="C144" s="7" t="inlineStr">
        <is>
          <t>Thép đai xoắn lồng cọc</t>
        </is>
      </c>
      <c r="D144" s="18" t="inlineStr">
        <is>
          <t>P12</t>
        </is>
      </c>
      <c r="E144" s="19" t="n">
        <v>20</v>
      </c>
      <c r="F144" s="6" t="inlineStr">
        <is>
          <t>CB400-V</t>
        </is>
      </c>
      <c r="G144" s="7" t="inlineStr">
        <is>
          <t>Đai xoắn tròn</t>
        </is>
      </c>
      <c r="H144" s="20" t="n">
        <v>0.583</v>
      </c>
      <c r="I144" s="21" t="n">
        <v>64</v>
      </c>
      <c r="J144" s="22" t="n">
        <v>2.47</v>
      </c>
      <c r="K144" s="9">
        <f>ROUND(H144*I144*J144, 2)</f>
        <v/>
      </c>
      <c r="L144" s="23">
        <f>ROUND(K144/1000, 3)</f>
        <v/>
      </c>
      <c r="M144" s="8" t="n"/>
      <c r="N144" s="6" t="n"/>
      <c r="O144" s="24">
        <f>IF(AND(E144&lt;=10, F144&lt;&gt;"ASTM A416", INT(P144/20)&gt;INT(P143/20)), "TN Ø10 (Lần " &amp; INT(P144/20) &amp; ")", IF(AND(E144=12, INT(Q144/20)&gt;INT(Q143/20)), "TN Ø12 (Lần " &amp; INT(Q144/20) &amp; ")", IF(AND(E144=14, INT(R144/20)&gt;INT(R143/20)), "TN Ø14 (Lần " &amp; INT(R144/20) &amp; ")", IF(AND(E144=16, INT(S144/20)&gt;INT(S143/20)), "TN Ø16 (Lần " &amp; INT(S144/20) &amp; ")", IF(AND(E144=18, INT(T144/20)&gt;INT(T143/20)), "TN Ø18 (Lần " &amp; INT(T144/20) &amp; ")", IF(AND(E144=20, INT(U144/20)&gt;INT(U143/20)), "TN Ø20 (Lần " &amp; INT(U144/20) &amp; ")", IF(AND(E144=22, INT(V144/20)&gt;INT(V143/20)), "TN Ø22 (Lần " &amp; INT(V144/20) &amp; ")", IF(AND(E144=25, INT(W144/20)&gt;INT(W143/20)), "TN Ø25 (Lần " &amp; INT(W144/20) &amp; ")", IF(AND(E144=28, INT(X144/20)&gt;INT(X143/20)), "TN Ø28 (Lần " &amp; INT(X144/20) &amp; ")", IF(AND(E144=32, INT(Y144/20)&gt;INT(Y143/20)), "TN Ø32 (Lần " &amp; INT(Y144/20) &amp; ")", IF(AND(F144="ASTM A416", INT(Z144/20)&gt;INT(Z143/20)), "TN Cáp 15.2 (Lần " &amp; INT(Z144/20) &amp; ")", "")))))))))))</f>
        <v/>
      </c>
      <c r="P144" s="20">
        <f>ROUND(P143 + IF(AND(E144&lt;=10, F144&lt;&gt;"ASTM A416"), L144, 0), 3)</f>
        <v/>
      </c>
      <c r="Q144" s="20">
        <f>ROUND(Q143 + IF(AND(E144=12, F144&lt;&gt;"ASTM A416"), L144, 0), 3)</f>
        <v/>
      </c>
      <c r="R144" s="20">
        <f>ROUND(R143 + IF(AND(E144=14, F144&lt;&gt;"ASTM A416"), L144, 0), 3)</f>
        <v/>
      </c>
      <c r="S144" s="20">
        <f>ROUND(S143 + IF(AND(E144=16, F144&lt;&gt;"ASTM A416"), L144, 0), 3)</f>
        <v/>
      </c>
      <c r="T144" s="20">
        <f>ROUND(T143 + IF(AND(E144=18, F144&lt;&gt;"ASTM A416"), L144, 0), 3)</f>
        <v/>
      </c>
      <c r="U144" s="20">
        <f>ROUND(U143 + IF(AND(E144=20, F144&lt;&gt;"ASTM A416"), L144, 0), 3)</f>
        <v/>
      </c>
      <c r="V144" s="20">
        <f>ROUND(V143 + IF(AND(E144=22, F144&lt;&gt;"ASTM A416"), L144, 0), 3)</f>
        <v/>
      </c>
      <c r="W144" s="20">
        <f>ROUND(W143 + IF(AND(E144=25, F144&lt;&gt;"ASTM A416"), L144, 0), 3)</f>
        <v/>
      </c>
      <c r="X144" s="20">
        <f>ROUND(X143 + IF(AND(E144=28, F144&lt;&gt;"ASTM A416"), L144, 0), 3)</f>
        <v/>
      </c>
      <c r="Y144" s="20">
        <f>ROUND(Y143 + IF(AND(E144=32, F144&lt;&gt;"ASTM A416"), L144, 0), 3)</f>
        <v/>
      </c>
      <c r="Z144" s="20">
        <f>ROUND(Z143 + IF(F144="ASTM A416", L144, 0), 3)</f>
        <v/>
      </c>
      <c r="AA144" s="11">
        <f>IF(INT(P144/20)&gt;INT(P143/20), "Lần " &amp; INT(P144/20), "")</f>
        <v/>
      </c>
      <c r="AB144" s="11">
        <f>IF(INT(Q144/20)&gt;INT(Q143/20), "Lần " &amp; INT(Q144/20), "")</f>
        <v/>
      </c>
      <c r="AC144" s="11">
        <f>IF(INT(R144/20)&gt;INT(R143/20), "Lần " &amp; INT(R144/20), "")</f>
        <v/>
      </c>
      <c r="AD144" s="11">
        <f>IF(INT(S144/20)&gt;INT(S143/20), "Lần " &amp; INT(S144/20), "")</f>
        <v/>
      </c>
      <c r="AE144" s="11">
        <f>IF(INT(T144/20)&gt;INT(T143/20), "Lần " &amp; INT(T144/20), "")</f>
        <v/>
      </c>
      <c r="AF144" s="11">
        <f>IF(INT(U144/20)&gt;INT(U143/20), "Lần " &amp; INT(U144/20), "")</f>
        <v/>
      </c>
      <c r="AG144" s="11">
        <f>IF(INT(V144/20)&gt;INT(V143/20), "Lần " &amp; INT(V144/20), "")</f>
        <v/>
      </c>
      <c r="AH144" s="11">
        <f>IF(INT(W144/20)&gt;INT(W143/20), "Lần " &amp; INT(W144/20), "")</f>
        <v/>
      </c>
      <c r="AI144" s="11">
        <f>IF(INT(X144/20)&gt;INT(X143/20), "Lần " &amp; INT(X144/20), "")</f>
        <v/>
      </c>
      <c r="AJ144" s="11">
        <f>IF(INT(Y144/20)&gt;INT(Y143/20), "Lần " &amp; INT(Y144/20), "")</f>
        <v/>
      </c>
      <c r="AK144" s="11">
        <f>IF(INT(Z144/20)&gt;INT(Z143/20), "Lần " &amp; INT(Z144/20), "")</f>
        <v/>
      </c>
      <c r="AL144" s="6" t="inlineStr">
        <is>
          <t>ĐẠT TCVN 1651:2018</t>
        </is>
      </c>
    </row>
    <row r="145" ht="20" customHeight="1">
      <c r="A145" s="17" t="inlineStr">
        <is>
          <t>--- CỌC KHOAN NHỒI C7 TRỤ T1 (D1.2M, L=40.0M) ---</t>
        </is>
      </c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</row>
    <row r="146" ht="19" customHeight="1">
      <c r="A146" s="6" t="n">
        <v>133</v>
      </c>
      <c r="B146" s="7" t="inlineStr">
        <is>
          <t>Cọc khoan nhồi C7 Trụ T1 (D1.2m, L=40.0m)</t>
        </is>
      </c>
      <c r="C146" s="7" t="inlineStr">
        <is>
          <t>Thép đai xoắn lồng cọc</t>
        </is>
      </c>
      <c r="D146" s="18" t="inlineStr">
        <is>
          <t>P1</t>
        </is>
      </c>
      <c r="E146" s="19" t="n">
        <v>10</v>
      </c>
      <c r="F146" s="6" t="inlineStr">
        <is>
          <t>CB240-T</t>
        </is>
      </c>
      <c r="G146" s="7" t="inlineStr">
        <is>
          <t>Đai xoắn tròn</t>
        </is>
      </c>
      <c r="H146" s="20" t="n">
        <v>96.604</v>
      </c>
      <c r="I146" s="21" t="n">
        <v>1</v>
      </c>
      <c r="J146" s="22" t="n">
        <v>0.617</v>
      </c>
      <c r="K146" s="9">
        <f>ROUND(H146*I146*J146, 2)</f>
        <v/>
      </c>
      <c r="L146" s="23">
        <f>ROUND(K146/1000, 3)</f>
        <v/>
      </c>
      <c r="M146" s="8" t="n"/>
      <c r="N146" s="6" t="n"/>
      <c r="O146" s="24">
        <f>IF(AND(E146&lt;=10, F146&lt;&gt;"ASTM A416", INT(P146/20)&gt;INT(P144/20)), "TN Ø10 (Lần " &amp; INT(P146/20) &amp; ")", IF(AND(E146=12, INT(Q146/20)&gt;INT(Q144/20)), "TN Ø12 (Lần " &amp; INT(Q146/20) &amp; ")", IF(AND(E146=14, INT(R146/20)&gt;INT(R144/20)), "TN Ø14 (Lần " &amp; INT(R146/20) &amp; ")", IF(AND(E146=16, INT(S146/20)&gt;INT(S144/20)), "TN Ø16 (Lần " &amp; INT(S146/20) &amp; ")", IF(AND(E146=18, INT(T146/20)&gt;INT(T144/20)), "TN Ø18 (Lần " &amp; INT(T146/20) &amp; ")", IF(AND(E146=20, INT(U146/20)&gt;INT(U144/20)), "TN Ø20 (Lần " &amp; INT(U146/20) &amp; ")", IF(AND(E146=22, INT(V146/20)&gt;INT(V144/20)), "TN Ø22 (Lần " &amp; INT(V146/20) &amp; ")", IF(AND(E146=25, INT(W146/20)&gt;INT(W144/20)), "TN Ø25 (Lần " &amp; INT(W146/20) &amp; ")", IF(AND(E146=28, INT(X146/20)&gt;INT(X144/20)), "TN Ø28 (Lần " &amp; INT(X146/20) &amp; ")", IF(AND(E146=32, INT(Y146/20)&gt;INT(Y144/20)), "TN Ø32 (Lần " &amp; INT(Y146/20) &amp; ")", IF(AND(F146="ASTM A416", INT(Z146/20)&gt;INT(Z144/20)), "TN Cáp 15.2 (Lần " &amp; INT(Z146/20) &amp; ")", "")))))))))))</f>
        <v/>
      </c>
      <c r="P146" s="20">
        <f>ROUND(P144 + IF(AND(E146&lt;=10, F146&lt;&gt;"ASTM A416"), L146, 0), 3)</f>
        <v/>
      </c>
      <c r="Q146" s="20">
        <f>ROUND(Q144 + IF(AND(E146=12, F146&lt;&gt;"ASTM A416"), L146, 0), 3)</f>
        <v/>
      </c>
      <c r="R146" s="20">
        <f>ROUND(R144 + IF(AND(E146=14, F146&lt;&gt;"ASTM A416"), L146, 0), 3)</f>
        <v/>
      </c>
      <c r="S146" s="20">
        <f>ROUND(S144 + IF(AND(E146=16, F146&lt;&gt;"ASTM A416"), L146, 0), 3)</f>
        <v/>
      </c>
      <c r="T146" s="20">
        <f>ROUND(T144 + IF(AND(E146=18, F146&lt;&gt;"ASTM A416"), L146, 0), 3)</f>
        <v/>
      </c>
      <c r="U146" s="20">
        <f>ROUND(U144 + IF(AND(E146=20, F146&lt;&gt;"ASTM A416"), L146, 0), 3)</f>
        <v/>
      </c>
      <c r="V146" s="20">
        <f>ROUND(V144 + IF(AND(E146=22, F146&lt;&gt;"ASTM A416"), L146, 0), 3)</f>
        <v/>
      </c>
      <c r="W146" s="20">
        <f>ROUND(W144 + IF(AND(E146=25, F146&lt;&gt;"ASTM A416"), L146, 0), 3)</f>
        <v/>
      </c>
      <c r="X146" s="20">
        <f>ROUND(X144 + IF(AND(E146=28, F146&lt;&gt;"ASTM A416"), L146, 0), 3)</f>
        <v/>
      </c>
      <c r="Y146" s="20">
        <f>ROUND(Y144 + IF(AND(E146=32, F146&lt;&gt;"ASTM A416"), L146, 0), 3)</f>
        <v/>
      </c>
      <c r="Z146" s="20">
        <f>ROUND(Z144 + IF(F146="ASTM A416", L146, 0), 3)</f>
        <v/>
      </c>
      <c r="AA146" s="11">
        <f>IF(INT(P146/20)&gt;INT(P144/20), "Lần " &amp; INT(P146/20), "")</f>
        <v/>
      </c>
      <c r="AB146" s="11">
        <f>IF(INT(Q146/20)&gt;INT(Q144/20), "Lần " &amp; INT(Q146/20), "")</f>
        <v/>
      </c>
      <c r="AC146" s="11">
        <f>IF(INT(R146/20)&gt;INT(R144/20), "Lần " &amp; INT(R146/20), "")</f>
        <v/>
      </c>
      <c r="AD146" s="11">
        <f>IF(INT(S146/20)&gt;INT(S144/20), "Lần " &amp; INT(S146/20), "")</f>
        <v/>
      </c>
      <c r="AE146" s="11">
        <f>IF(INT(T146/20)&gt;INT(T144/20), "Lần " &amp; INT(T146/20), "")</f>
        <v/>
      </c>
      <c r="AF146" s="11">
        <f>IF(INT(U146/20)&gt;INT(U144/20), "Lần " &amp; INT(U146/20), "")</f>
        <v/>
      </c>
      <c r="AG146" s="11">
        <f>IF(INT(V146/20)&gt;INT(V144/20), "Lần " &amp; INT(V146/20), "")</f>
        <v/>
      </c>
      <c r="AH146" s="11">
        <f>IF(INT(W146/20)&gt;INT(W144/20), "Lần " &amp; INT(W146/20), "")</f>
        <v/>
      </c>
      <c r="AI146" s="11">
        <f>IF(INT(X146/20)&gt;INT(X144/20), "Lần " &amp; INT(X146/20), "")</f>
        <v/>
      </c>
      <c r="AJ146" s="11">
        <f>IF(INT(Y146/20)&gt;INT(Y144/20), "Lần " &amp; INT(Y146/20), "")</f>
        <v/>
      </c>
      <c r="AK146" s="11">
        <f>IF(INT(Z146/20)&gt;INT(Z144/20), "Lần " &amp; INT(Z146/20), "")</f>
        <v/>
      </c>
      <c r="AL146" s="6" t="inlineStr">
        <is>
          <t>ĐẠT TCVN 1651:2018</t>
        </is>
      </c>
    </row>
    <row r="147" ht="19" customHeight="1">
      <c r="A147" s="6" t="n">
        <v>134</v>
      </c>
      <c r="B147" s="7" t="inlineStr">
        <is>
          <t>Cọc khoan nhồi C7 Trụ T1 (D1.2m, L=40.0m)</t>
        </is>
      </c>
      <c r="C147" s="7" t="inlineStr">
        <is>
          <t>Thép đai xoắn lồng cọc</t>
        </is>
      </c>
      <c r="D147" s="18" t="inlineStr">
        <is>
          <t>P1A</t>
        </is>
      </c>
      <c r="E147" s="19" t="n">
        <v>10</v>
      </c>
      <c r="F147" s="6" t="inlineStr">
        <is>
          <t>CB240-T</t>
        </is>
      </c>
      <c r="G147" s="7" t="inlineStr">
        <is>
          <t>Đai xoắn tròn</t>
        </is>
      </c>
      <c r="H147" s="20" t="n">
        <v>389.636</v>
      </c>
      <c r="I147" s="21" t="n">
        <v>1</v>
      </c>
      <c r="J147" s="22" t="n">
        <v>0.617</v>
      </c>
      <c r="K147" s="9">
        <f>ROUND(H147*I147*J147, 2)</f>
        <v/>
      </c>
      <c r="L147" s="23">
        <f>ROUND(K147/1000, 3)</f>
        <v/>
      </c>
      <c r="M147" s="8" t="n"/>
      <c r="N147" s="6" t="n"/>
      <c r="O147" s="24">
        <f>IF(AND(E147&lt;=10, F147&lt;&gt;"ASTM A416", INT(P147/20)&gt;INT(P146/20)), "TN Ø10 (Lần " &amp; INT(P147/20) &amp; ")", IF(AND(E147=12, INT(Q147/20)&gt;INT(Q146/20)), "TN Ø12 (Lần " &amp; INT(Q147/20) &amp; ")", IF(AND(E147=14, INT(R147/20)&gt;INT(R146/20)), "TN Ø14 (Lần " &amp; INT(R147/20) &amp; ")", IF(AND(E147=16, INT(S147/20)&gt;INT(S146/20)), "TN Ø16 (Lần " &amp; INT(S147/20) &amp; ")", IF(AND(E147=18, INT(T147/20)&gt;INT(T146/20)), "TN Ø18 (Lần " &amp; INT(T147/20) &amp; ")", IF(AND(E147=20, INT(U147/20)&gt;INT(U146/20)), "TN Ø20 (Lần " &amp; INT(U147/20) &amp; ")", IF(AND(E147=22, INT(V147/20)&gt;INT(V146/20)), "TN Ø22 (Lần " &amp; INT(V147/20) &amp; ")", IF(AND(E147=25, INT(W147/20)&gt;INT(W146/20)), "TN Ø25 (Lần " &amp; INT(W147/20) &amp; ")", IF(AND(E147=28, INT(X147/20)&gt;INT(X146/20)), "TN Ø28 (Lần " &amp; INT(X147/20) &amp; ")", IF(AND(E147=32, INT(Y147/20)&gt;INT(Y146/20)), "TN Ø32 (Lần " &amp; INT(Y147/20) &amp; ")", IF(AND(F147="ASTM A416", INT(Z147/20)&gt;INT(Z146/20)), "TN Cáp 15.2 (Lần " &amp; INT(Z147/20) &amp; ")", "")))))))))))</f>
        <v/>
      </c>
      <c r="P147" s="20">
        <f>ROUND(P146 + IF(AND(E147&lt;=10, F147&lt;&gt;"ASTM A416"), L147, 0), 3)</f>
        <v/>
      </c>
      <c r="Q147" s="20">
        <f>ROUND(Q146 + IF(AND(E147=12, F147&lt;&gt;"ASTM A416"), L147, 0), 3)</f>
        <v/>
      </c>
      <c r="R147" s="20">
        <f>ROUND(R146 + IF(AND(E147=14, F147&lt;&gt;"ASTM A416"), L147, 0), 3)</f>
        <v/>
      </c>
      <c r="S147" s="20">
        <f>ROUND(S146 + IF(AND(E147=16, F147&lt;&gt;"ASTM A416"), L147, 0), 3)</f>
        <v/>
      </c>
      <c r="T147" s="20">
        <f>ROUND(T146 + IF(AND(E147=18, F147&lt;&gt;"ASTM A416"), L147, 0), 3)</f>
        <v/>
      </c>
      <c r="U147" s="20">
        <f>ROUND(U146 + IF(AND(E147=20, F147&lt;&gt;"ASTM A416"), L147, 0), 3)</f>
        <v/>
      </c>
      <c r="V147" s="20">
        <f>ROUND(V146 + IF(AND(E147=22, F147&lt;&gt;"ASTM A416"), L147, 0), 3)</f>
        <v/>
      </c>
      <c r="W147" s="20">
        <f>ROUND(W146 + IF(AND(E147=25, F147&lt;&gt;"ASTM A416"), L147, 0), 3)</f>
        <v/>
      </c>
      <c r="X147" s="20">
        <f>ROUND(X146 + IF(AND(E147=28, F147&lt;&gt;"ASTM A416"), L147, 0), 3)</f>
        <v/>
      </c>
      <c r="Y147" s="20">
        <f>ROUND(Y146 + IF(AND(E147=32, F147&lt;&gt;"ASTM A416"), L147, 0), 3)</f>
        <v/>
      </c>
      <c r="Z147" s="20">
        <f>ROUND(Z146 + IF(F147="ASTM A416", L147, 0), 3)</f>
        <v/>
      </c>
      <c r="AA147" s="11">
        <f>IF(INT(P147/20)&gt;INT(P146/20), "Lần " &amp; INT(P147/20), "")</f>
        <v/>
      </c>
      <c r="AB147" s="11">
        <f>IF(INT(Q147/20)&gt;INT(Q146/20), "Lần " &amp; INT(Q147/20), "")</f>
        <v/>
      </c>
      <c r="AC147" s="11">
        <f>IF(INT(R147/20)&gt;INT(R146/20), "Lần " &amp; INT(R147/20), "")</f>
        <v/>
      </c>
      <c r="AD147" s="11">
        <f>IF(INT(S147/20)&gt;INT(S146/20), "Lần " &amp; INT(S147/20), "")</f>
        <v/>
      </c>
      <c r="AE147" s="11">
        <f>IF(INT(T147/20)&gt;INT(T146/20), "Lần " &amp; INT(T147/20), "")</f>
        <v/>
      </c>
      <c r="AF147" s="11">
        <f>IF(INT(U147/20)&gt;INT(U146/20), "Lần " &amp; INT(U147/20), "")</f>
        <v/>
      </c>
      <c r="AG147" s="11">
        <f>IF(INT(V147/20)&gt;INT(V146/20), "Lần " &amp; INT(V147/20), "")</f>
        <v/>
      </c>
      <c r="AH147" s="11">
        <f>IF(INT(W147/20)&gt;INT(W146/20), "Lần " &amp; INT(W147/20), "")</f>
        <v/>
      </c>
      <c r="AI147" s="11">
        <f>IF(INT(X147/20)&gt;INT(X146/20), "Lần " &amp; INT(X147/20), "")</f>
        <v/>
      </c>
      <c r="AJ147" s="11">
        <f>IF(INT(Y147/20)&gt;INT(Y146/20), "Lần " &amp; INT(Y147/20), "")</f>
        <v/>
      </c>
      <c r="AK147" s="11">
        <f>IF(INT(Z147/20)&gt;INT(Z146/20), "Lần " &amp; INT(Z147/20), "")</f>
        <v/>
      </c>
      <c r="AL147" s="6" t="inlineStr">
        <is>
          <t>ĐẠT TCVN 1651:2018</t>
        </is>
      </c>
    </row>
    <row r="148" ht="19" customHeight="1">
      <c r="A148" s="6" t="n">
        <v>135</v>
      </c>
      <c r="B148" s="7" t="inlineStr">
        <is>
          <t>Cọc khoan nhồi C7 Trụ T1 (D1.2m, L=40.0m)</t>
        </is>
      </c>
      <c r="C148" s="7" t="inlineStr">
        <is>
          <t>Thép đai xoắn lồng cọc</t>
        </is>
      </c>
      <c r="D148" s="18" t="inlineStr">
        <is>
          <t>P1B</t>
        </is>
      </c>
      <c r="E148" s="19" t="n">
        <v>10</v>
      </c>
      <c r="F148" s="6" t="inlineStr">
        <is>
          <t>CB240-T</t>
        </is>
      </c>
      <c r="G148" s="7" t="inlineStr">
        <is>
          <t>Đai xoắn tròn</t>
        </is>
      </c>
      <c r="H148" s="20" t="n">
        <v>206.981</v>
      </c>
      <c r="I148" s="21" t="n">
        <v>1</v>
      </c>
      <c r="J148" s="22" t="n">
        <v>0.617</v>
      </c>
      <c r="K148" s="9">
        <f>ROUND(H148*I148*J148, 2)</f>
        <v/>
      </c>
      <c r="L148" s="23">
        <f>ROUND(K148/1000, 3)</f>
        <v/>
      </c>
      <c r="M148" s="8" t="n"/>
      <c r="N148" s="6" t="n"/>
      <c r="O148" s="24">
        <f>IF(AND(E148&lt;=10, F148&lt;&gt;"ASTM A416", INT(P148/20)&gt;INT(P147/20)), "TN Ø10 (Lần " &amp; INT(P148/20) &amp; ")", IF(AND(E148=12, INT(Q148/20)&gt;INT(Q147/20)), "TN Ø12 (Lần " &amp; INT(Q148/20) &amp; ")", IF(AND(E148=14, INT(R148/20)&gt;INT(R147/20)), "TN Ø14 (Lần " &amp; INT(R148/20) &amp; ")", IF(AND(E148=16, INT(S148/20)&gt;INT(S147/20)), "TN Ø16 (Lần " &amp; INT(S148/20) &amp; ")", IF(AND(E148=18, INT(T148/20)&gt;INT(T147/20)), "TN Ø18 (Lần " &amp; INT(T148/20) &amp; ")", IF(AND(E148=20, INT(U148/20)&gt;INT(U147/20)), "TN Ø20 (Lần " &amp; INT(U148/20) &amp; ")", IF(AND(E148=22, INT(V148/20)&gt;INT(V147/20)), "TN Ø22 (Lần " &amp; INT(V148/20) &amp; ")", IF(AND(E148=25, INT(W148/20)&gt;INT(W147/20)), "TN Ø25 (Lần " &amp; INT(W148/20) &amp; ")", IF(AND(E148=28, INT(X148/20)&gt;INT(X147/20)), "TN Ø28 (Lần " &amp; INT(X148/20) &amp; ")", IF(AND(E148=32, INT(Y148/20)&gt;INT(Y147/20)), "TN Ø32 (Lần " &amp; INT(Y148/20) &amp; ")", IF(AND(F148="ASTM A416", INT(Z148/20)&gt;INT(Z147/20)), "TN Cáp 15.2 (Lần " &amp; INT(Z148/20) &amp; ")", "")))))))))))</f>
        <v/>
      </c>
      <c r="P148" s="20">
        <f>ROUND(P147 + IF(AND(E148&lt;=10, F148&lt;&gt;"ASTM A416"), L148, 0), 3)</f>
        <v/>
      </c>
      <c r="Q148" s="20">
        <f>ROUND(Q147 + IF(AND(E148=12, F148&lt;&gt;"ASTM A416"), L148, 0), 3)</f>
        <v/>
      </c>
      <c r="R148" s="20">
        <f>ROUND(R147 + IF(AND(E148=14, F148&lt;&gt;"ASTM A416"), L148, 0), 3)</f>
        <v/>
      </c>
      <c r="S148" s="20">
        <f>ROUND(S147 + IF(AND(E148=16, F148&lt;&gt;"ASTM A416"), L148, 0), 3)</f>
        <v/>
      </c>
      <c r="T148" s="20">
        <f>ROUND(T147 + IF(AND(E148=18, F148&lt;&gt;"ASTM A416"), L148, 0), 3)</f>
        <v/>
      </c>
      <c r="U148" s="20">
        <f>ROUND(U147 + IF(AND(E148=20, F148&lt;&gt;"ASTM A416"), L148, 0), 3)</f>
        <v/>
      </c>
      <c r="V148" s="20">
        <f>ROUND(V147 + IF(AND(E148=22, F148&lt;&gt;"ASTM A416"), L148, 0), 3)</f>
        <v/>
      </c>
      <c r="W148" s="20">
        <f>ROUND(W147 + IF(AND(E148=25, F148&lt;&gt;"ASTM A416"), L148, 0), 3)</f>
        <v/>
      </c>
      <c r="X148" s="20">
        <f>ROUND(X147 + IF(AND(E148=28, F148&lt;&gt;"ASTM A416"), L148, 0), 3)</f>
        <v/>
      </c>
      <c r="Y148" s="20">
        <f>ROUND(Y147 + IF(AND(E148=32, F148&lt;&gt;"ASTM A416"), L148, 0), 3)</f>
        <v/>
      </c>
      <c r="Z148" s="20">
        <f>ROUND(Z147 + IF(F148="ASTM A416", L148, 0), 3)</f>
        <v/>
      </c>
      <c r="AA148" s="11">
        <f>IF(INT(P148/20)&gt;INT(P147/20), "Lần " &amp; INT(P148/20), "")</f>
        <v/>
      </c>
      <c r="AB148" s="11">
        <f>IF(INT(Q148/20)&gt;INT(Q147/20), "Lần " &amp; INT(Q148/20), "")</f>
        <v/>
      </c>
      <c r="AC148" s="11">
        <f>IF(INT(R148/20)&gt;INT(R147/20), "Lần " &amp; INT(R148/20), "")</f>
        <v/>
      </c>
      <c r="AD148" s="11">
        <f>IF(INT(S148/20)&gt;INT(S147/20), "Lần " &amp; INT(S148/20), "")</f>
        <v/>
      </c>
      <c r="AE148" s="11">
        <f>IF(INT(T148/20)&gt;INT(T147/20), "Lần " &amp; INT(T148/20), "")</f>
        <v/>
      </c>
      <c r="AF148" s="11">
        <f>IF(INT(U148/20)&gt;INT(U147/20), "Lần " &amp; INT(U148/20), "")</f>
        <v/>
      </c>
      <c r="AG148" s="11">
        <f>IF(INT(V148/20)&gt;INT(V147/20), "Lần " &amp; INT(V148/20), "")</f>
        <v/>
      </c>
      <c r="AH148" s="11">
        <f>IF(INT(W148/20)&gt;INT(W147/20), "Lần " &amp; INT(W148/20), "")</f>
        <v/>
      </c>
      <c r="AI148" s="11">
        <f>IF(INT(X148/20)&gt;INT(X147/20), "Lần " &amp; INT(X148/20), "")</f>
        <v/>
      </c>
      <c r="AJ148" s="11">
        <f>IF(INT(Y148/20)&gt;INT(Y147/20), "Lần " &amp; INT(Y148/20), "")</f>
        <v/>
      </c>
      <c r="AK148" s="11">
        <f>IF(INT(Z148/20)&gt;INT(Z147/20), "Lần " &amp; INT(Z148/20), "")</f>
        <v/>
      </c>
      <c r="AL148" s="6" t="inlineStr">
        <is>
          <t>ĐẠT TCVN 1651:2018</t>
        </is>
      </c>
    </row>
    <row r="149" ht="19" customHeight="1">
      <c r="A149" s="6" t="n">
        <v>136</v>
      </c>
      <c r="B149" s="7" t="inlineStr">
        <is>
          <t>Cọc khoan nhồi C7 Trụ T1 (D1.2m, L=40.0m)</t>
        </is>
      </c>
      <c r="C149" s="7" t="inlineStr">
        <is>
          <t>Thép đai xoắn lồng cọc</t>
        </is>
      </c>
      <c r="D149" s="18" t="inlineStr">
        <is>
          <t>P1C</t>
        </is>
      </c>
      <c r="E149" s="19" t="n">
        <v>10</v>
      </c>
      <c r="F149" s="6" t="inlineStr">
        <is>
          <t>CB240-T</t>
        </is>
      </c>
      <c r="G149" s="7" t="inlineStr">
        <is>
          <t>Đai xoắn tròn</t>
        </is>
      </c>
      <c r="H149" s="20" t="n">
        <v>3.592</v>
      </c>
      <c r="I149" s="21" t="n">
        <v>2</v>
      </c>
      <c r="J149" s="22" t="n">
        <v>0.617</v>
      </c>
      <c r="K149" s="9">
        <f>ROUND(H149*I149*J149, 2)</f>
        <v/>
      </c>
      <c r="L149" s="23">
        <f>ROUND(K149/1000, 3)</f>
        <v/>
      </c>
      <c r="M149" s="8" t="n"/>
      <c r="N149" s="6" t="n"/>
      <c r="O149" s="24">
        <f>IF(AND(E149&lt;=10, F149&lt;&gt;"ASTM A416", INT(P149/20)&gt;INT(P148/20)), "TN Ø10 (Lần " &amp; INT(P149/20) &amp; ")", IF(AND(E149=12, INT(Q149/20)&gt;INT(Q148/20)), "TN Ø12 (Lần " &amp; INT(Q149/20) &amp; ")", IF(AND(E149=14, INT(R149/20)&gt;INT(R148/20)), "TN Ø14 (Lần " &amp; INT(R149/20) &amp; ")", IF(AND(E149=16, INT(S149/20)&gt;INT(S148/20)), "TN Ø16 (Lần " &amp; INT(S149/20) &amp; ")", IF(AND(E149=18, INT(T149/20)&gt;INT(T148/20)), "TN Ø18 (Lần " &amp; INT(T149/20) &amp; ")", IF(AND(E149=20, INT(U149/20)&gt;INT(U148/20)), "TN Ø20 (Lần " &amp; INT(U149/20) &amp; ")", IF(AND(E149=22, INT(V149/20)&gt;INT(V148/20)), "TN Ø22 (Lần " &amp; INT(V149/20) &amp; ")", IF(AND(E149=25, INT(W149/20)&gt;INT(W148/20)), "TN Ø25 (Lần " &amp; INT(W149/20) &amp; ")", IF(AND(E149=28, INT(X149/20)&gt;INT(X148/20)), "TN Ø28 (Lần " &amp; INT(X149/20) &amp; ")", IF(AND(E149=32, INT(Y149/20)&gt;INT(Y148/20)), "TN Ø32 (Lần " &amp; INT(Y149/20) &amp; ")", IF(AND(F149="ASTM A416", INT(Z149/20)&gt;INT(Z148/20)), "TN Cáp 15.2 (Lần " &amp; INT(Z149/20) &amp; ")", "")))))))))))</f>
        <v/>
      </c>
      <c r="P149" s="20">
        <f>ROUND(P148 + IF(AND(E149&lt;=10, F149&lt;&gt;"ASTM A416"), L149, 0), 3)</f>
        <v/>
      </c>
      <c r="Q149" s="20">
        <f>ROUND(Q148 + IF(AND(E149=12, F149&lt;&gt;"ASTM A416"), L149, 0), 3)</f>
        <v/>
      </c>
      <c r="R149" s="20">
        <f>ROUND(R148 + IF(AND(E149=14, F149&lt;&gt;"ASTM A416"), L149, 0), 3)</f>
        <v/>
      </c>
      <c r="S149" s="20">
        <f>ROUND(S148 + IF(AND(E149=16, F149&lt;&gt;"ASTM A416"), L149, 0), 3)</f>
        <v/>
      </c>
      <c r="T149" s="20">
        <f>ROUND(T148 + IF(AND(E149=18, F149&lt;&gt;"ASTM A416"), L149, 0), 3)</f>
        <v/>
      </c>
      <c r="U149" s="20">
        <f>ROUND(U148 + IF(AND(E149=20, F149&lt;&gt;"ASTM A416"), L149, 0), 3)</f>
        <v/>
      </c>
      <c r="V149" s="20">
        <f>ROUND(V148 + IF(AND(E149=22, F149&lt;&gt;"ASTM A416"), L149, 0), 3)</f>
        <v/>
      </c>
      <c r="W149" s="20">
        <f>ROUND(W148 + IF(AND(E149=25, F149&lt;&gt;"ASTM A416"), L149, 0), 3)</f>
        <v/>
      </c>
      <c r="X149" s="20">
        <f>ROUND(X148 + IF(AND(E149=28, F149&lt;&gt;"ASTM A416"), L149, 0), 3)</f>
        <v/>
      </c>
      <c r="Y149" s="20">
        <f>ROUND(Y148 + IF(AND(E149=32, F149&lt;&gt;"ASTM A416"), L149, 0), 3)</f>
        <v/>
      </c>
      <c r="Z149" s="20">
        <f>ROUND(Z148 + IF(F149="ASTM A416", L149, 0), 3)</f>
        <v/>
      </c>
      <c r="AA149" s="11">
        <f>IF(INT(P149/20)&gt;INT(P148/20), "Lần " &amp; INT(P149/20), "")</f>
        <v/>
      </c>
      <c r="AB149" s="11">
        <f>IF(INT(Q149/20)&gt;INT(Q148/20), "Lần " &amp; INT(Q149/20), "")</f>
        <v/>
      </c>
      <c r="AC149" s="11">
        <f>IF(INT(R149/20)&gt;INT(R148/20), "Lần " &amp; INT(R149/20), "")</f>
        <v/>
      </c>
      <c r="AD149" s="11">
        <f>IF(INT(S149/20)&gt;INT(S148/20), "Lần " &amp; INT(S149/20), "")</f>
        <v/>
      </c>
      <c r="AE149" s="11">
        <f>IF(INT(T149/20)&gt;INT(T148/20), "Lần " &amp; INT(T149/20), "")</f>
        <v/>
      </c>
      <c r="AF149" s="11">
        <f>IF(INT(U149/20)&gt;INT(U148/20), "Lần " &amp; INT(U149/20), "")</f>
        <v/>
      </c>
      <c r="AG149" s="11">
        <f>IF(INT(V149/20)&gt;INT(V148/20), "Lần " &amp; INT(V149/20), "")</f>
        <v/>
      </c>
      <c r="AH149" s="11">
        <f>IF(INT(W149/20)&gt;INT(W148/20), "Lần " &amp; INT(W149/20), "")</f>
        <v/>
      </c>
      <c r="AI149" s="11">
        <f>IF(INT(X149/20)&gt;INT(X148/20), "Lần " &amp; INT(X149/20), "")</f>
        <v/>
      </c>
      <c r="AJ149" s="11">
        <f>IF(INT(Y149/20)&gt;INT(Y148/20), "Lần " &amp; INT(Y149/20), "")</f>
        <v/>
      </c>
      <c r="AK149" s="11">
        <f>IF(INT(Z149/20)&gt;INT(Z148/20), "Lần " &amp; INT(Z149/20), "")</f>
        <v/>
      </c>
      <c r="AL149" s="6" t="inlineStr">
        <is>
          <t>ĐẠT TCVN 1651:2018</t>
        </is>
      </c>
    </row>
    <row r="150" ht="19" customHeight="1">
      <c r="A150" s="6" t="n">
        <v>137</v>
      </c>
      <c r="B150" s="7" t="inlineStr">
        <is>
          <t>Cọc khoan nhồi C7 Trụ T1 (D1.2m, L=40.0m)</t>
        </is>
      </c>
      <c r="C150" s="7" t="inlineStr">
        <is>
          <t>Thép đai xoắn lồng cọc</t>
        </is>
      </c>
      <c r="D150" s="18" t="inlineStr">
        <is>
          <t>P1D</t>
        </is>
      </c>
      <c r="E150" s="19" t="n">
        <v>10</v>
      </c>
      <c r="F150" s="6" t="inlineStr">
        <is>
          <t>CB240-T</t>
        </is>
      </c>
      <c r="G150" s="7" t="inlineStr">
        <is>
          <t>Đai xoắn tròn</t>
        </is>
      </c>
      <c r="H150" s="20" t="n">
        <v>19.721</v>
      </c>
      <c r="I150" s="21" t="n">
        <v>1</v>
      </c>
      <c r="J150" s="22" t="n">
        <v>0.617</v>
      </c>
      <c r="K150" s="9">
        <f>ROUND(H150*I150*J150, 2)</f>
        <v/>
      </c>
      <c r="L150" s="23">
        <f>ROUND(K150/1000, 3)</f>
        <v/>
      </c>
      <c r="M150" s="8" t="n"/>
      <c r="N150" s="6" t="n"/>
      <c r="O150" s="24">
        <f>IF(AND(E150&lt;=10, F150&lt;&gt;"ASTM A416", INT(P150/20)&gt;INT(P149/20)), "TN Ø10 (Lần " &amp; INT(P150/20) &amp; ")", IF(AND(E150=12, INT(Q150/20)&gt;INT(Q149/20)), "TN Ø12 (Lần " &amp; INT(Q150/20) &amp; ")", IF(AND(E150=14, INT(R150/20)&gt;INT(R149/20)), "TN Ø14 (Lần " &amp; INT(R150/20) &amp; ")", IF(AND(E150=16, INT(S150/20)&gt;INT(S149/20)), "TN Ø16 (Lần " &amp; INT(S150/20) &amp; ")", IF(AND(E150=18, INT(T150/20)&gt;INT(T149/20)), "TN Ø18 (Lần " &amp; INT(T150/20) &amp; ")", IF(AND(E150=20, INT(U150/20)&gt;INT(U149/20)), "TN Ø20 (Lần " &amp; INT(U150/20) &amp; ")", IF(AND(E150=22, INT(V150/20)&gt;INT(V149/20)), "TN Ø22 (Lần " &amp; INT(V150/20) &amp; ")", IF(AND(E150=25, INT(W150/20)&gt;INT(W149/20)), "TN Ø25 (Lần " &amp; INT(W150/20) &amp; ")", IF(AND(E150=28, INT(X150/20)&gt;INT(X149/20)), "TN Ø28 (Lần " &amp; INT(X150/20) &amp; ")", IF(AND(E150=32, INT(Y150/20)&gt;INT(Y149/20)), "TN Ø32 (Lần " &amp; INT(Y150/20) &amp; ")", IF(AND(F150="ASTM A416", INT(Z150/20)&gt;INT(Z149/20)), "TN Cáp 15.2 (Lần " &amp; INT(Z150/20) &amp; ")", "")))))))))))</f>
        <v/>
      </c>
      <c r="P150" s="20">
        <f>ROUND(P149 + IF(AND(E150&lt;=10, F150&lt;&gt;"ASTM A416"), L150, 0), 3)</f>
        <v/>
      </c>
      <c r="Q150" s="20">
        <f>ROUND(Q149 + IF(AND(E150=12, F150&lt;&gt;"ASTM A416"), L150, 0), 3)</f>
        <v/>
      </c>
      <c r="R150" s="20">
        <f>ROUND(R149 + IF(AND(E150=14, F150&lt;&gt;"ASTM A416"), L150, 0), 3)</f>
        <v/>
      </c>
      <c r="S150" s="20">
        <f>ROUND(S149 + IF(AND(E150=16, F150&lt;&gt;"ASTM A416"), L150, 0), 3)</f>
        <v/>
      </c>
      <c r="T150" s="20">
        <f>ROUND(T149 + IF(AND(E150=18, F150&lt;&gt;"ASTM A416"), L150, 0), 3)</f>
        <v/>
      </c>
      <c r="U150" s="20">
        <f>ROUND(U149 + IF(AND(E150=20, F150&lt;&gt;"ASTM A416"), L150, 0), 3)</f>
        <v/>
      </c>
      <c r="V150" s="20">
        <f>ROUND(V149 + IF(AND(E150=22, F150&lt;&gt;"ASTM A416"), L150, 0), 3)</f>
        <v/>
      </c>
      <c r="W150" s="20">
        <f>ROUND(W149 + IF(AND(E150=25, F150&lt;&gt;"ASTM A416"), L150, 0), 3)</f>
        <v/>
      </c>
      <c r="X150" s="20">
        <f>ROUND(X149 + IF(AND(E150=28, F150&lt;&gt;"ASTM A416"), L150, 0), 3)</f>
        <v/>
      </c>
      <c r="Y150" s="20">
        <f>ROUND(Y149 + IF(AND(E150=32, F150&lt;&gt;"ASTM A416"), L150, 0), 3)</f>
        <v/>
      </c>
      <c r="Z150" s="20">
        <f>ROUND(Z149 + IF(F150="ASTM A416", L150, 0), 3)</f>
        <v/>
      </c>
      <c r="AA150" s="11">
        <f>IF(INT(P150/20)&gt;INT(P149/20), "Lần " &amp; INT(P150/20), "")</f>
        <v/>
      </c>
      <c r="AB150" s="11">
        <f>IF(INT(Q150/20)&gt;INT(Q149/20), "Lần " &amp; INT(Q150/20), "")</f>
        <v/>
      </c>
      <c r="AC150" s="11">
        <f>IF(INT(R150/20)&gt;INT(R149/20), "Lần " &amp; INT(R150/20), "")</f>
        <v/>
      </c>
      <c r="AD150" s="11">
        <f>IF(INT(S150/20)&gt;INT(S149/20), "Lần " &amp; INT(S150/20), "")</f>
        <v/>
      </c>
      <c r="AE150" s="11">
        <f>IF(INT(T150/20)&gt;INT(T149/20), "Lần " &amp; INT(T150/20), "")</f>
        <v/>
      </c>
      <c r="AF150" s="11">
        <f>IF(INT(U150/20)&gt;INT(U149/20), "Lần " &amp; INT(U150/20), "")</f>
        <v/>
      </c>
      <c r="AG150" s="11">
        <f>IF(INT(V150/20)&gt;INT(V149/20), "Lần " &amp; INT(V150/20), "")</f>
        <v/>
      </c>
      <c r="AH150" s="11">
        <f>IF(INT(W150/20)&gt;INT(W149/20), "Lần " &amp; INT(W150/20), "")</f>
        <v/>
      </c>
      <c r="AI150" s="11">
        <f>IF(INT(X150/20)&gt;INT(X149/20), "Lần " &amp; INT(X150/20), "")</f>
        <v/>
      </c>
      <c r="AJ150" s="11">
        <f>IF(INT(Y150/20)&gt;INT(Y149/20), "Lần " &amp; INT(Y150/20), "")</f>
        <v/>
      </c>
      <c r="AK150" s="11">
        <f>IF(INT(Z150/20)&gt;INT(Z149/20), "Lần " &amp; INT(Z150/20), "")</f>
        <v/>
      </c>
      <c r="AL150" s="6" t="inlineStr">
        <is>
          <t>ĐẠT TCVN 1651:2018</t>
        </is>
      </c>
    </row>
    <row r="151" ht="19" customHeight="1">
      <c r="A151" s="6" t="n">
        <v>138</v>
      </c>
      <c r="B151" s="7" t="inlineStr">
        <is>
          <t>Cọc khoan nhồi C7 Trụ T1 (D1.2m, L=40.0m)</t>
        </is>
      </c>
      <c r="C151" s="7" t="inlineStr">
        <is>
          <t>Cốt thép chủ chịu lực cọc</t>
        </is>
      </c>
      <c r="D151" s="18" t="inlineStr">
        <is>
          <t>P2B</t>
        </is>
      </c>
      <c r="E151" s="19" t="n">
        <v>25</v>
      </c>
      <c r="F151" s="6" t="inlineStr">
        <is>
          <t>CB400-V</t>
        </is>
      </c>
      <c r="G151" s="7" t="inlineStr">
        <is>
          <t>Thanh thẳng nối ren/hàn</t>
        </is>
      </c>
      <c r="H151" s="20" t="n">
        <v>2.985</v>
      </c>
      <c r="I151" s="21" t="n">
        <v>16</v>
      </c>
      <c r="J151" s="22" t="n">
        <v>3.85</v>
      </c>
      <c r="K151" s="9">
        <f>ROUND(H151*I151*J151, 2)</f>
        <v/>
      </c>
      <c r="L151" s="23">
        <f>ROUND(K151/1000, 3)</f>
        <v/>
      </c>
      <c r="M151" s="8" t="n"/>
      <c r="N151" s="6" t="n"/>
      <c r="O151" s="24">
        <f>IF(AND(E151&lt;=10, F151&lt;&gt;"ASTM A416", INT(P151/20)&gt;INT(P150/20)), "TN Ø10 (Lần " &amp; INT(P151/20) &amp; ")", IF(AND(E151=12, INT(Q151/20)&gt;INT(Q150/20)), "TN Ø12 (Lần " &amp; INT(Q151/20) &amp; ")", IF(AND(E151=14, INT(R151/20)&gt;INT(R150/20)), "TN Ø14 (Lần " &amp; INT(R151/20) &amp; ")", IF(AND(E151=16, INT(S151/20)&gt;INT(S150/20)), "TN Ø16 (Lần " &amp; INT(S151/20) &amp; ")", IF(AND(E151=18, INT(T151/20)&gt;INT(T150/20)), "TN Ø18 (Lần " &amp; INT(T151/20) &amp; ")", IF(AND(E151=20, INT(U151/20)&gt;INT(U150/20)), "TN Ø20 (Lần " &amp; INT(U151/20) &amp; ")", IF(AND(E151=22, INT(V151/20)&gt;INT(V150/20)), "TN Ø22 (Lần " &amp; INT(V151/20) &amp; ")", IF(AND(E151=25, INT(W151/20)&gt;INT(W150/20)), "TN Ø25 (Lần " &amp; INT(W151/20) &amp; ")", IF(AND(E151=28, INT(X151/20)&gt;INT(X150/20)), "TN Ø28 (Lần " &amp; INT(X151/20) &amp; ")", IF(AND(E151=32, INT(Y151/20)&gt;INT(Y150/20)), "TN Ø32 (Lần " &amp; INT(Y151/20) &amp; ")", IF(AND(F151="ASTM A416", INT(Z151/20)&gt;INT(Z150/20)), "TN Cáp 15.2 (Lần " &amp; INT(Z151/20) &amp; ")", "")))))))))))</f>
        <v/>
      </c>
      <c r="P151" s="20">
        <f>ROUND(P150 + IF(AND(E151&lt;=10, F151&lt;&gt;"ASTM A416"), L151, 0), 3)</f>
        <v/>
      </c>
      <c r="Q151" s="20">
        <f>ROUND(Q150 + IF(AND(E151=12, F151&lt;&gt;"ASTM A416"), L151, 0), 3)</f>
        <v/>
      </c>
      <c r="R151" s="20">
        <f>ROUND(R150 + IF(AND(E151=14, F151&lt;&gt;"ASTM A416"), L151, 0), 3)</f>
        <v/>
      </c>
      <c r="S151" s="20">
        <f>ROUND(S150 + IF(AND(E151=16, F151&lt;&gt;"ASTM A416"), L151, 0), 3)</f>
        <v/>
      </c>
      <c r="T151" s="20">
        <f>ROUND(T150 + IF(AND(E151=18, F151&lt;&gt;"ASTM A416"), L151, 0), 3)</f>
        <v/>
      </c>
      <c r="U151" s="20">
        <f>ROUND(U150 + IF(AND(E151=20, F151&lt;&gt;"ASTM A416"), L151, 0), 3)</f>
        <v/>
      </c>
      <c r="V151" s="20">
        <f>ROUND(V150 + IF(AND(E151=22, F151&lt;&gt;"ASTM A416"), L151, 0), 3)</f>
        <v/>
      </c>
      <c r="W151" s="20">
        <f>ROUND(W150 + IF(AND(E151=25, F151&lt;&gt;"ASTM A416"), L151, 0), 3)</f>
        <v/>
      </c>
      <c r="X151" s="20">
        <f>ROUND(X150 + IF(AND(E151=28, F151&lt;&gt;"ASTM A416"), L151, 0), 3)</f>
        <v/>
      </c>
      <c r="Y151" s="20">
        <f>ROUND(Y150 + IF(AND(E151=32, F151&lt;&gt;"ASTM A416"), L151, 0), 3)</f>
        <v/>
      </c>
      <c r="Z151" s="20">
        <f>ROUND(Z150 + IF(F151="ASTM A416", L151, 0), 3)</f>
        <v/>
      </c>
      <c r="AA151" s="11">
        <f>IF(INT(P151/20)&gt;INT(P150/20), "Lần " &amp; INT(P151/20), "")</f>
        <v/>
      </c>
      <c r="AB151" s="11">
        <f>IF(INT(Q151/20)&gt;INT(Q150/20), "Lần " &amp; INT(Q151/20), "")</f>
        <v/>
      </c>
      <c r="AC151" s="11">
        <f>IF(INT(R151/20)&gt;INT(R150/20), "Lần " &amp; INT(R151/20), "")</f>
        <v/>
      </c>
      <c r="AD151" s="11">
        <f>IF(INT(S151/20)&gt;INT(S150/20), "Lần " &amp; INT(S151/20), "")</f>
        <v/>
      </c>
      <c r="AE151" s="11">
        <f>IF(INT(T151/20)&gt;INT(T150/20), "Lần " &amp; INT(T151/20), "")</f>
        <v/>
      </c>
      <c r="AF151" s="11">
        <f>IF(INT(U151/20)&gt;INT(U150/20), "Lần " &amp; INT(U151/20), "")</f>
        <v/>
      </c>
      <c r="AG151" s="11">
        <f>IF(INT(V151/20)&gt;INT(V150/20), "Lần " &amp; INT(V151/20), "")</f>
        <v/>
      </c>
      <c r="AH151" s="11">
        <f>IF(INT(W151/20)&gt;INT(W150/20), "Lần " &amp; INT(W151/20), "")</f>
        <v/>
      </c>
      <c r="AI151" s="11">
        <f>IF(INT(X151/20)&gt;INT(X150/20), "Lần " &amp; INT(X151/20), "")</f>
        <v/>
      </c>
      <c r="AJ151" s="11">
        <f>IF(INT(Y151/20)&gt;INT(Y150/20), "Lần " &amp; INT(Y151/20), "")</f>
        <v/>
      </c>
      <c r="AK151" s="11">
        <f>IF(INT(Z151/20)&gt;INT(Z150/20), "Lần " &amp; INT(Z151/20), "")</f>
        <v/>
      </c>
      <c r="AL151" s="6" t="inlineStr">
        <is>
          <t>ĐẠT TCVN 1651:2018</t>
        </is>
      </c>
    </row>
    <row r="152" ht="19" customHeight="1">
      <c r="A152" s="6" t="n">
        <v>139</v>
      </c>
      <c r="B152" s="7" t="inlineStr">
        <is>
          <t>Cọc khoan nhồi C7 Trụ T1 (D1.2m, L=40.0m)</t>
        </is>
      </c>
      <c r="C152" s="7" t="inlineStr">
        <is>
          <t>Cốt thép chủ chịu lực cọc</t>
        </is>
      </c>
      <c r="D152" s="18" t="inlineStr">
        <is>
          <t>P3</t>
        </is>
      </c>
      <c r="E152" s="19" t="n">
        <v>25</v>
      </c>
      <c r="F152" s="6" t="inlineStr">
        <is>
          <t>CB400-V</t>
        </is>
      </c>
      <c r="G152" s="7" t="inlineStr">
        <is>
          <t>Thanh thẳng nối ren/hàn</t>
        </is>
      </c>
      <c r="H152" s="20" t="n">
        <v>10.7</v>
      </c>
      <c r="I152" s="21" t="n">
        <v>12</v>
      </c>
      <c r="J152" s="22" t="n">
        <v>3.85</v>
      </c>
      <c r="K152" s="9">
        <f>ROUND(H152*I152*J152, 2)</f>
        <v/>
      </c>
      <c r="L152" s="23">
        <f>ROUND(K152/1000, 3)</f>
        <v/>
      </c>
      <c r="M152" s="8" t="n"/>
      <c r="N152" s="6" t="n"/>
      <c r="O152" s="24">
        <f>IF(AND(E152&lt;=10, F152&lt;&gt;"ASTM A416", INT(P152/20)&gt;INT(P151/20)), "TN Ø10 (Lần " &amp; INT(P152/20) &amp; ")", IF(AND(E152=12, INT(Q152/20)&gt;INT(Q151/20)), "TN Ø12 (Lần " &amp; INT(Q152/20) &amp; ")", IF(AND(E152=14, INT(R152/20)&gt;INT(R151/20)), "TN Ø14 (Lần " &amp; INT(R152/20) &amp; ")", IF(AND(E152=16, INT(S152/20)&gt;INT(S151/20)), "TN Ø16 (Lần " &amp; INT(S152/20) &amp; ")", IF(AND(E152=18, INT(T152/20)&gt;INT(T151/20)), "TN Ø18 (Lần " &amp; INT(T152/20) &amp; ")", IF(AND(E152=20, INT(U152/20)&gt;INT(U151/20)), "TN Ø20 (Lần " &amp; INT(U152/20) &amp; ")", IF(AND(E152=22, INT(V152/20)&gt;INT(V151/20)), "TN Ø22 (Lần " &amp; INT(V152/20) &amp; ")", IF(AND(E152=25, INT(W152/20)&gt;INT(W151/20)), "TN Ø25 (Lần " &amp; INT(W152/20) &amp; ")", IF(AND(E152=28, INT(X152/20)&gt;INT(X151/20)), "TN Ø28 (Lần " &amp; INT(X152/20) &amp; ")", IF(AND(E152=32, INT(Y152/20)&gt;INT(Y151/20)), "TN Ø32 (Lần " &amp; INT(Y152/20) &amp; ")", IF(AND(F152="ASTM A416", INT(Z152/20)&gt;INT(Z151/20)), "TN Cáp 15.2 (Lần " &amp; INT(Z152/20) &amp; ")", "")))))))))))</f>
        <v/>
      </c>
      <c r="P152" s="20">
        <f>ROUND(P151 + IF(AND(E152&lt;=10, F152&lt;&gt;"ASTM A416"), L152, 0), 3)</f>
        <v/>
      </c>
      <c r="Q152" s="20">
        <f>ROUND(Q151 + IF(AND(E152=12, F152&lt;&gt;"ASTM A416"), L152, 0), 3)</f>
        <v/>
      </c>
      <c r="R152" s="20">
        <f>ROUND(R151 + IF(AND(E152=14, F152&lt;&gt;"ASTM A416"), L152, 0), 3)</f>
        <v/>
      </c>
      <c r="S152" s="20">
        <f>ROUND(S151 + IF(AND(E152=16, F152&lt;&gt;"ASTM A416"), L152, 0), 3)</f>
        <v/>
      </c>
      <c r="T152" s="20">
        <f>ROUND(T151 + IF(AND(E152=18, F152&lt;&gt;"ASTM A416"), L152, 0), 3)</f>
        <v/>
      </c>
      <c r="U152" s="20">
        <f>ROUND(U151 + IF(AND(E152=20, F152&lt;&gt;"ASTM A416"), L152, 0), 3)</f>
        <v/>
      </c>
      <c r="V152" s="20">
        <f>ROUND(V151 + IF(AND(E152=22, F152&lt;&gt;"ASTM A416"), L152, 0), 3)</f>
        <v/>
      </c>
      <c r="W152" s="20">
        <f>ROUND(W151 + IF(AND(E152=25, F152&lt;&gt;"ASTM A416"), L152, 0), 3)</f>
        <v/>
      </c>
      <c r="X152" s="20">
        <f>ROUND(X151 + IF(AND(E152=28, F152&lt;&gt;"ASTM A416"), L152, 0), 3)</f>
        <v/>
      </c>
      <c r="Y152" s="20">
        <f>ROUND(Y151 + IF(AND(E152=32, F152&lt;&gt;"ASTM A416"), L152, 0), 3)</f>
        <v/>
      </c>
      <c r="Z152" s="20">
        <f>ROUND(Z151 + IF(F152="ASTM A416", L152, 0), 3)</f>
        <v/>
      </c>
      <c r="AA152" s="11">
        <f>IF(INT(P152/20)&gt;INT(P151/20), "Lần " &amp; INT(P152/20), "")</f>
        <v/>
      </c>
      <c r="AB152" s="11">
        <f>IF(INT(Q152/20)&gt;INT(Q151/20), "Lần " &amp; INT(Q152/20), "")</f>
        <v/>
      </c>
      <c r="AC152" s="11">
        <f>IF(INT(R152/20)&gt;INT(R151/20), "Lần " &amp; INT(R152/20), "")</f>
        <v/>
      </c>
      <c r="AD152" s="11">
        <f>IF(INT(S152/20)&gt;INT(S151/20), "Lần " &amp; INT(S152/20), "")</f>
        <v/>
      </c>
      <c r="AE152" s="11">
        <f>IF(INT(T152/20)&gt;INT(T151/20), "Lần " &amp; INT(T152/20), "")</f>
        <v/>
      </c>
      <c r="AF152" s="11">
        <f>IF(INT(U152/20)&gt;INT(U151/20), "Lần " &amp; INT(U152/20), "")</f>
        <v/>
      </c>
      <c r="AG152" s="11">
        <f>IF(INT(V152/20)&gt;INT(V151/20), "Lần " &amp; INT(V152/20), "")</f>
        <v/>
      </c>
      <c r="AH152" s="11">
        <f>IF(INT(W152/20)&gt;INT(W151/20), "Lần " &amp; INT(W152/20), "")</f>
        <v/>
      </c>
      <c r="AI152" s="11">
        <f>IF(INT(X152/20)&gt;INT(X151/20), "Lần " &amp; INT(X152/20), "")</f>
        <v/>
      </c>
      <c r="AJ152" s="11">
        <f>IF(INT(Y152/20)&gt;INT(Y151/20), "Lần " &amp; INT(Y152/20), "")</f>
        <v/>
      </c>
      <c r="AK152" s="11">
        <f>IF(INT(Z152/20)&gt;INT(Z151/20), "Lần " &amp; INT(Z152/20), "")</f>
        <v/>
      </c>
      <c r="AL152" s="6" t="inlineStr">
        <is>
          <t>ĐẠT TCVN 1651:2018</t>
        </is>
      </c>
    </row>
    <row r="153" ht="19" customHeight="1">
      <c r="A153" s="6" t="n">
        <v>140</v>
      </c>
      <c r="B153" s="7" t="inlineStr">
        <is>
          <t>Cọc khoan nhồi C7 Trụ T1 (D1.2m, L=40.0m)</t>
        </is>
      </c>
      <c r="C153" s="7" t="inlineStr">
        <is>
          <t>Cốt thép chủ chịu lực cọc</t>
        </is>
      </c>
      <c r="D153" s="18" t="inlineStr">
        <is>
          <t>P4</t>
        </is>
      </c>
      <c r="E153" s="19" t="n">
        <v>25</v>
      </c>
      <c r="F153" s="6" t="inlineStr">
        <is>
          <t>CB400-V</t>
        </is>
      </c>
      <c r="G153" s="7" t="inlineStr">
        <is>
          <t>Thanh thẳng nối ren/hàn</t>
        </is>
      </c>
      <c r="H153" s="20" t="n">
        <v>11.7</v>
      </c>
      <c r="I153" s="21" t="n">
        <v>60</v>
      </c>
      <c r="J153" s="22" t="n">
        <v>3.85</v>
      </c>
      <c r="K153" s="9">
        <f>ROUND(H153*I153*J153, 2)</f>
        <v/>
      </c>
      <c r="L153" s="23">
        <f>ROUND(K153/1000, 3)</f>
        <v/>
      </c>
      <c r="M153" s="8" t="n"/>
      <c r="N153" s="6" t="n"/>
      <c r="O153" s="24">
        <f>IF(AND(E153&lt;=10, F153&lt;&gt;"ASTM A416", INT(P153/20)&gt;INT(P152/20)), "TN Ø10 (Lần " &amp; INT(P153/20) &amp; ")", IF(AND(E153=12, INT(Q153/20)&gt;INT(Q152/20)), "TN Ø12 (Lần " &amp; INT(Q153/20) &amp; ")", IF(AND(E153=14, INT(R153/20)&gt;INT(R152/20)), "TN Ø14 (Lần " &amp; INT(R153/20) &amp; ")", IF(AND(E153=16, INT(S153/20)&gt;INT(S152/20)), "TN Ø16 (Lần " &amp; INT(S153/20) &amp; ")", IF(AND(E153=18, INT(T153/20)&gt;INT(T152/20)), "TN Ø18 (Lần " &amp; INT(T153/20) &amp; ")", IF(AND(E153=20, INT(U153/20)&gt;INT(U152/20)), "TN Ø20 (Lần " &amp; INT(U153/20) &amp; ")", IF(AND(E153=22, INT(V153/20)&gt;INT(V152/20)), "TN Ø22 (Lần " &amp; INT(V153/20) &amp; ")", IF(AND(E153=25, INT(W153/20)&gt;INT(W152/20)), "TN Ø25 (Lần " &amp; INT(W153/20) &amp; ")", IF(AND(E153=28, INT(X153/20)&gt;INT(X152/20)), "TN Ø28 (Lần " &amp; INT(X153/20) &amp; ")", IF(AND(E153=32, INT(Y153/20)&gt;INT(Y152/20)), "TN Ø32 (Lần " &amp; INT(Y153/20) &amp; ")", IF(AND(F153="ASTM A416", INT(Z153/20)&gt;INT(Z152/20)), "TN Cáp 15.2 (Lần " &amp; INT(Z153/20) &amp; ")", "")))))))))))</f>
        <v/>
      </c>
      <c r="P153" s="20">
        <f>ROUND(P152 + IF(AND(E153&lt;=10, F153&lt;&gt;"ASTM A416"), L153, 0), 3)</f>
        <v/>
      </c>
      <c r="Q153" s="20">
        <f>ROUND(Q152 + IF(AND(E153=12, F153&lt;&gt;"ASTM A416"), L153, 0), 3)</f>
        <v/>
      </c>
      <c r="R153" s="20">
        <f>ROUND(R152 + IF(AND(E153=14, F153&lt;&gt;"ASTM A416"), L153, 0), 3)</f>
        <v/>
      </c>
      <c r="S153" s="20">
        <f>ROUND(S152 + IF(AND(E153=16, F153&lt;&gt;"ASTM A416"), L153, 0), 3)</f>
        <v/>
      </c>
      <c r="T153" s="20">
        <f>ROUND(T152 + IF(AND(E153=18, F153&lt;&gt;"ASTM A416"), L153, 0), 3)</f>
        <v/>
      </c>
      <c r="U153" s="20">
        <f>ROUND(U152 + IF(AND(E153=20, F153&lt;&gt;"ASTM A416"), L153, 0), 3)</f>
        <v/>
      </c>
      <c r="V153" s="20">
        <f>ROUND(V152 + IF(AND(E153=22, F153&lt;&gt;"ASTM A416"), L153, 0), 3)</f>
        <v/>
      </c>
      <c r="W153" s="20">
        <f>ROUND(W152 + IF(AND(E153=25, F153&lt;&gt;"ASTM A416"), L153, 0), 3)</f>
        <v/>
      </c>
      <c r="X153" s="20">
        <f>ROUND(X152 + IF(AND(E153=28, F153&lt;&gt;"ASTM A416"), L153, 0), 3)</f>
        <v/>
      </c>
      <c r="Y153" s="20">
        <f>ROUND(Y152 + IF(AND(E153=32, F153&lt;&gt;"ASTM A416"), L153, 0), 3)</f>
        <v/>
      </c>
      <c r="Z153" s="20">
        <f>ROUND(Z152 + IF(F153="ASTM A416", L153, 0), 3)</f>
        <v/>
      </c>
      <c r="AA153" s="11">
        <f>IF(INT(P153/20)&gt;INT(P152/20), "Lần " &amp; INT(P153/20), "")</f>
        <v/>
      </c>
      <c r="AB153" s="11">
        <f>IF(INT(Q153/20)&gt;INT(Q152/20), "Lần " &amp; INT(Q153/20), "")</f>
        <v/>
      </c>
      <c r="AC153" s="11">
        <f>IF(INT(R153/20)&gt;INT(R152/20), "Lần " &amp; INT(R153/20), "")</f>
        <v/>
      </c>
      <c r="AD153" s="11">
        <f>IF(INT(S153/20)&gt;INT(S152/20), "Lần " &amp; INT(S153/20), "")</f>
        <v/>
      </c>
      <c r="AE153" s="11">
        <f>IF(INT(T153/20)&gt;INT(T152/20), "Lần " &amp; INT(T153/20), "")</f>
        <v/>
      </c>
      <c r="AF153" s="11">
        <f>IF(INT(U153/20)&gt;INT(U152/20), "Lần " &amp; INT(U153/20), "")</f>
        <v/>
      </c>
      <c r="AG153" s="11">
        <f>IF(INT(V153/20)&gt;INT(V152/20), "Lần " &amp; INT(V153/20), "")</f>
        <v/>
      </c>
      <c r="AH153" s="11">
        <f>IF(INT(W153/20)&gt;INT(W152/20), "Lần " &amp; INT(W153/20), "")</f>
        <v/>
      </c>
      <c r="AI153" s="11">
        <f>IF(INT(X153/20)&gt;INT(X152/20), "Lần " &amp; INT(X153/20), "")</f>
        <v/>
      </c>
      <c r="AJ153" s="11">
        <f>IF(INT(Y153/20)&gt;INT(Y152/20), "Lần " &amp; INT(Y153/20), "")</f>
        <v/>
      </c>
      <c r="AK153" s="11">
        <f>IF(INT(Z153/20)&gt;INT(Z152/20), "Lần " &amp; INT(Z153/20), "")</f>
        <v/>
      </c>
      <c r="AL153" s="6" t="inlineStr">
        <is>
          <t>ĐẠT TCVN 1651:2018</t>
        </is>
      </c>
    </row>
    <row r="154" ht="19" customHeight="1">
      <c r="A154" s="6" t="n">
        <v>141</v>
      </c>
      <c r="B154" s="7" t="inlineStr">
        <is>
          <t>Cọc khoan nhồi C7 Trụ T1 (D1.2m, L=40.0m)</t>
        </is>
      </c>
      <c r="C154" s="7" t="inlineStr">
        <is>
          <t>Cốt thép chủ chịu lực cọc</t>
        </is>
      </c>
      <c r="D154" s="18" t="inlineStr">
        <is>
          <t>P6</t>
        </is>
      </c>
      <c r="E154" s="19" t="n">
        <v>25</v>
      </c>
      <c r="F154" s="6" t="inlineStr">
        <is>
          <t>CB400-V</t>
        </is>
      </c>
      <c r="G154" s="7" t="inlineStr">
        <is>
          <t>Thanh thẳng nối ren/hàn</t>
        </is>
      </c>
      <c r="H154" s="20" t="n">
        <v>9.032999999999999</v>
      </c>
      <c r="I154" s="21" t="n">
        <v>12</v>
      </c>
      <c r="J154" s="22" t="n">
        <v>3.85</v>
      </c>
      <c r="K154" s="9">
        <f>ROUND(H154*I154*J154, 2)</f>
        <v/>
      </c>
      <c r="L154" s="23">
        <f>ROUND(K154/1000, 3)</f>
        <v/>
      </c>
      <c r="M154" s="8" t="n"/>
      <c r="N154" s="6" t="n"/>
      <c r="O154" s="24">
        <f>IF(AND(E154&lt;=10, F154&lt;&gt;"ASTM A416", INT(P154/20)&gt;INT(P153/20)), "TN Ø10 (Lần " &amp; INT(P154/20) &amp; ")", IF(AND(E154=12, INT(Q154/20)&gt;INT(Q153/20)), "TN Ø12 (Lần " &amp; INT(Q154/20) &amp; ")", IF(AND(E154=14, INT(R154/20)&gt;INT(R153/20)), "TN Ø14 (Lần " &amp; INT(R154/20) &amp; ")", IF(AND(E154=16, INT(S154/20)&gt;INT(S153/20)), "TN Ø16 (Lần " &amp; INT(S154/20) &amp; ")", IF(AND(E154=18, INT(T154/20)&gt;INT(T153/20)), "TN Ø18 (Lần " &amp; INT(T154/20) &amp; ")", IF(AND(E154=20, INT(U154/20)&gt;INT(U153/20)), "TN Ø20 (Lần " &amp; INT(U154/20) &amp; ")", IF(AND(E154=22, INT(V154/20)&gt;INT(V153/20)), "TN Ø22 (Lần " &amp; INT(V154/20) &amp; ")", IF(AND(E154=25, INT(W154/20)&gt;INT(W153/20)), "TN Ø25 (Lần " &amp; INT(W154/20) &amp; ")", IF(AND(E154=28, INT(X154/20)&gt;INT(X153/20)), "TN Ø28 (Lần " &amp; INT(X154/20) &amp; ")", IF(AND(E154=32, INT(Y154/20)&gt;INT(Y153/20)), "TN Ø32 (Lần " &amp; INT(Y154/20) &amp; ")", IF(AND(F154="ASTM A416", INT(Z154/20)&gt;INT(Z153/20)), "TN Cáp 15.2 (Lần " &amp; INT(Z154/20) &amp; ")", "")))))))))))</f>
        <v/>
      </c>
      <c r="P154" s="20">
        <f>ROUND(P153 + IF(AND(E154&lt;=10, F154&lt;&gt;"ASTM A416"), L154, 0), 3)</f>
        <v/>
      </c>
      <c r="Q154" s="20">
        <f>ROUND(Q153 + IF(AND(E154=12, F154&lt;&gt;"ASTM A416"), L154, 0), 3)</f>
        <v/>
      </c>
      <c r="R154" s="20">
        <f>ROUND(R153 + IF(AND(E154=14, F154&lt;&gt;"ASTM A416"), L154, 0), 3)</f>
        <v/>
      </c>
      <c r="S154" s="20">
        <f>ROUND(S153 + IF(AND(E154=16, F154&lt;&gt;"ASTM A416"), L154, 0), 3)</f>
        <v/>
      </c>
      <c r="T154" s="20">
        <f>ROUND(T153 + IF(AND(E154=18, F154&lt;&gt;"ASTM A416"), L154, 0), 3)</f>
        <v/>
      </c>
      <c r="U154" s="20">
        <f>ROUND(U153 + IF(AND(E154=20, F154&lt;&gt;"ASTM A416"), L154, 0), 3)</f>
        <v/>
      </c>
      <c r="V154" s="20">
        <f>ROUND(V153 + IF(AND(E154=22, F154&lt;&gt;"ASTM A416"), L154, 0), 3)</f>
        <v/>
      </c>
      <c r="W154" s="20">
        <f>ROUND(W153 + IF(AND(E154=25, F154&lt;&gt;"ASTM A416"), L154, 0), 3)</f>
        <v/>
      </c>
      <c r="X154" s="20">
        <f>ROUND(X153 + IF(AND(E154=28, F154&lt;&gt;"ASTM A416"), L154, 0), 3)</f>
        <v/>
      </c>
      <c r="Y154" s="20">
        <f>ROUND(Y153 + IF(AND(E154=32, F154&lt;&gt;"ASTM A416"), L154, 0), 3)</f>
        <v/>
      </c>
      <c r="Z154" s="20">
        <f>ROUND(Z153 + IF(F154="ASTM A416", L154, 0), 3)</f>
        <v/>
      </c>
      <c r="AA154" s="11">
        <f>IF(INT(P154/20)&gt;INT(P153/20), "Lần " &amp; INT(P154/20), "")</f>
        <v/>
      </c>
      <c r="AB154" s="11">
        <f>IF(INT(Q154/20)&gt;INT(Q153/20), "Lần " &amp; INT(Q154/20), "")</f>
        <v/>
      </c>
      <c r="AC154" s="11">
        <f>IF(INT(R154/20)&gt;INT(R153/20), "Lần " &amp; INT(R154/20), "")</f>
        <v/>
      </c>
      <c r="AD154" s="11">
        <f>IF(INT(S154/20)&gt;INT(S153/20), "Lần " &amp; INT(S154/20), "")</f>
        <v/>
      </c>
      <c r="AE154" s="11">
        <f>IF(INT(T154/20)&gt;INT(T153/20), "Lần " &amp; INT(T154/20), "")</f>
        <v/>
      </c>
      <c r="AF154" s="11">
        <f>IF(INT(U154/20)&gt;INT(U153/20), "Lần " &amp; INT(U154/20), "")</f>
        <v/>
      </c>
      <c r="AG154" s="11">
        <f>IF(INT(V154/20)&gt;INT(V153/20), "Lần " &amp; INT(V154/20), "")</f>
        <v/>
      </c>
      <c r="AH154" s="11">
        <f>IF(INT(W154/20)&gt;INT(W153/20), "Lần " &amp; INT(W154/20), "")</f>
        <v/>
      </c>
      <c r="AI154" s="11">
        <f>IF(INT(X154/20)&gt;INT(X153/20), "Lần " &amp; INT(X154/20), "")</f>
        <v/>
      </c>
      <c r="AJ154" s="11">
        <f>IF(INT(Y154/20)&gt;INT(Y153/20), "Lần " &amp; INT(Y154/20), "")</f>
        <v/>
      </c>
      <c r="AK154" s="11">
        <f>IF(INT(Z154/20)&gt;INT(Z153/20), "Lần " &amp; INT(Z154/20), "")</f>
        <v/>
      </c>
      <c r="AL154" s="6" t="inlineStr">
        <is>
          <t>ĐẠT TCVN 1651:2018</t>
        </is>
      </c>
    </row>
    <row r="155" ht="19" customHeight="1">
      <c r="A155" s="6" t="n">
        <v>142</v>
      </c>
      <c r="B155" s="7" t="inlineStr">
        <is>
          <t>Cọc khoan nhồi C7 Trụ T1 (D1.2m, L=40.0m)</t>
        </is>
      </c>
      <c r="C155" s="7" t="inlineStr">
        <is>
          <t>Cốt thép chủ chịu lực cọc</t>
        </is>
      </c>
      <c r="D155" s="18" t="inlineStr">
        <is>
          <t>P7</t>
        </is>
      </c>
      <c r="E155" s="19" t="n">
        <v>25</v>
      </c>
      <c r="F155" s="6" t="inlineStr">
        <is>
          <t>CB400-V</t>
        </is>
      </c>
      <c r="G155" s="7" t="inlineStr">
        <is>
          <t>Thanh thẳng nối ren/hàn</t>
        </is>
      </c>
      <c r="H155" s="20" t="n">
        <v>10.033</v>
      </c>
      <c r="I155" s="21" t="n">
        <v>12</v>
      </c>
      <c r="J155" s="22" t="n">
        <v>3.85</v>
      </c>
      <c r="K155" s="9">
        <f>ROUND(H155*I155*J155, 2)</f>
        <v/>
      </c>
      <c r="L155" s="23">
        <f>ROUND(K155/1000, 3)</f>
        <v/>
      </c>
      <c r="M155" s="8" t="n"/>
      <c r="N155" s="6" t="n"/>
      <c r="O155" s="24">
        <f>IF(AND(E155&lt;=10, F155&lt;&gt;"ASTM A416", INT(P155/20)&gt;INT(P154/20)), "TN Ø10 (Lần " &amp; INT(P155/20) &amp; ")", IF(AND(E155=12, INT(Q155/20)&gt;INT(Q154/20)), "TN Ø12 (Lần " &amp; INT(Q155/20) &amp; ")", IF(AND(E155=14, INT(R155/20)&gt;INT(R154/20)), "TN Ø14 (Lần " &amp; INT(R155/20) &amp; ")", IF(AND(E155=16, INT(S155/20)&gt;INT(S154/20)), "TN Ø16 (Lần " &amp; INT(S155/20) &amp; ")", IF(AND(E155=18, INT(T155/20)&gt;INT(T154/20)), "TN Ø18 (Lần " &amp; INT(T155/20) &amp; ")", IF(AND(E155=20, INT(U155/20)&gt;INT(U154/20)), "TN Ø20 (Lần " &amp; INT(U155/20) &amp; ")", IF(AND(E155=22, INT(V155/20)&gt;INT(V154/20)), "TN Ø22 (Lần " &amp; INT(V155/20) &amp; ")", IF(AND(E155=25, INT(W155/20)&gt;INT(W154/20)), "TN Ø25 (Lần " &amp; INT(W155/20) &amp; ")", IF(AND(E155=28, INT(X155/20)&gt;INT(X154/20)), "TN Ø28 (Lần " &amp; INT(X155/20) &amp; ")", IF(AND(E155=32, INT(Y155/20)&gt;INT(Y154/20)), "TN Ø32 (Lần " &amp; INT(Y155/20) &amp; ")", IF(AND(F155="ASTM A416", INT(Z155/20)&gt;INT(Z154/20)), "TN Cáp 15.2 (Lần " &amp; INT(Z155/20) &amp; ")", "")))))))))))</f>
        <v/>
      </c>
      <c r="P155" s="20">
        <f>ROUND(P154 + IF(AND(E155&lt;=10, F155&lt;&gt;"ASTM A416"), L155, 0), 3)</f>
        <v/>
      </c>
      <c r="Q155" s="20">
        <f>ROUND(Q154 + IF(AND(E155=12, F155&lt;&gt;"ASTM A416"), L155, 0), 3)</f>
        <v/>
      </c>
      <c r="R155" s="20">
        <f>ROUND(R154 + IF(AND(E155=14, F155&lt;&gt;"ASTM A416"), L155, 0), 3)</f>
        <v/>
      </c>
      <c r="S155" s="20">
        <f>ROUND(S154 + IF(AND(E155=16, F155&lt;&gt;"ASTM A416"), L155, 0), 3)</f>
        <v/>
      </c>
      <c r="T155" s="20">
        <f>ROUND(T154 + IF(AND(E155=18, F155&lt;&gt;"ASTM A416"), L155, 0), 3)</f>
        <v/>
      </c>
      <c r="U155" s="20">
        <f>ROUND(U154 + IF(AND(E155=20, F155&lt;&gt;"ASTM A416"), L155, 0), 3)</f>
        <v/>
      </c>
      <c r="V155" s="20">
        <f>ROUND(V154 + IF(AND(E155=22, F155&lt;&gt;"ASTM A416"), L155, 0), 3)</f>
        <v/>
      </c>
      <c r="W155" s="20">
        <f>ROUND(W154 + IF(AND(E155=25, F155&lt;&gt;"ASTM A416"), L155, 0), 3)</f>
        <v/>
      </c>
      <c r="X155" s="20">
        <f>ROUND(X154 + IF(AND(E155=28, F155&lt;&gt;"ASTM A416"), L155, 0), 3)</f>
        <v/>
      </c>
      <c r="Y155" s="20">
        <f>ROUND(Y154 + IF(AND(E155=32, F155&lt;&gt;"ASTM A416"), L155, 0), 3)</f>
        <v/>
      </c>
      <c r="Z155" s="20">
        <f>ROUND(Z154 + IF(F155="ASTM A416", L155, 0), 3)</f>
        <v/>
      </c>
      <c r="AA155" s="11">
        <f>IF(INT(P155/20)&gt;INT(P154/20), "Lần " &amp; INT(P155/20), "")</f>
        <v/>
      </c>
      <c r="AB155" s="11">
        <f>IF(INT(Q155/20)&gt;INT(Q154/20), "Lần " &amp; INT(Q155/20), "")</f>
        <v/>
      </c>
      <c r="AC155" s="11">
        <f>IF(INT(R155/20)&gt;INT(R154/20), "Lần " &amp; INT(R155/20), "")</f>
        <v/>
      </c>
      <c r="AD155" s="11">
        <f>IF(INT(S155/20)&gt;INT(S154/20), "Lần " &amp; INT(S155/20), "")</f>
        <v/>
      </c>
      <c r="AE155" s="11">
        <f>IF(INT(T155/20)&gt;INT(T154/20), "Lần " &amp; INT(T155/20), "")</f>
        <v/>
      </c>
      <c r="AF155" s="11">
        <f>IF(INT(U155/20)&gt;INT(U154/20), "Lần " &amp; INT(U155/20), "")</f>
        <v/>
      </c>
      <c r="AG155" s="11">
        <f>IF(INT(V155/20)&gt;INT(V154/20), "Lần " &amp; INT(V155/20), "")</f>
        <v/>
      </c>
      <c r="AH155" s="11">
        <f>IF(INT(W155/20)&gt;INT(W154/20), "Lần " &amp; INT(W155/20), "")</f>
        <v/>
      </c>
      <c r="AI155" s="11">
        <f>IF(INT(X155/20)&gt;INT(X154/20), "Lần " &amp; INT(X155/20), "")</f>
        <v/>
      </c>
      <c r="AJ155" s="11">
        <f>IF(INT(Y155/20)&gt;INT(Y154/20), "Lần " &amp; INT(Y155/20), "")</f>
        <v/>
      </c>
      <c r="AK155" s="11">
        <f>IF(INT(Z155/20)&gt;INT(Z154/20), "Lần " &amp; INT(Z155/20), "")</f>
        <v/>
      </c>
      <c r="AL155" s="6" t="inlineStr">
        <is>
          <t>ĐẠT TCVN 1651:2018</t>
        </is>
      </c>
    </row>
    <row r="156" ht="19" customHeight="1">
      <c r="A156" s="6" t="n">
        <v>143</v>
      </c>
      <c r="B156" s="7" t="inlineStr">
        <is>
          <t>Cọc khoan nhồi C7 Trụ T1 (D1.2m, L=40.0m)</t>
        </is>
      </c>
      <c r="C156" s="7" t="inlineStr">
        <is>
          <t>Đai tăng cường / Con kê bảo vệ</t>
        </is>
      </c>
      <c r="D156" s="18" t="inlineStr">
        <is>
          <t>P8</t>
        </is>
      </c>
      <c r="E156" s="19" t="n">
        <v>12</v>
      </c>
      <c r="F156" s="6" t="inlineStr">
        <is>
          <t>CB400-V</t>
        </is>
      </c>
      <c r="G156" s="7" t="inlineStr">
        <is>
          <t>Móc neo / Vòng đai</t>
        </is>
      </c>
      <c r="H156" s="20" t="n">
        <v>0.647</v>
      </c>
      <c r="I156" s="21" t="n">
        <v>16</v>
      </c>
      <c r="J156" s="22" t="n">
        <v>0.888</v>
      </c>
      <c r="K156" s="9">
        <f>ROUND(H156*I156*J156, 2)</f>
        <v/>
      </c>
      <c r="L156" s="23">
        <f>ROUND(K156/1000, 3)</f>
        <v/>
      </c>
      <c r="M156" s="8" t="n"/>
      <c r="N156" s="6" t="n"/>
      <c r="O156" s="24">
        <f>IF(AND(E156&lt;=10, F156&lt;&gt;"ASTM A416", INT(P156/20)&gt;INT(P155/20)), "TN Ø10 (Lần " &amp; INT(P156/20) &amp; ")", IF(AND(E156=12, INT(Q156/20)&gt;INT(Q155/20)), "TN Ø12 (Lần " &amp; INT(Q156/20) &amp; ")", IF(AND(E156=14, INT(R156/20)&gt;INT(R155/20)), "TN Ø14 (Lần " &amp; INT(R156/20) &amp; ")", IF(AND(E156=16, INT(S156/20)&gt;INT(S155/20)), "TN Ø16 (Lần " &amp; INT(S156/20) &amp; ")", IF(AND(E156=18, INT(T156/20)&gt;INT(T155/20)), "TN Ø18 (Lần " &amp; INT(T156/20) &amp; ")", IF(AND(E156=20, INT(U156/20)&gt;INT(U155/20)), "TN Ø20 (Lần " &amp; INT(U156/20) &amp; ")", IF(AND(E156=22, INT(V156/20)&gt;INT(V155/20)), "TN Ø22 (Lần " &amp; INT(V156/20) &amp; ")", IF(AND(E156=25, INT(W156/20)&gt;INT(W155/20)), "TN Ø25 (Lần " &amp; INT(W156/20) &amp; ")", IF(AND(E156=28, INT(X156/20)&gt;INT(X155/20)), "TN Ø28 (Lần " &amp; INT(X156/20) &amp; ")", IF(AND(E156=32, INT(Y156/20)&gt;INT(Y155/20)), "TN Ø32 (Lần " &amp; INT(Y156/20) &amp; ")", IF(AND(F156="ASTM A416", INT(Z156/20)&gt;INT(Z155/20)), "TN Cáp 15.2 (Lần " &amp; INT(Z156/20) &amp; ")", "")))))))))))</f>
        <v/>
      </c>
      <c r="P156" s="20">
        <f>ROUND(P155 + IF(AND(E156&lt;=10, F156&lt;&gt;"ASTM A416"), L156, 0), 3)</f>
        <v/>
      </c>
      <c r="Q156" s="20">
        <f>ROUND(Q155 + IF(AND(E156=12, F156&lt;&gt;"ASTM A416"), L156, 0), 3)</f>
        <v/>
      </c>
      <c r="R156" s="20">
        <f>ROUND(R155 + IF(AND(E156=14, F156&lt;&gt;"ASTM A416"), L156, 0), 3)</f>
        <v/>
      </c>
      <c r="S156" s="20">
        <f>ROUND(S155 + IF(AND(E156=16, F156&lt;&gt;"ASTM A416"), L156, 0), 3)</f>
        <v/>
      </c>
      <c r="T156" s="20">
        <f>ROUND(T155 + IF(AND(E156=18, F156&lt;&gt;"ASTM A416"), L156, 0), 3)</f>
        <v/>
      </c>
      <c r="U156" s="20">
        <f>ROUND(U155 + IF(AND(E156=20, F156&lt;&gt;"ASTM A416"), L156, 0), 3)</f>
        <v/>
      </c>
      <c r="V156" s="20">
        <f>ROUND(V155 + IF(AND(E156=22, F156&lt;&gt;"ASTM A416"), L156, 0), 3)</f>
        <v/>
      </c>
      <c r="W156" s="20">
        <f>ROUND(W155 + IF(AND(E156=25, F156&lt;&gt;"ASTM A416"), L156, 0), 3)</f>
        <v/>
      </c>
      <c r="X156" s="20">
        <f>ROUND(X155 + IF(AND(E156=28, F156&lt;&gt;"ASTM A416"), L156, 0), 3)</f>
        <v/>
      </c>
      <c r="Y156" s="20">
        <f>ROUND(Y155 + IF(AND(E156=32, F156&lt;&gt;"ASTM A416"), L156, 0), 3)</f>
        <v/>
      </c>
      <c r="Z156" s="20">
        <f>ROUND(Z155 + IF(F156="ASTM A416", L156, 0), 3)</f>
        <v/>
      </c>
      <c r="AA156" s="11">
        <f>IF(INT(P156/20)&gt;INT(P155/20), "Lần " &amp; INT(P156/20), "")</f>
        <v/>
      </c>
      <c r="AB156" s="11">
        <f>IF(INT(Q156/20)&gt;INT(Q155/20), "Lần " &amp; INT(Q156/20), "")</f>
        <v/>
      </c>
      <c r="AC156" s="11">
        <f>IF(INT(R156/20)&gt;INT(R155/20), "Lần " &amp; INT(R156/20), "")</f>
        <v/>
      </c>
      <c r="AD156" s="11">
        <f>IF(INT(S156/20)&gt;INT(S155/20), "Lần " &amp; INT(S156/20), "")</f>
        <v/>
      </c>
      <c r="AE156" s="11">
        <f>IF(INT(T156/20)&gt;INT(T155/20), "Lần " &amp; INT(T156/20), "")</f>
        <v/>
      </c>
      <c r="AF156" s="11">
        <f>IF(INT(U156/20)&gt;INT(U155/20), "Lần " &amp; INT(U156/20), "")</f>
        <v/>
      </c>
      <c r="AG156" s="11">
        <f>IF(INT(V156/20)&gt;INT(V155/20), "Lần " &amp; INT(V156/20), "")</f>
        <v/>
      </c>
      <c r="AH156" s="11">
        <f>IF(INT(W156/20)&gt;INT(W155/20), "Lần " &amp; INT(W156/20), "")</f>
        <v/>
      </c>
      <c r="AI156" s="11">
        <f>IF(INT(X156/20)&gt;INT(X155/20), "Lần " &amp; INT(X156/20), "")</f>
        <v/>
      </c>
      <c r="AJ156" s="11">
        <f>IF(INT(Y156/20)&gt;INT(Y155/20), "Lần " &amp; INT(Y156/20), "")</f>
        <v/>
      </c>
      <c r="AK156" s="11">
        <f>IF(INT(Z156/20)&gt;INT(Z155/20), "Lần " &amp; INT(Z156/20), "")</f>
        <v/>
      </c>
      <c r="AL156" s="6" t="inlineStr">
        <is>
          <t>ĐẠT TCVN 1651:2018</t>
        </is>
      </c>
    </row>
    <row r="157" ht="19" customHeight="1">
      <c r="A157" s="6" t="n">
        <v>144</v>
      </c>
      <c r="B157" s="7" t="inlineStr">
        <is>
          <t>Cọc khoan nhồi C7 Trụ T1 (D1.2m, L=40.0m)</t>
        </is>
      </c>
      <c r="C157" s="7" t="inlineStr">
        <is>
          <t>Đai tăng cường / Con kê bảo vệ</t>
        </is>
      </c>
      <c r="D157" s="18" t="inlineStr">
        <is>
          <t>P9</t>
        </is>
      </c>
      <c r="E157" s="19" t="n">
        <v>12</v>
      </c>
      <c r="F157" s="6" t="inlineStr">
        <is>
          <t>CB400-V</t>
        </is>
      </c>
      <c r="G157" s="7" t="inlineStr">
        <is>
          <t>Móc neo / Vòng đai</t>
        </is>
      </c>
      <c r="H157" s="20" t="n">
        <v>0.379</v>
      </c>
      <c r="I157" s="21" t="n">
        <v>48</v>
      </c>
      <c r="J157" s="22" t="n">
        <v>0.888</v>
      </c>
      <c r="K157" s="9">
        <f>ROUND(H157*I157*J157, 2)</f>
        <v/>
      </c>
      <c r="L157" s="23">
        <f>ROUND(K157/1000, 3)</f>
        <v/>
      </c>
      <c r="M157" s="8" t="n"/>
      <c r="N157" s="6" t="n"/>
      <c r="O157" s="24">
        <f>IF(AND(E157&lt;=10, F157&lt;&gt;"ASTM A416", INT(P157/20)&gt;INT(P156/20)), "TN Ø10 (Lần " &amp; INT(P157/20) &amp; ")", IF(AND(E157=12, INT(Q157/20)&gt;INT(Q156/20)), "TN Ø12 (Lần " &amp; INT(Q157/20) &amp; ")", IF(AND(E157=14, INT(R157/20)&gt;INT(R156/20)), "TN Ø14 (Lần " &amp; INT(R157/20) &amp; ")", IF(AND(E157=16, INT(S157/20)&gt;INT(S156/20)), "TN Ø16 (Lần " &amp; INT(S157/20) &amp; ")", IF(AND(E157=18, INT(T157/20)&gt;INT(T156/20)), "TN Ø18 (Lần " &amp; INT(T157/20) &amp; ")", IF(AND(E157=20, INT(U157/20)&gt;INT(U156/20)), "TN Ø20 (Lần " &amp; INT(U157/20) &amp; ")", IF(AND(E157=22, INT(V157/20)&gt;INT(V156/20)), "TN Ø22 (Lần " &amp; INT(V157/20) &amp; ")", IF(AND(E157=25, INT(W157/20)&gt;INT(W156/20)), "TN Ø25 (Lần " &amp; INT(W157/20) &amp; ")", IF(AND(E157=28, INT(X157/20)&gt;INT(X156/20)), "TN Ø28 (Lần " &amp; INT(X157/20) &amp; ")", IF(AND(E157=32, INT(Y157/20)&gt;INT(Y156/20)), "TN Ø32 (Lần " &amp; INT(Y157/20) &amp; ")", IF(AND(F157="ASTM A416", INT(Z157/20)&gt;INT(Z156/20)), "TN Cáp 15.2 (Lần " &amp; INT(Z157/20) &amp; ")", "")))))))))))</f>
        <v/>
      </c>
      <c r="P157" s="20">
        <f>ROUND(P156 + IF(AND(E157&lt;=10, F157&lt;&gt;"ASTM A416"), L157, 0), 3)</f>
        <v/>
      </c>
      <c r="Q157" s="20">
        <f>ROUND(Q156 + IF(AND(E157=12, F157&lt;&gt;"ASTM A416"), L157, 0), 3)</f>
        <v/>
      </c>
      <c r="R157" s="20">
        <f>ROUND(R156 + IF(AND(E157=14, F157&lt;&gt;"ASTM A416"), L157, 0), 3)</f>
        <v/>
      </c>
      <c r="S157" s="20">
        <f>ROUND(S156 + IF(AND(E157=16, F157&lt;&gt;"ASTM A416"), L157, 0), 3)</f>
        <v/>
      </c>
      <c r="T157" s="20">
        <f>ROUND(T156 + IF(AND(E157=18, F157&lt;&gt;"ASTM A416"), L157, 0), 3)</f>
        <v/>
      </c>
      <c r="U157" s="20">
        <f>ROUND(U156 + IF(AND(E157=20, F157&lt;&gt;"ASTM A416"), L157, 0), 3)</f>
        <v/>
      </c>
      <c r="V157" s="20">
        <f>ROUND(V156 + IF(AND(E157=22, F157&lt;&gt;"ASTM A416"), L157, 0), 3)</f>
        <v/>
      </c>
      <c r="W157" s="20">
        <f>ROUND(W156 + IF(AND(E157=25, F157&lt;&gt;"ASTM A416"), L157, 0), 3)</f>
        <v/>
      </c>
      <c r="X157" s="20">
        <f>ROUND(X156 + IF(AND(E157=28, F157&lt;&gt;"ASTM A416"), L157, 0), 3)</f>
        <v/>
      </c>
      <c r="Y157" s="20">
        <f>ROUND(Y156 + IF(AND(E157=32, F157&lt;&gt;"ASTM A416"), L157, 0), 3)</f>
        <v/>
      </c>
      <c r="Z157" s="20">
        <f>ROUND(Z156 + IF(F157="ASTM A416", L157, 0), 3)</f>
        <v/>
      </c>
      <c r="AA157" s="11">
        <f>IF(INT(P157/20)&gt;INT(P156/20), "Lần " &amp; INT(P157/20), "")</f>
        <v/>
      </c>
      <c r="AB157" s="11">
        <f>IF(INT(Q157/20)&gt;INT(Q156/20), "Lần " &amp; INT(Q157/20), "")</f>
        <v/>
      </c>
      <c r="AC157" s="11">
        <f>IF(INT(R157/20)&gt;INT(R156/20), "Lần " &amp; INT(R157/20), "")</f>
        <v/>
      </c>
      <c r="AD157" s="11">
        <f>IF(INT(S157/20)&gt;INT(S156/20), "Lần " &amp; INT(S157/20), "")</f>
        <v/>
      </c>
      <c r="AE157" s="11">
        <f>IF(INT(T157/20)&gt;INT(T156/20), "Lần " &amp; INT(T157/20), "")</f>
        <v/>
      </c>
      <c r="AF157" s="11">
        <f>IF(INT(U157/20)&gt;INT(U156/20), "Lần " &amp; INT(U157/20), "")</f>
        <v/>
      </c>
      <c r="AG157" s="11">
        <f>IF(INT(V157/20)&gt;INT(V156/20), "Lần " &amp; INT(V157/20), "")</f>
        <v/>
      </c>
      <c r="AH157" s="11">
        <f>IF(INT(W157/20)&gt;INT(W156/20), "Lần " &amp; INT(W157/20), "")</f>
        <v/>
      </c>
      <c r="AI157" s="11">
        <f>IF(INT(X157/20)&gt;INT(X156/20), "Lần " &amp; INT(X157/20), "")</f>
        <v/>
      </c>
      <c r="AJ157" s="11">
        <f>IF(INT(Y157/20)&gt;INT(Y156/20), "Lần " &amp; INT(Y157/20), "")</f>
        <v/>
      </c>
      <c r="AK157" s="11">
        <f>IF(INT(Z157/20)&gt;INT(Z156/20), "Lần " &amp; INT(Z157/20), "")</f>
        <v/>
      </c>
      <c r="AL157" s="6" t="inlineStr">
        <is>
          <t>ĐẠT TCVN 1651:2018</t>
        </is>
      </c>
    </row>
    <row r="158" ht="19" customHeight="1">
      <c r="A158" s="6" t="n">
        <v>145</v>
      </c>
      <c r="B158" s="7" t="inlineStr">
        <is>
          <t>Cọc khoan nhồi C7 Trụ T1 (D1.2m, L=40.0m)</t>
        </is>
      </c>
      <c r="C158" s="7" t="inlineStr">
        <is>
          <t>Thép đai xoắn lồng cọc</t>
        </is>
      </c>
      <c r="D158" s="18" t="inlineStr">
        <is>
          <t>P10</t>
        </is>
      </c>
      <c r="E158" s="19" t="n">
        <v>20</v>
      </c>
      <c r="F158" s="6" t="inlineStr">
        <is>
          <t>CB400-V</t>
        </is>
      </c>
      <c r="G158" s="7" t="inlineStr">
        <is>
          <t>Đai xoắn tròn</t>
        </is>
      </c>
      <c r="H158" s="20" t="n">
        <v>2.057</v>
      </c>
      <c r="I158" s="21" t="n">
        <v>1</v>
      </c>
      <c r="J158" s="22" t="n">
        <v>2.47</v>
      </c>
      <c r="K158" s="9">
        <f>ROUND(H158*I158*J158, 2)</f>
        <v/>
      </c>
      <c r="L158" s="23">
        <f>ROUND(K158/1000, 3)</f>
        <v/>
      </c>
      <c r="M158" s="8" t="n"/>
      <c r="N158" s="6" t="n"/>
      <c r="O158" s="24">
        <f>IF(AND(E158&lt;=10, F158&lt;&gt;"ASTM A416", INT(P158/20)&gt;INT(P157/20)), "TN Ø10 (Lần " &amp; INT(P158/20) &amp; ")", IF(AND(E158=12, INT(Q158/20)&gt;INT(Q157/20)), "TN Ø12 (Lần " &amp; INT(Q158/20) &amp; ")", IF(AND(E158=14, INT(R158/20)&gt;INT(R157/20)), "TN Ø14 (Lần " &amp; INT(R158/20) &amp; ")", IF(AND(E158=16, INT(S158/20)&gt;INT(S157/20)), "TN Ø16 (Lần " &amp; INT(S158/20) &amp; ")", IF(AND(E158=18, INT(T158/20)&gt;INT(T157/20)), "TN Ø18 (Lần " &amp; INT(T158/20) &amp; ")", IF(AND(E158=20, INT(U158/20)&gt;INT(U157/20)), "TN Ø20 (Lần " &amp; INT(U158/20) &amp; ")", IF(AND(E158=22, INT(V158/20)&gt;INT(V157/20)), "TN Ø22 (Lần " &amp; INT(V158/20) &amp; ")", IF(AND(E158=25, INT(W158/20)&gt;INT(W157/20)), "TN Ø25 (Lần " &amp; INT(W158/20) &amp; ")", IF(AND(E158=28, INT(X158/20)&gt;INT(X157/20)), "TN Ø28 (Lần " &amp; INT(X158/20) &amp; ")", IF(AND(E158=32, INT(Y158/20)&gt;INT(Y157/20)), "TN Ø32 (Lần " &amp; INT(Y158/20) &amp; ")", IF(AND(F158="ASTM A416", INT(Z158/20)&gt;INT(Z157/20)), "TN Cáp 15.2 (Lần " &amp; INT(Z158/20) &amp; ")", "")))))))))))</f>
        <v/>
      </c>
      <c r="P158" s="20">
        <f>ROUND(P157 + IF(AND(E158&lt;=10, F158&lt;&gt;"ASTM A416"), L158, 0), 3)</f>
        <v/>
      </c>
      <c r="Q158" s="20">
        <f>ROUND(Q157 + IF(AND(E158=12, F158&lt;&gt;"ASTM A416"), L158, 0), 3)</f>
        <v/>
      </c>
      <c r="R158" s="20">
        <f>ROUND(R157 + IF(AND(E158=14, F158&lt;&gt;"ASTM A416"), L158, 0), 3)</f>
        <v/>
      </c>
      <c r="S158" s="20">
        <f>ROUND(S157 + IF(AND(E158=16, F158&lt;&gt;"ASTM A416"), L158, 0), 3)</f>
        <v/>
      </c>
      <c r="T158" s="20">
        <f>ROUND(T157 + IF(AND(E158=18, F158&lt;&gt;"ASTM A416"), L158, 0), 3)</f>
        <v/>
      </c>
      <c r="U158" s="20">
        <f>ROUND(U157 + IF(AND(E158=20, F158&lt;&gt;"ASTM A416"), L158, 0), 3)</f>
        <v/>
      </c>
      <c r="V158" s="20">
        <f>ROUND(V157 + IF(AND(E158=22, F158&lt;&gt;"ASTM A416"), L158, 0), 3)</f>
        <v/>
      </c>
      <c r="W158" s="20">
        <f>ROUND(W157 + IF(AND(E158=25, F158&lt;&gt;"ASTM A416"), L158, 0), 3)</f>
        <v/>
      </c>
      <c r="X158" s="20">
        <f>ROUND(X157 + IF(AND(E158=28, F158&lt;&gt;"ASTM A416"), L158, 0), 3)</f>
        <v/>
      </c>
      <c r="Y158" s="20">
        <f>ROUND(Y157 + IF(AND(E158=32, F158&lt;&gt;"ASTM A416"), L158, 0), 3)</f>
        <v/>
      </c>
      <c r="Z158" s="20">
        <f>ROUND(Z157 + IF(F158="ASTM A416", L158, 0), 3)</f>
        <v/>
      </c>
      <c r="AA158" s="11">
        <f>IF(INT(P158/20)&gt;INT(P157/20), "Lần " &amp; INT(P158/20), "")</f>
        <v/>
      </c>
      <c r="AB158" s="11">
        <f>IF(INT(Q158/20)&gt;INT(Q157/20), "Lần " &amp; INT(Q158/20), "")</f>
        <v/>
      </c>
      <c r="AC158" s="11">
        <f>IF(INT(R158/20)&gt;INT(R157/20), "Lần " &amp; INT(R158/20), "")</f>
        <v/>
      </c>
      <c r="AD158" s="11">
        <f>IF(INT(S158/20)&gt;INT(S157/20), "Lần " &amp; INT(S158/20), "")</f>
        <v/>
      </c>
      <c r="AE158" s="11">
        <f>IF(INT(T158/20)&gt;INT(T157/20), "Lần " &amp; INT(T158/20), "")</f>
        <v/>
      </c>
      <c r="AF158" s="11">
        <f>IF(INT(U158/20)&gt;INT(U157/20), "Lần " &amp; INT(U158/20), "")</f>
        <v/>
      </c>
      <c r="AG158" s="11">
        <f>IF(INT(V158/20)&gt;INT(V157/20), "Lần " &amp; INT(V158/20), "")</f>
        <v/>
      </c>
      <c r="AH158" s="11">
        <f>IF(INT(W158/20)&gt;INT(W157/20), "Lần " &amp; INT(W158/20), "")</f>
        <v/>
      </c>
      <c r="AI158" s="11">
        <f>IF(INT(X158/20)&gt;INT(X157/20), "Lần " &amp; INT(X158/20), "")</f>
        <v/>
      </c>
      <c r="AJ158" s="11">
        <f>IF(INT(Y158/20)&gt;INT(Y157/20), "Lần " &amp; INT(Y158/20), "")</f>
        <v/>
      </c>
      <c r="AK158" s="11">
        <f>IF(INT(Z158/20)&gt;INT(Z157/20), "Lần " &amp; INT(Z158/20), "")</f>
        <v/>
      </c>
      <c r="AL158" s="6" t="inlineStr">
        <is>
          <t>ĐẠT TCVN 1651:2018</t>
        </is>
      </c>
    </row>
    <row r="159" ht="19" customHeight="1">
      <c r="A159" s="6" t="n">
        <v>146</v>
      </c>
      <c r="B159" s="7" t="inlineStr">
        <is>
          <t>Cọc khoan nhồi C7 Trụ T1 (D1.2m, L=40.0m)</t>
        </is>
      </c>
      <c r="C159" s="7" t="inlineStr">
        <is>
          <t>Thanh thép treo lồng cọc</t>
        </is>
      </c>
      <c r="D159" s="18" t="inlineStr">
        <is>
          <t>P11</t>
        </is>
      </c>
      <c r="E159" s="19" t="n">
        <v>16</v>
      </c>
      <c r="F159" s="6" t="inlineStr">
        <is>
          <t>CB400-V</t>
        </is>
      </c>
      <c r="G159" s="7" t="inlineStr">
        <is>
          <t>Thanh treo lồng (bảng phụ tr.68)</t>
        </is>
      </c>
      <c r="H159" s="20" t="n">
        <v>2.604</v>
      </c>
      <c r="I159" s="21" t="n">
        <v>4</v>
      </c>
      <c r="J159" s="22" t="n">
        <v>1.58</v>
      </c>
      <c r="K159" s="9">
        <f>ROUND(H159*I159*J159, 2)</f>
        <v/>
      </c>
      <c r="L159" s="23">
        <f>ROUND(K159/1000, 3)</f>
        <v/>
      </c>
      <c r="M159" s="8" t="n"/>
      <c r="N159" s="6" t="n"/>
      <c r="O159" s="24">
        <f>IF(AND(E159&lt;=10, F159&lt;&gt;"ASTM A416", INT(P159/20)&gt;INT(P158/20)), "TN Ø10 (Lần " &amp; INT(P159/20) &amp; ")", IF(AND(E159=12, INT(Q159/20)&gt;INT(Q158/20)), "TN Ø12 (Lần " &amp; INT(Q159/20) &amp; ")", IF(AND(E159=14, INT(R159/20)&gt;INT(R158/20)), "TN Ø14 (Lần " &amp; INT(R159/20) &amp; ")", IF(AND(E159=16, INT(S159/20)&gt;INT(S158/20)), "TN Ø16 (Lần " &amp; INT(S159/20) &amp; ")", IF(AND(E159=18, INT(T159/20)&gt;INT(T158/20)), "TN Ø18 (Lần " &amp; INT(T159/20) &amp; ")", IF(AND(E159=20, INT(U159/20)&gt;INT(U158/20)), "TN Ø20 (Lần " &amp; INT(U159/20) &amp; ")", IF(AND(E159=22, INT(V159/20)&gt;INT(V158/20)), "TN Ø22 (Lần " &amp; INT(V159/20) &amp; ")", IF(AND(E159=25, INT(W159/20)&gt;INT(W158/20)), "TN Ø25 (Lần " &amp; INT(W159/20) &amp; ")", IF(AND(E159=28, INT(X159/20)&gt;INT(X158/20)), "TN Ø28 (Lần " &amp; INT(X159/20) &amp; ")", IF(AND(E159=32, INT(Y159/20)&gt;INT(Y158/20)), "TN Ø32 (Lần " &amp; INT(Y159/20) &amp; ")", IF(AND(F159="ASTM A416", INT(Z159/20)&gt;INT(Z158/20)), "TN Cáp 15.2 (Lần " &amp; INT(Z159/20) &amp; ")", "")))))))))))</f>
        <v/>
      </c>
      <c r="P159" s="20">
        <f>ROUND(P158 + IF(AND(E159&lt;=10, F159&lt;&gt;"ASTM A416"), L159, 0), 3)</f>
        <v/>
      </c>
      <c r="Q159" s="20">
        <f>ROUND(Q158 + IF(AND(E159=12, F159&lt;&gt;"ASTM A416"), L159, 0), 3)</f>
        <v/>
      </c>
      <c r="R159" s="20">
        <f>ROUND(R158 + IF(AND(E159=14, F159&lt;&gt;"ASTM A416"), L159, 0), 3)</f>
        <v/>
      </c>
      <c r="S159" s="20">
        <f>ROUND(S158 + IF(AND(E159=16, F159&lt;&gt;"ASTM A416"), L159, 0), 3)</f>
        <v/>
      </c>
      <c r="T159" s="20">
        <f>ROUND(T158 + IF(AND(E159=18, F159&lt;&gt;"ASTM A416"), L159, 0), 3)</f>
        <v/>
      </c>
      <c r="U159" s="20">
        <f>ROUND(U158 + IF(AND(E159=20, F159&lt;&gt;"ASTM A416"), L159, 0), 3)</f>
        <v/>
      </c>
      <c r="V159" s="20">
        <f>ROUND(V158 + IF(AND(E159=22, F159&lt;&gt;"ASTM A416"), L159, 0), 3)</f>
        <v/>
      </c>
      <c r="W159" s="20">
        <f>ROUND(W158 + IF(AND(E159=25, F159&lt;&gt;"ASTM A416"), L159, 0), 3)</f>
        <v/>
      </c>
      <c r="X159" s="20">
        <f>ROUND(X158 + IF(AND(E159=28, F159&lt;&gt;"ASTM A416"), L159, 0), 3)</f>
        <v/>
      </c>
      <c r="Y159" s="20">
        <f>ROUND(Y158 + IF(AND(E159=32, F159&lt;&gt;"ASTM A416"), L159, 0), 3)</f>
        <v/>
      </c>
      <c r="Z159" s="20">
        <f>ROUND(Z158 + IF(F159="ASTM A416", L159, 0), 3)</f>
        <v/>
      </c>
      <c r="AA159" s="11">
        <f>IF(INT(P159/20)&gt;INT(P158/20), "Lần " &amp; INT(P159/20), "")</f>
        <v/>
      </c>
      <c r="AB159" s="11">
        <f>IF(INT(Q159/20)&gt;INT(Q158/20), "Lần " &amp; INT(Q159/20), "")</f>
        <v/>
      </c>
      <c r="AC159" s="11">
        <f>IF(INT(R159/20)&gt;INT(R158/20), "Lần " &amp; INT(R159/20), "")</f>
        <v/>
      </c>
      <c r="AD159" s="11">
        <f>IF(INT(S159/20)&gt;INT(S158/20), "Lần " &amp; INT(S159/20), "")</f>
        <v/>
      </c>
      <c r="AE159" s="11">
        <f>IF(INT(T159/20)&gt;INT(T158/20), "Lần " &amp; INT(T159/20), "")</f>
        <v/>
      </c>
      <c r="AF159" s="11">
        <f>IF(INT(U159/20)&gt;INT(U158/20), "Lần " &amp; INT(U159/20), "")</f>
        <v/>
      </c>
      <c r="AG159" s="11">
        <f>IF(INT(V159/20)&gt;INT(V158/20), "Lần " &amp; INT(V159/20), "")</f>
        <v/>
      </c>
      <c r="AH159" s="11">
        <f>IF(INT(W159/20)&gt;INT(W158/20), "Lần " &amp; INT(W159/20), "")</f>
        <v/>
      </c>
      <c r="AI159" s="11">
        <f>IF(INT(X159/20)&gt;INT(X158/20), "Lần " &amp; INT(X159/20), "")</f>
        <v/>
      </c>
      <c r="AJ159" s="11">
        <f>IF(INT(Y159/20)&gt;INT(Y158/20), "Lần " &amp; INT(Y159/20), "")</f>
        <v/>
      </c>
      <c r="AK159" s="11">
        <f>IF(INT(Z159/20)&gt;INT(Z158/20), "Lần " &amp; INT(Z159/20), "")</f>
        <v/>
      </c>
      <c r="AL159" s="6" t="inlineStr">
        <is>
          <t>ĐẠT TCVN 1651:2018</t>
        </is>
      </c>
    </row>
    <row r="160" ht="19" customHeight="1">
      <c r="A160" s="6" t="n">
        <v>147</v>
      </c>
      <c r="B160" s="7" t="inlineStr">
        <is>
          <t>Cọc khoan nhồi C7 Trụ T1 (D1.2m, L=40.0m)</t>
        </is>
      </c>
      <c r="C160" s="7" t="inlineStr">
        <is>
          <t>Thép đai xoắn lồng cọc</t>
        </is>
      </c>
      <c r="D160" s="18" t="inlineStr">
        <is>
          <t>P12</t>
        </is>
      </c>
      <c r="E160" s="19" t="n">
        <v>20</v>
      </c>
      <c r="F160" s="6" t="inlineStr">
        <is>
          <t>CB400-V</t>
        </is>
      </c>
      <c r="G160" s="7" t="inlineStr">
        <is>
          <t>Đai xoắn tròn</t>
        </is>
      </c>
      <c r="H160" s="20" t="n">
        <v>0.583</v>
      </c>
      <c r="I160" s="21" t="n">
        <v>64</v>
      </c>
      <c r="J160" s="22" t="n">
        <v>2.47</v>
      </c>
      <c r="K160" s="9">
        <f>ROUND(H160*I160*J160, 2)</f>
        <v/>
      </c>
      <c r="L160" s="23">
        <f>ROUND(K160/1000, 3)</f>
        <v/>
      </c>
      <c r="M160" s="8" t="n"/>
      <c r="N160" s="6" t="n"/>
      <c r="O160" s="24">
        <f>IF(AND(E160&lt;=10, F160&lt;&gt;"ASTM A416", INT(P160/20)&gt;INT(P159/20)), "TN Ø10 (Lần " &amp; INT(P160/20) &amp; ")", IF(AND(E160=12, INT(Q160/20)&gt;INT(Q159/20)), "TN Ø12 (Lần " &amp; INT(Q160/20) &amp; ")", IF(AND(E160=14, INT(R160/20)&gt;INT(R159/20)), "TN Ø14 (Lần " &amp; INT(R160/20) &amp; ")", IF(AND(E160=16, INT(S160/20)&gt;INT(S159/20)), "TN Ø16 (Lần " &amp; INT(S160/20) &amp; ")", IF(AND(E160=18, INT(T160/20)&gt;INT(T159/20)), "TN Ø18 (Lần " &amp; INT(T160/20) &amp; ")", IF(AND(E160=20, INT(U160/20)&gt;INT(U159/20)), "TN Ø20 (Lần " &amp; INT(U160/20) &amp; ")", IF(AND(E160=22, INT(V160/20)&gt;INT(V159/20)), "TN Ø22 (Lần " &amp; INT(V160/20) &amp; ")", IF(AND(E160=25, INT(W160/20)&gt;INT(W159/20)), "TN Ø25 (Lần " &amp; INT(W160/20) &amp; ")", IF(AND(E160=28, INT(X160/20)&gt;INT(X159/20)), "TN Ø28 (Lần " &amp; INT(X160/20) &amp; ")", IF(AND(E160=32, INT(Y160/20)&gt;INT(Y159/20)), "TN Ø32 (Lần " &amp; INT(Y160/20) &amp; ")", IF(AND(F160="ASTM A416", INT(Z160/20)&gt;INT(Z159/20)), "TN Cáp 15.2 (Lần " &amp; INT(Z160/20) &amp; ")", "")))))))))))</f>
        <v/>
      </c>
      <c r="P160" s="20">
        <f>ROUND(P159 + IF(AND(E160&lt;=10, F160&lt;&gt;"ASTM A416"), L160, 0), 3)</f>
        <v/>
      </c>
      <c r="Q160" s="20">
        <f>ROUND(Q159 + IF(AND(E160=12, F160&lt;&gt;"ASTM A416"), L160, 0), 3)</f>
        <v/>
      </c>
      <c r="R160" s="20">
        <f>ROUND(R159 + IF(AND(E160=14, F160&lt;&gt;"ASTM A416"), L160, 0), 3)</f>
        <v/>
      </c>
      <c r="S160" s="20">
        <f>ROUND(S159 + IF(AND(E160=16, F160&lt;&gt;"ASTM A416"), L160, 0), 3)</f>
        <v/>
      </c>
      <c r="T160" s="20">
        <f>ROUND(T159 + IF(AND(E160=18, F160&lt;&gt;"ASTM A416"), L160, 0), 3)</f>
        <v/>
      </c>
      <c r="U160" s="20">
        <f>ROUND(U159 + IF(AND(E160=20, F160&lt;&gt;"ASTM A416"), L160, 0), 3)</f>
        <v/>
      </c>
      <c r="V160" s="20">
        <f>ROUND(V159 + IF(AND(E160=22, F160&lt;&gt;"ASTM A416"), L160, 0), 3)</f>
        <v/>
      </c>
      <c r="W160" s="20">
        <f>ROUND(W159 + IF(AND(E160=25, F160&lt;&gt;"ASTM A416"), L160, 0), 3)</f>
        <v/>
      </c>
      <c r="X160" s="20">
        <f>ROUND(X159 + IF(AND(E160=28, F160&lt;&gt;"ASTM A416"), L160, 0), 3)</f>
        <v/>
      </c>
      <c r="Y160" s="20">
        <f>ROUND(Y159 + IF(AND(E160=32, F160&lt;&gt;"ASTM A416"), L160, 0), 3)</f>
        <v/>
      </c>
      <c r="Z160" s="20">
        <f>ROUND(Z159 + IF(F160="ASTM A416", L160, 0), 3)</f>
        <v/>
      </c>
      <c r="AA160" s="11">
        <f>IF(INT(P160/20)&gt;INT(P159/20), "Lần " &amp; INT(P160/20), "")</f>
        <v/>
      </c>
      <c r="AB160" s="11">
        <f>IF(INT(Q160/20)&gt;INT(Q159/20), "Lần " &amp; INT(Q160/20), "")</f>
        <v/>
      </c>
      <c r="AC160" s="11">
        <f>IF(INT(R160/20)&gt;INT(R159/20), "Lần " &amp; INT(R160/20), "")</f>
        <v/>
      </c>
      <c r="AD160" s="11">
        <f>IF(INT(S160/20)&gt;INT(S159/20), "Lần " &amp; INT(S160/20), "")</f>
        <v/>
      </c>
      <c r="AE160" s="11">
        <f>IF(INT(T160/20)&gt;INT(T159/20), "Lần " &amp; INT(T160/20), "")</f>
        <v/>
      </c>
      <c r="AF160" s="11">
        <f>IF(INT(U160/20)&gt;INT(U159/20), "Lần " &amp; INT(U160/20), "")</f>
        <v/>
      </c>
      <c r="AG160" s="11">
        <f>IF(INT(V160/20)&gt;INT(V159/20), "Lần " &amp; INT(V160/20), "")</f>
        <v/>
      </c>
      <c r="AH160" s="11">
        <f>IF(INT(W160/20)&gt;INT(W159/20), "Lần " &amp; INT(W160/20), "")</f>
        <v/>
      </c>
      <c r="AI160" s="11">
        <f>IF(INT(X160/20)&gt;INT(X159/20), "Lần " &amp; INT(X160/20), "")</f>
        <v/>
      </c>
      <c r="AJ160" s="11">
        <f>IF(INT(Y160/20)&gt;INT(Y159/20), "Lần " &amp; INT(Y160/20), "")</f>
        <v/>
      </c>
      <c r="AK160" s="11">
        <f>IF(INT(Z160/20)&gt;INT(Z159/20), "Lần " &amp; INT(Z160/20), "")</f>
        <v/>
      </c>
      <c r="AL160" s="6" t="inlineStr">
        <is>
          <t>ĐẠT TCVN 1651:2018</t>
        </is>
      </c>
    </row>
    <row r="161" ht="20" customHeight="1">
      <c r="A161" s="17" t="inlineStr">
        <is>
          <t>--- CỌC KHOAN NHỒI C8 TRỤ T1 (D1.2M, L=40.0M) ---</t>
        </is>
      </c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</row>
    <row r="162" ht="19" customHeight="1">
      <c r="A162" s="6" t="n">
        <v>148</v>
      </c>
      <c r="B162" s="7" t="inlineStr">
        <is>
          <t>Cọc khoan nhồi C8 Trụ T1 (D1.2m, L=40.0m)</t>
        </is>
      </c>
      <c r="C162" s="7" t="inlineStr">
        <is>
          <t>Thép đai xoắn lồng cọc</t>
        </is>
      </c>
      <c r="D162" s="18" t="inlineStr">
        <is>
          <t>P1</t>
        </is>
      </c>
      <c r="E162" s="19" t="n">
        <v>10</v>
      </c>
      <c r="F162" s="6" t="inlineStr">
        <is>
          <t>CB240-T</t>
        </is>
      </c>
      <c r="G162" s="7" t="inlineStr">
        <is>
          <t>Đai xoắn tròn</t>
        </is>
      </c>
      <c r="H162" s="20" t="n">
        <v>96.604</v>
      </c>
      <c r="I162" s="21" t="n">
        <v>1</v>
      </c>
      <c r="J162" s="22" t="n">
        <v>0.617</v>
      </c>
      <c r="K162" s="9">
        <f>ROUND(H162*I162*J162, 2)</f>
        <v/>
      </c>
      <c r="L162" s="23">
        <f>ROUND(K162/1000, 3)</f>
        <v/>
      </c>
      <c r="M162" s="8" t="n"/>
      <c r="N162" s="6" t="n"/>
      <c r="O162" s="24">
        <f>IF(AND(E162&lt;=10, F162&lt;&gt;"ASTM A416", INT(P162/20)&gt;INT(P160/20)), "TN Ø10 (Lần " &amp; INT(P162/20) &amp; ")", IF(AND(E162=12, INT(Q162/20)&gt;INT(Q160/20)), "TN Ø12 (Lần " &amp; INT(Q162/20) &amp; ")", IF(AND(E162=14, INT(R162/20)&gt;INT(R160/20)), "TN Ø14 (Lần " &amp; INT(R162/20) &amp; ")", IF(AND(E162=16, INT(S162/20)&gt;INT(S160/20)), "TN Ø16 (Lần " &amp; INT(S162/20) &amp; ")", IF(AND(E162=18, INT(T162/20)&gt;INT(T160/20)), "TN Ø18 (Lần " &amp; INT(T162/20) &amp; ")", IF(AND(E162=20, INT(U162/20)&gt;INT(U160/20)), "TN Ø20 (Lần " &amp; INT(U162/20) &amp; ")", IF(AND(E162=22, INT(V162/20)&gt;INT(V160/20)), "TN Ø22 (Lần " &amp; INT(V162/20) &amp; ")", IF(AND(E162=25, INT(W162/20)&gt;INT(W160/20)), "TN Ø25 (Lần " &amp; INT(W162/20) &amp; ")", IF(AND(E162=28, INT(X162/20)&gt;INT(X160/20)), "TN Ø28 (Lần " &amp; INT(X162/20) &amp; ")", IF(AND(E162=32, INT(Y162/20)&gt;INT(Y160/20)), "TN Ø32 (Lần " &amp; INT(Y162/20) &amp; ")", IF(AND(F162="ASTM A416", INT(Z162/20)&gt;INT(Z160/20)), "TN Cáp 15.2 (Lần " &amp; INT(Z162/20) &amp; ")", "")))))))))))</f>
        <v/>
      </c>
      <c r="P162" s="20">
        <f>ROUND(P160 + IF(AND(E162&lt;=10, F162&lt;&gt;"ASTM A416"), L162, 0), 3)</f>
        <v/>
      </c>
      <c r="Q162" s="20">
        <f>ROUND(Q160 + IF(AND(E162=12, F162&lt;&gt;"ASTM A416"), L162, 0), 3)</f>
        <v/>
      </c>
      <c r="R162" s="20">
        <f>ROUND(R160 + IF(AND(E162=14, F162&lt;&gt;"ASTM A416"), L162, 0), 3)</f>
        <v/>
      </c>
      <c r="S162" s="20">
        <f>ROUND(S160 + IF(AND(E162=16, F162&lt;&gt;"ASTM A416"), L162, 0), 3)</f>
        <v/>
      </c>
      <c r="T162" s="20">
        <f>ROUND(T160 + IF(AND(E162=18, F162&lt;&gt;"ASTM A416"), L162, 0), 3)</f>
        <v/>
      </c>
      <c r="U162" s="20">
        <f>ROUND(U160 + IF(AND(E162=20, F162&lt;&gt;"ASTM A416"), L162, 0), 3)</f>
        <v/>
      </c>
      <c r="V162" s="20">
        <f>ROUND(V160 + IF(AND(E162=22, F162&lt;&gt;"ASTM A416"), L162, 0), 3)</f>
        <v/>
      </c>
      <c r="W162" s="20">
        <f>ROUND(W160 + IF(AND(E162=25, F162&lt;&gt;"ASTM A416"), L162, 0), 3)</f>
        <v/>
      </c>
      <c r="X162" s="20">
        <f>ROUND(X160 + IF(AND(E162=28, F162&lt;&gt;"ASTM A416"), L162, 0), 3)</f>
        <v/>
      </c>
      <c r="Y162" s="20">
        <f>ROUND(Y160 + IF(AND(E162=32, F162&lt;&gt;"ASTM A416"), L162, 0), 3)</f>
        <v/>
      </c>
      <c r="Z162" s="20">
        <f>ROUND(Z160 + IF(F162="ASTM A416", L162, 0), 3)</f>
        <v/>
      </c>
      <c r="AA162" s="11">
        <f>IF(INT(P162/20)&gt;INT(P160/20), "Lần " &amp; INT(P162/20), "")</f>
        <v/>
      </c>
      <c r="AB162" s="11">
        <f>IF(INT(Q162/20)&gt;INT(Q160/20), "Lần " &amp; INT(Q162/20), "")</f>
        <v/>
      </c>
      <c r="AC162" s="11">
        <f>IF(INT(R162/20)&gt;INT(R160/20), "Lần " &amp; INT(R162/20), "")</f>
        <v/>
      </c>
      <c r="AD162" s="11">
        <f>IF(INT(S162/20)&gt;INT(S160/20), "Lần " &amp; INT(S162/20), "")</f>
        <v/>
      </c>
      <c r="AE162" s="11">
        <f>IF(INT(T162/20)&gt;INT(T160/20), "Lần " &amp; INT(T162/20), "")</f>
        <v/>
      </c>
      <c r="AF162" s="11">
        <f>IF(INT(U162/20)&gt;INT(U160/20), "Lần " &amp; INT(U162/20), "")</f>
        <v/>
      </c>
      <c r="AG162" s="11">
        <f>IF(INT(V162/20)&gt;INT(V160/20), "Lần " &amp; INT(V162/20), "")</f>
        <v/>
      </c>
      <c r="AH162" s="11">
        <f>IF(INT(W162/20)&gt;INT(W160/20), "Lần " &amp; INT(W162/20), "")</f>
        <v/>
      </c>
      <c r="AI162" s="11">
        <f>IF(INT(X162/20)&gt;INT(X160/20), "Lần " &amp; INT(X162/20), "")</f>
        <v/>
      </c>
      <c r="AJ162" s="11">
        <f>IF(INT(Y162/20)&gt;INT(Y160/20), "Lần " &amp; INT(Y162/20), "")</f>
        <v/>
      </c>
      <c r="AK162" s="11">
        <f>IF(INT(Z162/20)&gt;INT(Z160/20), "Lần " &amp; INT(Z162/20), "")</f>
        <v/>
      </c>
      <c r="AL162" s="6" t="inlineStr">
        <is>
          <t>ĐẠT TCVN 1651:2018</t>
        </is>
      </c>
    </row>
    <row r="163" ht="19" customHeight="1">
      <c r="A163" s="6" t="n">
        <v>149</v>
      </c>
      <c r="B163" s="7" t="inlineStr">
        <is>
          <t>Cọc khoan nhồi C8 Trụ T1 (D1.2m, L=40.0m)</t>
        </is>
      </c>
      <c r="C163" s="7" t="inlineStr">
        <is>
          <t>Thép đai xoắn lồng cọc</t>
        </is>
      </c>
      <c r="D163" s="18" t="inlineStr">
        <is>
          <t>P1A</t>
        </is>
      </c>
      <c r="E163" s="19" t="n">
        <v>10</v>
      </c>
      <c r="F163" s="6" t="inlineStr">
        <is>
          <t>CB240-T</t>
        </is>
      </c>
      <c r="G163" s="7" t="inlineStr">
        <is>
          <t>Đai xoắn tròn</t>
        </is>
      </c>
      <c r="H163" s="20" t="n">
        <v>389.636</v>
      </c>
      <c r="I163" s="21" t="n">
        <v>1</v>
      </c>
      <c r="J163" s="22" t="n">
        <v>0.617</v>
      </c>
      <c r="K163" s="9">
        <f>ROUND(H163*I163*J163, 2)</f>
        <v/>
      </c>
      <c r="L163" s="23">
        <f>ROUND(K163/1000, 3)</f>
        <v/>
      </c>
      <c r="M163" s="8" t="n"/>
      <c r="N163" s="6" t="n"/>
      <c r="O163" s="24">
        <f>IF(AND(E163&lt;=10, F163&lt;&gt;"ASTM A416", INT(P163/20)&gt;INT(P162/20)), "TN Ø10 (Lần " &amp; INT(P163/20) &amp; ")", IF(AND(E163=12, INT(Q163/20)&gt;INT(Q162/20)), "TN Ø12 (Lần " &amp; INT(Q163/20) &amp; ")", IF(AND(E163=14, INT(R163/20)&gt;INT(R162/20)), "TN Ø14 (Lần " &amp; INT(R163/20) &amp; ")", IF(AND(E163=16, INT(S163/20)&gt;INT(S162/20)), "TN Ø16 (Lần " &amp; INT(S163/20) &amp; ")", IF(AND(E163=18, INT(T163/20)&gt;INT(T162/20)), "TN Ø18 (Lần " &amp; INT(T163/20) &amp; ")", IF(AND(E163=20, INT(U163/20)&gt;INT(U162/20)), "TN Ø20 (Lần " &amp; INT(U163/20) &amp; ")", IF(AND(E163=22, INT(V163/20)&gt;INT(V162/20)), "TN Ø22 (Lần " &amp; INT(V163/20) &amp; ")", IF(AND(E163=25, INT(W163/20)&gt;INT(W162/20)), "TN Ø25 (Lần " &amp; INT(W163/20) &amp; ")", IF(AND(E163=28, INT(X163/20)&gt;INT(X162/20)), "TN Ø28 (Lần " &amp; INT(X163/20) &amp; ")", IF(AND(E163=32, INT(Y163/20)&gt;INT(Y162/20)), "TN Ø32 (Lần " &amp; INT(Y163/20) &amp; ")", IF(AND(F163="ASTM A416", INT(Z163/20)&gt;INT(Z162/20)), "TN Cáp 15.2 (Lần " &amp; INT(Z163/20) &amp; ")", "")))))))))))</f>
        <v/>
      </c>
      <c r="P163" s="20">
        <f>ROUND(P162 + IF(AND(E163&lt;=10, F163&lt;&gt;"ASTM A416"), L163, 0), 3)</f>
        <v/>
      </c>
      <c r="Q163" s="20">
        <f>ROUND(Q162 + IF(AND(E163=12, F163&lt;&gt;"ASTM A416"), L163, 0), 3)</f>
        <v/>
      </c>
      <c r="R163" s="20">
        <f>ROUND(R162 + IF(AND(E163=14, F163&lt;&gt;"ASTM A416"), L163, 0), 3)</f>
        <v/>
      </c>
      <c r="S163" s="20">
        <f>ROUND(S162 + IF(AND(E163=16, F163&lt;&gt;"ASTM A416"), L163, 0), 3)</f>
        <v/>
      </c>
      <c r="T163" s="20">
        <f>ROUND(T162 + IF(AND(E163=18, F163&lt;&gt;"ASTM A416"), L163, 0), 3)</f>
        <v/>
      </c>
      <c r="U163" s="20">
        <f>ROUND(U162 + IF(AND(E163=20, F163&lt;&gt;"ASTM A416"), L163, 0), 3)</f>
        <v/>
      </c>
      <c r="V163" s="20">
        <f>ROUND(V162 + IF(AND(E163=22, F163&lt;&gt;"ASTM A416"), L163, 0), 3)</f>
        <v/>
      </c>
      <c r="W163" s="20">
        <f>ROUND(W162 + IF(AND(E163=25, F163&lt;&gt;"ASTM A416"), L163, 0), 3)</f>
        <v/>
      </c>
      <c r="X163" s="20">
        <f>ROUND(X162 + IF(AND(E163=28, F163&lt;&gt;"ASTM A416"), L163, 0), 3)</f>
        <v/>
      </c>
      <c r="Y163" s="20">
        <f>ROUND(Y162 + IF(AND(E163=32, F163&lt;&gt;"ASTM A416"), L163, 0), 3)</f>
        <v/>
      </c>
      <c r="Z163" s="20">
        <f>ROUND(Z162 + IF(F163="ASTM A416", L163, 0), 3)</f>
        <v/>
      </c>
      <c r="AA163" s="11">
        <f>IF(INT(P163/20)&gt;INT(P162/20), "Lần " &amp; INT(P163/20), "")</f>
        <v/>
      </c>
      <c r="AB163" s="11">
        <f>IF(INT(Q163/20)&gt;INT(Q162/20), "Lần " &amp; INT(Q163/20), "")</f>
        <v/>
      </c>
      <c r="AC163" s="11">
        <f>IF(INT(R163/20)&gt;INT(R162/20), "Lần " &amp; INT(R163/20), "")</f>
        <v/>
      </c>
      <c r="AD163" s="11">
        <f>IF(INT(S163/20)&gt;INT(S162/20), "Lần " &amp; INT(S163/20), "")</f>
        <v/>
      </c>
      <c r="AE163" s="11">
        <f>IF(INT(T163/20)&gt;INT(T162/20), "Lần " &amp; INT(T163/20), "")</f>
        <v/>
      </c>
      <c r="AF163" s="11">
        <f>IF(INT(U163/20)&gt;INT(U162/20), "Lần " &amp; INT(U163/20), "")</f>
        <v/>
      </c>
      <c r="AG163" s="11">
        <f>IF(INT(V163/20)&gt;INT(V162/20), "Lần " &amp; INT(V163/20), "")</f>
        <v/>
      </c>
      <c r="AH163" s="11">
        <f>IF(INT(W163/20)&gt;INT(W162/20), "Lần " &amp; INT(W163/20), "")</f>
        <v/>
      </c>
      <c r="AI163" s="11">
        <f>IF(INT(X163/20)&gt;INT(X162/20), "Lần " &amp; INT(X163/20), "")</f>
        <v/>
      </c>
      <c r="AJ163" s="11">
        <f>IF(INT(Y163/20)&gt;INT(Y162/20), "Lần " &amp; INT(Y163/20), "")</f>
        <v/>
      </c>
      <c r="AK163" s="11">
        <f>IF(INT(Z163/20)&gt;INT(Z162/20), "Lần " &amp; INT(Z163/20), "")</f>
        <v/>
      </c>
      <c r="AL163" s="6" t="inlineStr">
        <is>
          <t>ĐẠT TCVN 1651:2018</t>
        </is>
      </c>
    </row>
    <row r="164" ht="19" customHeight="1">
      <c r="A164" s="6" t="n">
        <v>150</v>
      </c>
      <c r="B164" s="7" t="inlineStr">
        <is>
          <t>Cọc khoan nhồi C8 Trụ T1 (D1.2m, L=40.0m)</t>
        </is>
      </c>
      <c r="C164" s="7" t="inlineStr">
        <is>
          <t>Thép đai xoắn lồng cọc</t>
        </is>
      </c>
      <c r="D164" s="18" t="inlineStr">
        <is>
          <t>P1B</t>
        </is>
      </c>
      <c r="E164" s="19" t="n">
        <v>10</v>
      </c>
      <c r="F164" s="6" t="inlineStr">
        <is>
          <t>CB240-T</t>
        </is>
      </c>
      <c r="G164" s="7" t="inlineStr">
        <is>
          <t>Đai xoắn tròn</t>
        </is>
      </c>
      <c r="H164" s="20" t="n">
        <v>206.981</v>
      </c>
      <c r="I164" s="21" t="n">
        <v>1</v>
      </c>
      <c r="J164" s="22" t="n">
        <v>0.617</v>
      </c>
      <c r="K164" s="9">
        <f>ROUND(H164*I164*J164, 2)</f>
        <v/>
      </c>
      <c r="L164" s="23">
        <f>ROUND(K164/1000, 3)</f>
        <v/>
      </c>
      <c r="M164" s="8" t="n"/>
      <c r="N164" s="6" t="n"/>
      <c r="O164" s="24">
        <f>IF(AND(E164&lt;=10, F164&lt;&gt;"ASTM A416", INT(P164/20)&gt;INT(P163/20)), "TN Ø10 (Lần " &amp; INT(P164/20) &amp; ")", IF(AND(E164=12, INT(Q164/20)&gt;INT(Q163/20)), "TN Ø12 (Lần " &amp; INT(Q164/20) &amp; ")", IF(AND(E164=14, INT(R164/20)&gt;INT(R163/20)), "TN Ø14 (Lần " &amp; INT(R164/20) &amp; ")", IF(AND(E164=16, INT(S164/20)&gt;INT(S163/20)), "TN Ø16 (Lần " &amp; INT(S164/20) &amp; ")", IF(AND(E164=18, INT(T164/20)&gt;INT(T163/20)), "TN Ø18 (Lần " &amp; INT(T164/20) &amp; ")", IF(AND(E164=20, INT(U164/20)&gt;INT(U163/20)), "TN Ø20 (Lần " &amp; INT(U164/20) &amp; ")", IF(AND(E164=22, INT(V164/20)&gt;INT(V163/20)), "TN Ø22 (Lần " &amp; INT(V164/20) &amp; ")", IF(AND(E164=25, INT(W164/20)&gt;INT(W163/20)), "TN Ø25 (Lần " &amp; INT(W164/20) &amp; ")", IF(AND(E164=28, INT(X164/20)&gt;INT(X163/20)), "TN Ø28 (Lần " &amp; INT(X164/20) &amp; ")", IF(AND(E164=32, INT(Y164/20)&gt;INT(Y163/20)), "TN Ø32 (Lần " &amp; INT(Y164/20) &amp; ")", IF(AND(F164="ASTM A416", INT(Z164/20)&gt;INT(Z163/20)), "TN Cáp 15.2 (Lần " &amp; INT(Z164/20) &amp; ")", "")))))))))))</f>
        <v/>
      </c>
      <c r="P164" s="20">
        <f>ROUND(P163 + IF(AND(E164&lt;=10, F164&lt;&gt;"ASTM A416"), L164, 0), 3)</f>
        <v/>
      </c>
      <c r="Q164" s="20">
        <f>ROUND(Q163 + IF(AND(E164=12, F164&lt;&gt;"ASTM A416"), L164, 0), 3)</f>
        <v/>
      </c>
      <c r="R164" s="20">
        <f>ROUND(R163 + IF(AND(E164=14, F164&lt;&gt;"ASTM A416"), L164, 0), 3)</f>
        <v/>
      </c>
      <c r="S164" s="20">
        <f>ROUND(S163 + IF(AND(E164=16, F164&lt;&gt;"ASTM A416"), L164, 0), 3)</f>
        <v/>
      </c>
      <c r="T164" s="20">
        <f>ROUND(T163 + IF(AND(E164=18, F164&lt;&gt;"ASTM A416"), L164, 0), 3)</f>
        <v/>
      </c>
      <c r="U164" s="20">
        <f>ROUND(U163 + IF(AND(E164=20, F164&lt;&gt;"ASTM A416"), L164, 0), 3)</f>
        <v/>
      </c>
      <c r="V164" s="20">
        <f>ROUND(V163 + IF(AND(E164=22, F164&lt;&gt;"ASTM A416"), L164, 0), 3)</f>
        <v/>
      </c>
      <c r="W164" s="20">
        <f>ROUND(W163 + IF(AND(E164=25, F164&lt;&gt;"ASTM A416"), L164, 0), 3)</f>
        <v/>
      </c>
      <c r="X164" s="20">
        <f>ROUND(X163 + IF(AND(E164=28, F164&lt;&gt;"ASTM A416"), L164, 0), 3)</f>
        <v/>
      </c>
      <c r="Y164" s="20">
        <f>ROUND(Y163 + IF(AND(E164=32, F164&lt;&gt;"ASTM A416"), L164, 0), 3)</f>
        <v/>
      </c>
      <c r="Z164" s="20">
        <f>ROUND(Z163 + IF(F164="ASTM A416", L164, 0), 3)</f>
        <v/>
      </c>
      <c r="AA164" s="11">
        <f>IF(INT(P164/20)&gt;INT(P163/20), "Lần " &amp; INT(P164/20), "")</f>
        <v/>
      </c>
      <c r="AB164" s="11">
        <f>IF(INT(Q164/20)&gt;INT(Q163/20), "Lần " &amp; INT(Q164/20), "")</f>
        <v/>
      </c>
      <c r="AC164" s="11">
        <f>IF(INT(R164/20)&gt;INT(R163/20), "Lần " &amp; INT(R164/20), "")</f>
        <v/>
      </c>
      <c r="AD164" s="11">
        <f>IF(INT(S164/20)&gt;INT(S163/20), "Lần " &amp; INT(S164/20), "")</f>
        <v/>
      </c>
      <c r="AE164" s="11">
        <f>IF(INT(T164/20)&gt;INT(T163/20), "Lần " &amp; INT(T164/20), "")</f>
        <v/>
      </c>
      <c r="AF164" s="11">
        <f>IF(INT(U164/20)&gt;INT(U163/20), "Lần " &amp; INT(U164/20), "")</f>
        <v/>
      </c>
      <c r="AG164" s="11">
        <f>IF(INT(V164/20)&gt;INT(V163/20), "Lần " &amp; INT(V164/20), "")</f>
        <v/>
      </c>
      <c r="AH164" s="11">
        <f>IF(INT(W164/20)&gt;INT(W163/20), "Lần " &amp; INT(W164/20), "")</f>
        <v/>
      </c>
      <c r="AI164" s="11">
        <f>IF(INT(X164/20)&gt;INT(X163/20), "Lần " &amp; INT(X164/20), "")</f>
        <v/>
      </c>
      <c r="AJ164" s="11">
        <f>IF(INT(Y164/20)&gt;INT(Y163/20), "Lần " &amp; INT(Y164/20), "")</f>
        <v/>
      </c>
      <c r="AK164" s="11">
        <f>IF(INT(Z164/20)&gt;INT(Z163/20), "Lần " &amp; INT(Z164/20), "")</f>
        <v/>
      </c>
      <c r="AL164" s="6" t="inlineStr">
        <is>
          <t>ĐẠT TCVN 1651:2018</t>
        </is>
      </c>
    </row>
    <row r="165" ht="19" customHeight="1">
      <c r="A165" s="6" t="n">
        <v>151</v>
      </c>
      <c r="B165" s="7" t="inlineStr">
        <is>
          <t>Cọc khoan nhồi C8 Trụ T1 (D1.2m, L=40.0m)</t>
        </is>
      </c>
      <c r="C165" s="7" t="inlineStr">
        <is>
          <t>Thép đai xoắn lồng cọc</t>
        </is>
      </c>
      <c r="D165" s="18" t="inlineStr">
        <is>
          <t>P1C</t>
        </is>
      </c>
      <c r="E165" s="19" t="n">
        <v>10</v>
      </c>
      <c r="F165" s="6" t="inlineStr">
        <is>
          <t>CB240-T</t>
        </is>
      </c>
      <c r="G165" s="7" t="inlineStr">
        <is>
          <t>Đai xoắn tròn</t>
        </is>
      </c>
      <c r="H165" s="20" t="n">
        <v>3.592</v>
      </c>
      <c r="I165" s="21" t="n">
        <v>2</v>
      </c>
      <c r="J165" s="22" t="n">
        <v>0.617</v>
      </c>
      <c r="K165" s="9">
        <f>ROUND(H165*I165*J165, 2)</f>
        <v/>
      </c>
      <c r="L165" s="23">
        <f>ROUND(K165/1000, 3)</f>
        <v/>
      </c>
      <c r="M165" s="8" t="n"/>
      <c r="N165" s="6" t="n"/>
      <c r="O165" s="24">
        <f>IF(AND(E165&lt;=10, F165&lt;&gt;"ASTM A416", INT(P165/20)&gt;INT(P164/20)), "TN Ø10 (Lần " &amp; INT(P165/20) &amp; ")", IF(AND(E165=12, INT(Q165/20)&gt;INT(Q164/20)), "TN Ø12 (Lần " &amp; INT(Q165/20) &amp; ")", IF(AND(E165=14, INT(R165/20)&gt;INT(R164/20)), "TN Ø14 (Lần " &amp; INT(R165/20) &amp; ")", IF(AND(E165=16, INT(S165/20)&gt;INT(S164/20)), "TN Ø16 (Lần " &amp; INT(S165/20) &amp; ")", IF(AND(E165=18, INT(T165/20)&gt;INT(T164/20)), "TN Ø18 (Lần " &amp; INT(T165/20) &amp; ")", IF(AND(E165=20, INT(U165/20)&gt;INT(U164/20)), "TN Ø20 (Lần " &amp; INT(U165/20) &amp; ")", IF(AND(E165=22, INT(V165/20)&gt;INT(V164/20)), "TN Ø22 (Lần " &amp; INT(V165/20) &amp; ")", IF(AND(E165=25, INT(W165/20)&gt;INT(W164/20)), "TN Ø25 (Lần " &amp; INT(W165/20) &amp; ")", IF(AND(E165=28, INT(X165/20)&gt;INT(X164/20)), "TN Ø28 (Lần " &amp; INT(X165/20) &amp; ")", IF(AND(E165=32, INT(Y165/20)&gt;INT(Y164/20)), "TN Ø32 (Lần " &amp; INT(Y165/20) &amp; ")", IF(AND(F165="ASTM A416", INT(Z165/20)&gt;INT(Z164/20)), "TN Cáp 15.2 (Lần " &amp; INT(Z165/20) &amp; ")", "")))))))))))</f>
        <v/>
      </c>
      <c r="P165" s="20">
        <f>ROUND(P164 + IF(AND(E165&lt;=10, F165&lt;&gt;"ASTM A416"), L165, 0), 3)</f>
        <v/>
      </c>
      <c r="Q165" s="20">
        <f>ROUND(Q164 + IF(AND(E165=12, F165&lt;&gt;"ASTM A416"), L165, 0), 3)</f>
        <v/>
      </c>
      <c r="R165" s="20">
        <f>ROUND(R164 + IF(AND(E165=14, F165&lt;&gt;"ASTM A416"), L165, 0), 3)</f>
        <v/>
      </c>
      <c r="S165" s="20">
        <f>ROUND(S164 + IF(AND(E165=16, F165&lt;&gt;"ASTM A416"), L165, 0), 3)</f>
        <v/>
      </c>
      <c r="T165" s="20">
        <f>ROUND(T164 + IF(AND(E165=18, F165&lt;&gt;"ASTM A416"), L165, 0), 3)</f>
        <v/>
      </c>
      <c r="U165" s="20">
        <f>ROUND(U164 + IF(AND(E165=20, F165&lt;&gt;"ASTM A416"), L165, 0), 3)</f>
        <v/>
      </c>
      <c r="V165" s="20">
        <f>ROUND(V164 + IF(AND(E165=22, F165&lt;&gt;"ASTM A416"), L165, 0), 3)</f>
        <v/>
      </c>
      <c r="W165" s="20">
        <f>ROUND(W164 + IF(AND(E165=25, F165&lt;&gt;"ASTM A416"), L165, 0), 3)</f>
        <v/>
      </c>
      <c r="X165" s="20">
        <f>ROUND(X164 + IF(AND(E165=28, F165&lt;&gt;"ASTM A416"), L165, 0), 3)</f>
        <v/>
      </c>
      <c r="Y165" s="20">
        <f>ROUND(Y164 + IF(AND(E165=32, F165&lt;&gt;"ASTM A416"), L165, 0), 3)</f>
        <v/>
      </c>
      <c r="Z165" s="20">
        <f>ROUND(Z164 + IF(F165="ASTM A416", L165, 0), 3)</f>
        <v/>
      </c>
      <c r="AA165" s="11">
        <f>IF(INT(P165/20)&gt;INT(P164/20), "Lần " &amp; INT(P165/20), "")</f>
        <v/>
      </c>
      <c r="AB165" s="11">
        <f>IF(INT(Q165/20)&gt;INT(Q164/20), "Lần " &amp; INT(Q165/20), "")</f>
        <v/>
      </c>
      <c r="AC165" s="11">
        <f>IF(INT(R165/20)&gt;INT(R164/20), "Lần " &amp; INT(R165/20), "")</f>
        <v/>
      </c>
      <c r="AD165" s="11">
        <f>IF(INT(S165/20)&gt;INT(S164/20), "Lần " &amp; INT(S165/20), "")</f>
        <v/>
      </c>
      <c r="AE165" s="11">
        <f>IF(INT(T165/20)&gt;INT(T164/20), "Lần " &amp; INT(T165/20), "")</f>
        <v/>
      </c>
      <c r="AF165" s="11">
        <f>IF(INT(U165/20)&gt;INT(U164/20), "Lần " &amp; INT(U165/20), "")</f>
        <v/>
      </c>
      <c r="AG165" s="11">
        <f>IF(INT(V165/20)&gt;INT(V164/20), "Lần " &amp; INT(V165/20), "")</f>
        <v/>
      </c>
      <c r="AH165" s="11">
        <f>IF(INT(W165/20)&gt;INT(W164/20), "Lần " &amp; INT(W165/20), "")</f>
        <v/>
      </c>
      <c r="AI165" s="11">
        <f>IF(INT(X165/20)&gt;INT(X164/20), "Lần " &amp; INT(X165/20), "")</f>
        <v/>
      </c>
      <c r="AJ165" s="11">
        <f>IF(INT(Y165/20)&gt;INT(Y164/20), "Lần " &amp; INT(Y165/20), "")</f>
        <v/>
      </c>
      <c r="AK165" s="11">
        <f>IF(INT(Z165/20)&gt;INT(Z164/20), "Lần " &amp; INT(Z165/20), "")</f>
        <v/>
      </c>
      <c r="AL165" s="6" t="inlineStr">
        <is>
          <t>ĐẠT TCVN 1651:2018</t>
        </is>
      </c>
    </row>
    <row r="166" ht="19" customHeight="1">
      <c r="A166" s="6" t="n">
        <v>152</v>
      </c>
      <c r="B166" s="7" t="inlineStr">
        <is>
          <t>Cọc khoan nhồi C8 Trụ T1 (D1.2m, L=40.0m)</t>
        </is>
      </c>
      <c r="C166" s="7" t="inlineStr">
        <is>
          <t>Thép đai xoắn lồng cọc</t>
        </is>
      </c>
      <c r="D166" s="18" t="inlineStr">
        <is>
          <t>P1D</t>
        </is>
      </c>
      <c r="E166" s="19" t="n">
        <v>10</v>
      </c>
      <c r="F166" s="6" t="inlineStr">
        <is>
          <t>CB240-T</t>
        </is>
      </c>
      <c r="G166" s="7" t="inlineStr">
        <is>
          <t>Đai xoắn tròn</t>
        </is>
      </c>
      <c r="H166" s="20" t="n">
        <v>19.721</v>
      </c>
      <c r="I166" s="21" t="n">
        <v>1</v>
      </c>
      <c r="J166" s="22" t="n">
        <v>0.617</v>
      </c>
      <c r="K166" s="9">
        <f>ROUND(H166*I166*J166, 2)</f>
        <v/>
      </c>
      <c r="L166" s="23">
        <f>ROUND(K166/1000, 3)</f>
        <v/>
      </c>
      <c r="M166" s="8" t="n"/>
      <c r="N166" s="6" t="n"/>
      <c r="O166" s="24">
        <f>IF(AND(E166&lt;=10, F166&lt;&gt;"ASTM A416", INT(P166/20)&gt;INT(P165/20)), "TN Ø10 (Lần " &amp; INT(P166/20) &amp; ")", IF(AND(E166=12, INT(Q166/20)&gt;INT(Q165/20)), "TN Ø12 (Lần " &amp; INT(Q166/20) &amp; ")", IF(AND(E166=14, INT(R166/20)&gt;INT(R165/20)), "TN Ø14 (Lần " &amp; INT(R166/20) &amp; ")", IF(AND(E166=16, INT(S166/20)&gt;INT(S165/20)), "TN Ø16 (Lần " &amp; INT(S166/20) &amp; ")", IF(AND(E166=18, INT(T166/20)&gt;INT(T165/20)), "TN Ø18 (Lần " &amp; INT(T166/20) &amp; ")", IF(AND(E166=20, INT(U166/20)&gt;INT(U165/20)), "TN Ø20 (Lần " &amp; INT(U166/20) &amp; ")", IF(AND(E166=22, INT(V166/20)&gt;INT(V165/20)), "TN Ø22 (Lần " &amp; INT(V166/20) &amp; ")", IF(AND(E166=25, INT(W166/20)&gt;INT(W165/20)), "TN Ø25 (Lần " &amp; INT(W166/20) &amp; ")", IF(AND(E166=28, INT(X166/20)&gt;INT(X165/20)), "TN Ø28 (Lần " &amp; INT(X166/20) &amp; ")", IF(AND(E166=32, INT(Y166/20)&gt;INT(Y165/20)), "TN Ø32 (Lần " &amp; INT(Y166/20) &amp; ")", IF(AND(F166="ASTM A416", INT(Z166/20)&gt;INT(Z165/20)), "TN Cáp 15.2 (Lần " &amp; INT(Z166/20) &amp; ")", "")))))))))))</f>
        <v/>
      </c>
      <c r="P166" s="20">
        <f>ROUND(P165 + IF(AND(E166&lt;=10, F166&lt;&gt;"ASTM A416"), L166, 0), 3)</f>
        <v/>
      </c>
      <c r="Q166" s="20">
        <f>ROUND(Q165 + IF(AND(E166=12, F166&lt;&gt;"ASTM A416"), L166, 0), 3)</f>
        <v/>
      </c>
      <c r="R166" s="20">
        <f>ROUND(R165 + IF(AND(E166=14, F166&lt;&gt;"ASTM A416"), L166, 0), 3)</f>
        <v/>
      </c>
      <c r="S166" s="20">
        <f>ROUND(S165 + IF(AND(E166=16, F166&lt;&gt;"ASTM A416"), L166, 0), 3)</f>
        <v/>
      </c>
      <c r="T166" s="20">
        <f>ROUND(T165 + IF(AND(E166=18, F166&lt;&gt;"ASTM A416"), L166, 0), 3)</f>
        <v/>
      </c>
      <c r="U166" s="20">
        <f>ROUND(U165 + IF(AND(E166=20, F166&lt;&gt;"ASTM A416"), L166, 0), 3)</f>
        <v/>
      </c>
      <c r="V166" s="20">
        <f>ROUND(V165 + IF(AND(E166=22, F166&lt;&gt;"ASTM A416"), L166, 0), 3)</f>
        <v/>
      </c>
      <c r="W166" s="20">
        <f>ROUND(W165 + IF(AND(E166=25, F166&lt;&gt;"ASTM A416"), L166, 0), 3)</f>
        <v/>
      </c>
      <c r="X166" s="20">
        <f>ROUND(X165 + IF(AND(E166=28, F166&lt;&gt;"ASTM A416"), L166, 0), 3)</f>
        <v/>
      </c>
      <c r="Y166" s="20">
        <f>ROUND(Y165 + IF(AND(E166=32, F166&lt;&gt;"ASTM A416"), L166, 0), 3)</f>
        <v/>
      </c>
      <c r="Z166" s="20">
        <f>ROUND(Z165 + IF(F166="ASTM A416", L166, 0), 3)</f>
        <v/>
      </c>
      <c r="AA166" s="11">
        <f>IF(INT(P166/20)&gt;INT(P165/20), "Lần " &amp; INT(P166/20), "")</f>
        <v/>
      </c>
      <c r="AB166" s="11">
        <f>IF(INT(Q166/20)&gt;INT(Q165/20), "Lần " &amp; INT(Q166/20), "")</f>
        <v/>
      </c>
      <c r="AC166" s="11">
        <f>IF(INT(R166/20)&gt;INT(R165/20), "Lần " &amp; INT(R166/20), "")</f>
        <v/>
      </c>
      <c r="AD166" s="11">
        <f>IF(INT(S166/20)&gt;INT(S165/20), "Lần " &amp; INT(S166/20), "")</f>
        <v/>
      </c>
      <c r="AE166" s="11">
        <f>IF(INT(T166/20)&gt;INT(T165/20), "Lần " &amp; INT(T166/20), "")</f>
        <v/>
      </c>
      <c r="AF166" s="11">
        <f>IF(INT(U166/20)&gt;INT(U165/20), "Lần " &amp; INT(U166/20), "")</f>
        <v/>
      </c>
      <c r="AG166" s="11">
        <f>IF(INT(V166/20)&gt;INT(V165/20), "Lần " &amp; INT(V166/20), "")</f>
        <v/>
      </c>
      <c r="AH166" s="11">
        <f>IF(INT(W166/20)&gt;INT(W165/20), "Lần " &amp; INT(W166/20), "")</f>
        <v/>
      </c>
      <c r="AI166" s="11">
        <f>IF(INT(X166/20)&gt;INT(X165/20), "Lần " &amp; INT(X166/20), "")</f>
        <v/>
      </c>
      <c r="AJ166" s="11">
        <f>IF(INT(Y166/20)&gt;INT(Y165/20), "Lần " &amp; INT(Y166/20), "")</f>
        <v/>
      </c>
      <c r="AK166" s="11">
        <f>IF(INT(Z166/20)&gt;INT(Z165/20), "Lần " &amp; INT(Z166/20), "")</f>
        <v/>
      </c>
      <c r="AL166" s="6" t="inlineStr">
        <is>
          <t>ĐẠT TCVN 1651:2018</t>
        </is>
      </c>
    </row>
    <row r="167" ht="19" customHeight="1">
      <c r="A167" s="6" t="n">
        <v>153</v>
      </c>
      <c r="B167" s="7" t="inlineStr">
        <is>
          <t>Cọc khoan nhồi C8 Trụ T1 (D1.2m, L=40.0m)</t>
        </is>
      </c>
      <c r="C167" s="7" t="inlineStr">
        <is>
          <t>Cốt thép chủ chịu lực cọc</t>
        </is>
      </c>
      <c r="D167" s="18" t="inlineStr">
        <is>
          <t>P2B</t>
        </is>
      </c>
      <c r="E167" s="19" t="n">
        <v>25</v>
      </c>
      <c r="F167" s="6" t="inlineStr">
        <is>
          <t>CB400-V</t>
        </is>
      </c>
      <c r="G167" s="7" t="inlineStr">
        <is>
          <t>Thanh thẳng nối ren/hàn</t>
        </is>
      </c>
      <c r="H167" s="20" t="n">
        <v>2.985</v>
      </c>
      <c r="I167" s="21" t="n">
        <v>16</v>
      </c>
      <c r="J167" s="22" t="n">
        <v>3.85</v>
      </c>
      <c r="K167" s="9">
        <f>ROUND(H167*I167*J167, 2)</f>
        <v/>
      </c>
      <c r="L167" s="23">
        <f>ROUND(K167/1000, 3)</f>
        <v/>
      </c>
      <c r="M167" s="8" t="n"/>
      <c r="N167" s="6" t="n"/>
      <c r="O167" s="24">
        <f>IF(AND(E167&lt;=10, F167&lt;&gt;"ASTM A416", INT(P167/20)&gt;INT(P166/20)), "TN Ø10 (Lần " &amp; INT(P167/20) &amp; ")", IF(AND(E167=12, INT(Q167/20)&gt;INT(Q166/20)), "TN Ø12 (Lần " &amp; INT(Q167/20) &amp; ")", IF(AND(E167=14, INT(R167/20)&gt;INT(R166/20)), "TN Ø14 (Lần " &amp; INT(R167/20) &amp; ")", IF(AND(E167=16, INT(S167/20)&gt;INT(S166/20)), "TN Ø16 (Lần " &amp; INT(S167/20) &amp; ")", IF(AND(E167=18, INT(T167/20)&gt;INT(T166/20)), "TN Ø18 (Lần " &amp; INT(T167/20) &amp; ")", IF(AND(E167=20, INT(U167/20)&gt;INT(U166/20)), "TN Ø20 (Lần " &amp; INT(U167/20) &amp; ")", IF(AND(E167=22, INT(V167/20)&gt;INT(V166/20)), "TN Ø22 (Lần " &amp; INT(V167/20) &amp; ")", IF(AND(E167=25, INT(W167/20)&gt;INT(W166/20)), "TN Ø25 (Lần " &amp; INT(W167/20) &amp; ")", IF(AND(E167=28, INT(X167/20)&gt;INT(X166/20)), "TN Ø28 (Lần " &amp; INT(X167/20) &amp; ")", IF(AND(E167=32, INT(Y167/20)&gt;INT(Y166/20)), "TN Ø32 (Lần " &amp; INT(Y167/20) &amp; ")", IF(AND(F167="ASTM A416", INT(Z167/20)&gt;INT(Z166/20)), "TN Cáp 15.2 (Lần " &amp; INT(Z167/20) &amp; ")", "")))))))))))</f>
        <v/>
      </c>
      <c r="P167" s="20">
        <f>ROUND(P166 + IF(AND(E167&lt;=10, F167&lt;&gt;"ASTM A416"), L167, 0), 3)</f>
        <v/>
      </c>
      <c r="Q167" s="20">
        <f>ROUND(Q166 + IF(AND(E167=12, F167&lt;&gt;"ASTM A416"), L167, 0), 3)</f>
        <v/>
      </c>
      <c r="R167" s="20">
        <f>ROUND(R166 + IF(AND(E167=14, F167&lt;&gt;"ASTM A416"), L167, 0), 3)</f>
        <v/>
      </c>
      <c r="S167" s="20">
        <f>ROUND(S166 + IF(AND(E167=16, F167&lt;&gt;"ASTM A416"), L167, 0), 3)</f>
        <v/>
      </c>
      <c r="T167" s="20">
        <f>ROUND(T166 + IF(AND(E167=18, F167&lt;&gt;"ASTM A416"), L167, 0), 3)</f>
        <v/>
      </c>
      <c r="U167" s="20">
        <f>ROUND(U166 + IF(AND(E167=20, F167&lt;&gt;"ASTM A416"), L167, 0), 3)</f>
        <v/>
      </c>
      <c r="V167" s="20">
        <f>ROUND(V166 + IF(AND(E167=22, F167&lt;&gt;"ASTM A416"), L167, 0), 3)</f>
        <v/>
      </c>
      <c r="W167" s="20">
        <f>ROUND(W166 + IF(AND(E167=25, F167&lt;&gt;"ASTM A416"), L167, 0), 3)</f>
        <v/>
      </c>
      <c r="X167" s="20">
        <f>ROUND(X166 + IF(AND(E167=28, F167&lt;&gt;"ASTM A416"), L167, 0), 3)</f>
        <v/>
      </c>
      <c r="Y167" s="20">
        <f>ROUND(Y166 + IF(AND(E167=32, F167&lt;&gt;"ASTM A416"), L167, 0), 3)</f>
        <v/>
      </c>
      <c r="Z167" s="20">
        <f>ROUND(Z166 + IF(F167="ASTM A416", L167, 0), 3)</f>
        <v/>
      </c>
      <c r="AA167" s="11">
        <f>IF(INT(P167/20)&gt;INT(P166/20), "Lần " &amp; INT(P167/20), "")</f>
        <v/>
      </c>
      <c r="AB167" s="11">
        <f>IF(INT(Q167/20)&gt;INT(Q166/20), "Lần " &amp; INT(Q167/20), "")</f>
        <v/>
      </c>
      <c r="AC167" s="11">
        <f>IF(INT(R167/20)&gt;INT(R166/20), "Lần " &amp; INT(R167/20), "")</f>
        <v/>
      </c>
      <c r="AD167" s="11">
        <f>IF(INT(S167/20)&gt;INT(S166/20), "Lần " &amp; INT(S167/20), "")</f>
        <v/>
      </c>
      <c r="AE167" s="11">
        <f>IF(INT(T167/20)&gt;INT(T166/20), "Lần " &amp; INT(T167/20), "")</f>
        <v/>
      </c>
      <c r="AF167" s="11">
        <f>IF(INT(U167/20)&gt;INT(U166/20), "Lần " &amp; INT(U167/20), "")</f>
        <v/>
      </c>
      <c r="AG167" s="11">
        <f>IF(INT(V167/20)&gt;INT(V166/20), "Lần " &amp; INT(V167/20), "")</f>
        <v/>
      </c>
      <c r="AH167" s="11">
        <f>IF(INT(W167/20)&gt;INT(W166/20), "Lần " &amp; INT(W167/20), "")</f>
        <v/>
      </c>
      <c r="AI167" s="11">
        <f>IF(INT(X167/20)&gt;INT(X166/20), "Lần " &amp; INT(X167/20), "")</f>
        <v/>
      </c>
      <c r="AJ167" s="11">
        <f>IF(INT(Y167/20)&gt;INT(Y166/20), "Lần " &amp; INT(Y167/20), "")</f>
        <v/>
      </c>
      <c r="AK167" s="11">
        <f>IF(INT(Z167/20)&gt;INT(Z166/20), "Lần " &amp; INT(Z167/20), "")</f>
        <v/>
      </c>
      <c r="AL167" s="6" t="inlineStr">
        <is>
          <t>ĐẠT TCVN 1651:2018</t>
        </is>
      </c>
    </row>
    <row r="168" ht="19" customHeight="1">
      <c r="A168" s="6" t="n">
        <v>154</v>
      </c>
      <c r="B168" s="7" t="inlineStr">
        <is>
          <t>Cọc khoan nhồi C8 Trụ T1 (D1.2m, L=40.0m)</t>
        </is>
      </c>
      <c r="C168" s="7" t="inlineStr">
        <is>
          <t>Cốt thép chủ chịu lực cọc</t>
        </is>
      </c>
      <c r="D168" s="18" t="inlineStr">
        <is>
          <t>P3</t>
        </is>
      </c>
      <c r="E168" s="19" t="n">
        <v>25</v>
      </c>
      <c r="F168" s="6" t="inlineStr">
        <is>
          <t>CB400-V</t>
        </is>
      </c>
      <c r="G168" s="7" t="inlineStr">
        <is>
          <t>Thanh thẳng nối ren/hàn</t>
        </is>
      </c>
      <c r="H168" s="20" t="n">
        <v>10.7</v>
      </c>
      <c r="I168" s="21" t="n">
        <v>12</v>
      </c>
      <c r="J168" s="22" t="n">
        <v>3.85</v>
      </c>
      <c r="K168" s="9">
        <f>ROUND(H168*I168*J168, 2)</f>
        <v/>
      </c>
      <c r="L168" s="23">
        <f>ROUND(K168/1000, 3)</f>
        <v/>
      </c>
      <c r="M168" s="8" t="n"/>
      <c r="N168" s="6" t="n"/>
      <c r="O168" s="24">
        <f>IF(AND(E168&lt;=10, F168&lt;&gt;"ASTM A416", INT(P168/20)&gt;INT(P167/20)), "TN Ø10 (Lần " &amp; INT(P168/20) &amp; ")", IF(AND(E168=12, INT(Q168/20)&gt;INT(Q167/20)), "TN Ø12 (Lần " &amp; INT(Q168/20) &amp; ")", IF(AND(E168=14, INT(R168/20)&gt;INT(R167/20)), "TN Ø14 (Lần " &amp; INT(R168/20) &amp; ")", IF(AND(E168=16, INT(S168/20)&gt;INT(S167/20)), "TN Ø16 (Lần " &amp; INT(S168/20) &amp; ")", IF(AND(E168=18, INT(T168/20)&gt;INT(T167/20)), "TN Ø18 (Lần " &amp; INT(T168/20) &amp; ")", IF(AND(E168=20, INT(U168/20)&gt;INT(U167/20)), "TN Ø20 (Lần " &amp; INT(U168/20) &amp; ")", IF(AND(E168=22, INT(V168/20)&gt;INT(V167/20)), "TN Ø22 (Lần " &amp; INT(V168/20) &amp; ")", IF(AND(E168=25, INT(W168/20)&gt;INT(W167/20)), "TN Ø25 (Lần " &amp; INT(W168/20) &amp; ")", IF(AND(E168=28, INT(X168/20)&gt;INT(X167/20)), "TN Ø28 (Lần " &amp; INT(X168/20) &amp; ")", IF(AND(E168=32, INT(Y168/20)&gt;INT(Y167/20)), "TN Ø32 (Lần " &amp; INT(Y168/20) &amp; ")", IF(AND(F168="ASTM A416", INT(Z168/20)&gt;INT(Z167/20)), "TN Cáp 15.2 (Lần " &amp; INT(Z168/20) &amp; ")", "")))))))))))</f>
        <v/>
      </c>
      <c r="P168" s="20">
        <f>ROUND(P167 + IF(AND(E168&lt;=10, F168&lt;&gt;"ASTM A416"), L168, 0), 3)</f>
        <v/>
      </c>
      <c r="Q168" s="20">
        <f>ROUND(Q167 + IF(AND(E168=12, F168&lt;&gt;"ASTM A416"), L168, 0), 3)</f>
        <v/>
      </c>
      <c r="R168" s="20">
        <f>ROUND(R167 + IF(AND(E168=14, F168&lt;&gt;"ASTM A416"), L168, 0), 3)</f>
        <v/>
      </c>
      <c r="S168" s="20">
        <f>ROUND(S167 + IF(AND(E168=16, F168&lt;&gt;"ASTM A416"), L168, 0), 3)</f>
        <v/>
      </c>
      <c r="T168" s="20">
        <f>ROUND(T167 + IF(AND(E168=18, F168&lt;&gt;"ASTM A416"), L168, 0), 3)</f>
        <v/>
      </c>
      <c r="U168" s="20">
        <f>ROUND(U167 + IF(AND(E168=20, F168&lt;&gt;"ASTM A416"), L168, 0), 3)</f>
        <v/>
      </c>
      <c r="V168" s="20">
        <f>ROUND(V167 + IF(AND(E168=22, F168&lt;&gt;"ASTM A416"), L168, 0), 3)</f>
        <v/>
      </c>
      <c r="W168" s="20">
        <f>ROUND(W167 + IF(AND(E168=25, F168&lt;&gt;"ASTM A416"), L168, 0), 3)</f>
        <v/>
      </c>
      <c r="X168" s="20">
        <f>ROUND(X167 + IF(AND(E168=28, F168&lt;&gt;"ASTM A416"), L168, 0), 3)</f>
        <v/>
      </c>
      <c r="Y168" s="20">
        <f>ROUND(Y167 + IF(AND(E168=32, F168&lt;&gt;"ASTM A416"), L168, 0), 3)</f>
        <v/>
      </c>
      <c r="Z168" s="20">
        <f>ROUND(Z167 + IF(F168="ASTM A416", L168, 0), 3)</f>
        <v/>
      </c>
      <c r="AA168" s="11">
        <f>IF(INT(P168/20)&gt;INT(P167/20), "Lần " &amp; INT(P168/20), "")</f>
        <v/>
      </c>
      <c r="AB168" s="11">
        <f>IF(INT(Q168/20)&gt;INT(Q167/20), "Lần " &amp; INT(Q168/20), "")</f>
        <v/>
      </c>
      <c r="AC168" s="11">
        <f>IF(INT(R168/20)&gt;INT(R167/20), "Lần " &amp; INT(R168/20), "")</f>
        <v/>
      </c>
      <c r="AD168" s="11">
        <f>IF(INT(S168/20)&gt;INT(S167/20), "Lần " &amp; INT(S168/20), "")</f>
        <v/>
      </c>
      <c r="AE168" s="11">
        <f>IF(INT(T168/20)&gt;INT(T167/20), "Lần " &amp; INT(T168/20), "")</f>
        <v/>
      </c>
      <c r="AF168" s="11">
        <f>IF(INT(U168/20)&gt;INT(U167/20), "Lần " &amp; INT(U168/20), "")</f>
        <v/>
      </c>
      <c r="AG168" s="11">
        <f>IF(INT(V168/20)&gt;INT(V167/20), "Lần " &amp; INT(V168/20), "")</f>
        <v/>
      </c>
      <c r="AH168" s="11">
        <f>IF(INT(W168/20)&gt;INT(W167/20), "Lần " &amp; INT(W168/20), "")</f>
        <v/>
      </c>
      <c r="AI168" s="11">
        <f>IF(INT(X168/20)&gt;INT(X167/20), "Lần " &amp; INT(X168/20), "")</f>
        <v/>
      </c>
      <c r="AJ168" s="11">
        <f>IF(INT(Y168/20)&gt;INT(Y167/20), "Lần " &amp; INT(Y168/20), "")</f>
        <v/>
      </c>
      <c r="AK168" s="11">
        <f>IF(INT(Z168/20)&gt;INT(Z167/20), "Lần " &amp; INT(Z168/20), "")</f>
        <v/>
      </c>
      <c r="AL168" s="6" t="inlineStr">
        <is>
          <t>ĐẠT TCVN 1651:2018</t>
        </is>
      </c>
    </row>
    <row r="169" ht="19" customHeight="1">
      <c r="A169" s="6" t="n">
        <v>155</v>
      </c>
      <c r="B169" s="7" t="inlineStr">
        <is>
          <t>Cọc khoan nhồi C8 Trụ T1 (D1.2m, L=40.0m)</t>
        </is>
      </c>
      <c r="C169" s="7" t="inlineStr">
        <is>
          <t>Cốt thép chủ chịu lực cọc</t>
        </is>
      </c>
      <c r="D169" s="18" t="inlineStr">
        <is>
          <t>P4</t>
        </is>
      </c>
      <c r="E169" s="19" t="n">
        <v>25</v>
      </c>
      <c r="F169" s="6" t="inlineStr">
        <is>
          <t>CB400-V</t>
        </is>
      </c>
      <c r="G169" s="7" t="inlineStr">
        <is>
          <t>Thanh thẳng nối ren/hàn</t>
        </is>
      </c>
      <c r="H169" s="20" t="n">
        <v>11.7</v>
      </c>
      <c r="I169" s="21" t="n">
        <v>60</v>
      </c>
      <c r="J169" s="22" t="n">
        <v>3.85</v>
      </c>
      <c r="K169" s="9">
        <f>ROUND(H169*I169*J169, 2)</f>
        <v/>
      </c>
      <c r="L169" s="23">
        <f>ROUND(K169/1000, 3)</f>
        <v/>
      </c>
      <c r="M169" s="8" t="n"/>
      <c r="N169" s="6" t="n"/>
      <c r="O169" s="24">
        <f>IF(AND(E169&lt;=10, F169&lt;&gt;"ASTM A416", INT(P169/20)&gt;INT(P168/20)), "TN Ø10 (Lần " &amp; INT(P169/20) &amp; ")", IF(AND(E169=12, INT(Q169/20)&gt;INT(Q168/20)), "TN Ø12 (Lần " &amp; INT(Q169/20) &amp; ")", IF(AND(E169=14, INT(R169/20)&gt;INT(R168/20)), "TN Ø14 (Lần " &amp; INT(R169/20) &amp; ")", IF(AND(E169=16, INT(S169/20)&gt;INT(S168/20)), "TN Ø16 (Lần " &amp; INT(S169/20) &amp; ")", IF(AND(E169=18, INT(T169/20)&gt;INT(T168/20)), "TN Ø18 (Lần " &amp; INT(T169/20) &amp; ")", IF(AND(E169=20, INT(U169/20)&gt;INT(U168/20)), "TN Ø20 (Lần " &amp; INT(U169/20) &amp; ")", IF(AND(E169=22, INT(V169/20)&gt;INT(V168/20)), "TN Ø22 (Lần " &amp; INT(V169/20) &amp; ")", IF(AND(E169=25, INT(W169/20)&gt;INT(W168/20)), "TN Ø25 (Lần " &amp; INT(W169/20) &amp; ")", IF(AND(E169=28, INT(X169/20)&gt;INT(X168/20)), "TN Ø28 (Lần " &amp; INT(X169/20) &amp; ")", IF(AND(E169=32, INT(Y169/20)&gt;INT(Y168/20)), "TN Ø32 (Lần " &amp; INT(Y169/20) &amp; ")", IF(AND(F169="ASTM A416", INT(Z169/20)&gt;INT(Z168/20)), "TN Cáp 15.2 (Lần " &amp; INT(Z169/20) &amp; ")", "")))))))))))</f>
        <v/>
      </c>
      <c r="P169" s="20">
        <f>ROUND(P168 + IF(AND(E169&lt;=10, F169&lt;&gt;"ASTM A416"), L169, 0), 3)</f>
        <v/>
      </c>
      <c r="Q169" s="20">
        <f>ROUND(Q168 + IF(AND(E169=12, F169&lt;&gt;"ASTM A416"), L169, 0), 3)</f>
        <v/>
      </c>
      <c r="R169" s="20">
        <f>ROUND(R168 + IF(AND(E169=14, F169&lt;&gt;"ASTM A416"), L169, 0), 3)</f>
        <v/>
      </c>
      <c r="S169" s="20">
        <f>ROUND(S168 + IF(AND(E169=16, F169&lt;&gt;"ASTM A416"), L169, 0), 3)</f>
        <v/>
      </c>
      <c r="T169" s="20">
        <f>ROUND(T168 + IF(AND(E169=18, F169&lt;&gt;"ASTM A416"), L169, 0), 3)</f>
        <v/>
      </c>
      <c r="U169" s="20">
        <f>ROUND(U168 + IF(AND(E169=20, F169&lt;&gt;"ASTM A416"), L169, 0), 3)</f>
        <v/>
      </c>
      <c r="V169" s="20">
        <f>ROUND(V168 + IF(AND(E169=22, F169&lt;&gt;"ASTM A416"), L169, 0), 3)</f>
        <v/>
      </c>
      <c r="W169" s="20">
        <f>ROUND(W168 + IF(AND(E169=25, F169&lt;&gt;"ASTM A416"), L169, 0), 3)</f>
        <v/>
      </c>
      <c r="X169" s="20">
        <f>ROUND(X168 + IF(AND(E169=28, F169&lt;&gt;"ASTM A416"), L169, 0), 3)</f>
        <v/>
      </c>
      <c r="Y169" s="20">
        <f>ROUND(Y168 + IF(AND(E169=32, F169&lt;&gt;"ASTM A416"), L169, 0), 3)</f>
        <v/>
      </c>
      <c r="Z169" s="20">
        <f>ROUND(Z168 + IF(F169="ASTM A416", L169, 0), 3)</f>
        <v/>
      </c>
      <c r="AA169" s="11">
        <f>IF(INT(P169/20)&gt;INT(P168/20), "Lần " &amp; INT(P169/20), "")</f>
        <v/>
      </c>
      <c r="AB169" s="11">
        <f>IF(INT(Q169/20)&gt;INT(Q168/20), "Lần " &amp; INT(Q169/20), "")</f>
        <v/>
      </c>
      <c r="AC169" s="11">
        <f>IF(INT(R169/20)&gt;INT(R168/20), "Lần " &amp; INT(R169/20), "")</f>
        <v/>
      </c>
      <c r="AD169" s="11">
        <f>IF(INT(S169/20)&gt;INT(S168/20), "Lần " &amp; INT(S169/20), "")</f>
        <v/>
      </c>
      <c r="AE169" s="11">
        <f>IF(INT(T169/20)&gt;INT(T168/20), "Lần " &amp; INT(T169/20), "")</f>
        <v/>
      </c>
      <c r="AF169" s="11">
        <f>IF(INT(U169/20)&gt;INT(U168/20), "Lần " &amp; INT(U169/20), "")</f>
        <v/>
      </c>
      <c r="AG169" s="11">
        <f>IF(INT(V169/20)&gt;INT(V168/20), "Lần " &amp; INT(V169/20), "")</f>
        <v/>
      </c>
      <c r="AH169" s="11">
        <f>IF(INT(W169/20)&gt;INT(W168/20), "Lần " &amp; INT(W169/20), "")</f>
        <v/>
      </c>
      <c r="AI169" s="11">
        <f>IF(INT(X169/20)&gt;INT(X168/20), "Lần " &amp; INT(X169/20), "")</f>
        <v/>
      </c>
      <c r="AJ169" s="11">
        <f>IF(INT(Y169/20)&gt;INT(Y168/20), "Lần " &amp; INT(Y169/20), "")</f>
        <v/>
      </c>
      <c r="AK169" s="11">
        <f>IF(INT(Z169/20)&gt;INT(Z168/20), "Lần " &amp; INT(Z169/20), "")</f>
        <v/>
      </c>
      <c r="AL169" s="6" t="inlineStr">
        <is>
          <t>ĐẠT TCVN 1651:2018</t>
        </is>
      </c>
    </row>
    <row r="170" ht="19" customHeight="1">
      <c r="A170" s="6" t="n">
        <v>156</v>
      </c>
      <c r="B170" s="7" t="inlineStr">
        <is>
          <t>Cọc khoan nhồi C8 Trụ T1 (D1.2m, L=40.0m)</t>
        </is>
      </c>
      <c r="C170" s="7" t="inlineStr">
        <is>
          <t>Cốt thép chủ chịu lực cọc</t>
        </is>
      </c>
      <c r="D170" s="18" t="inlineStr">
        <is>
          <t>P6</t>
        </is>
      </c>
      <c r="E170" s="19" t="n">
        <v>25</v>
      </c>
      <c r="F170" s="6" t="inlineStr">
        <is>
          <t>CB400-V</t>
        </is>
      </c>
      <c r="G170" s="7" t="inlineStr">
        <is>
          <t>Thanh thẳng nối ren/hàn</t>
        </is>
      </c>
      <c r="H170" s="20" t="n">
        <v>9.032999999999999</v>
      </c>
      <c r="I170" s="21" t="n">
        <v>12</v>
      </c>
      <c r="J170" s="22" t="n">
        <v>3.85</v>
      </c>
      <c r="K170" s="9">
        <f>ROUND(H170*I170*J170, 2)</f>
        <v/>
      </c>
      <c r="L170" s="23">
        <f>ROUND(K170/1000, 3)</f>
        <v/>
      </c>
      <c r="M170" s="8" t="n"/>
      <c r="N170" s="6" t="n"/>
      <c r="O170" s="24">
        <f>IF(AND(E170&lt;=10, F170&lt;&gt;"ASTM A416", INT(P170/20)&gt;INT(P169/20)), "TN Ø10 (Lần " &amp; INT(P170/20) &amp; ")", IF(AND(E170=12, INT(Q170/20)&gt;INT(Q169/20)), "TN Ø12 (Lần " &amp; INT(Q170/20) &amp; ")", IF(AND(E170=14, INT(R170/20)&gt;INT(R169/20)), "TN Ø14 (Lần " &amp; INT(R170/20) &amp; ")", IF(AND(E170=16, INT(S170/20)&gt;INT(S169/20)), "TN Ø16 (Lần " &amp; INT(S170/20) &amp; ")", IF(AND(E170=18, INT(T170/20)&gt;INT(T169/20)), "TN Ø18 (Lần " &amp; INT(T170/20) &amp; ")", IF(AND(E170=20, INT(U170/20)&gt;INT(U169/20)), "TN Ø20 (Lần " &amp; INT(U170/20) &amp; ")", IF(AND(E170=22, INT(V170/20)&gt;INT(V169/20)), "TN Ø22 (Lần " &amp; INT(V170/20) &amp; ")", IF(AND(E170=25, INT(W170/20)&gt;INT(W169/20)), "TN Ø25 (Lần " &amp; INT(W170/20) &amp; ")", IF(AND(E170=28, INT(X170/20)&gt;INT(X169/20)), "TN Ø28 (Lần " &amp; INT(X170/20) &amp; ")", IF(AND(E170=32, INT(Y170/20)&gt;INT(Y169/20)), "TN Ø32 (Lần " &amp; INT(Y170/20) &amp; ")", IF(AND(F170="ASTM A416", INT(Z170/20)&gt;INT(Z169/20)), "TN Cáp 15.2 (Lần " &amp; INT(Z170/20) &amp; ")", "")))))))))))</f>
        <v/>
      </c>
      <c r="P170" s="20">
        <f>ROUND(P169 + IF(AND(E170&lt;=10, F170&lt;&gt;"ASTM A416"), L170, 0), 3)</f>
        <v/>
      </c>
      <c r="Q170" s="20">
        <f>ROUND(Q169 + IF(AND(E170=12, F170&lt;&gt;"ASTM A416"), L170, 0), 3)</f>
        <v/>
      </c>
      <c r="R170" s="20">
        <f>ROUND(R169 + IF(AND(E170=14, F170&lt;&gt;"ASTM A416"), L170, 0), 3)</f>
        <v/>
      </c>
      <c r="S170" s="20">
        <f>ROUND(S169 + IF(AND(E170=16, F170&lt;&gt;"ASTM A416"), L170, 0), 3)</f>
        <v/>
      </c>
      <c r="T170" s="20">
        <f>ROUND(T169 + IF(AND(E170=18, F170&lt;&gt;"ASTM A416"), L170, 0), 3)</f>
        <v/>
      </c>
      <c r="U170" s="20">
        <f>ROUND(U169 + IF(AND(E170=20, F170&lt;&gt;"ASTM A416"), L170, 0), 3)</f>
        <v/>
      </c>
      <c r="V170" s="20">
        <f>ROUND(V169 + IF(AND(E170=22, F170&lt;&gt;"ASTM A416"), L170, 0), 3)</f>
        <v/>
      </c>
      <c r="W170" s="20">
        <f>ROUND(W169 + IF(AND(E170=25, F170&lt;&gt;"ASTM A416"), L170, 0), 3)</f>
        <v/>
      </c>
      <c r="X170" s="20">
        <f>ROUND(X169 + IF(AND(E170=28, F170&lt;&gt;"ASTM A416"), L170, 0), 3)</f>
        <v/>
      </c>
      <c r="Y170" s="20">
        <f>ROUND(Y169 + IF(AND(E170=32, F170&lt;&gt;"ASTM A416"), L170, 0), 3)</f>
        <v/>
      </c>
      <c r="Z170" s="20">
        <f>ROUND(Z169 + IF(F170="ASTM A416", L170, 0), 3)</f>
        <v/>
      </c>
      <c r="AA170" s="11">
        <f>IF(INT(P170/20)&gt;INT(P169/20), "Lần " &amp; INT(P170/20), "")</f>
        <v/>
      </c>
      <c r="AB170" s="11">
        <f>IF(INT(Q170/20)&gt;INT(Q169/20), "Lần " &amp; INT(Q170/20), "")</f>
        <v/>
      </c>
      <c r="AC170" s="11">
        <f>IF(INT(R170/20)&gt;INT(R169/20), "Lần " &amp; INT(R170/20), "")</f>
        <v/>
      </c>
      <c r="AD170" s="11">
        <f>IF(INT(S170/20)&gt;INT(S169/20), "Lần " &amp; INT(S170/20), "")</f>
        <v/>
      </c>
      <c r="AE170" s="11">
        <f>IF(INT(T170/20)&gt;INT(T169/20), "Lần " &amp; INT(T170/20), "")</f>
        <v/>
      </c>
      <c r="AF170" s="11">
        <f>IF(INT(U170/20)&gt;INT(U169/20), "Lần " &amp; INT(U170/20), "")</f>
        <v/>
      </c>
      <c r="AG170" s="11">
        <f>IF(INT(V170/20)&gt;INT(V169/20), "Lần " &amp; INT(V170/20), "")</f>
        <v/>
      </c>
      <c r="AH170" s="11">
        <f>IF(INT(W170/20)&gt;INT(W169/20), "Lần " &amp; INT(W170/20), "")</f>
        <v/>
      </c>
      <c r="AI170" s="11">
        <f>IF(INT(X170/20)&gt;INT(X169/20), "Lần " &amp; INT(X170/20), "")</f>
        <v/>
      </c>
      <c r="AJ170" s="11">
        <f>IF(INT(Y170/20)&gt;INT(Y169/20), "Lần " &amp; INT(Y170/20), "")</f>
        <v/>
      </c>
      <c r="AK170" s="11">
        <f>IF(INT(Z170/20)&gt;INT(Z169/20), "Lần " &amp; INT(Z170/20), "")</f>
        <v/>
      </c>
      <c r="AL170" s="6" t="inlineStr">
        <is>
          <t>ĐẠT TCVN 1651:2018</t>
        </is>
      </c>
    </row>
    <row r="171" ht="19" customHeight="1">
      <c r="A171" s="6" t="n">
        <v>157</v>
      </c>
      <c r="B171" s="7" t="inlineStr">
        <is>
          <t>Cọc khoan nhồi C8 Trụ T1 (D1.2m, L=40.0m)</t>
        </is>
      </c>
      <c r="C171" s="7" t="inlineStr">
        <is>
          <t>Cốt thép chủ chịu lực cọc</t>
        </is>
      </c>
      <c r="D171" s="18" t="inlineStr">
        <is>
          <t>P7</t>
        </is>
      </c>
      <c r="E171" s="19" t="n">
        <v>25</v>
      </c>
      <c r="F171" s="6" t="inlineStr">
        <is>
          <t>CB400-V</t>
        </is>
      </c>
      <c r="G171" s="7" t="inlineStr">
        <is>
          <t>Thanh thẳng nối ren/hàn</t>
        </is>
      </c>
      <c r="H171" s="20" t="n">
        <v>10.033</v>
      </c>
      <c r="I171" s="21" t="n">
        <v>12</v>
      </c>
      <c r="J171" s="22" t="n">
        <v>3.85</v>
      </c>
      <c r="K171" s="9">
        <f>ROUND(H171*I171*J171, 2)</f>
        <v/>
      </c>
      <c r="L171" s="23">
        <f>ROUND(K171/1000, 3)</f>
        <v/>
      </c>
      <c r="M171" s="8" t="n"/>
      <c r="N171" s="6" t="n"/>
      <c r="O171" s="24">
        <f>IF(AND(E171&lt;=10, F171&lt;&gt;"ASTM A416", INT(P171/20)&gt;INT(P170/20)), "TN Ø10 (Lần " &amp; INT(P171/20) &amp; ")", IF(AND(E171=12, INT(Q171/20)&gt;INT(Q170/20)), "TN Ø12 (Lần " &amp; INT(Q171/20) &amp; ")", IF(AND(E171=14, INT(R171/20)&gt;INT(R170/20)), "TN Ø14 (Lần " &amp; INT(R171/20) &amp; ")", IF(AND(E171=16, INT(S171/20)&gt;INT(S170/20)), "TN Ø16 (Lần " &amp; INT(S171/20) &amp; ")", IF(AND(E171=18, INT(T171/20)&gt;INT(T170/20)), "TN Ø18 (Lần " &amp; INT(T171/20) &amp; ")", IF(AND(E171=20, INT(U171/20)&gt;INT(U170/20)), "TN Ø20 (Lần " &amp; INT(U171/20) &amp; ")", IF(AND(E171=22, INT(V171/20)&gt;INT(V170/20)), "TN Ø22 (Lần " &amp; INT(V171/20) &amp; ")", IF(AND(E171=25, INT(W171/20)&gt;INT(W170/20)), "TN Ø25 (Lần " &amp; INT(W171/20) &amp; ")", IF(AND(E171=28, INT(X171/20)&gt;INT(X170/20)), "TN Ø28 (Lần " &amp; INT(X171/20) &amp; ")", IF(AND(E171=32, INT(Y171/20)&gt;INT(Y170/20)), "TN Ø32 (Lần " &amp; INT(Y171/20) &amp; ")", IF(AND(F171="ASTM A416", INT(Z171/20)&gt;INT(Z170/20)), "TN Cáp 15.2 (Lần " &amp; INT(Z171/20) &amp; ")", "")))))))))))</f>
        <v/>
      </c>
      <c r="P171" s="20">
        <f>ROUND(P170 + IF(AND(E171&lt;=10, F171&lt;&gt;"ASTM A416"), L171, 0), 3)</f>
        <v/>
      </c>
      <c r="Q171" s="20">
        <f>ROUND(Q170 + IF(AND(E171=12, F171&lt;&gt;"ASTM A416"), L171, 0), 3)</f>
        <v/>
      </c>
      <c r="R171" s="20">
        <f>ROUND(R170 + IF(AND(E171=14, F171&lt;&gt;"ASTM A416"), L171, 0), 3)</f>
        <v/>
      </c>
      <c r="S171" s="20">
        <f>ROUND(S170 + IF(AND(E171=16, F171&lt;&gt;"ASTM A416"), L171, 0), 3)</f>
        <v/>
      </c>
      <c r="T171" s="20">
        <f>ROUND(T170 + IF(AND(E171=18, F171&lt;&gt;"ASTM A416"), L171, 0), 3)</f>
        <v/>
      </c>
      <c r="U171" s="20">
        <f>ROUND(U170 + IF(AND(E171=20, F171&lt;&gt;"ASTM A416"), L171, 0), 3)</f>
        <v/>
      </c>
      <c r="V171" s="20">
        <f>ROUND(V170 + IF(AND(E171=22, F171&lt;&gt;"ASTM A416"), L171, 0), 3)</f>
        <v/>
      </c>
      <c r="W171" s="20">
        <f>ROUND(W170 + IF(AND(E171=25, F171&lt;&gt;"ASTM A416"), L171, 0), 3)</f>
        <v/>
      </c>
      <c r="X171" s="20">
        <f>ROUND(X170 + IF(AND(E171=28, F171&lt;&gt;"ASTM A416"), L171, 0), 3)</f>
        <v/>
      </c>
      <c r="Y171" s="20">
        <f>ROUND(Y170 + IF(AND(E171=32, F171&lt;&gt;"ASTM A416"), L171, 0), 3)</f>
        <v/>
      </c>
      <c r="Z171" s="20">
        <f>ROUND(Z170 + IF(F171="ASTM A416", L171, 0), 3)</f>
        <v/>
      </c>
      <c r="AA171" s="11">
        <f>IF(INT(P171/20)&gt;INT(P170/20), "Lần " &amp; INT(P171/20), "")</f>
        <v/>
      </c>
      <c r="AB171" s="11">
        <f>IF(INT(Q171/20)&gt;INT(Q170/20), "Lần " &amp; INT(Q171/20), "")</f>
        <v/>
      </c>
      <c r="AC171" s="11">
        <f>IF(INT(R171/20)&gt;INT(R170/20), "Lần " &amp; INT(R171/20), "")</f>
        <v/>
      </c>
      <c r="AD171" s="11">
        <f>IF(INT(S171/20)&gt;INT(S170/20), "Lần " &amp; INT(S171/20), "")</f>
        <v/>
      </c>
      <c r="AE171" s="11">
        <f>IF(INT(T171/20)&gt;INT(T170/20), "Lần " &amp; INT(T171/20), "")</f>
        <v/>
      </c>
      <c r="AF171" s="11">
        <f>IF(INT(U171/20)&gt;INT(U170/20), "Lần " &amp; INT(U171/20), "")</f>
        <v/>
      </c>
      <c r="AG171" s="11">
        <f>IF(INT(V171/20)&gt;INT(V170/20), "Lần " &amp; INT(V171/20), "")</f>
        <v/>
      </c>
      <c r="AH171" s="11">
        <f>IF(INT(W171/20)&gt;INT(W170/20), "Lần " &amp; INT(W171/20), "")</f>
        <v/>
      </c>
      <c r="AI171" s="11">
        <f>IF(INT(X171/20)&gt;INT(X170/20), "Lần " &amp; INT(X171/20), "")</f>
        <v/>
      </c>
      <c r="AJ171" s="11">
        <f>IF(INT(Y171/20)&gt;INT(Y170/20), "Lần " &amp; INT(Y171/20), "")</f>
        <v/>
      </c>
      <c r="AK171" s="11">
        <f>IF(INT(Z171/20)&gt;INT(Z170/20), "Lần " &amp; INT(Z171/20), "")</f>
        <v/>
      </c>
      <c r="AL171" s="6" t="inlineStr">
        <is>
          <t>ĐẠT TCVN 1651:2018</t>
        </is>
      </c>
    </row>
    <row r="172" ht="19" customHeight="1">
      <c r="A172" s="6" t="n">
        <v>158</v>
      </c>
      <c r="B172" s="7" t="inlineStr">
        <is>
          <t>Cọc khoan nhồi C8 Trụ T1 (D1.2m, L=40.0m)</t>
        </is>
      </c>
      <c r="C172" s="7" t="inlineStr">
        <is>
          <t>Đai tăng cường / Con kê bảo vệ</t>
        </is>
      </c>
      <c r="D172" s="18" t="inlineStr">
        <is>
          <t>P8</t>
        </is>
      </c>
      <c r="E172" s="19" t="n">
        <v>12</v>
      </c>
      <c r="F172" s="6" t="inlineStr">
        <is>
          <t>CB400-V</t>
        </is>
      </c>
      <c r="G172" s="7" t="inlineStr">
        <is>
          <t>Móc neo / Vòng đai</t>
        </is>
      </c>
      <c r="H172" s="20" t="n">
        <v>0.647</v>
      </c>
      <c r="I172" s="21" t="n">
        <v>16</v>
      </c>
      <c r="J172" s="22" t="n">
        <v>0.888</v>
      </c>
      <c r="K172" s="9">
        <f>ROUND(H172*I172*J172, 2)</f>
        <v/>
      </c>
      <c r="L172" s="23">
        <f>ROUND(K172/1000, 3)</f>
        <v/>
      </c>
      <c r="M172" s="8" t="n"/>
      <c r="N172" s="6" t="n"/>
      <c r="O172" s="24">
        <f>IF(AND(E172&lt;=10, F172&lt;&gt;"ASTM A416", INT(P172/20)&gt;INT(P171/20)), "TN Ø10 (Lần " &amp; INT(P172/20) &amp; ")", IF(AND(E172=12, INT(Q172/20)&gt;INT(Q171/20)), "TN Ø12 (Lần " &amp; INT(Q172/20) &amp; ")", IF(AND(E172=14, INT(R172/20)&gt;INT(R171/20)), "TN Ø14 (Lần " &amp; INT(R172/20) &amp; ")", IF(AND(E172=16, INT(S172/20)&gt;INT(S171/20)), "TN Ø16 (Lần " &amp; INT(S172/20) &amp; ")", IF(AND(E172=18, INT(T172/20)&gt;INT(T171/20)), "TN Ø18 (Lần " &amp; INT(T172/20) &amp; ")", IF(AND(E172=20, INT(U172/20)&gt;INT(U171/20)), "TN Ø20 (Lần " &amp; INT(U172/20) &amp; ")", IF(AND(E172=22, INT(V172/20)&gt;INT(V171/20)), "TN Ø22 (Lần " &amp; INT(V172/20) &amp; ")", IF(AND(E172=25, INT(W172/20)&gt;INT(W171/20)), "TN Ø25 (Lần " &amp; INT(W172/20) &amp; ")", IF(AND(E172=28, INT(X172/20)&gt;INT(X171/20)), "TN Ø28 (Lần " &amp; INT(X172/20) &amp; ")", IF(AND(E172=32, INT(Y172/20)&gt;INT(Y171/20)), "TN Ø32 (Lần " &amp; INT(Y172/20) &amp; ")", IF(AND(F172="ASTM A416", INT(Z172/20)&gt;INT(Z171/20)), "TN Cáp 15.2 (Lần " &amp; INT(Z172/20) &amp; ")", "")))))))))))</f>
        <v/>
      </c>
      <c r="P172" s="20">
        <f>ROUND(P171 + IF(AND(E172&lt;=10, F172&lt;&gt;"ASTM A416"), L172, 0), 3)</f>
        <v/>
      </c>
      <c r="Q172" s="20">
        <f>ROUND(Q171 + IF(AND(E172=12, F172&lt;&gt;"ASTM A416"), L172, 0), 3)</f>
        <v/>
      </c>
      <c r="R172" s="20">
        <f>ROUND(R171 + IF(AND(E172=14, F172&lt;&gt;"ASTM A416"), L172, 0), 3)</f>
        <v/>
      </c>
      <c r="S172" s="20">
        <f>ROUND(S171 + IF(AND(E172=16, F172&lt;&gt;"ASTM A416"), L172, 0), 3)</f>
        <v/>
      </c>
      <c r="T172" s="20">
        <f>ROUND(T171 + IF(AND(E172=18, F172&lt;&gt;"ASTM A416"), L172, 0), 3)</f>
        <v/>
      </c>
      <c r="U172" s="20">
        <f>ROUND(U171 + IF(AND(E172=20, F172&lt;&gt;"ASTM A416"), L172, 0), 3)</f>
        <v/>
      </c>
      <c r="V172" s="20">
        <f>ROUND(V171 + IF(AND(E172=22, F172&lt;&gt;"ASTM A416"), L172, 0), 3)</f>
        <v/>
      </c>
      <c r="W172" s="20">
        <f>ROUND(W171 + IF(AND(E172=25, F172&lt;&gt;"ASTM A416"), L172, 0), 3)</f>
        <v/>
      </c>
      <c r="X172" s="20">
        <f>ROUND(X171 + IF(AND(E172=28, F172&lt;&gt;"ASTM A416"), L172, 0), 3)</f>
        <v/>
      </c>
      <c r="Y172" s="20">
        <f>ROUND(Y171 + IF(AND(E172=32, F172&lt;&gt;"ASTM A416"), L172, 0), 3)</f>
        <v/>
      </c>
      <c r="Z172" s="20">
        <f>ROUND(Z171 + IF(F172="ASTM A416", L172, 0), 3)</f>
        <v/>
      </c>
      <c r="AA172" s="11">
        <f>IF(INT(P172/20)&gt;INT(P171/20), "Lần " &amp; INT(P172/20), "")</f>
        <v/>
      </c>
      <c r="AB172" s="11">
        <f>IF(INT(Q172/20)&gt;INT(Q171/20), "Lần " &amp; INT(Q172/20), "")</f>
        <v/>
      </c>
      <c r="AC172" s="11">
        <f>IF(INT(R172/20)&gt;INT(R171/20), "Lần " &amp; INT(R172/20), "")</f>
        <v/>
      </c>
      <c r="AD172" s="11">
        <f>IF(INT(S172/20)&gt;INT(S171/20), "Lần " &amp; INT(S172/20), "")</f>
        <v/>
      </c>
      <c r="AE172" s="11">
        <f>IF(INT(T172/20)&gt;INT(T171/20), "Lần " &amp; INT(T172/20), "")</f>
        <v/>
      </c>
      <c r="AF172" s="11">
        <f>IF(INT(U172/20)&gt;INT(U171/20), "Lần " &amp; INT(U172/20), "")</f>
        <v/>
      </c>
      <c r="AG172" s="11">
        <f>IF(INT(V172/20)&gt;INT(V171/20), "Lần " &amp; INT(V172/20), "")</f>
        <v/>
      </c>
      <c r="AH172" s="11">
        <f>IF(INT(W172/20)&gt;INT(W171/20), "Lần " &amp; INT(W172/20), "")</f>
        <v/>
      </c>
      <c r="AI172" s="11">
        <f>IF(INT(X172/20)&gt;INT(X171/20), "Lần " &amp; INT(X172/20), "")</f>
        <v/>
      </c>
      <c r="AJ172" s="11">
        <f>IF(INT(Y172/20)&gt;INT(Y171/20), "Lần " &amp; INT(Y172/20), "")</f>
        <v/>
      </c>
      <c r="AK172" s="11">
        <f>IF(INT(Z172/20)&gt;INT(Z171/20), "Lần " &amp; INT(Z172/20), "")</f>
        <v/>
      </c>
      <c r="AL172" s="6" t="inlineStr">
        <is>
          <t>ĐẠT TCVN 1651:2018</t>
        </is>
      </c>
    </row>
    <row r="173" ht="19" customHeight="1">
      <c r="A173" s="6" t="n">
        <v>159</v>
      </c>
      <c r="B173" s="7" t="inlineStr">
        <is>
          <t>Cọc khoan nhồi C8 Trụ T1 (D1.2m, L=40.0m)</t>
        </is>
      </c>
      <c r="C173" s="7" t="inlineStr">
        <is>
          <t>Đai tăng cường / Con kê bảo vệ</t>
        </is>
      </c>
      <c r="D173" s="18" t="inlineStr">
        <is>
          <t>P9</t>
        </is>
      </c>
      <c r="E173" s="19" t="n">
        <v>12</v>
      </c>
      <c r="F173" s="6" t="inlineStr">
        <is>
          <t>CB400-V</t>
        </is>
      </c>
      <c r="G173" s="7" t="inlineStr">
        <is>
          <t>Móc neo / Vòng đai</t>
        </is>
      </c>
      <c r="H173" s="20" t="n">
        <v>0.379</v>
      </c>
      <c r="I173" s="21" t="n">
        <v>48</v>
      </c>
      <c r="J173" s="22" t="n">
        <v>0.888</v>
      </c>
      <c r="K173" s="9">
        <f>ROUND(H173*I173*J173, 2)</f>
        <v/>
      </c>
      <c r="L173" s="23">
        <f>ROUND(K173/1000, 3)</f>
        <v/>
      </c>
      <c r="M173" s="8" t="n"/>
      <c r="N173" s="6" t="n"/>
      <c r="O173" s="24">
        <f>IF(AND(E173&lt;=10, F173&lt;&gt;"ASTM A416", INT(P173/20)&gt;INT(P172/20)), "TN Ø10 (Lần " &amp; INT(P173/20) &amp; ")", IF(AND(E173=12, INT(Q173/20)&gt;INT(Q172/20)), "TN Ø12 (Lần " &amp; INT(Q173/20) &amp; ")", IF(AND(E173=14, INT(R173/20)&gt;INT(R172/20)), "TN Ø14 (Lần " &amp; INT(R173/20) &amp; ")", IF(AND(E173=16, INT(S173/20)&gt;INT(S172/20)), "TN Ø16 (Lần " &amp; INT(S173/20) &amp; ")", IF(AND(E173=18, INT(T173/20)&gt;INT(T172/20)), "TN Ø18 (Lần " &amp; INT(T173/20) &amp; ")", IF(AND(E173=20, INT(U173/20)&gt;INT(U172/20)), "TN Ø20 (Lần " &amp; INT(U173/20) &amp; ")", IF(AND(E173=22, INT(V173/20)&gt;INT(V172/20)), "TN Ø22 (Lần " &amp; INT(V173/20) &amp; ")", IF(AND(E173=25, INT(W173/20)&gt;INT(W172/20)), "TN Ø25 (Lần " &amp; INT(W173/20) &amp; ")", IF(AND(E173=28, INT(X173/20)&gt;INT(X172/20)), "TN Ø28 (Lần " &amp; INT(X173/20) &amp; ")", IF(AND(E173=32, INT(Y173/20)&gt;INT(Y172/20)), "TN Ø32 (Lần " &amp; INT(Y173/20) &amp; ")", IF(AND(F173="ASTM A416", INT(Z173/20)&gt;INT(Z172/20)), "TN Cáp 15.2 (Lần " &amp; INT(Z173/20) &amp; ")", "")))))))))))</f>
        <v/>
      </c>
      <c r="P173" s="20">
        <f>ROUND(P172 + IF(AND(E173&lt;=10, F173&lt;&gt;"ASTM A416"), L173, 0), 3)</f>
        <v/>
      </c>
      <c r="Q173" s="20">
        <f>ROUND(Q172 + IF(AND(E173=12, F173&lt;&gt;"ASTM A416"), L173, 0), 3)</f>
        <v/>
      </c>
      <c r="R173" s="20">
        <f>ROUND(R172 + IF(AND(E173=14, F173&lt;&gt;"ASTM A416"), L173, 0), 3)</f>
        <v/>
      </c>
      <c r="S173" s="20">
        <f>ROUND(S172 + IF(AND(E173=16, F173&lt;&gt;"ASTM A416"), L173, 0), 3)</f>
        <v/>
      </c>
      <c r="T173" s="20">
        <f>ROUND(T172 + IF(AND(E173=18, F173&lt;&gt;"ASTM A416"), L173, 0), 3)</f>
        <v/>
      </c>
      <c r="U173" s="20">
        <f>ROUND(U172 + IF(AND(E173=20, F173&lt;&gt;"ASTM A416"), L173, 0), 3)</f>
        <v/>
      </c>
      <c r="V173" s="20">
        <f>ROUND(V172 + IF(AND(E173=22, F173&lt;&gt;"ASTM A416"), L173, 0), 3)</f>
        <v/>
      </c>
      <c r="W173" s="20">
        <f>ROUND(W172 + IF(AND(E173=25, F173&lt;&gt;"ASTM A416"), L173, 0), 3)</f>
        <v/>
      </c>
      <c r="X173" s="20">
        <f>ROUND(X172 + IF(AND(E173=28, F173&lt;&gt;"ASTM A416"), L173, 0), 3)</f>
        <v/>
      </c>
      <c r="Y173" s="20">
        <f>ROUND(Y172 + IF(AND(E173=32, F173&lt;&gt;"ASTM A416"), L173, 0), 3)</f>
        <v/>
      </c>
      <c r="Z173" s="20">
        <f>ROUND(Z172 + IF(F173="ASTM A416", L173, 0), 3)</f>
        <v/>
      </c>
      <c r="AA173" s="11">
        <f>IF(INT(P173/20)&gt;INT(P172/20), "Lần " &amp; INT(P173/20), "")</f>
        <v/>
      </c>
      <c r="AB173" s="11">
        <f>IF(INT(Q173/20)&gt;INT(Q172/20), "Lần " &amp; INT(Q173/20), "")</f>
        <v/>
      </c>
      <c r="AC173" s="11">
        <f>IF(INT(R173/20)&gt;INT(R172/20), "Lần " &amp; INT(R173/20), "")</f>
        <v/>
      </c>
      <c r="AD173" s="11">
        <f>IF(INT(S173/20)&gt;INT(S172/20), "Lần " &amp; INT(S173/20), "")</f>
        <v/>
      </c>
      <c r="AE173" s="11">
        <f>IF(INT(T173/20)&gt;INT(T172/20), "Lần " &amp; INT(T173/20), "")</f>
        <v/>
      </c>
      <c r="AF173" s="11">
        <f>IF(INT(U173/20)&gt;INT(U172/20), "Lần " &amp; INT(U173/20), "")</f>
        <v/>
      </c>
      <c r="AG173" s="11">
        <f>IF(INT(V173/20)&gt;INT(V172/20), "Lần " &amp; INT(V173/20), "")</f>
        <v/>
      </c>
      <c r="AH173" s="11">
        <f>IF(INT(W173/20)&gt;INT(W172/20), "Lần " &amp; INT(W173/20), "")</f>
        <v/>
      </c>
      <c r="AI173" s="11">
        <f>IF(INT(X173/20)&gt;INT(X172/20), "Lần " &amp; INT(X173/20), "")</f>
        <v/>
      </c>
      <c r="AJ173" s="11">
        <f>IF(INT(Y173/20)&gt;INT(Y172/20), "Lần " &amp; INT(Y173/20), "")</f>
        <v/>
      </c>
      <c r="AK173" s="11">
        <f>IF(INT(Z173/20)&gt;INT(Z172/20), "Lần " &amp; INT(Z173/20), "")</f>
        <v/>
      </c>
      <c r="AL173" s="6" t="inlineStr">
        <is>
          <t>ĐẠT TCVN 1651:2018</t>
        </is>
      </c>
    </row>
    <row r="174" ht="19" customHeight="1">
      <c r="A174" s="6" t="n">
        <v>160</v>
      </c>
      <c r="B174" s="7" t="inlineStr">
        <is>
          <t>Cọc khoan nhồi C8 Trụ T1 (D1.2m, L=40.0m)</t>
        </is>
      </c>
      <c r="C174" s="7" t="inlineStr">
        <is>
          <t>Thép đai xoắn lồng cọc</t>
        </is>
      </c>
      <c r="D174" s="18" t="inlineStr">
        <is>
          <t>P10</t>
        </is>
      </c>
      <c r="E174" s="19" t="n">
        <v>20</v>
      </c>
      <c r="F174" s="6" t="inlineStr">
        <is>
          <t>CB400-V</t>
        </is>
      </c>
      <c r="G174" s="7" t="inlineStr">
        <is>
          <t>Đai xoắn tròn</t>
        </is>
      </c>
      <c r="H174" s="20" t="n">
        <v>2.057</v>
      </c>
      <c r="I174" s="21" t="n">
        <v>1</v>
      </c>
      <c r="J174" s="22" t="n">
        <v>2.47</v>
      </c>
      <c r="K174" s="9">
        <f>ROUND(H174*I174*J174, 2)</f>
        <v/>
      </c>
      <c r="L174" s="23">
        <f>ROUND(K174/1000, 3)</f>
        <v/>
      </c>
      <c r="M174" s="8" t="n"/>
      <c r="N174" s="6" t="n"/>
      <c r="O174" s="24">
        <f>IF(AND(E174&lt;=10, F174&lt;&gt;"ASTM A416", INT(P174/20)&gt;INT(P173/20)), "TN Ø10 (Lần " &amp; INT(P174/20) &amp; ")", IF(AND(E174=12, INT(Q174/20)&gt;INT(Q173/20)), "TN Ø12 (Lần " &amp; INT(Q174/20) &amp; ")", IF(AND(E174=14, INT(R174/20)&gt;INT(R173/20)), "TN Ø14 (Lần " &amp; INT(R174/20) &amp; ")", IF(AND(E174=16, INT(S174/20)&gt;INT(S173/20)), "TN Ø16 (Lần " &amp; INT(S174/20) &amp; ")", IF(AND(E174=18, INT(T174/20)&gt;INT(T173/20)), "TN Ø18 (Lần " &amp; INT(T174/20) &amp; ")", IF(AND(E174=20, INT(U174/20)&gt;INT(U173/20)), "TN Ø20 (Lần " &amp; INT(U174/20) &amp; ")", IF(AND(E174=22, INT(V174/20)&gt;INT(V173/20)), "TN Ø22 (Lần " &amp; INT(V174/20) &amp; ")", IF(AND(E174=25, INT(W174/20)&gt;INT(W173/20)), "TN Ø25 (Lần " &amp; INT(W174/20) &amp; ")", IF(AND(E174=28, INT(X174/20)&gt;INT(X173/20)), "TN Ø28 (Lần " &amp; INT(X174/20) &amp; ")", IF(AND(E174=32, INT(Y174/20)&gt;INT(Y173/20)), "TN Ø32 (Lần " &amp; INT(Y174/20) &amp; ")", IF(AND(F174="ASTM A416", INT(Z174/20)&gt;INT(Z173/20)), "TN Cáp 15.2 (Lần " &amp; INT(Z174/20) &amp; ")", "")))))))))))</f>
        <v/>
      </c>
      <c r="P174" s="20">
        <f>ROUND(P173 + IF(AND(E174&lt;=10, F174&lt;&gt;"ASTM A416"), L174, 0), 3)</f>
        <v/>
      </c>
      <c r="Q174" s="20">
        <f>ROUND(Q173 + IF(AND(E174=12, F174&lt;&gt;"ASTM A416"), L174, 0), 3)</f>
        <v/>
      </c>
      <c r="R174" s="20">
        <f>ROUND(R173 + IF(AND(E174=14, F174&lt;&gt;"ASTM A416"), L174, 0), 3)</f>
        <v/>
      </c>
      <c r="S174" s="20">
        <f>ROUND(S173 + IF(AND(E174=16, F174&lt;&gt;"ASTM A416"), L174, 0), 3)</f>
        <v/>
      </c>
      <c r="T174" s="20">
        <f>ROUND(T173 + IF(AND(E174=18, F174&lt;&gt;"ASTM A416"), L174, 0), 3)</f>
        <v/>
      </c>
      <c r="U174" s="20">
        <f>ROUND(U173 + IF(AND(E174=20, F174&lt;&gt;"ASTM A416"), L174, 0), 3)</f>
        <v/>
      </c>
      <c r="V174" s="20">
        <f>ROUND(V173 + IF(AND(E174=22, F174&lt;&gt;"ASTM A416"), L174, 0), 3)</f>
        <v/>
      </c>
      <c r="W174" s="20">
        <f>ROUND(W173 + IF(AND(E174=25, F174&lt;&gt;"ASTM A416"), L174, 0), 3)</f>
        <v/>
      </c>
      <c r="X174" s="20">
        <f>ROUND(X173 + IF(AND(E174=28, F174&lt;&gt;"ASTM A416"), L174, 0), 3)</f>
        <v/>
      </c>
      <c r="Y174" s="20">
        <f>ROUND(Y173 + IF(AND(E174=32, F174&lt;&gt;"ASTM A416"), L174, 0), 3)</f>
        <v/>
      </c>
      <c r="Z174" s="20">
        <f>ROUND(Z173 + IF(F174="ASTM A416", L174, 0), 3)</f>
        <v/>
      </c>
      <c r="AA174" s="11">
        <f>IF(INT(P174/20)&gt;INT(P173/20), "Lần " &amp; INT(P174/20), "")</f>
        <v/>
      </c>
      <c r="AB174" s="11">
        <f>IF(INT(Q174/20)&gt;INT(Q173/20), "Lần " &amp; INT(Q174/20), "")</f>
        <v/>
      </c>
      <c r="AC174" s="11">
        <f>IF(INT(R174/20)&gt;INT(R173/20), "Lần " &amp; INT(R174/20), "")</f>
        <v/>
      </c>
      <c r="AD174" s="11">
        <f>IF(INT(S174/20)&gt;INT(S173/20), "Lần " &amp; INT(S174/20), "")</f>
        <v/>
      </c>
      <c r="AE174" s="11">
        <f>IF(INT(T174/20)&gt;INT(T173/20), "Lần " &amp; INT(T174/20), "")</f>
        <v/>
      </c>
      <c r="AF174" s="11">
        <f>IF(INT(U174/20)&gt;INT(U173/20), "Lần " &amp; INT(U174/20), "")</f>
        <v/>
      </c>
      <c r="AG174" s="11">
        <f>IF(INT(V174/20)&gt;INT(V173/20), "Lần " &amp; INT(V174/20), "")</f>
        <v/>
      </c>
      <c r="AH174" s="11">
        <f>IF(INT(W174/20)&gt;INT(W173/20), "Lần " &amp; INT(W174/20), "")</f>
        <v/>
      </c>
      <c r="AI174" s="11">
        <f>IF(INT(X174/20)&gt;INT(X173/20), "Lần " &amp; INT(X174/20), "")</f>
        <v/>
      </c>
      <c r="AJ174" s="11">
        <f>IF(INT(Y174/20)&gt;INT(Y173/20), "Lần " &amp; INT(Y174/20), "")</f>
        <v/>
      </c>
      <c r="AK174" s="11">
        <f>IF(INT(Z174/20)&gt;INT(Z173/20), "Lần " &amp; INT(Z174/20), "")</f>
        <v/>
      </c>
      <c r="AL174" s="6" t="inlineStr">
        <is>
          <t>ĐẠT TCVN 1651:2018</t>
        </is>
      </c>
    </row>
    <row r="175" ht="19" customHeight="1">
      <c r="A175" s="6" t="n">
        <v>161</v>
      </c>
      <c r="B175" s="7" t="inlineStr">
        <is>
          <t>Cọc khoan nhồi C8 Trụ T1 (D1.2m, L=40.0m)</t>
        </is>
      </c>
      <c r="C175" s="7" t="inlineStr">
        <is>
          <t>Thanh thép treo lồng cọc</t>
        </is>
      </c>
      <c r="D175" s="18" t="inlineStr">
        <is>
          <t>P11</t>
        </is>
      </c>
      <c r="E175" s="19" t="n">
        <v>16</v>
      </c>
      <c r="F175" s="6" t="inlineStr">
        <is>
          <t>CB400-V</t>
        </is>
      </c>
      <c r="G175" s="7" t="inlineStr">
        <is>
          <t>Thanh treo lồng (bảng phụ tr.68)</t>
        </is>
      </c>
      <c r="H175" s="20" t="n">
        <v>2.604</v>
      </c>
      <c r="I175" s="21" t="n">
        <v>4</v>
      </c>
      <c r="J175" s="22" t="n">
        <v>1.58</v>
      </c>
      <c r="K175" s="9">
        <f>ROUND(H175*I175*J175, 2)</f>
        <v/>
      </c>
      <c r="L175" s="23">
        <f>ROUND(K175/1000, 3)</f>
        <v/>
      </c>
      <c r="M175" s="8" t="n"/>
      <c r="N175" s="6" t="n"/>
      <c r="O175" s="24">
        <f>IF(AND(E175&lt;=10, F175&lt;&gt;"ASTM A416", INT(P175/20)&gt;INT(P174/20)), "TN Ø10 (Lần " &amp; INT(P175/20) &amp; ")", IF(AND(E175=12, INT(Q175/20)&gt;INT(Q174/20)), "TN Ø12 (Lần " &amp; INT(Q175/20) &amp; ")", IF(AND(E175=14, INT(R175/20)&gt;INT(R174/20)), "TN Ø14 (Lần " &amp; INT(R175/20) &amp; ")", IF(AND(E175=16, INT(S175/20)&gt;INT(S174/20)), "TN Ø16 (Lần " &amp; INT(S175/20) &amp; ")", IF(AND(E175=18, INT(T175/20)&gt;INT(T174/20)), "TN Ø18 (Lần " &amp; INT(T175/20) &amp; ")", IF(AND(E175=20, INT(U175/20)&gt;INT(U174/20)), "TN Ø20 (Lần " &amp; INT(U175/20) &amp; ")", IF(AND(E175=22, INT(V175/20)&gt;INT(V174/20)), "TN Ø22 (Lần " &amp; INT(V175/20) &amp; ")", IF(AND(E175=25, INT(W175/20)&gt;INT(W174/20)), "TN Ø25 (Lần " &amp; INT(W175/20) &amp; ")", IF(AND(E175=28, INT(X175/20)&gt;INT(X174/20)), "TN Ø28 (Lần " &amp; INT(X175/20) &amp; ")", IF(AND(E175=32, INT(Y175/20)&gt;INT(Y174/20)), "TN Ø32 (Lần " &amp; INT(Y175/20) &amp; ")", IF(AND(F175="ASTM A416", INT(Z175/20)&gt;INT(Z174/20)), "TN Cáp 15.2 (Lần " &amp; INT(Z175/20) &amp; ")", "")))))))))))</f>
        <v/>
      </c>
      <c r="P175" s="20">
        <f>ROUND(P174 + IF(AND(E175&lt;=10, F175&lt;&gt;"ASTM A416"), L175, 0), 3)</f>
        <v/>
      </c>
      <c r="Q175" s="20">
        <f>ROUND(Q174 + IF(AND(E175=12, F175&lt;&gt;"ASTM A416"), L175, 0), 3)</f>
        <v/>
      </c>
      <c r="R175" s="20">
        <f>ROUND(R174 + IF(AND(E175=14, F175&lt;&gt;"ASTM A416"), L175, 0), 3)</f>
        <v/>
      </c>
      <c r="S175" s="20">
        <f>ROUND(S174 + IF(AND(E175=16, F175&lt;&gt;"ASTM A416"), L175, 0), 3)</f>
        <v/>
      </c>
      <c r="T175" s="20">
        <f>ROUND(T174 + IF(AND(E175=18, F175&lt;&gt;"ASTM A416"), L175, 0), 3)</f>
        <v/>
      </c>
      <c r="U175" s="20">
        <f>ROUND(U174 + IF(AND(E175=20, F175&lt;&gt;"ASTM A416"), L175, 0), 3)</f>
        <v/>
      </c>
      <c r="V175" s="20">
        <f>ROUND(V174 + IF(AND(E175=22, F175&lt;&gt;"ASTM A416"), L175, 0), 3)</f>
        <v/>
      </c>
      <c r="W175" s="20">
        <f>ROUND(W174 + IF(AND(E175=25, F175&lt;&gt;"ASTM A416"), L175, 0), 3)</f>
        <v/>
      </c>
      <c r="X175" s="20">
        <f>ROUND(X174 + IF(AND(E175=28, F175&lt;&gt;"ASTM A416"), L175, 0), 3)</f>
        <v/>
      </c>
      <c r="Y175" s="20">
        <f>ROUND(Y174 + IF(AND(E175=32, F175&lt;&gt;"ASTM A416"), L175, 0), 3)</f>
        <v/>
      </c>
      <c r="Z175" s="20">
        <f>ROUND(Z174 + IF(F175="ASTM A416", L175, 0), 3)</f>
        <v/>
      </c>
      <c r="AA175" s="11">
        <f>IF(INT(P175/20)&gt;INT(P174/20), "Lần " &amp; INT(P175/20), "")</f>
        <v/>
      </c>
      <c r="AB175" s="11">
        <f>IF(INT(Q175/20)&gt;INT(Q174/20), "Lần " &amp; INT(Q175/20), "")</f>
        <v/>
      </c>
      <c r="AC175" s="11">
        <f>IF(INT(R175/20)&gt;INT(R174/20), "Lần " &amp; INT(R175/20), "")</f>
        <v/>
      </c>
      <c r="AD175" s="11">
        <f>IF(INT(S175/20)&gt;INT(S174/20), "Lần " &amp; INT(S175/20), "")</f>
        <v/>
      </c>
      <c r="AE175" s="11">
        <f>IF(INT(T175/20)&gt;INT(T174/20), "Lần " &amp; INT(T175/20), "")</f>
        <v/>
      </c>
      <c r="AF175" s="11">
        <f>IF(INT(U175/20)&gt;INT(U174/20), "Lần " &amp; INT(U175/20), "")</f>
        <v/>
      </c>
      <c r="AG175" s="11">
        <f>IF(INT(V175/20)&gt;INT(V174/20), "Lần " &amp; INT(V175/20), "")</f>
        <v/>
      </c>
      <c r="AH175" s="11">
        <f>IF(INT(W175/20)&gt;INT(W174/20), "Lần " &amp; INT(W175/20), "")</f>
        <v/>
      </c>
      <c r="AI175" s="11">
        <f>IF(INT(X175/20)&gt;INT(X174/20), "Lần " &amp; INT(X175/20), "")</f>
        <v/>
      </c>
      <c r="AJ175" s="11">
        <f>IF(INT(Y175/20)&gt;INT(Y174/20), "Lần " &amp; INT(Y175/20), "")</f>
        <v/>
      </c>
      <c r="AK175" s="11">
        <f>IF(INT(Z175/20)&gt;INT(Z174/20), "Lần " &amp; INT(Z175/20), "")</f>
        <v/>
      </c>
      <c r="AL175" s="6" t="inlineStr">
        <is>
          <t>ĐẠT TCVN 1651:2018</t>
        </is>
      </c>
    </row>
    <row r="176" ht="19" customHeight="1">
      <c r="A176" s="6" t="n">
        <v>162</v>
      </c>
      <c r="B176" s="7" t="inlineStr">
        <is>
          <t>Cọc khoan nhồi C8 Trụ T1 (D1.2m, L=40.0m)</t>
        </is>
      </c>
      <c r="C176" s="7" t="inlineStr">
        <is>
          <t>Thép đai xoắn lồng cọc</t>
        </is>
      </c>
      <c r="D176" s="18" t="inlineStr">
        <is>
          <t>P12</t>
        </is>
      </c>
      <c r="E176" s="19" t="n">
        <v>20</v>
      </c>
      <c r="F176" s="6" t="inlineStr">
        <is>
          <t>CB400-V</t>
        </is>
      </c>
      <c r="G176" s="7" t="inlineStr">
        <is>
          <t>Đai xoắn tròn</t>
        </is>
      </c>
      <c r="H176" s="20" t="n">
        <v>0.583</v>
      </c>
      <c r="I176" s="21" t="n">
        <v>64</v>
      </c>
      <c r="J176" s="22" t="n">
        <v>2.47</v>
      </c>
      <c r="K176" s="9">
        <f>ROUND(H176*I176*J176, 2)</f>
        <v/>
      </c>
      <c r="L176" s="23">
        <f>ROUND(K176/1000, 3)</f>
        <v/>
      </c>
      <c r="M176" s="8" t="n"/>
      <c r="N176" s="6" t="n"/>
      <c r="O176" s="24">
        <f>IF(AND(E176&lt;=10, F176&lt;&gt;"ASTM A416", INT(P176/20)&gt;INT(P175/20)), "TN Ø10 (Lần " &amp; INT(P176/20) &amp; ")", IF(AND(E176=12, INT(Q176/20)&gt;INT(Q175/20)), "TN Ø12 (Lần " &amp; INT(Q176/20) &amp; ")", IF(AND(E176=14, INT(R176/20)&gt;INT(R175/20)), "TN Ø14 (Lần " &amp; INT(R176/20) &amp; ")", IF(AND(E176=16, INT(S176/20)&gt;INT(S175/20)), "TN Ø16 (Lần " &amp; INT(S176/20) &amp; ")", IF(AND(E176=18, INT(T176/20)&gt;INT(T175/20)), "TN Ø18 (Lần " &amp; INT(T176/20) &amp; ")", IF(AND(E176=20, INT(U176/20)&gt;INT(U175/20)), "TN Ø20 (Lần " &amp; INT(U176/20) &amp; ")", IF(AND(E176=22, INT(V176/20)&gt;INT(V175/20)), "TN Ø22 (Lần " &amp; INT(V176/20) &amp; ")", IF(AND(E176=25, INT(W176/20)&gt;INT(W175/20)), "TN Ø25 (Lần " &amp; INT(W176/20) &amp; ")", IF(AND(E176=28, INT(X176/20)&gt;INT(X175/20)), "TN Ø28 (Lần " &amp; INT(X176/20) &amp; ")", IF(AND(E176=32, INT(Y176/20)&gt;INT(Y175/20)), "TN Ø32 (Lần " &amp; INT(Y176/20) &amp; ")", IF(AND(F176="ASTM A416", INT(Z176/20)&gt;INT(Z175/20)), "TN Cáp 15.2 (Lần " &amp; INT(Z176/20) &amp; ")", "")))))))))))</f>
        <v/>
      </c>
      <c r="P176" s="20">
        <f>ROUND(P175 + IF(AND(E176&lt;=10, F176&lt;&gt;"ASTM A416"), L176, 0), 3)</f>
        <v/>
      </c>
      <c r="Q176" s="20">
        <f>ROUND(Q175 + IF(AND(E176=12, F176&lt;&gt;"ASTM A416"), L176, 0), 3)</f>
        <v/>
      </c>
      <c r="R176" s="20">
        <f>ROUND(R175 + IF(AND(E176=14, F176&lt;&gt;"ASTM A416"), L176, 0), 3)</f>
        <v/>
      </c>
      <c r="S176" s="20">
        <f>ROUND(S175 + IF(AND(E176=16, F176&lt;&gt;"ASTM A416"), L176, 0), 3)</f>
        <v/>
      </c>
      <c r="T176" s="20">
        <f>ROUND(T175 + IF(AND(E176=18, F176&lt;&gt;"ASTM A416"), L176, 0), 3)</f>
        <v/>
      </c>
      <c r="U176" s="20">
        <f>ROUND(U175 + IF(AND(E176=20, F176&lt;&gt;"ASTM A416"), L176, 0), 3)</f>
        <v/>
      </c>
      <c r="V176" s="20">
        <f>ROUND(V175 + IF(AND(E176=22, F176&lt;&gt;"ASTM A416"), L176, 0), 3)</f>
        <v/>
      </c>
      <c r="W176" s="20">
        <f>ROUND(W175 + IF(AND(E176=25, F176&lt;&gt;"ASTM A416"), L176, 0), 3)</f>
        <v/>
      </c>
      <c r="X176" s="20">
        <f>ROUND(X175 + IF(AND(E176=28, F176&lt;&gt;"ASTM A416"), L176, 0), 3)</f>
        <v/>
      </c>
      <c r="Y176" s="20">
        <f>ROUND(Y175 + IF(AND(E176=32, F176&lt;&gt;"ASTM A416"), L176, 0), 3)</f>
        <v/>
      </c>
      <c r="Z176" s="20">
        <f>ROUND(Z175 + IF(F176="ASTM A416", L176, 0), 3)</f>
        <v/>
      </c>
      <c r="AA176" s="11">
        <f>IF(INT(P176/20)&gt;INT(P175/20), "Lần " &amp; INT(P176/20), "")</f>
        <v/>
      </c>
      <c r="AB176" s="11">
        <f>IF(INT(Q176/20)&gt;INT(Q175/20), "Lần " &amp; INT(Q176/20), "")</f>
        <v/>
      </c>
      <c r="AC176" s="11">
        <f>IF(INT(R176/20)&gt;INT(R175/20), "Lần " &amp; INT(R176/20), "")</f>
        <v/>
      </c>
      <c r="AD176" s="11">
        <f>IF(INT(S176/20)&gt;INT(S175/20), "Lần " &amp; INT(S176/20), "")</f>
        <v/>
      </c>
      <c r="AE176" s="11">
        <f>IF(INT(T176/20)&gt;INT(T175/20), "Lần " &amp; INT(T176/20), "")</f>
        <v/>
      </c>
      <c r="AF176" s="11">
        <f>IF(INT(U176/20)&gt;INT(U175/20), "Lần " &amp; INT(U176/20), "")</f>
        <v/>
      </c>
      <c r="AG176" s="11">
        <f>IF(INT(V176/20)&gt;INT(V175/20), "Lần " &amp; INT(V176/20), "")</f>
        <v/>
      </c>
      <c r="AH176" s="11">
        <f>IF(INT(W176/20)&gt;INT(W175/20), "Lần " &amp; INT(W176/20), "")</f>
        <v/>
      </c>
      <c r="AI176" s="11">
        <f>IF(INT(X176/20)&gt;INT(X175/20), "Lần " &amp; INT(X176/20), "")</f>
        <v/>
      </c>
      <c r="AJ176" s="11">
        <f>IF(INT(Y176/20)&gt;INT(Y175/20), "Lần " &amp; INT(Y176/20), "")</f>
        <v/>
      </c>
      <c r="AK176" s="11">
        <f>IF(INT(Z176/20)&gt;INT(Z175/20), "Lần " &amp; INT(Z176/20), "")</f>
        <v/>
      </c>
      <c r="AL176" s="6" t="inlineStr">
        <is>
          <t>ĐẠT TCVN 1651:2018</t>
        </is>
      </c>
    </row>
    <row r="177" ht="20" customHeight="1">
      <c r="A177" s="17" t="inlineStr">
        <is>
          <t>--- CỌC KHOAN NHỒI C1 TRỤ T2 (D1.2M, L=30.0M) ---</t>
        </is>
      </c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</row>
    <row r="178" ht="19" customHeight="1">
      <c r="A178" s="6" t="n">
        <v>163</v>
      </c>
      <c r="B178" s="7" t="inlineStr">
        <is>
          <t>Cọc khoan nhồi C1 Trụ T2 (D1.2m, L=30.0m)</t>
        </is>
      </c>
      <c r="C178" s="7" t="inlineStr">
        <is>
          <t>Thép đai xoắn lồng cọc</t>
        </is>
      </c>
      <c r="D178" s="18" t="inlineStr">
        <is>
          <t>P1</t>
        </is>
      </c>
      <c r="E178" s="19" t="n">
        <v>10</v>
      </c>
      <c r="F178" s="6" t="inlineStr">
        <is>
          <t>CB240-T</t>
        </is>
      </c>
      <c r="G178" s="7" t="inlineStr">
        <is>
          <t>Đai xoắn tròn</t>
        </is>
      </c>
      <c r="H178" s="20" t="n">
        <v>96.604</v>
      </c>
      <c r="I178" s="21" t="n">
        <v>1</v>
      </c>
      <c r="J178" s="22" t="n">
        <v>0.617</v>
      </c>
      <c r="K178" s="9">
        <f>ROUND(H178*I178*J178, 2)</f>
        <v/>
      </c>
      <c r="L178" s="23">
        <f>ROUND(K178/1000, 3)</f>
        <v/>
      </c>
      <c r="M178" s="8" t="n"/>
      <c r="N178" s="6" t="n"/>
      <c r="O178" s="24">
        <f>IF(AND(E178&lt;=10, F178&lt;&gt;"ASTM A416", INT(P178/20)&gt;INT(P176/20)), "TN Ø10 (Lần " &amp; INT(P178/20) &amp; ")", IF(AND(E178=12, INT(Q178/20)&gt;INT(Q176/20)), "TN Ø12 (Lần " &amp; INT(Q178/20) &amp; ")", IF(AND(E178=14, INT(R178/20)&gt;INT(R176/20)), "TN Ø14 (Lần " &amp; INT(R178/20) &amp; ")", IF(AND(E178=16, INT(S178/20)&gt;INT(S176/20)), "TN Ø16 (Lần " &amp; INT(S178/20) &amp; ")", IF(AND(E178=18, INT(T178/20)&gt;INT(T176/20)), "TN Ø18 (Lần " &amp; INT(T178/20) &amp; ")", IF(AND(E178=20, INT(U178/20)&gt;INT(U176/20)), "TN Ø20 (Lần " &amp; INT(U178/20) &amp; ")", IF(AND(E178=22, INT(V178/20)&gt;INT(V176/20)), "TN Ø22 (Lần " &amp; INT(V178/20) &amp; ")", IF(AND(E178=25, INT(W178/20)&gt;INT(W176/20)), "TN Ø25 (Lần " &amp; INT(W178/20) &amp; ")", IF(AND(E178=28, INT(X178/20)&gt;INT(X176/20)), "TN Ø28 (Lần " &amp; INT(X178/20) &amp; ")", IF(AND(E178=32, INT(Y178/20)&gt;INT(Y176/20)), "TN Ø32 (Lần " &amp; INT(Y178/20) &amp; ")", IF(AND(F178="ASTM A416", INT(Z178/20)&gt;INT(Z176/20)), "TN Cáp 15.2 (Lần " &amp; INT(Z178/20) &amp; ")", "")))))))))))</f>
        <v/>
      </c>
      <c r="P178" s="20">
        <f>ROUND(P176 + IF(AND(E178&lt;=10, F178&lt;&gt;"ASTM A416"), L178, 0), 3)</f>
        <v/>
      </c>
      <c r="Q178" s="20">
        <f>ROUND(Q176 + IF(AND(E178=12, F178&lt;&gt;"ASTM A416"), L178, 0), 3)</f>
        <v/>
      </c>
      <c r="R178" s="20">
        <f>ROUND(R176 + IF(AND(E178=14, F178&lt;&gt;"ASTM A416"), L178, 0), 3)</f>
        <v/>
      </c>
      <c r="S178" s="20">
        <f>ROUND(S176 + IF(AND(E178=16, F178&lt;&gt;"ASTM A416"), L178, 0), 3)</f>
        <v/>
      </c>
      <c r="T178" s="20">
        <f>ROUND(T176 + IF(AND(E178=18, F178&lt;&gt;"ASTM A416"), L178, 0), 3)</f>
        <v/>
      </c>
      <c r="U178" s="20">
        <f>ROUND(U176 + IF(AND(E178=20, F178&lt;&gt;"ASTM A416"), L178, 0), 3)</f>
        <v/>
      </c>
      <c r="V178" s="20">
        <f>ROUND(V176 + IF(AND(E178=22, F178&lt;&gt;"ASTM A416"), L178, 0), 3)</f>
        <v/>
      </c>
      <c r="W178" s="20">
        <f>ROUND(W176 + IF(AND(E178=25, F178&lt;&gt;"ASTM A416"), L178, 0), 3)</f>
        <v/>
      </c>
      <c r="X178" s="20">
        <f>ROUND(X176 + IF(AND(E178=28, F178&lt;&gt;"ASTM A416"), L178, 0), 3)</f>
        <v/>
      </c>
      <c r="Y178" s="20">
        <f>ROUND(Y176 + IF(AND(E178=32, F178&lt;&gt;"ASTM A416"), L178, 0), 3)</f>
        <v/>
      </c>
      <c r="Z178" s="20">
        <f>ROUND(Z176 + IF(F178="ASTM A416", L178, 0), 3)</f>
        <v/>
      </c>
      <c r="AA178" s="11">
        <f>IF(INT(P178/20)&gt;INT(P176/20), "Lần " &amp; INT(P178/20), "")</f>
        <v/>
      </c>
      <c r="AB178" s="11">
        <f>IF(INT(Q178/20)&gt;INT(Q176/20), "Lần " &amp; INT(Q178/20), "")</f>
        <v/>
      </c>
      <c r="AC178" s="11">
        <f>IF(INT(R178/20)&gt;INT(R176/20), "Lần " &amp; INT(R178/20), "")</f>
        <v/>
      </c>
      <c r="AD178" s="11">
        <f>IF(INT(S178/20)&gt;INT(S176/20), "Lần " &amp; INT(S178/20), "")</f>
        <v/>
      </c>
      <c r="AE178" s="11">
        <f>IF(INT(T178/20)&gt;INT(T176/20), "Lần " &amp; INT(T178/20), "")</f>
        <v/>
      </c>
      <c r="AF178" s="11">
        <f>IF(INT(U178/20)&gt;INT(U176/20), "Lần " &amp; INT(U178/20), "")</f>
        <v/>
      </c>
      <c r="AG178" s="11">
        <f>IF(INT(V178/20)&gt;INT(V176/20), "Lần " &amp; INT(V178/20), "")</f>
        <v/>
      </c>
      <c r="AH178" s="11">
        <f>IF(INT(W178/20)&gt;INT(W176/20), "Lần " &amp; INT(W178/20), "")</f>
        <v/>
      </c>
      <c r="AI178" s="11">
        <f>IF(INT(X178/20)&gt;INT(X176/20), "Lần " &amp; INT(X178/20), "")</f>
        <v/>
      </c>
      <c r="AJ178" s="11">
        <f>IF(INT(Y178/20)&gt;INT(Y176/20), "Lần " &amp; INT(Y178/20), "")</f>
        <v/>
      </c>
      <c r="AK178" s="11">
        <f>IF(INT(Z178/20)&gt;INT(Z176/20), "Lần " &amp; INT(Z178/20), "")</f>
        <v/>
      </c>
      <c r="AL178" s="6" t="inlineStr">
        <is>
          <t>ĐẠT TCVN 1651:2018</t>
        </is>
      </c>
    </row>
    <row r="179" ht="19" customHeight="1">
      <c r="A179" s="6" t="n">
        <v>164</v>
      </c>
      <c r="B179" s="7" t="inlineStr">
        <is>
          <t>Cọc khoan nhồi C1 Trụ T2 (D1.2m, L=30.0m)</t>
        </is>
      </c>
      <c r="C179" s="7" t="inlineStr">
        <is>
          <t>Thép đai xoắn lồng cọc</t>
        </is>
      </c>
      <c r="D179" s="18" t="inlineStr">
        <is>
          <t>P1A</t>
        </is>
      </c>
      <c r="E179" s="19" t="n">
        <v>10</v>
      </c>
      <c r="F179" s="6" t="inlineStr">
        <is>
          <t>CB240-T</t>
        </is>
      </c>
      <c r="G179" s="7" t="inlineStr">
        <is>
          <t>Đai xoắn tròn</t>
        </is>
      </c>
      <c r="H179" s="20" t="n">
        <v>389.636</v>
      </c>
      <c r="I179" s="21" t="n">
        <v>1</v>
      </c>
      <c r="J179" s="22" t="n">
        <v>0.617</v>
      </c>
      <c r="K179" s="9">
        <f>ROUND(H179*I179*J179, 2)</f>
        <v/>
      </c>
      <c r="L179" s="23">
        <f>ROUND(K179/1000, 3)</f>
        <v/>
      </c>
      <c r="M179" s="8" t="n"/>
      <c r="N179" s="6" t="n"/>
      <c r="O179" s="24">
        <f>IF(AND(E179&lt;=10, F179&lt;&gt;"ASTM A416", INT(P179/20)&gt;INT(P178/20)), "TN Ø10 (Lần " &amp; INT(P179/20) &amp; ")", IF(AND(E179=12, INT(Q179/20)&gt;INT(Q178/20)), "TN Ø12 (Lần " &amp; INT(Q179/20) &amp; ")", IF(AND(E179=14, INT(R179/20)&gt;INT(R178/20)), "TN Ø14 (Lần " &amp; INT(R179/20) &amp; ")", IF(AND(E179=16, INT(S179/20)&gt;INT(S178/20)), "TN Ø16 (Lần " &amp; INT(S179/20) &amp; ")", IF(AND(E179=18, INT(T179/20)&gt;INT(T178/20)), "TN Ø18 (Lần " &amp; INT(T179/20) &amp; ")", IF(AND(E179=20, INT(U179/20)&gt;INT(U178/20)), "TN Ø20 (Lần " &amp; INT(U179/20) &amp; ")", IF(AND(E179=22, INT(V179/20)&gt;INT(V178/20)), "TN Ø22 (Lần " &amp; INT(V179/20) &amp; ")", IF(AND(E179=25, INT(W179/20)&gt;INT(W178/20)), "TN Ø25 (Lần " &amp; INT(W179/20) &amp; ")", IF(AND(E179=28, INT(X179/20)&gt;INT(X178/20)), "TN Ø28 (Lần " &amp; INT(X179/20) &amp; ")", IF(AND(E179=32, INT(Y179/20)&gt;INT(Y178/20)), "TN Ø32 (Lần " &amp; INT(Y179/20) &amp; ")", IF(AND(F179="ASTM A416", INT(Z179/20)&gt;INT(Z178/20)), "TN Cáp 15.2 (Lần " &amp; INT(Z179/20) &amp; ")", "")))))))))))</f>
        <v/>
      </c>
      <c r="P179" s="20">
        <f>ROUND(P178 + IF(AND(E179&lt;=10, F179&lt;&gt;"ASTM A416"), L179, 0), 3)</f>
        <v/>
      </c>
      <c r="Q179" s="20">
        <f>ROUND(Q178 + IF(AND(E179=12, F179&lt;&gt;"ASTM A416"), L179, 0), 3)</f>
        <v/>
      </c>
      <c r="R179" s="20">
        <f>ROUND(R178 + IF(AND(E179=14, F179&lt;&gt;"ASTM A416"), L179, 0), 3)</f>
        <v/>
      </c>
      <c r="S179" s="20">
        <f>ROUND(S178 + IF(AND(E179=16, F179&lt;&gt;"ASTM A416"), L179, 0), 3)</f>
        <v/>
      </c>
      <c r="T179" s="20">
        <f>ROUND(T178 + IF(AND(E179=18, F179&lt;&gt;"ASTM A416"), L179, 0), 3)</f>
        <v/>
      </c>
      <c r="U179" s="20">
        <f>ROUND(U178 + IF(AND(E179=20, F179&lt;&gt;"ASTM A416"), L179, 0), 3)</f>
        <v/>
      </c>
      <c r="V179" s="20">
        <f>ROUND(V178 + IF(AND(E179=22, F179&lt;&gt;"ASTM A416"), L179, 0), 3)</f>
        <v/>
      </c>
      <c r="W179" s="20">
        <f>ROUND(W178 + IF(AND(E179=25, F179&lt;&gt;"ASTM A416"), L179, 0), 3)</f>
        <v/>
      </c>
      <c r="X179" s="20">
        <f>ROUND(X178 + IF(AND(E179=28, F179&lt;&gt;"ASTM A416"), L179, 0), 3)</f>
        <v/>
      </c>
      <c r="Y179" s="20">
        <f>ROUND(Y178 + IF(AND(E179=32, F179&lt;&gt;"ASTM A416"), L179, 0), 3)</f>
        <v/>
      </c>
      <c r="Z179" s="20">
        <f>ROUND(Z178 + IF(F179="ASTM A416", L179, 0), 3)</f>
        <v/>
      </c>
      <c r="AA179" s="11">
        <f>IF(INT(P179/20)&gt;INT(P178/20), "Lần " &amp; INT(P179/20), "")</f>
        <v/>
      </c>
      <c r="AB179" s="11">
        <f>IF(INT(Q179/20)&gt;INT(Q178/20), "Lần " &amp; INT(Q179/20), "")</f>
        <v/>
      </c>
      <c r="AC179" s="11">
        <f>IF(INT(R179/20)&gt;INT(R178/20), "Lần " &amp; INT(R179/20), "")</f>
        <v/>
      </c>
      <c r="AD179" s="11">
        <f>IF(INT(S179/20)&gt;INT(S178/20), "Lần " &amp; INT(S179/20), "")</f>
        <v/>
      </c>
      <c r="AE179" s="11">
        <f>IF(INT(T179/20)&gt;INT(T178/20), "Lần " &amp; INT(T179/20), "")</f>
        <v/>
      </c>
      <c r="AF179" s="11">
        <f>IF(INT(U179/20)&gt;INT(U178/20), "Lần " &amp; INT(U179/20), "")</f>
        <v/>
      </c>
      <c r="AG179" s="11">
        <f>IF(INT(V179/20)&gt;INT(V178/20), "Lần " &amp; INT(V179/20), "")</f>
        <v/>
      </c>
      <c r="AH179" s="11">
        <f>IF(INT(W179/20)&gt;INT(W178/20), "Lần " &amp; INT(W179/20), "")</f>
        <v/>
      </c>
      <c r="AI179" s="11">
        <f>IF(INT(X179/20)&gt;INT(X178/20), "Lần " &amp; INT(X179/20), "")</f>
        <v/>
      </c>
      <c r="AJ179" s="11">
        <f>IF(INT(Y179/20)&gt;INT(Y178/20), "Lần " &amp; INT(Y179/20), "")</f>
        <v/>
      </c>
      <c r="AK179" s="11">
        <f>IF(INT(Z179/20)&gt;INT(Z178/20), "Lần " &amp; INT(Z179/20), "")</f>
        <v/>
      </c>
      <c r="AL179" s="6" t="inlineStr">
        <is>
          <t>ĐẠT TCVN 1651:2018</t>
        </is>
      </c>
    </row>
    <row r="180" ht="19" customHeight="1">
      <c r="A180" s="6" t="n">
        <v>165</v>
      </c>
      <c r="B180" s="7" t="inlineStr">
        <is>
          <t>Cọc khoan nhồi C1 Trụ T2 (D1.2m, L=30.0m)</t>
        </is>
      </c>
      <c r="C180" s="7" t="inlineStr">
        <is>
          <t>Thép đai xoắn lồng cọc</t>
        </is>
      </c>
      <c r="D180" s="18" t="inlineStr">
        <is>
          <t>P1B</t>
        </is>
      </c>
      <c r="E180" s="19" t="n">
        <v>10</v>
      </c>
      <c r="F180" s="6" t="inlineStr">
        <is>
          <t>CB240-T</t>
        </is>
      </c>
      <c r="G180" s="7" t="inlineStr">
        <is>
          <t>Đai xoắn tròn</t>
        </is>
      </c>
      <c r="H180" s="20" t="n">
        <v>100.256</v>
      </c>
      <c r="I180" s="21" t="n">
        <v>1</v>
      </c>
      <c r="J180" s="22" t="n">
        <v>0.617</v>
      </c>
      <c r="K180" s="9">
        <f>ROUND(H180*I180*J180, 2)</f>
        <v/>
      </c>
      <c r="L180" s="23">
        <f>ROUND(K180/1000, 3)</f>
        <v/>
      </c>
      <c r="M180" s="8" t="n"/>
      <c r="N180" s="6" t="n"/>
      <c r="O180" s="24">
        <f>IF(AND(E180&lt;=10, F180&lt;&gt;"ASTM A416", INT(P180/20)&gt;INT(P179/20)), "TN Ø10 (Lần " &amp; INT(P180/20) &amp; ")", IF(AND(E180=12, INT(Q180/20)&gt;INT(Q179/20)), "TN Ø12 (Lần " &amp; INT(Q180/20) &amp; ")", IF(AND(E180=14, INT(R180/20)&gt;INT(R179/20)), "TN Ø14 (Lần " &amp; INT(R180/20) &amp; ")", IF(AND(E180=16, INT(S180/20)&gt;INT(S179/20)), "TN Ø16 (Lần " &amp; INT(S180/20) &amp; ")", IF(AND(E180=18, INT(T180/20)&gt;INT(T179/20)), "TN Ø18 (Lần " &amp; INT(T180/20) &amp; ")", IF(AND(E180=20, INT(U180/20)&gt;INT(U179/20)), "TN Ø20 (Lần " &amp; INT(U180/20) &amp; ")", IF(AND(E180=22, INT(V180/20)&gt;INT(V179/20)), "TN Ø22 (Lần " &amp; INT(V180/20) &amp; ")", IF(AND(E180=25, INT(W180/20)&gt;INT(W179/20)), "TN Ø25 (Lần " &amp; INT(W180/20) &amp; ")", IF(AND(E180=28, INT(X180/20)&gt;INT(X179/20)), "TN Ø28 (Lần " &amp; INT(X180/20) &amp; ")", IF(AND(E180=32, INT(Y180/20)&gt;INT(Y179/20)), "TN Ø32 (Lần " &amp; INT(Y180/20) &amp; ")", IF(AND(F180="ASTM A416", INT(Z180/20)&gt;INT(Z179/20)), "TN Cáp 15.2 (Lần " &amp; INT(Z180/20) &amp; ")", "")))))))))))</f>
        <v/>
      </c>
      <c r="P180" s="20">
        <f>ROUND(P179 + IF(AND(E180&lt;=10, F180&lt;&gt;"ASTM A416"), L180, 0), 3)</f>
        <v/>
      </c>
      <c r="Q180" s="20">
        <f>ROUND(Q179 + IF(AND(E180=12, F180&lt;&gt;"ASTM A416"), L180, 0), 3)</f>
        <v/>
      </c>
      <c r="R180" s="20">
        <f>ROUND(R179 + IF(AND(E180=14, F180&lt;&gt;"ASTM A416"), L180, 0), 3)</f>
        <v/>
      </c>
      <c r="S180" s="20">
        <f>ROUND(S179 + IF(AND(E180=16, F180&lt;&gt;"ASTM A416"), L180, 0), 3)</f>
        <v/>
      </c>
      <c r="T180" s="20">
        <f>ROUND(T179 + IF(AND(E180=18, F180&lt;&gt;"ASTM A416"), L180, 0), 3)</f>
        <v/>
      </c>
      <c r="U180" s="20">
        <f>ROUND(U179 + IF(AND(E180=20, F180&lt;&gt;"ASTM A416"), L180, 0), 3)</f>
        <v/>
      </c>
      <c r="V180" s="20">
        <f>ROUND(V179 + IF(AND(E180=22, F180&lt;&gt;"ASTM A416"), L180, 0), 3)</f>
        <v/>
      </c>
      <c r="W180" s="20">
        <f>ROUND(W179 + IF(AND(E180=25, F180&lt;&gt;"ASTM A416"), L180, 0), 3)</f>
        <v/>
      </c>
      <c r="X180" s="20">
        <f>ROUND(X179 + IF(AND(E180=28, F180&lt;&gt;"ASTM A416"), L180, 0), 3)</f>
        <v/>
      </c>
      <c r="Y180" s="20">
        <f>ROUND(Y179 + IF(AND(E180=32, F180&lt;&gt;"ASTM A416"), L180, 0), 3)</f>
        <v/>
      </c>
      <c r="Z180" s="20">
        <f>ROUND(Z179 + IF(F180="ASTM A416", L180, 0), 3)</f>
        <v/>
      </c>
      <c r="AA180" s="11">
        <f>IF(INT(P180/20)&gt;INT(P179/20), "Lần " &amp; INT(P180/20), "")</f>
        <v/>
      </c>
      <c r="AB180" s="11">
        <f>IF(INT(Q180/20)&gt;INT(Q179/20), "Lần " &amp; INT(Q180/20), "")</f>
        <v/>
      </c>
      <c r="AC180" s="11">
        <f>IF(INT(R180/20)&gt;INT(R179/20), "Lần " &amp; INT(R180/20), "")</f>
        <v/>
      </c>
      <c r="AD180" s="11">
        <f>IF(INT(S180/20)&gt;INT(S179/20), "Lần " &amp; INT(S180/20), "")</f>
        <v/>
      </c>
      <c r="AE180" s="11">
        <f>IF(INT(T180/20)&gt;INT(T179/20), "Lần " &amp; INT(T180/20), "")</f>
        <v/>
      </c>
      <c r="AF180" s="11">
        <f>IF(INT(U180/20)&gt;INT(U179/20), "Lần " &amp; INT(U180/20), "")</f>
        <v/>
      </c>
      <c r="AG180" s="11">
        <f>IF(INT(V180/20)&gt;INT(V179/20), "Lần " &amp; INT(V180/20), "")</f>
        <v/>
      </c>
      <c r="AH180" s="11">
        <f>IF(INT(W180/20)&gt;INT(W179/20), "Lần " &amp; INT(W180/20), "")</f>
        <v/>
      </c>
      <c r="AI180" s="11">
        <f>IF(INT(X180/20)&gt;INT(X179/20), "Lần " &amp; INT(X180/20), "")</f>
        <v/>
      </c>
      <c r="AJ180" s="11">
        <f>IF(INT(Y180/20)&gt;INT(Y179/20), "Lần " &amp; INT(Y180/20), "")</f>
        <v/>
      </c>
      <c r="AK180" s="11">
        <f>IF(INT(Z180/20)&gt;INT(Z179/20), "Lần " &amp; INT(Z180/20), "")</f>
        <v/>
      </c>
      <c r="AL180" s="6" t="inlineStr">
        <is>
          <t>ĐẠT TCVN 1651:2018</t>
        </is>
      </c>
    </row>
    <row r="181" ht="19" customHeight="1">
      <c r="A181" s="6" t="n">
        <v>166</v>
      </c>
      <c r="B181" s="7" t="inlineStr">
        <is>
          <t>Cọc khoan nhồi C1 Trụ T2 (D1.2m, L=30.0m)</t>
        </is>
      </c>
      <c r="C181" s="7" t="inlineStr">
        <is>
          <t>Thép đai xoắn lồng cọc</t>
        </is>
      </c>
      <c r="D181" s="18" t="inlineStr">
        <is>
          <t>P1C</t>
        </is>
      </c>
      <c r="E181" s="19" t="n">
        <v>10</v>
      </c>
      <c r="F181" s="6" t="inlineStr">
        <is>
          <t>CB240-T</t>
        </is>
      </c>
      <c r="G181" s="7" t="inlineStr">
        <is>
          <t>Đai xoắn tròn</t>
        </is>
      </c>
      <c r="H181" s="20" t="n">
        <v>3.592</v>
      </c>
      <c r="I181" s="21" t="n">
        <v>2</v>
      </c>
      <c r="J181" s="22" t="n">
        <v>0.617</v>
      </c>
      <c r="K181" s="9">
        <f>ROUND(H181*I181*J181, 2)</f>
        <v/>
      </c>
      <c r="L181" s="23">
        <f>ROUND(K181/1000, 3)</f>
        <v/>
      </c>
      <c r="M181" s="8" t="n"/>
      <c r="N181" s="6" t="n"/>
      <c r="O181" s="24">
        <f>IF(AND(E181&lt;=10, F181&lt;&gt;"ASTM A416", INT(P181/20)&gt;INT(P180/20)), "TN Ø10 (Lần " &amp; INT(P181/20) &amp; ")", IF(AND(E181=12, INT(Q181/20)&gt;INT(Q180/20)), "TN Ø12 (Lần " &amp; INT(Q181/20) &amp; ")", IF(AND(E181=14, INT(R181/20)&gt;INT(R180/20)), "TN Ø14 (Lần " &amp; INT(R181/20) &amp; ")", IF(AND(E181=16, INT(S181/20)&gt;INT(S180/20)), "TN Ø16 (Lần " &amp; INT(S181/20) &amp; ")", IF(AND(E181=18, INT(T181/20)&gt;INT(T180/20)), "TN Ø18 (Lần " &amp; INT(T181/20) &amp; ")", IF(AND(E181=20, INT(U181/20)&gt;INT(U180/20)), "TN Ø20 (Lần " &amp; INT(U181/20) &amp; ")", IF(AND(E181=22, INT(V181/20)&gt;INT(V180/20)), "TN Ø22 (Lần " &amp; INT(V181/20) &amp; ")", IF(AND(E181=25, INT(W181/20)&gt;INT(W180/20)), "TN Ø25 (Lần " &amp; INT(W181/20) &amp; ")", IF(AND(E181=28, INT(X181/20)&gt;INT(X180/20)), "TN Ø28 (Lần " &amp; INT(X181/20) &amp; ")", IF(AND(E181=32, INT(Y181/20)&gt;INT(Y180/20)), "TN Ø32 (Lần " &amp; INT(Y181/20) &amp; ")", IF(AND(F181="ASTM A416", INT(Z181/20)&gt;INT(Z180/20)), "TN Cáp 15.2 (Lần " &amp; INT(Z181/20) &amp; ")", "")))))))))))</f>
        <v/>
      </c>
      <c r="P181" s="20">
        <f>ROUND(P180 + IF(AND(E181&lt;=10, F181&lt;&gt;"ASTM A416"), L181, 0), 3)</f>
        <v/>
      </c>
      <c r="Q181" s="20">
        <f>ROUND(Q180 + IF(AND(E181=12, F181&lt;&gt;"ASTM A416"), L181, 0), 3)</f>
        <v/>
      </c>
      <c r="R181" s="20">
        <f>ROUND(R180 + IF(AND(E181=14, F181&lt;&gt;"ASTM A416"), L181, 0), 3)</f>
        <v/>
      </c>
      <c r="S181" s="20">
        <f>ROUND(S180 + IF(AND(E181=16, F181&lt;&gt;"ASTM A416"), L181, 0), 3)</f>
        <v/>
      </c>
      <c r="T181" s="20">
        <f>ROUND(T180 + IF(AND(E181=18, F181&lt;&gt;"ASTM A416"), L181, 0), 3)</f>
        <v/>
      </c>
      <c r="U181" s="20">
        <f>ROUND(U180 + IF(AND(E181=20, F181&lt;&gt;"ASTM A416"), L181, 0), 3)</f>
        <v/>
      </c>
      <c r="V181" s="20">
        <f>ROUND(V180 + IF(AND(E181=22, F181&lt;&gt;"ASTM A416"), L181, 0), 3)</f>
        <v/>
      </c>
      <c r="W181" s="20">
        <f>ROUND(W180 + IF(AND(E181=25, F181&lt;&gt;"ASTM A416"), L181, 0), 3)</f>
        <v/>
      </c>
      <c r="X181" s="20">
        <f>ROUND(X180 + IF(AND(E181=28, F181&lt;&gt;"ASTM A416"), L181, 0), 3)</f>
        <v/>
      </c>
      <c r="Y181" s="20">
        <f>ROUND(Y180 + IF(AND(E181=32, F181&lt;&gt;"ASTM A416"), L181, 0), 3)</f>
        <v/>
      </c>
      <c r="Z181" s="20">
        <f>ROUND(Z180 + IF(F181="ASTM A416", L181, 0), 3)</f>
        <v/>
      </c>
      <c r="AA181" s="11">
        <f>IF(INT(P181/20)&gt;INT(P180/20), "Lần " &amp; INT(P181/20), "")</f>
        <v/>
      </c>
      <c r="AB181" s="11">
        <f>IF(INT(Q181/20)&gt;INT(Q180/20), "Lần " &amp; INT(Q181/20), "")</f>
        <v/>
      </c>
      <c r="AC181" s="11">
        <f>IF(INT(R181/20)&gt;INT(R180/20), "Lần " &amp; INT(R181/20), "")</f>
        <v/>
      </c>
      <c r="AD181" s="11">
        <f>IF(INT(S181/20)&gt;INT(S180/20), "Lần " &amp; INT(S181/20), "")</f>
        <v/>
      </c>
      <c r="AE181" s="11">
        <f>IF(INT(T181/20)&gt;INT(T180/20), "Lần " &amp; INT(T181/20), "")</f>
        <v/>
      </c>
      <c r="AF181" s="11">
        <f>IF(INT(U181/20)&gt;INT(U180/20), "Lần " &amp; INT(U181/20), "")</f>
        <v/>
      </c>
      <c r="AG181" s="11">
        <f>IF(INT(V181/20)&gt;INT(V180/20), "Lần " &amp; INT(V181/20), "")</f>
        <v/>
      </c>
      <c r="AH181" s="11">
        <f>IF(INT(W181/20)&gt;INT(W180/20), "Lần " &amp; INT(W181/20), "")</f>
        <v/>
      </c>
      <c r="AI181" s="11">
        <f>IF(INT(X181/20)&gt;INT(X180/20), "Lần " &amp; INT(X181/20), "")</f>
        <v/>
      </c>
      <c r="AJ181" s="11">
        <f>IF(INT(Y181/20)&gt;INT(Y180/20), "Lần " &amp; INT(Y181/20), "")</f>
        <v/>
      </c>
      <c r="AK181" s="11">
        <f>IF(INT(Z181/20)&gt;INT(Z180/20), "Lần " &amp; INT(Z181/20), "")</f>
        <v/>
      </c>
      <c r="AL181" s="6" t="inlineStr">
        <is>
          <t>ĐẠT TCVN 1651:2018</t>
        </is>
      </c>
    </row>
    <row r="182" ht="19" customHeight="1">
      <c r="A182" s="6" t="n">
        <v>167</v>
      </c>
      <c r="B182" s="7" t="inlineStr">
        <is>
          <t>Cọc khoan nhồi C1 Trụ T2 (D1.2m, L=30.0m)</t>
        </is>
      </c>
      <c r="C182" s="7" t="inlineStr">
        <is>
          <t>Thép đai xoắn lồng cọc</t>
        </is>
      </c>
      <c r="D182" s="18" t="inlineStr">
        <is>
          <t>P1D</t>
        </is>
      </c>
      <c r="E182" s="19" t="n">
        <v>10</v>
      </c>
      <c r="F182" s="6" t="inlineStr">
        <is>
          <t>CB240-T</t>
        </is>
      </c>
      <c r="G182" s="7" t="inlineStr">
        <is>
          <t>Đai xoắn tròn</t>
        </is>
      </c>
      <c r="H182" s="20" t="n">
        <v>19.721</v>
      </c>
      <c r="I182" s="21" t="n">
        <v>1</v>
      </c>
      <c r="J182" s="22" t="n">
        <v>0.617</v>
      </c>
      <c r="K182" s="9">
        <f>ROUND(H182*I182*J182, 2)</f>
        <v/>
      </c>
      <c r="L182" s="23">
        <f>ROUND(K182/1000, 3)</f>
        <v/>
      </c>
      <c r="M182" s="8" t="n"/>
      <c r="N182" s="6" t="n"/>
      <c r="O182" s="24">
        <f>IF(AND(E182&lt;=10, F182&lt;&gt;"ASTM A416", INT(P182/20)&gt;INT(P181/20)), "TN Ø10 (Lần " &amp; INT(P182/20) &amp; ")", IF(AND(E182=12, INT(Q182/20)&gt;INT(Q181/20)), "TN Ø12 (Lần " &amp; INT(Q182/20) &amp; ")", IF(AND(E182=14, INT(R182/20)&gt;INT(R181/20)), "TN Ø14 (Lần " &amp; INT(R182/20) &amp; ")", IF(AND(E182=16, INT(S182/20)&gt;INT(S181/20)), "TN Ø16 (Lần " &amp; INT(S182/20) &amp; ")", IF(AND(E182=18, INT(T182/20)&gt;INT(T181/20)), "TN Ø18 (Lần " &amp; INT(T182/20) &amp; ")", IF(AND(E182=20, INT(U182/20)&gt;INT(U181/20)), "TN Ø20 (Lần " &amp; INT(U182/20) &amp; ")", IF(AND(E182=22, INT(V182/20)&gt;INT(V181/20)), "TN Ø22 (Lần " &amp; INT(V182/20) &amp; ")", IF(AND(E182=25, INT(W182/20)&gt;INT(W181/20)), "TN Ø25 (Lần " &amp; INT(W182/20) &amp; ")", IF(AND(E182=28, INT(X182/20)&gt;INT(X181/20)), "TN Ø28 (Lần " &amp; INT(X182/20) &amp; ")", IF(AND(E182=32, INT(Y182/20)&gt;INT(Y181/20)), "TN Ø32 (Lần " &amp; INT(Y182/20) &amp; ")", IF(AND(F182="ASTM A416", INT(Z182/20)&gt;INT(Z181/20)), "TN Cáp 15.2 (Lần " &amp; INT(Z182/20) &amp; ")", "")))))))))))</f>
        <v/>
      </c>
      <c r="P182" s="20">
        <f>ROUND(P181 + IF(AND(E182&lt;=10, F182&lt;&gt;"ASTM A416"), L182, 0), 3)</f>
        <v/>
      </c>
      <c r="Q182" s="20">
        <f>ROUND(Q181 + IF(AND(E182=12, F182&lt;&gt;"ASTM A416"), L182, 0), 3)</f>
        <v/>
      </c>
      <c r="R182" s="20">
        <f>ROUND(R181 + IF(AND(E182=14, F182&lt;&gt;"ASTM A416"), L182, 0), 3)</f>
        <v/>
      </c>
      <c r="S182" s="20">
        <f>ROUND(S181 + IF(AND(E182=16, F182&lt;&gt;"ASTM A416"), L182, 0), 3)</f>
        <v/>
      </c>
      <c r="T182" s="20">
        <f>ROUND(T181 + IF(AND(E182=18, F182&lt;&gt;"ASTM A416"), L182, 0), 3)</f>
        <v/>
      </c>
      <c r="U182" s="20">
        <f>ROUND(U181 + IF(AND(E182=20, F182&lt;&gt;"ASTM A416"), L182, 0), 3)</f>
        <v/>
      </c>
      <c r="V182" s="20">
        <f>ROUND(V181 + IF(AND(E182=22, F182&lt;&gt;"ASTM A416"), L182, 0), 3)</f>
        <v/>
      </c>
      <c r="W182" s="20">
        <f>ROUND(W181 + IF(AND(E182=25, F182&lt;&gt;"ASTM A416"), L182, 0), 3)</f>
        <v/>
      </c>
      <c r="X182" s="20">
        <f>ROUND(X181 + IF(AND(E182=28, F182&lt;&gt;"ASTM A416"), L182, 0), 3)</f>
        <v/>
      </c>
      <c r="Y182" s="20">
        <f>ROUND(Y181 + IF(AND(E182=32, F182&lt;&gt;"ASTM A416"), L182, 0), 3)</f>
        <v/>
      </c>
      <c r="Z182" s="20">
        <f>ROUND(Z181 + IF(F182="ASTM A416", L182, 0), 3)</f>
        <v/>
      </c>
      <c r="AA182" s="11">
        <f>IF(INT(P182/20)&gt;INT(P181/20), "Lần " &amp; INT(P182/20), "")</f>
        <v/>
      </c>
      <c r="AB182" s="11">
        <f>IF(INT(Q182/20)&gt;INT(Q181/20), "Lần " &amp; INT(Q182/20), "")</f>
        <v/>
      </c>
      <c r="AC182" s="11">
        <f>IF(INT(R182/20)&gt;INT(R181/20), "Lần " &amp; INT(R182/20), "")</f>
        <v/>
      </c>
      <c r="AD182" s="11">
        <f>IF(INT(S182/20)&gt;INT(S181/20), "Lần " &amp; INT(S182/20), "")</f>
        <v/>
      </c>
      <c r="AE182" s="11">
        <f>IF(INT(T182/20)&gt;INT(T181/20), "Lần " &amp; INT(T182/20), "")</f>
        <v/>
      </c>
      <c r="AF182" s="11">
        <f>IF(INT(U182/20)&gt;INT(U181/20), "Lần " &amp; INT(U182/20), "")</f>
        <v/>
      </c>
      <c r="AG182" s="11">
        <f>IF(INT(V182/20)&gt;INT(V181/20), "Lần " &amp; INT(V182/20), "")</f>
        <v/>
      </c>
      <c r="AH182" s="11">
        <f>IF(INT(W182/20)&gt;INT(W181/20), "Lần " &amp; INT(W182/20), "")</f>
        <v/>
      </c>
      <c r="AI182" s="11">
        <f>IF(INT(X182/20)&gt;INT(X181/20), "Lần " &amp; INT(X182/20), "")</f>
        <v/>
      </c>
      <c r="AJ182" s="11">
        <f>IF(INT(Y182/20)&gt;INT(Y181/20), "Lần " &amp; INT(Y182/20), "")</f>
        <v/>
      </c>
      <c r="AK182" s="11">
        <f>IF(INT(Z182/20)&gt;INT(Z181/20), "Lần " &amp; INT(Z182/20), "")</f>
        <v/>
      </c>
      <c r="AL182" s="6" t="inlineStr">
        <is>
          <t>ĐẠT TCVN 1651:2018</t>
        </is>
      </c>
    </row>
    <row r="183" ht="19" customHeight="1">
      <c r="A183" s="6" t="n">
        <v>168</v>
      </c>
      <c r="B183" s="7" t="inlineStr">
        <is>
          <t>Cọc khoan nhồi C1 Trụ T2 (D1.2m, L=30.0m)</t>
        </is>
      </c>
      <c r="C183" s="7" t="inlineStr">
        <is>
          <t>Cốt thép chủ chịu lực cọc</t>
        </is>
      </c>
      <c r="D183" s="18" t="inlineStr">
        <is>
          <t>P2B</t>
        </is>
      </c>
      <c r="E183" s="19" t="n">
        <v>25</v>
      </c>
      <c r="F183" s="6" t="inlineStr">
        <is>
          <t>CB400-V</t>
        </is>
      </c>
      <c r="G183" s="7" t="inlineStr">
        <is>
          <t>Thanh thẳng nối ren/hàn</t>
        </is>
      </c>
      <c r="H183" s="20" t="n">
        <v>2.985</v>
      </c>
      <c r="I183" s="21" t="n">
        <v>12</v>
      </c>
      <c r="J183" s="22" t="n">
        <v>3.85</v>
      </c>
      <c r="K183" s="9">
        <f>ROUND(H183*I183*J183, 2)</f>
        <v/>
      </c>
      <c r="L183" s="23">
        <f>ROUND(K183/1000, 3)</f>
        <v/>
      </c>
      <c r="M183" s="8" t="n"/>
      <c r="N183" s="6" t="n"/>
      <c r="O183" s="24">
        <f>IF(AND(E183&lt;=10, F183&lt;&gt;"ASTM A416", INT(P183/20)&gt;INT(P182/20)), "TN Ø10 (Lần " &amp; INT(P183/20) &amp; ")", IF(AND(E183=12, INT(Q183/20)&gt;INT(Q182/20)), "TN Ø12 (Lần " &amp; INT(Q183/20) &amp; ")", IF(AND(E183=14, INT(R183/20)&gt;INT(R182/20)), "TN Ø14 (Lần " &amp; INT(R183/20) &amp; ")", IF(AND(E183=16, INT(S183/20)&gt;INT(S182/20)), "TN Ø16 (Lần " &amp; INT(S183/20) &amp; ")", IF(AND(E183=18, INT(T183/20)&gt;INT(T182/20)), "TN Ø18 (Lần " &amp; INT(T183/20) &amp; ")", IF(AND(E183=20, INT(U183/20)&gt;INT(U182/20)), "TN Ø20 (Lần " &amp; INT(U183/20) &amp; ")", IF(AND(E183=22, INT(V183/20)&gt;INT(V182/20)), "TN Ø22 (Lần " &amp; INT(V183/20) &amp; ")", IF(AND(E183=25, INT(W183/20)&gt;INT(W182/20)), "TN Ø25 (Lần " &amp; INT(W183/20) &amp; ")", IF(AND(E183=28, INT(X183/20)&gt;INT(X182/20)), "TN Ø28 (Lần " &amp; INT(X183/20) &amp; ")", IF(AND(E183=32, INT(Y183/20)&gt;INT(Y182/20)), "TN Ø32 (Lần " &amp; INT(Y183/20) &amp; ")", IF(AND(F183="ASTM A416", INT(Z183/20)&gt;INT(Z182/20)), "TN Cáp 15.2 (Lần " &amp; INT(Z183/20) &amp; ")", "")))))))))))</f>
        <v/>
      </c>
      <c r="P183" s="20">
        <f>ROUND(P182 + IF(AND(E183&lt;=10, F183&lt;&gt;"ASTM A416"), L183, 0), 3)</f>
        <v/>
      </c>
      <c r="Q183" s="20">
        <f>ROUND(Q182 + IF(AND(E183=12, F183&lt;&gt;"ASTM A416"), L183, 0), 3)</f>
        <v/>
      </c>
      <c r="R183" s="20">
        <f>ROUND(R182 + IF(AND(E183=14, F183&lt;&gt;"ASTM A416"), L183, 0), 3)</f>
        <v/>
      </c>
      <c r="S183" s="20">
        <f>ROUND(S182 + IF(AND(E183=16, F183&lt;&gt;"ASTM A416"), L183, 0), 3)</f>
        <v/>
      </c>
      <c r="T183" s="20">
        <f>ROUND(T182 + IF(AND(E183=18, F183&lt;&gt;"ASTM A416"), L183, 0), 3)</f>
        <v/>
      </c>
      <c r="U183" s="20">
        <f>ROUND(U182 + IF(AND(E183=20, F183&lt;&gt;"ASTM A416"), L183, 0), 3)</f>
        <v/>
      </c>
      <c r="V183" s="20">
        <f>ROUND(V182 + IF(AND(E183=22, F183&lt;&gt;"ASTM A416"), L183, 0), 3)</f>
        <v/>
      </c>
      <c r="W183" s="20">
        <f>ROUND(W182 + IF(AND(E183=25, F183&lt;&gt;"ASTM A416"), L183, 0), 3)</f>
        <v/>
      </c>
      <c r="X183" s="20">
        <f>ROUND(X182 + IF(AND(E183=28, F183&lt;&gt;"ASTM A416"), L183, 0), 3)</f>
        <v/>
      </c>
      <c r="Y183" s="20">
        <f>ROUND(Y182 + IF(AND(E183=32, F183&lt;&gt;"ASTM A416"), L183, 0), 3)</f>
        <v/>
      </c>
      <c r="Z183" s="20">
        <f>ROUND(Z182 + IF(F183="ASTM A416", L183, 0), 3)</f>
        <v/>
      </c>
      <c r="AA183" s="11">
        <f>IF(INT(P183/20)&gt;INT(P182/20), "Lần " &amp; INT(P183/20), "")</f>
        <v/>
      </c>
      <c r="AB183" s="11">
        <f>IF(INT(Q183/20)&gt;INT(Q182/20), "Lần " &amp; INT(Q183/20), "")</f>
        <v/>
      </c>
      <c r="AC183" s="11">
        <f>IF(INT(R183/20)&gt;INT(R182/20), "Lần " &amp; INT(R183/20), "")</f>
        <v/>
      </c>
      <c r="AD183" s="11">
        <f>IF(INT(S183/20)&gt;INT(S182/20), "Lần " &amp; INT(S183/20), "")</f>
        <v/>
      </c>
      <c r="AE183" s="11">
        <f>IF(INT(T183/20)&gt;INT(T182/20), "Lần " &amp; INT(T183/20), "")</f>
        <v/>
      </c>
      <c r="AF183" s="11">
        <f>IF(INT(U183/20)&gt;INT(U182/20), "Lần " &amp; INT(U183/20), "")</f>
        <v/>
      </c>
      <c r="AG183" s="11">
        <f>IF(INT(V183/20)&gt;INT(V182/20), "Lần " &amp; INT(V183/20), "")</f>
        <v/>
      </c>
      <c r="AH183" s="11">
        <f>IF(INT(W183/20)&gt;INT(W182/20), "Lần " &amp; INT(W183/20), "")</f>
        <v/>
      </c>
      <c r="AI183" s="11">
        <f>IF(INT(X183/20)&gt;INT(X182/20), "Lần " &amp; INT(X183/20), "")</f>
        <v/>
      </c>
      <c r="AJ183" s="11">
        <f>IF(INT(Y183/20)&gt;INT(Y182/20), "Lần " &amp; INT(Y183/20), "")</f>
        <v/>
      </c>
      <c r="AK183" s="11">
        <f>IF(INT(Z183/20)&gt;INT(Z182/20), "Lần " &amp; INT(Z183/20), "")</f>
        <v/>
      </c>
      <c r="AL183" s="6" t="inlineStr">
        <is>
          <t>ĐẠT TCVN 1651:2018</t>
        </is>
      </c>
    </row>
    <row r="184" ht="19" customHeight="1">
      <c r="A184" s="6" t="n">
        <v>169</v>
      </c>
      <c r="B184" s="7" t="inlineStr">
        <is>
          <t>Cọc khoan nhồi C1 Trụ T2 (D1.2m, L=30.0m)</t>
        </is>
      </c>
      <c r="C184" s="7" t="inlineStr">
        <is>
          <t>Cốt thép chủ chịu lực cọc</t>
        </is>
      </c>
      <c r="D184" s="18" t="inlineStr">
        <is>
          <t>P3</t>
        </is>
      </c>
      <c r="E184" s="19" t="n">
        <v>25</v>
      </c>
      <c r="F184" s="6" t="inlineStr">
        <is>
          <t>CB400-V</t>
        </is>
      </c>
      <c r="G184" s="7" t="inlineStr">
        <is>
          <t>Thanh thẳng nối ren/hàn</t>
        </is>
      </c>
      <c r="H184" s="20" t="n">
        <v>10.7</v>
      </c>
      <c r="I184" s="21" t="n">
        <v>12</v>
      </c>
      <c r="J184" s="22" t="n">
        <v>3.85</v>
      </c>
      <c r="K184" s="9">
        <f>ROUND(H184*I184*J184, 2)</f>
        <v/>
      </c>
      <c r="L184" s="23">
        <f>ROUND(K184/1000, 3)</f>
        <v/>
      </c>
      <c r="M184" s="8" t="n"/>
      <c r="N184" s="6" t="n"/>
      <c r="O184" s="24">
        <f>IF(AND(E184&lt;=10, F184&lt;&gt;"ASTM A416", INT(P184/20)&gt;INT(P183/20)), "TN Ø10 (Lần " &amp; INT(P184/20) &amp; ")", IF(AND(E184=12, INT(Q184/20)&gt;INT(Q183/20)), "TN Ø12 (Lần " &amp; INT(Q184/20) &amp; ")", IF(AND(E184=14, INT(R184/20)&gt;INT(R183/20)), "TN Ø14 (Lần " &amp; INT(R184/20) &amp; ")", IF(AND(E184=16, INT(S184/20)&gt;INT(S183/20)), "TN Ø16 (Lần " &amp; INT(S184/20) &amp; ")", IF(AND(E184=18, INT(T184/20)&gt;INT(T183/20)), "TN Ø18 (Lần " &amp; INT(T184/20) &amp; ")", IF(AND(E184=20, INT(U184/20)&gt;INT(U183/20)), "TN Ø20 (Lần " &amp; INT(U184/20) &amp; ")", IF(AND(E184=22, INT(V184/20)&gt;INT(V183/20)), "TN Ø22 (Lần " &amp; INT(V184/20) &amp; ")", IF(AND(E184=25, INT(W184/20)&gt;INT(W183/20)), "TN Ø25 (Lần " &amp; INT(W184/20) &amp; ")", IF(AND(E184=28, INT(X184/20)&gt;INT(X183/20)), "TN Ø28 (Lần " &amp; INT(X184/20) &amp; ")", IF(AND(E184=32, INT(Y184/20)&gt;INT(Y183/20)), "TN Ø32 (Lần " &amp; INT(Y184/20) &amp; ")", IF(AND(F184="ASTM A416", INT(Z184/20)&gt;INT(Z183/20)), "TN Cáp 15.2 (Lần " &amp; INT(Z184/20) &amp; ")", "")))))))))))</f>
        <v/>
      </c>
      <c r="P184" s="20">
        <f>ROUND(P183 + IF(AND(E184&lt;=10, F184&lt;&gt;"ASTM A416"), L184, 0), 3)</f>
        <v/>
      </c>
      <c r="Q184" s="20">
        <f>ROUND(Q183 + IF(AND(E184=12, F184&lt;&gt;"ASTM A416"), L184, 0), 3)</f>
        <v/>
      </c>
      <c r="R184" s="20">
        <f>ROUND(R183 + IF(AND(E184=14, F184&lt;&gt;"ASTM A416"), L184, 0), 3)</f>
        <v/>
      </c>
      <c r="S184" s="20">
        <f>ROUND(S183 + IF(AND(E184=16, F184&lt;&gt;"ASTM A416"), L184, 0), 3)</f>
        <v/>
      </c>
      <c r="T184" s="20">
        <f>ROUND(T183 + IF(AND(E184=18, F184&lt;&gt;"ASTM A416"), L184, 0), 3)</f>
        <v/>
      </c>
      <c r="U184" s="20">
        <f>ROUND(U183 + IF(AND(E184=20, F184&lt;&gt;"ASTM A416"), L184, 0), 3)</f>
        <v/>
      </c>
      <c r="V184" s="20">
        <f>ROUND(V183 + IF(AND(E184=22, F184&lt;&gt;"ASTM A416"), L184, 0), 3)</f>
        <v/>
      </c>
      <c r="W184" s="20">
        <f>ROUND(W183 + IF(AND(E184=25, F184&lt;&gt;"ASTM A416"), L184, 0), 3)</f>
        <v/>
      </c>
      <c r="X184" s="20">
        <f>ROUND(X183 + IF(AND(E184=28, F184&lt;&gt;"ASTM A416"), L184, 0), 3)</f>
        <v/>
      </c>
      <c r="Y184" s="20">
        <f>ROUND(Y183 + IF(AND(E184=32, F184&lt;&gt;"ASTM A416"), L184, 0), 3)</f>
        <v/>
      </c>
      <c r="Z184" s="20">
        <f>ROUND(Z183 + IF(F184="ASTM A416", L184, 0), 3)</f>
        <v/>
      </c>
      <c r="AA184" s="11">
        <f>IF(INT(P184/20)&gt;INT(P183/20), "Lần " &amp; INT(P184/20), "")</f>
        <v/>
      </c>
      <c r="AB184" s="11">
        <f>IF(INT(Q184/20)&gt;INT(Q183/20), "Lần " &amp; INT(Q184/20), "")</f>
        <v/>
      </c>
      <c r="AC184" s="11">
        <f>IF(INT(R184/20)&gt;INT(R183/20), "Lần " &amp; INT(R184/20), "")</f>
        <v/>
      </c>
      <c r="AD184" s="11">
        <f>IF(INT(S184/20)&gt;INT(S183/20), "Lần " &amp; INT(S184/20), "")</f>
        <v/>
      </c>
      <c r="AE184" s="11">
        <f>IF(INT(T184/20)&gt;INT(T183/20), "Lần " &amp; INT(T184/20), "")</f>
        <v/>
      </c>
      <c r="AF184" s="11">
        <f>IF(INT(U184/20)&gt;INT(U183/20), "Lần " &amp; INT(U184/20), "")</f>
        <v/>
      </c>
      <c r="AG184" s="11">
        <f>IF(INT(V184/20)&gt;INT(V183/20), "Lần " &amp; INT(V184/20), "")</f>
        <v/>
      </c>
      <c r="AH184" s="11">
        <f>IF(INT(W184/20)&gt;INT(W183/20), "Lần " &amp; INT(W184/20), "")</f>
        <v/>
      </c>
      <c r="AI184" s="11">
        <f>IF(INT(X184/20)&gt;INT(X183/20), "Lần " &amp; INT(X184/20), "")</f>
        <v/>
      </c>
      <c r="AJ184" s="11">
        <f>IF(INT(Y184/20)&gt;INT(Y183/20), "Lần " &amp; INT(Y184/20), "")</f>
        <v/>
      </c>
      <c r="AK184" s="11">
        <f>IF(INT(Z184/20)&gt;INT(Z183/20), "Lần " &amp; INT(Z184/20), "")</f>
        <v/>
      </c>
      <c r="AL184" s="6" t="inlineStr">
        <is>
          <t>ĐẠT TCVN 1651:2018</t>
        </is>
      </c>
    </row>
    <row r="185" ht="19" customHeight="1">
      <c r="A185" s="6" t="n">
        <v>170</v>
      </c>
      <c r="B185" s="7" t="inlineStr">
        <is>
          <t>Cọc khoan nhồi C1 Trụ T2 (D1.2m, L=30.0m)</t>
        </is>
      </c>
      <c r="C185" s="7" t="inlineStr">
        <is>
          <t>Cốt thép chủ chịu lực cọc</t>
        </is>
      </c>
      <c r="D185" s="18" t="inlineStr">
        <is>
          <t>P4</t>
        </is>
      </c>
      <c r="E185" s="19" t="n">
        <v>25</v>
      </c>
      <c r="F185" s="6" t="inlineStr">
        <is>
          <t>CB400-V</t>
        </is>
      </c>
      <c r="G185" s="7" t="inlineStr">
        <is>
          <t>Thanh thẳng nối ren/hàn</t>
        </is>
      </c>
      <c r="H185" s="20" t="n">
        <v>11.7</v>
      </c>
      <c r="I185" s="21" t="n">
        <v>36</v>
      </c>
      <c r="J185" s="22" t="n">
        <v>3.85</v>
      </c>
      <c r="K185" s="9">
        <f>ROUND(H185*I185*J185, 2)</f>
        <v/>
      </c>
      <c r="L185" s="23">
        <f>ROUND(K185/1000, 3)</f>
        <v/>
      </c>
      <c r="M185" s="8" t="n"/>
      <c r="N185" s="6" t="n"/>
      <c r="O185" s="24">
        <f>IF(AND(E185&lt;=10, F185&lt;&gt;"ASTM A416", INT(P185/20)&gt;INT(P184/20)), "TN Ø10 (Lần " &amp; INT(P185/20) &amp; ")", IF(AND(E185=12, INT(Q185/20)&gt;INT(Q184/20)), "TN Ø12 (Lần " &amp; INT(Q185/20) &amp; ")", IF(AND(E185=14, INT(R185/20)&gt;INT(R184/20)), "TN Ø14 (Lần " &amp; INT(R185/20) &amp; ")", IF(AND(E185=16, INT(S185/20)&gt;INT(S184/20)), "TN Ø16 (Lần " &amp; INT(S185/20) &amp; ")", IF(AND(E185=18, INT(T185/20)&gt;INT(T184/20)), "TN Ø18 (Lần " &amp; INT(T185/20) &amp; ")", IF(AND(E185=20, INT(U185/20)&gt;INT(U184/20)), "TN Ø20 (Lần " &amp; INT(U185/20) &amp; ")", IF(AND(E185=22, INT(V185/20)&gt;INT(V184/20)), "TN Ø22 (Lần " &amp; INT(V185/20) &amp; ")", IF(AND(E185=25, INT(W185/20)&gt;INT(W184/20)), "TN Ø25 (Lần " &amp; INT(W185/20) &amp; ")", IF(AND(E185=28, INT(X185/20)&gt;INT(X184/20)), "TN Ø28 (Lần " &amp; INT(X185/20) &amp; ")", IF(AND(E185=32, INT(Y185/20)&gt;INT(Y184/20)), "TN Ø32 (Lần " &amp; INT(Y185/20) &amp; ")", IF(AND(F185="ASTM A416", INT(Z185/20)&gt;INT(Z184/20)), "TN Cáp 15.2 (Lần " &amp; INT(Z185/20) &amp; ")", "")))))))))))</f>
        <v/>
      </c>
      <c r="P185" s="20">
        <f>ROUND(P184 + IF(AND(E185&lt;=10, F185&lt;&gt;"ASTM A416"), L185, 0), 3)</f>
        <v/>
      </c>
      <c r="Q185" s="20">
        <f>ROUND(Q184 + IF(AND(E185=12, F185&lt;&gt;"ASTM A416"), L185, 0), 3)</f>
        <v/>
      </c>
      <c r="R185" s="20">
        <f>ROUND(R184 + IF(AND(E185=14, F185&lt;&gt;"ASTM A416"), L185, 0), 3)</f>
        <v/>
      </c>
      <c r="S185" s="20">
        <f>ROUND(S184 + IF(AND(E185=16, F185&lt;&gt;"ASTM A416"), L185, 0), 3)</f>
        <v/>
      </c>
      <c r="T185" s="20">
        <f>ROUND(T184 + IF(AND(E185=18, F185&lt;&gt;"ASTM A416"), L185, 0), 3)</f>
        <v/>
      </c>
      <c r="U185" s="20">
        <f>ROUND(U184 + IF(AND(E185=20, F185&lt;&gt;"ASTM A416"), L185, 0), 3)</f>
        <v/>
      </c>
      <c r="V185" s="20">
        <f>ROUND(V184 + IF(AND(E185=22, F185&lt;&gt;"ASTM A416"), L185, 0), 3)</f>
        <v/>
      </c>
      <c r="W185" s="20">
        <f>ROUND(W184 + IF(AND(E185=25, F185&lt;&gt;"ASTM A416"), L185, 0), 3)</f>
        <v/>
      </c>
      <c r="X185" s="20">
        <f>ROUND(X184 + IF(AND(E185=28, F185&lt;&gt;"ASTM A416"), L185, 0), 3)</f>
        <v/>
      </c>
      <c r="Y185" s="20">
        <f>ROUND(Y184 + IF(AND(E185=32, F185&lt;&gt;"ASTM A416"), L185, 0), 3)</f>
        <v/>
      </c>
      <c r="Z185" s="20">
        <f>ROUND(Z184 + IF(F185="ASTM A416", L185, 0), 3)</f>
        <v/>
      </c>
      <c r="AA185" s="11">
        <f>IF(INT(P185/20)&gt;INT(P184/20), "Lần " &amp; INT(P185/20), "")</f>
        <v/>
      </c>
      <c r="AB185" s="11">
        <f>IF(INT(Q185/20)&gt;INT(Q184/20), "Lần " &amp; INT(Q185/20), "")</f>
        <v/>
      </c>
      <c r="AC185" s="11">
        <f>IF(INT(R185/20)&gt;INT(R184/20), "Lần " &amp; INT(R185/20), "")</f>
        <v/>
      </c>
      <c r="AD185" s="11">
        <f>IF(INT(S185/20)&gt;INT(S184/20), "Lần " &amp; INT(S185/20), "")</f>
        <v/>
      </c>
      <c r="AE185" s="11">
        <f>IF(INT(T185/20)&gt;INT(T184/20), "Lần " &amp; INT(T185/20), "")</f>
        <v/>
      </c>
      <c r="AF185" s="11">
        <f>IF(INT(U185/20)&gt;INT(U184/20), "Lần " &amp; INT(U185/20), "")</f>
        <v/>
      </c>
      <c r="AG185" s="11">
        <f>IF(INT(V185/20)&gt;INT(V184/20), "Lần " &amp; INT(V185/20), "")</f>
        <v/>
      </c>
      <c r="AH185" s="11">
        <f>IF(INT(W185/20)&gt;INT(W184/20), "Lần " &amp; INT(W185/20), "")</f>
        <v/>
      </c>
      <c r="AI185" s="11">
        <f>IF(INT(X185/20)&gt;INT(X184/20), "Lần " &amp; INT(X185/20), "")</f>
        <v/>
      </c>
      <c r="AJ185" s="11">
        <f>IF(INT(Y185/20)&gt;INT(Y184/20), "Lần " &amp; INT(Y185/20), "")</f>
        <v/>
      </c>
      <c r="AK185" s="11">
        <f>IF(INT(Z185/20)&gt;INT(Z184/20), "Lần " &amp; INT(Z185/20), "")</f>
        <v/>
      </c>
      <c r="AL185" s="6" t="inlineStr">
        <is>
          <t>ĐẠT TCVN 1651:2018</t>
        </is>
      </c>
    </row>
    <row r="186" ht="19" customHeight="1">
      <c r="A186" s="6" t="n">
        <v>171</v>
      </c>
      <c r="B186" s="7" t="inlineStr">
        <is>
          <t>Cọc khoan nhồi C1 Trụ T2 (D1.2m, L=30.0m)</t>
        </is>
      </c>
      <c r="C186" s="7" t="inlineStr">
        <is>
          <t>Cốt thép chủ chịu lực cọc</t>
        </is>
      </c>
      <c r="D186" s="18" t="inlineStr">
        <is>
          <t>P6</t>
        </is>
      </c>
      <c r="E186" s="19" t="n">
        <v>25</v>
      </c>
      <c r="F186" s="6" t="inlineStr">
        <is>
          <t>CB400-V</t>
        </is>
      </c>
      <c r="G186" s="7" t="inlineStr">
        <is>
          <t>Thanh thẳng nối ren/hàn</t>
        </is>
      </c>
      <c r="H186" s="20" t="n">
        <v>9.733000000000001</v>
      </c>
      <c r="I186" s="21" t="n">
        <v>12</v>
      </c>
      <c r="J186" s="22" t="n">
        <v>3.85</v>
      </c>
      <c r="K186" s="9">
        <f>ROUND(H186*I186*J186, 2)</f>
        <v/>
      </c>
      <c r="L186" s="23">
        <f>ROUND(K186/1000, 3)</f>
        <v/>
      </c>
      <c r="M186" s="8" t="n"/>
      <c r="N186" s="6" t="n"/>
      <c r="O186" s="24">
        <f>IF(AND(E186&lt;=10, F186&lt;&gt;"ASTM A416", INT(P186/20)&gt;INT(P185/20)), "TN Ø10 (Lần " &amp; INT(P186/20) &amp; ")", IF(AND(E186=12, INT(Q186/20)&gt;INT(Q185/20)), "TN Ø12 (Lần " &amp; INT(Q186/20) &amp; ")", IF(AND(E186=14, INT(R186/20)&gt;INT(R185/20)), "TN Ø14 (Lần " &amp; INT(R186/20) &amp; ")", IF(AND(E186=16, INT(S186/20)&gt;INT(S185/20)), "TN Ø16 (Lần " &amp; INT(S186/20) &amp; ")", IF(AND(E186=18, INT(T186/20)&gt;INT(T185/20)), "TN Ø18 (Lần " &amp; INT(T186/20) &amp; ")", IF(AND(E186=20, INT(U186/20)&gt;INT(U185/20)), "TN Ø20 (Lần " &amp; INT(U186/20) &amp; ")", IF(AND(E186=22, INT(V186/20)&gt;INT(V185/20)), "TN Ø22 (Lần " &amp; INT(V186/20) &amp; ")", IF(AND(E186=25, INT(W186/20)&gt;INT(W185/20)), "TN Ø25 (Lần " &amp; INT(W186/20) &amp; ")", IF(AND(E186=28, INT(X186/20)&gt;INT(X185/20)), "TN Ø28 (Lần " &amp; INT(X186/20) &amp; ")", IF(AND(E186=32, INT(Y186/20)&gt;INT(Y185/20)), "TN Ø32 (Lần " &amp; INT(Y186/20) &amp; ")", IF(AND(F186="ASTM A416", INT(Z186/20)&gt;INT(Z185/20)), "TN Cáp 15.2 (Lần " &amp; INT(Z186/20) &amp; ")", "")))))))))))</f>
        <v/>
      </c>
      <c r="P186" s="20">
        <f>ROUND(P185 + IF(AND(E186&lt;=10, F186&lt;&gt;"ASTM A416"), L186, 0), 3)</f>
        <v/>
      </c>
      <c r="Q186" s="20">
        <f>ROUND(Q185 + IF(AND(E186=12, F186&lt;&gt;"ASTM A416"), L186, 0), 3)</f>
        <v/>
      </c>
      <c r="R186" s="20">
        <f>ROUND(R185 + IF(AND(E186=14, F186&lt;&gt;"ASTM A416"), L186, 0), 3)</f>
        <v/>
      </c>
      <c r="S186" s="20">
        <f>ROUND(S185 + IF(AND(E186=16, F186&lt;&gt;"ASTM A416"), L186, 0), 3)</f>
        <v/>
      </c>
      <c r="T186" s="20">
        <f>ROUND(T185 + IF(AND(E186=18, F186&lt;&gt;"ASTM A416"), L186, 0), 3)</f>
        <v/>
      </c>
      <c r="U186" s="20">
        <f>ROUND(U185 + IF(AND(E186=20, F186&lt;&gt;"ASTM A416"), L186, 0), 3)</f>
        <v/>
      </c>
      <c r="V186" s="20">
        <f>ROUND(V185 + IF(AND(E186=22, F186&lt;&gt;"ASTM A416"), L186, 0), 3)</f>
        <v/>
      </c>
      <c r="W186" s="20">
        <f>ROUND(W185 + IF(AND(E186=25, F186&lt;&gt;"ASTM A416"), L186, 0), 3)</f>
        <v/>
      </c>
      <c r="X186" s="20">
        <f>ROUND(X185 + IF(AND(E186=28, F186&lt;&gt;"ASTM A416"), L186, 0), 3)</f>
        <v/>
      </c>
      <c r="Y186" s="20">
        <f>ROUND(Y185 + IF(AND(E186=32, F186&lt;&gt;"ASTM A416"), L186, 0), 3)</f>
        <v/>
      </c>
      <c r="Z186" s="20">
        <f>ROUND(Z185 + IF(F186="ASTM A416", L186, 0), 3)</f>
        <v/>
      </c>
      <c r="AA186" s="11">
        <f>IF(INT(P186/20)&gt;INT(P185/20), "Lần " &amp; INT(P186/20), "")</f>
        <v/>
      </c>
      <c r="AB186" s="11">
        <f>IF(INT(Q186/20)&gt;INT(Q185/20), "Lần " &amp; INT(Q186/20), "")</f>
        <v/>
      </c>
      <c r="AC186" s="11">
        <f>IF(INT(R186/20)&gt;INT(R185/20), "Lần " &amp; INT(R186/20), "")</f>
        <v/>
      </c>
      <c r="AD186" s="11">
        <f>IF(INT(S186/20)&gt;INT(S185/20), "Lần " &amp; INT(S186/20), "")</f>
        <v/>
      </c>
      <c r="AE186" s="11">
        <f>IF(INT(T186/20)&gt;INT(T185/20), "Lần " &amp; INT(T186/20), "")</f>
        <v/>
      </c>
      <c r="AF186" s="11">
        <f>IF(INT(U186/20)&gt;INT(U185/20), "Lần " &amp; INT(U186/20), "")</f>
        <v/>
      </c>
      <c r="AG186" s="11">
        <f>IF(INT(V186/20)&gt;INT(V185/20), "Lần " &amp; INT(V186/20), "")</f>
        <v/>
      </c>
      <c r="AH186" s="11">
        <f>IF(INT(W186/20)&gt;INT(W185/20), "Lần " &amp; INT(W186/20), "")</f>
        <v/>
      </c>
      <c r="AI186" s="11">
        <f>IF(INT(X186/20)&gt;INT(X185/20), "Lần " &amp; INT(X186/20), "")</f>
        <v/>
      </c>
      <c r="AJ186" s="11">
        <f>IF(INT(Y186/20)&gt;INT(Y185/20), "Lần " &amp; INT(Y186/20), "")</f>
        <v/>
      </c>
      <c r="AK186" s="11">
        <f>IF(INT(Z186/20)&gt;INT(Z185/20), "Lần " &amp; INT(Z186/20), "")</f>
        <v/>
      </c>
      <c r="AL186" s="6" t="inlineStr">
        <is>
          <t>ĐẠT TCVN 1651:2018</t>
        </is>
      </c>
    </row>
    <row r="187" ht="19" customHeight="1">
      <c r="A187" s="6" t="n">
        <v>172</v>
      </c>
      <c r="B187" s="7" t="inlineStr">
        <is>
          <t>Cọc khoan nhồi C1 Trụ T2 (D1.2m, L=30.0m)</t>
        </is>
      </c>
      <c r="C187" s="7" t="inlineStr">
        <is>
          <t>Cốt thép chủ chịu lực cọc</t>
        </is>
      </c>
      <c r="D187" s="18" t="inlineStr">
        <is>
          <t>P7</t>
        </is>
      </c>
      <c r="E187" s="19" t="n">
        <v>25</v>
      </c>
      <c r="F187" s="6" t="inlineStr">
        <is>
          <t>CB400-V</t>
        </is>
      </c>
      <c r="G187" s="7" t="inlineStr">
        <is>
          <t>Thanh thẳng nối ren/hàn</t>
        </is>
      </c>
      <c r="H187" s="20" t="n">
        <v>10.733</v>
      </c>
      <c r="I187" s="21" t="n">
        <v>12</v>
      </c>
      <c r="J187" s="22" t="n">
        <v>3.85</v>
      </c>
      <c r="K187" s="9">
        <f>ROUND(H187*I187*J187, 2)</f>
        <v/>
      </c>
      <c r="L187" s="23">
        <f>ROUND(K187/1000, 3)</f>
        <v/>
      </c>
      <c r="M187" s="8" t="n"/>
      <c r="N187" s="6" t="n"/>
      <c r="O187" s="24">
        <f>IF(AND(E187&lt;=10, F187&lt;&gt;"ASTM A416", INT(P187/20)&gt;INT(P186/20)), "TN Ø10 (Lần " &amp; INT(P187/20) &amp; ")", IF(AND(E187=12, INT(Q187/20)&gt;INT(Q186/20)), "TN Ø12 (Lần " &amp; INT(Q187/20) &amp; ")", IF(AND(E187=14, INT(R187/20)&gt;INT(R186/20)), "TN Ø14 (Lần " &amp; INT(R187/20) &amp; ")", IF(AND(E187=16, INT(S187/20)&gt;INT(S186/20)), "TN Ø16 (Lần " &amp; INT(S187/20) &amp; ")", IF(AND(E187=18, INT(T187/20)&gt;INT(T186/20)), "TN Ø18 (Lần " &amp; INT(T187/20) &amp; ")", IF(AND(E187=20, INT(U187/20)&gt;INT(U186/20)), "TN Ø20 (Lần " &amp; INT(U187/20) &amp; ")", IF(AND(E187=22, INT(V187/20)&gt;INT(V186/20)), "TN Ø22 (Lần " &amp; INT(V187/20) &amp; ")", IF(AND(E187=25, INT(W187/20)&gt;INT(W186/20)), "TN Ø25 (Lần " &amp; INT(W187/20) &amp; ")", IF(AND(E187=28, INT(X187/20)&gt;INT(X186/20)), "TN Ø28 (Lần " &amp; INT(X187/20) &amp; ")", IF(AND(E187=32, INT(Y187/20)&gt;INT(Y186/20)), "TN Ø32 (Lần " &amp; INT(Y187/20) &amp; ")", IF(AND(F187="ASTM A416", INT(Z187/20)&gt;INT(Z186/20)), "TN Cáp 15.2 (Lần " &amp; INT(Z187/20) &amp; ")", "")))))))))))</f>
        <v/>
      </c>
      <c r="P187" s="20">
        <f>ROUND(P186 + IF(AND(E187&lt;=10, F187&lt;&gt;"ASTM A416"), L187, 0), 3)</f>
        <v/>
      </c>
      <c r="Q187" s="20">
        <f>ROUND(Q186 + IF(AND(E187=12, F187&lt;&gt;"ASTM A416"), L187, 0), 3)</f>
        <v/>
      </c>
      <c r="R187" s="20">
        <f>ROUND(R186 + IF(AND(E187=14, F187&lt;&gt;"ASTM A416"), L187, 0), 3)</f>
        <v/>
      </c>
      <c r="S187" s="20">
        <f>ROUND(S186 + IF(AND(E187=16, F187&lt;&gt;"ASTM A416"), L187, 0), 3)</f>
        <v/>
      </c>
      <c r="T187" s="20">
        <f>ROUND(T186 + IF(AND(E187=18, F187&lt;&gt;"ASTM A416"), L187, 0), 3)</f>
        <v/>
      </c>
      <c r="U187" s="20">
        <f>ROUND(U186 + IF(AND(E187=20, F187&lt;&gt;"ASTM A416"), L187, 0), 3)</f>
        <v/>
      </c>
      <c r="V187" s="20">
        <f>ROUND(V186 + IF(AND(E187=22, F187&lt;&gt;"ASTM A416"), L187, 0), 3)</f>
        <v/>
      </c>
      <c r="W187" s="20">
        <f>ROUND(W186 + IF(AND(E187=25, F187&lt;&gt;"ASTM A416"), L187, 0), 3)</f>
        <v/>
      </c>
      <c r="X187" s="20">
        <f>ROUND(X186 + IF(AND(E187=28, F187&lt;&gt;"ASTM A416"), L187, 0), 3)</f>
        <v/>
      </c>
      <c r="Y187" s="20">
        <f>ROUND(Y186 + IF(AND(E187=32, F187&lt;&gt;"ASTM A416"), L187, 0), 3)</f>
        <v/>
      </c>
      <c r="Z187" s="20">
        <f>ROUND(Z186 + IF(F187="ASTM A416", L187, 0), 3)</f>
        <v/>
      </c>
      <c r="AA187" s="11">
        <f>IF(INT(P187/20)&gt;INT(P186/20), "Lần " &amp; INT(P187/20), "")</f>
        <v/>
      </c>
      <c r="AB187" s="11">
        <f>IF(INT(Q187/20)&gt;INT(Q186/20), "Lần " &amp; INT(Q187/20), "")</f>
        <v/>
      </c>
      <c r="AC187" s="11">
        <f>IF(INT(R187/20)&gt;INT(R186/20), "Lần " &amp; INT(R187/20), "")</f>
        <v/>
      </c>
      <c r="AD187" s="11">
        <f>IF(INT(S187/20)&gt;INT(S186/20), "Lần " &amp; INT(S187/20), "")</f>
        <v/>
      </c>
      <c r="AE187" s="11">
        <f>IF(INT(T187/20)&gt;INT(T186/20), "Lần " &amp; INT(T187/20), "")</f>
        <v/>
      </c>
      <c r="AF187" s="11">
        <f>IF(INT(U187/20)&gt;INT(U186/20), "Lần " &amp; INT(U187/20), "")</f>
        <v/>
      </c>
      <c r="AG187" s="11">
        <f>IF(INT(V187/20)&gt;INT(V186/20), "Lần " &amp; INT(V187/20), "")</f>
        <v/>
      </c>
      <c r="AH187" s="11">
        <f>IF(INT(W187/20)&gt;INT(W186/20), "Lần " &amp; INT(W187/20), "")</f>
        <v/>
      </c>
      <c r="AI187" s="11">
        <f>IF(INT(X187/20)&gt;INT(X186/20), "Lần " &amp; INT(X187/20), "")</f>
        <v/>
      </c>
      <c r="AJ187" s="11">
        <f>IF(INT(Y187/20)&gt;INT(Y186/20), "Lần " &amp; INT(Y187/20), "")</f>
        <v/>
      </c>
      <c r="AK187" s="11">
        <f>IF(INT(Z187/20)&gt;INT(Z186/20), "Lần " &amp; INT(Z187/20), "")</f>
        <v/>
      </c>
      <c r="AL187" s="6" t="inlineStr">
        <is>
          <t>ĐẠT TCVN 1651:2018</t>
        </is>
      </c>
    </row>
    <row r="188" ht="19" customHeight="1">
      <c r="A188" s="6" t="n">
        <v>173</v>
      </c>
      <c r="B188" s="7" t="inlineStr">
        <is>
          <t>Cọc khoan nhồi C1 Trụ T2 (D1.2m, L=30.0m)</t>
        </is>
      </c>
      <c r="C188" s="7" t="inlineStr">
        <is>
          <t>Đai tăng cường / Con kê bảo vệ</t>
        </is>
      </c>
      <c r="D188" s="18" t="inlineStr">
        <is>
          <t>P8</t>
        </is>
      </c>
      <c r="E188" s="19" t="n">
        <v>12</v>
      </c>
      <c r="F188" s="6" t="inlineStr">
        <is>
          <t>CB400-V</t>
        </is>
      </c>
      <c r="G188" s="7" t="inlineStr">
        <is>
          <t>Móc neo / Vòng đai</t>
        </is>
      </c>
      <c r="H188" s="20" t="n">
        <v>0.647</v>
      </c>
      <c r="I188" s="21" t="n">
        <v>12</v>
      </c>
      <c r="J188" s="22" t="n">
        <v>0.888</v>
      </c>
      <c r="K188" s="9">
        <f>ROUND(H188*I188*J188, 2)</f>
        <v/>
      </c>
      <c r="L188" s="23">
        <f>ROUND(K188/1000, 3)</f>
        <v/>
      </c>
      <c r="M188" s="8" t="n"/>
      <c r="N188" s="6" t="n"/>
      <c r="O188" s="24">
        <f>IF(AND(E188&lt;=10, F188&lt;&gt;"ASTM A416", INT(P188/20)&gt;INT(P187/20)), "TN Ø10 (Lần " &amp; INT(P188/20) &amp; ")", IF(AND(E188=12, INT(Q188/20)&gt;INT(Q187/20)), "TN Ø12 (Lần " &amp; INT(Q188/20) &amp; ")", IF(AND(E188=14, INT(R188/20)&gt;INT(R187/20)), "TN Ø14 (Lần " &amp; INT(R188/20) &amp; ")", IF(AND(E188=16, INT(S188/20)&gt;INT(S187/20)), "TN Ø16 (Lần " &amp; INT(S188/20) &amp; ")", IF(AND(E188=18, INT(T188/20)&gt;INT(T187/20)), "TN Ø18 (Lần " &amp; INT(T188/20) &amp; ")", IF(AND(E188=20, INT(U188/20)&gt;INT(U187/20)), "TN Ø20 (Lần " &amp; INT(U188/20) &amp; ")", IF(AND(E188=22, INT(V188/20)&gt;INT(V187/20)), "TN Ø22 (Lần " &amp; INT(V188/20) &amp; ")", IF(AND(E188=25, INT(W188/20)&gt;INT(W187/20)), "TN Ø25 (Lần " &amp; INT(W188/20) &amp; ")", IF(AND(E188=28, INT(X188/20)&gt;INT(X187/20)), "TN Ø28 (Lần " &amp; INT(X188/20) &amp; ")", IF(AND(E188=32, INT(Y188/20)&gt;INT(Y187/20)), "TN Ø32 (Lần " &amp; INT(Y188/20) &amp; ")", IF(AND(F188="ASTM A416", INT(Z188/20)&gt;INT(Z187/20)), "TN Cáp 15.2 (Lần " &amp; INT(Z188/20) &amp; ")", "")))))))))))</f>
        <v/>
      </c>
      <c r="P188" s="20">
        <f>ROUND(P187 + IF(AND(E188&lt;=10, F188&lt;&gt;"ASTM A416"), L188, 0), 3)</f>
        <v/>
      </c>
      <c r="Q188" s="20">
        <f>ROUND(Q187 + IF(AND(E188=12, F188&lt;&gt;"ASTM A416"), L188, 0), 3)</f>
        <v/>
      </c>
      <c r="R188" s="20">
        <f>ROUND(R187 + IF(AND(E188=14, F188&lt;&gt;"ASTM A416"), L188, 0), 3)</f>
        <v/>
      </c>
      <c r="S188" s="20">
        <f>ROUND(S187 + IF(AND(E188=16, F188&lt;&gt;"ASTM A416"), L188, 0), 3)</f>
        <v/>
      </c>
      <c r="T188" s="20">
        <f>ROUND(T187 + IF(AND(E188=18, F188&lt;&gt;"ASTM A416"), L188, 0), 3)</f>
        <v/>
      </c>
      <c r="U188" s="20">
        <f>ROUND(U187 + IF(AND(E188=20, F188&lt;&gt;"ASTM A416"), L188, 0), 3)</f>
        <v/>
      </c>
      <c r="V188" s="20">
        <f>ROUND(V187 + IF(AND(E188=22, F188&lt;&gt;"ASTM A416"), L188, 0), 3)</f>
        <v/>
      </c>
      <c r="W188" s="20">
        <f>ROUND(W187 + IF(AND(E188=25, F188&lt;&gt;"ASTM A416"), L188, 0), 3)</f>
        <v/>
      </c>
      <c r="X188" s="20">
        <f>ROUND(X187 + IF(AND(E188=28, F188&lt;&gt;"ASTM A416"), L188, 0), 3)</f>
        <v/>
      </c>
      <c r="Y188" s="20">
        <f>ROUND(Y187 + IF(AND(E188=32, F188&lt;&gt;"ASTM A416"), L188, 0), 3)</f>
        <v/>
      </c>
      <c r="Z188" s="20">
        <f>ROUND(Z187 + IF(F188="ASTM A416", L188, 0), 3)</f>
        <v/>
      </c>
      <c r="AA188" s="11">
        <f>IF(INT(P188/20)&gt;INT(P187/20), "Lần " &amp; INT(P188/20), "")</f>
        <v/>
      </c>
      <c r="AB188" s="11">
        <f>IF(INT(Q188/20)&gt;INT(Q187/20), "Lần " &amp; INT(Q188/20), "")</f>
        <v/>
      </c>
      <c r="AC188" s="11">
        <f>IF(INT(R188/20)&gt;INT(R187/20), "Lần " &amp; INT(R188/20), "")</f>
        <v/>
      </c>
      <c r="AD188" s="11">
        <f>IF(INT(S188/20)&gt;INT(S187/20), "Lần " &amp; INT(S188/20), "")</f>
        <v/>
      </c>
      <c r="AE188" s="11">
        <f>IF(INT(T188/20)&gt;INT(T187/20), "Lần " &amp; INT(T188/20), "")</f>
        <v/>
      </c>
      <c r="AF188" s="11">
        <f>IF(INT(U188/20)&gt;INT(U187/20), "Lần " &amp; INT(U188/20), "")</f>
        <v/>
      </c>
      <c r="AG188" s="11">
        <f>IF(INT(V188/20)&gt;INT(V187/20), "Lần " &amp; INT(V188/20), "")</f>
        <v/>
      </c>
      <c r="AH188" s="11">
        <f>IF(INT(W188/20)&gt;INT(W187/20), "Lần " &amp; INT(W188/20), "")</f>
        <v/>
      </c>
      <c r="AI188" s="11">
        <f>IF(INT(X188/20)&gt;INT(X187/20), "Lần " &amp; INT(X188/20), "")</f>
        <v/>
      </c>
      <c r="AJ188" s="11">
        <f>IF(INT(Y188/20)&gt;INT(Y187/20), "Lần " &amp; INT(Y188/20), "")</f>
        <v/>
      </c>
      <c r="AK188" s="11">
        <f>IF(INT(Z188/20)&gt;INT(Z187/20), "Lần " &amp; INT(Z188/20), "")</f>
        <v/>
      </c>
      <c r="AL188" s="6" t="inlineStr">
        <is>
          <t>ĐẠT TCVN 1651:2018</t>
        </is>
      </c>
    </row>
    <row r="189" ht="19" customHeight="1">
      <c r="A189" s="6" t="n">
        <v>174</v>
      </c>
      <c r="B189" s="7" t="inlineStr">
        <is>
          <t>Cọc khoan nhồi C1 Trụ T2 (D1.2m, L=30.0m)</t>
        </is>
      </c>
      <c r="C189" s="7" t="inlineStr">
        <is>
          <t>Đai tăng cường / Con kê bảo vệ</t>
        </is>
      </c>
      <c r="D189" s="18" t="inlineStr">
        <is>
          <t>P9</t>
        </is>
      </c>
      <c r="E189" s="19" t="n">
        <v>12</v>
      </c>
      <c r="F189" s="6" t="inlineStr">
        <is>
          <t>CB400-V</t>
        </is>
      </c>
      <c r="G189" s="7" t="inlineStr">
        <is>
          <t>Móc neo / Vòng đai</t>
        </is>
      </c>
      <c r="H189" s="20" t="n">
        <v>0.379</v>
      </c>
      <c r="I189" s="21" t="n">
        <v>36</v>
      </c>
      <c r="J189" s="22" t="n">
        <v>0.888</v>
      </c>
      <c r="K189" s="9">
        <f>ROUND(H189*I189*J189, 2)</f>
        <v/>
      </c>
      <c r="L189" s="23">
        <f>ROUND(K189/1000, 3)</f>
        <v/>
      </c>
      <c r="M189" s="8" t="n"/>
      <c r="N189" s="6" t="n"/>
      <c r="O189" s="24">
        <f>IF(AND(E189&lt;=10, F189&lt;&gt;"ASTM A416", INT(P189/20)&gt;INT(P188/20)), "TN Ø10 (Lần " &amp; INT(P189/20) &amp; ")", IF(AND(E189=12, INT(Q189/20)&gt;INT(Q188/20)), "TN Ø12 (Lần " &amp; INT(Q189/20) &amp; ")", IF(AND(E189=14, INT(R189/20)&gt;INT(R188/20)), "TN Ø14 (Lần " &amp; INT(R189/20) &amp; ")", IF(AND(E189=16, INT(S189/20)&gt;INT(S188/20)), "TN Ø16 (Lần " &amp; INT(S189/20) &amp; ")", IF(AND(E189=18, INT(T189/20)&gt;INT(T188/20)), "TN Ø18 (Lần " &amp; INT(T189/20) &amp; ")", IF(AND(E189=20, INT(U189/20)&gt;INT(U188/20)), "TN Ø20 (Lần " &amp; INT(U189/20) &amp; ")", IF(AND(E189=22, INT(V189/20)&gt;INT(V188/20)), "TN Ø22 (Lần " &amp; INT(V189/20) &amp; ")", IF(AND(E189=25, INT(W189/20)&gt;INT(W188/20)), "TN Ø25 (Lần " &amp; INT(W189/20) &amp; ")", IF(AND(E189=28, INT(X189/20)&gt;INT(X188/20)), "TN Ø28 (Lần " &amp; INT(X189/20) &amp; ")", IF(AND(E189=32, INT(Y189/20)&gt;INT(Y188/20)), "TN Ø32 (Lần " &amp; INT(Y189/20) &amp; ")", IF(AND(F189="ASTM A416", INT(Z189/20)&gt;INT(Z188/20)), "TN Cáp 15.2 (Lần " &amp; INT(Z189/20) &amp; ")", "")))))))))))</f>
        <v/>
      </c>
      <c r="P189" s="20">
        <f>ROUND(P188 + IF(AND(E189&lt;=10, F189&lt;&gt;"ASTM A416"), L189, 0), 3)</f>
        <v/>
      </c>
      <c r="Q189" s="20">
        <f>ROUND(Q188 + IF(AND(E189=12, F189&lt;&gt;"ASTM A416"), L189, 0), 3)</f>
        <v/>
      </c>
      <c r="R189" s="20">
        <f>ROUND(R188 + IF(AND(E189=14, F189&lt;&gt;"ASTM A416"), L189, 0), 3)</f>
        <v/>
      </c>
      <c r="S189" s="20">
        <f>ROUND(S188 + IF(AND(E189=16, F189&lt;&gt;"ASTM A416"), L189, 0), 3)</f>
        <v/>
      </c>
      <c r="T189" s="20">
        <f>ROUND(T188 + IF(AND(E189=18, F189&lt;&gt;"ASTM A416"), L189, 0), 3)</f>
        <v/>
      </c>
      <c r="U189" s="20">
        <f>ROUND(U188 + IF(AND(E189=20, F189&lt;&gt;"ASTM A416"), L189, 0), 3)</f>
        <v/>
      </c>
      <c r="V189" s="20">
        <f>ROUND(V188 + IF(AND(E189=22, F189&lt;&gt;"ASTM A416"), L189, 0), 3)</f>
        <v/>
      </c>
      <c r="W189" s="20">
        <f>ROUND(W188 + IF(AND(E189=25, F189&lt;&gt;"ASTM A416"), L189, 0), 3)</f>
        <v/>
      </c>
      <c r="X189" s="20">
        <f>ROUND(X188 + IF(AND(E189=28, F189&lt;&gt;"ASTM A416"), L189, 0), 3)</f>
        <v/>
      </c>
      <c r="Y189" s="20">
        <f>ROUND(Y188 + IF(AND(E189=32, F189&lt;&gt;"ASTM A416"), L189, 0), 3)</f>
        <v/>
      </c>
      <c r="Z189" s="20">
        <f>ROUND(Z188 + IF(F189="ASTM A416", L189, 0), 3)</f>
        <v/>
      </c>
      <c r="AA189" s="11">
        <f>IF(INT(P189/20)&gt;INT(P188/20), "Lần " &amp; INT(P189/20), "")</f>
        <v/>
      </c>
      <c r="AB189" s="11">
        <f>IF(INT(Q189/20)&gt;INT(Q188/20), "Lần " &amp; INT(Q189/20), "")</f>
        <v/>
      </c>
      <c r="AC189" s="11">
        <f>IF(INT(R189/20)&gt;INT(R188/20), "Lần " &amp; INT(R189/20), "")</f>
        <v/>
      </c>
      <c r="AD189" s="11">
        <f>IF(INT(S189/20)&gt;INT(S188/20), "Lần " &amp; INT(S189/20), "")</f>
        <v/>
      </c>
      <c r="AE189" s="11">
        <f>IF(INT(T189/20)&gt;INT(T188/20), "Lần " &amp; INT(T189/20), "")</f>
        <v/>
      </c>
      <c r="AF189" s="11">
        <f>IF(INT(U189/20)&gt;INT(U188/20), "Lần " &amp; INT(U189/20), "")</f>
        <v/>
      </c>
      <c r="AG189" s="11">
        <f>IF(INT(V189/20)&gt;INT(V188/20), "Lần " &amp; INT(V189/20), "")</f>
        <v/>
      </c>
      <c r="AH189" s="11">
        <f>IF(INT(W189/20)&gt;INT(W188/20), "Lần " &amp; INT(W189/20), "")</f>
        <v/>
      </c>
      <c r="AI189" s="11">
        <f>IF(INT(X189/20)&gt;INT(X188/20), "Lần " &amp; INT(X189/20), "")</f>
        <v/>
      </c>
      <c r="AJ189" s="11">
        <f>IF(INT(Y189/20)&gt;INT(Y188/20), "Lần " &amp; INT(Y189/20), "")</f>
        <v/>
      </c>
      <c r="AK189" s="11">
        <f>IF(INT(Z189/20)&gt;INT(Z188/20), "Lần " &amp; INT(Z189/20), "")</f>
        <v/>
      </c>
      <c r="AL189" s="6" t="inlineStr">
        <is>
          <t>ĐẠT TCVN 1651:2018</t>
        </is>
      </c>
    </row>
    <row r="190" ht="19" customHeight="1">
      <c r="A190" s="6" t="n">
        <v>175</v>
      </c>
      <c r="B190" s="7" t="inlineStr">
        <is>
          <t>Cọc khoan nhồi C1 Trụ T2 (D1.2m, L=30.0m)</t>
        </is>
      </c>
      <c r="C190" s="7" t="inlineStr">
        <is>
          <t>Thép đai xoắn lồng cọc</t>
        </is>
      </c>
      <c r="D190" s="18" t="inlineStr">
        <is>
          <t>P10</t>
        </is>
      </c>
      <c r="E190" s="19" t="n">
        <v>20</v>
      </c>
      <c r="F190" s="6" t="inlineStr">
        <is>
          <t>CB400-V</t>
        </is>
      </c>
      <c r="G190" s="7" t="inlineStr">
        <is>
          <t>Đai xoắn tròn</t>
        </is>
      </c>
      <c r="H190" s="20" t="n">
        <v>2.057</v>
      </c>
      <c r="I190" s="21" t="n">
        <v>1</v>
      </c>
      <c r="J190" s="22" t="n">
        <v>2.47</v>
      </c>
      <c r="K190" s="9">
        <f>ROUND(H190*I190*J190, 2)</f>
        <v/>
      </c>
      <c r="L190" s="23">
        <f>ROUND(K190/1000, 3)</f>
        <v/>
      </c>
      <c r="M190" s="8" t="n"/>
      <c r="N190" s="6" t="n"/>
      <c r="O190" s="24">
        <f>IF(AND(E190&lt;=10, F190&lt;&gt;"ASTM A416", INT(P190/20)&gt;INT(P189/20)), "TN Ø10 (Lần " &amp; INT(P190/20) &amp; ")", IF(AND(E190=12, INT(Q190/20)&gt;INT(Q189/20)), "TN Ø12 (Lần " &amp; INT(Q190/20) &amp; ")", IF(AND(E190=14, INT(R190/20)&gt;INT(R189/20)), "TN Ø14 (Lần " &amp; INT(R190/20) &amp; ")", IF(AND(E190=16, INT(S190/20)&gt;INT(S189/20)), "TN Ø16 (Lần " &amp; INT(S190/20) &amp; ")", IF(AND(E190=18, INT(T190/20)&gt;INT(T189/20)), "TN Ø18 (Lần " &amp; INT(T190/20) &amp; ")", IF(AND(E190=20, INT(U190/20)&gt;INT(U189/20)), "TN Ø20 (Lần " &amp; INT(U190/20) &amp; ")", IF(AND(E190=22, INT(V190/20)&gt;INT(V189/20)), "TN Ø22 (Lần " &amp; INT(V190/20) &amp; ")", IF(AND(E190=25, INT(W190/20)&gt;INT(W189/20)), "TN Ø25 (Lần " &amp; INT(W190/20) &amp; ")", IF(AND(E190=28, INT(X190/20)&gt;INT(X189/20)), "TN Ø28 (Lần " &amp; INT(X190/20) &amp; ")", IF(AND(E190=32, INT(Y190/20)&gt;INT(Y189/20)), "TN Ø32 (Lần " &amp; INT(Y190/20) &amp; ")", IF(AND(F190="ASTM A416", INT(Z190/20)&gt;INT(Z189/20)), "TN Cáp 15.2 (Lần " &amp; INT(Z190/20) &amp; ")", "")))))))))))</f>
        <v/>
      </c>
      <c r="P190" s="20">
        <f>ROUND(P189 + IF(AND(E190&lt;=10, F190&lt;&gt;"ASTM A416"), L190, 0), 3)</f>
        <v/>
      </c>
      <c r="Q190" s="20">
        <f>ROUND(Q189 + IF(AND(E190=12, F190&lt;&gt;"ASTM A416"), L190, 0), 3)</f>
        <v/>
      </c>
      <c r="R190" s="20">
        <f>ROUND(R189 + IF(AND(E190=14, F190&lt;&gt;"ASTM A416"), L190, 0), 3)</f>
        <v/>
      </c>
      <c r="S190" s="20">
        <f>ROUND(S189 + IF(AND(E190=16, F190&lt;&gt;"ASTM A416"), L190, 0), 3)</f>
        <v/>
      </c>
      <c r="T190" s="20">
        <f>ROUND(T189 + IF(AND(E190=18, F190&lt;&gt;"ASTM A416"), L190, 0), 3)</f>
        <v/>
      </c>
      <c r="U190" s="20">
        <f>ROUND(U189 + IF(AND(E190=20, F190&lt;&gt;"ASTM A416"), L190, 0), 3)</f>
        <v/>
      </c>
      <c r="V190" s="20">
        <f>ROUND(V189 + IF(AND(E190=22, F190&lt;&gt;"ASTM A416"), L190, 0), 3)</f>
        <v/>
      </c>
      <c r="W190" s="20">
        <f>ROUND(W189 + IF(AND(E190=25, F190&lt;&gt;"ASTM A416"), L190, 0), 3)</f>
        <v/>
      </c>
      <c r="X190" s="20">
        <f>ROUND(X189 + IF(AND(E190=28, F190&lt;&gt;"ASTM A416"), L190, 0), 3)</f>
        <v/>
      </c>
      <c r="Y190" s="20">
        <f>ROUND(Y189 + IF(AND(E190=32, F190&lt;&gt;"ASTM A416"), L190, 0), 3)</f>
        <v/>
      </c>
      <c r="Z190" s="20">
        <f>ROUND(Z189 + IF(F190="ASTM A416", L190, 0), 3)</f>
        <v/>
      </c>
      <c r="AA190" s="11">
        <f>IF(INT(P190/20)&gt;INT(P189/20), "Lần " &amp; INT(P190/20), "")</f>
        <v/>
      </c>
      <c r="AB190" s="11">
        <f>IF(INT(Q190/20)&gt;INT(Q189/20), "Lần " &amp; INT(Q190/20), "")</f>
        <v/>
      </c>
      <c r="AC190" s="11">
        <f>IF(INT(R190/20)&gt;INT(R189/20), "Lần " &amp; INT(R190/20), "")</f>
        <v/>
      </c>
      <c r="AD190" s="11">
        <f>IF(INT(S190/20)&gt;INT(S189/20), "Lần " &amp; INT(S190/20), "")</f>
        <v/>
      </c>
      <c r="AE190" s="11">
        <f>IF(INT(T190/20)&gt;INT(T189/20), "Lần " &amp; INT(T190/20), "")</f>
        <v/>
      </c>
      <c r="AF190" s="11">
        <f>IF(INT(U190/20)&gt;INT(U189/20), "Lần " &amp; INT(U190/20), "")</f>
        <v/>
      </c>
      <c r="AG190" s="11">
        <f>IF(INT(V190/20)&gt;INT(V189/20), "Lần " &amp; INT(V190/20), "")</f>
        <v/>
      </c>
      <c r="AH190" s="11">
        <f>IF(INT(W190/20)&gt;INT(W189/20), "Lần " &amp; INT(W190/20), "")</f>
        <v/>
      </c>
      <c r="AI190" s="11">
        <f>IF(INT(X190/20)&gt;INT(X189/20), "Lần " &amp; INT(X190/20), "")</f>
        <v/>
      </c>
      <c r="AJ190" s="11">
        <f>IF(INT(Y190/20)&gt;INT(Y189/20), "Lần " &amp; INT(Y190/20), "")</f>
        <v/>
      </c>
      <c r="AK190" s="11">
        <f>IF(INT(Z190/20)&gt;INT(Z189/20), "Lần " &amp; INT(Z190/20), "")</f>
        <v/>
      </c>
      <c r="AL190" s="6" t="inlineStr">
        <is>
          <t>ĐẠT TCVN 1651:2018</t>
        </is>
      </c>
    </row>
    <row r="191" ht="19" customHeight="1">
      <c r="A191" s="6" t="n">
        <v>176</v>
      </c>
      <c r="B191" s="7" t="inlineStr">
        <is>
          <t>Cọc khoan nhồi C1 Trụ T2 (D1.2m, L=30.0m)</t>
        </is>
      </c>
      <c r="C191" s="7" t="inlineStr">
        <is>
          <t>Thanh thép treo lồng cọc</t>
        </is>
      </c>
      <c r="D191" s="18" t="inlineStr">
        <is>
          <t>P11</t>
        </is>
      </c>
      <c r="E191" s="19" t="n">
        <v>16</v>
      </c>
      <c r="F191" s="6" t="inlineStr">
        <is>
          <t>CB400-V</t>
        </is>
      </c>
      <c r="G191" s="7" t="inlineStr">
        <is>
          <t>Thanh treo lồng (bảng phụ tr.70)</t>
        </is>
      </c>
      <c r="H191" s="20" t="n">
        <v>2.604</v>
      </c>
      <c r="I191" s="21" t="n">
        <v>4</v>
      </c>
      <c r="J191" s="22" t="n">
        <v>1.58</v>
      </c>
      <c r="K191" s="9">
        <f>ROUND(H191*I191*J191, 2)</f>
        <v/>
      </c>
      <c r="L191" s="23">
        <f>ROUND(K191/1000, 3)</f>
        <v/>
      </c>
      <c r="M191" s="8" t="n"/>
      <c r="N191" s="6" t="n"/>
      <c r="O191" s="24">
        <f>IF(AND(E191&lt;=10, F191&lt;&gt;"ASTM A416", INT(P191/20)&gt;INT(P190/20)), "TN Ø10 (Lần " &amp; INT(P191/20) &amp; ")", IF(AND(E191=12, INT(Q191/20)&gt;INT(Q190/20)), "TN Ø12 (Lần " &amp; INT(Q191/20) &amp; ")", IF(AND(E191=14, INT(R191/20)&gt;INT(R190/20)), "TN Ø14 (Lần " &amp; INT(R191/20) &amp; ")", IF(AND(E191=16, INT(S191/20)&gt;INT(S190/20)), "TN Ø16 (Lần " &amp; INT(S191/20) &amp; ")", IF(AND(E191=18, INT(T191/20)&gt;INT(T190/20)), "TN Ø18 (Lần " &amp; INT(T191/20) &amp; ")", IF(AND(E191=20, INT(U191/20)&gt;INT(U190/20)), "TN Ø20 (Lần " &amp; INT(U191/20) &amp; ")", IF(AND(E191=22, INT(V191/20)&gt;INT(V190/20)), "TN Ø22 (Lần " &amp; INT(V191/20) &amp; ")", IF(AND(E191=25, INT(W191/20)&gt;INT(W190/20)), "TN Ø25 (Lần " &amp; INT(W191/20) &amp; ")", IF(AND(E191=28, INT(X191/20)&gt;INT(X190/20)), "TN Ø28 (Lần " &amp; INT(X191/20) &amp; ")", IF(AND(E191=32, INT(Y191/20)&gt;INT(Y190/20)), "TN Ø32 (Lần " &amp; INT(Y191/20) &amp; ")", IF(AND(F191="ASTM A416", INT(Z191/20)&gt;INT(Z190/20)), "TN Cáp 15.2 (Lần " &amp; INT(Z191/20) &amp; ")", "")))))))))))</f>
        <v/>
      </c>
      <c r="P191" s="20">
        <f>ROUND(P190 + IF(AND(E191&lt;=10, F191&lt;&gt;"ASTM A416"), L191, 0), 3)</f>
        <v/>
      </c>
      <c r="Q191" s="20">
        <f>ROUND(Q190 + IF(AND(E191=12, F191&lt;&gt;"ASTM A416"), L191, 0), 3)</f>
        <v/>
      </c>
      <c r="R191" s="20">
        <f>ROUND(R190 + IF(AND(E191=14, F191&lt;&gt;"ASTM A416"), L191, 0), 3)</f>
        <v/>
      </c>
      <c r="S191" s="20">
        <f>ROUND(S190 + IF(AND(E191=16, F191&lt;&gt;"ASTM A416"), L191, 0), 3)</f>
        <v/>
      </c>
      <c r="T191" s="20">
        <f>ROUND(T190 + IF(AND(E191=18, F191&lt;&gt;"ASTM A416"), L191, 0), 3)</f>
        <v/>
      </c>
      <c r="U191" s="20">
        <f>ROUND(U190 + IF(AND(E191=20, F191&lt;&gt;"ASTM A416"), L191, 0), 3)</f>
        <v/>
      </c>
      <c r="V191" s="20">
        <f>ROUND(V190 + IF(AND(E191=22, F191&lt;&gt;"ASTM A416"), L191, 0), 3)</f>
        <v/>
      </c>
      <c r="W191" s="20">
        <f>ROUND(W190 + IF(AND(E191=25, F191&lt;&gt;"ASTM A416"), L191, 0), 3)</f>
        <v/>
      </c>
      <c r="X191" s="20">
        <f>ROUND(X190 + IF(AND(E191=28, F191&lt;&gt;"ASTM A416"), L191, 0), 3)</f>
        <v/>
      </c>
      <c r="Y191" s="20">
        <f>ROUND(Y190 + IF(AND(E191=32, F191&lt;&gt;"ASTM A416"), L191, 0), 3)</f>
        <v/>
      </c>
      <c r="Z191" s="20">
        <f>ROUND(Z190 + IF(F191="ASTM A416", L191, 0), 3)</f>
        <v/>
      </c>
      <c r="AA191" s="11">
        <f>IF(INT(P191/20)&gt;INT(P190/20), "Lần " &amp; INT(P191/20), "")</f>
        <v/>
      </c>
      <c r="AB191" s="11">
        <f>IF(INT(Q191/20)&gt;INT(Q190/20), "Lần " &amp; INT(Q191/20), "")</f>
        <v/>
      </c>
      <c r="AC191" s="11">
        <f>IF(INT(R191/20)&gt;INT(R190/20), "Lần " &amp; INT(R191/20), "")</f>
        <v/>
      </c>
      <c r="AD191" s="11">
        <f>IF(INT(S191/20)&gt;INT(S190/20), "Lần " &amp; INT(S191/20), "")</f>
        <v/>
      </c>
      <c r="AE191" s="11">
        <f>IF(INT(T191/20)&gt;INT(T190/20), "Lần " &amp; INT(T191/20), "")</f>
        <v/>
      </c>
      <c r="AF191" s="11">
        <f>IF(INT(U191/20)&gt;INT(U190/20), "Lần " &amp; INT(U191/20), "")</f>
        <v/>
      </c>
      <c r="AG191" s="11">
        <f>IF(INT(V191/20)&gt;INT(V190/20), "Lần " &amp; INT(V191/20), "")</f>
        <v/>
      </c>
      <c r="AH191" s="11">
        <f>IF(INT(W191/20)&gt;INT(W190/20), "Lần " &amp; INT(W191/20), "")</f>
        <v/>
      </c>
      <c r="AI191" s="11">
        <f>IF(INT(X191/20)&gt;INT(X190/20), "Lần " &amp; INT(X191/20), "")</f>
        <v/>
      </c>
      <c r="AJ191" s="11">
        <f>IF(INT(Y191/20)&gt;INT(Y190/20), "Lần " &amp; INT(Y191/20), "")</f>
        <v/>
      </c>
      <c r="AK191" s="11">
        <f>IF(INT(Z191/20)&gt;INT(Z190/20), "Lần " &amp; INT(Z191/20), "")</f>
        <v/>
      </c>
      <c r="AL191" s="6" t="inlineStr">
        <is>
          <t>ĐẠT TCVN 1651:2018</t>
        </is>
      </c>
    </row>
    <row r="192" ht="19" customHeight="1">
      <c r="A192" s="6" t="n">
        <v>177</v>
      </c>
      <c r="B192" s="7" t="inlineStr">
        <is>
          <t>Cọc khoan nhồi C1 Trụ T2 (D1.2m, L=30.0m)</t>
        </is>
      </c>
      <c r="C192" s="7" t="inlineStr">
        <is>
          <t>Thép đai xoắn lồng cọc</t>
        </is>
      </c>
      <c r="D192" s="18" t="inlineStr">
        <is>
          <t>P12</t>
        </is>
      </c>
      <c r="E192" s="19" t="n">
        <v>20</v>
      </c>
      <c r="F192" s="6" t="inlineStr">
        <is>
          <t>CB400-V</t>
        </is>
      </c>
      <c r="G192" s="7" t="inlineStr">
        <is>
          <t>Đai xoắn tròn</t>
        </is>
      </c>
      <c r="H192" s="20" t="n">
        <v>0.583</v>
      </c>
      <c r="I192" s="21" t="n">
        <v>48</v>
      </c>
      <c r="J192" s="22" t="n">
        <v>2.47</v>
      </c>
      <c r="K192" s="9">
        <f>ROUND(H192*I192*J192, 2)</f>
        <v/>
      </c>
      <c r="L192" s="23">
        <f>ROUND(K192/1000, 3)</f>
        <v/>
      </c>
      <c r="M192" s="8" t="n"/>
      <c r="N192" s="6" t="n"/>
      <c r="O192" s="24">
        <f>IF(AND(E192&lt;=10, F192&lt;&gt;"ASTM A416", INT(P192/20)&gt;INT(P191/20)), "TN Ø10 (Lần " &amp; INT(P192/20) &amp; ")", IF(AND(E192=12, INT(Q192/20)&gt;INT(Q191/20)), "TN Ø12 (Lần " &amp; INT(Q192/20) &amp; ")", IF(AND(E192=14, INT(R192/20)&gt;INT(R191/20)), "TN Ø14 (Lần " &amp; INT(R192/20) &amp; ")", IF(AND(E192=16, INT(S192/20)&gt;INT(S191/20)), "TN Ø16 (Lần " &amp; INT(S192/20) &amp; ")", IF(AND(E192=18, INT(T192/20)&gt;INT(T191/20)), "TN Ø18 (Lần " &amp; INT(T192/20) &amp; ")", IF(AND(E192=20, INT(U192/20)&gt;INT(U191/20)), "TN Ø20 (Lần " &amp; INT(U192/20) &amp; ")", IF(AND(E192=22, INT(V192/20)&gt;INT(V191/20)), "TN Ø22 (Lần " &amp; INT(V192/20) &amp; ")", IF(AND(E192=25, INT(W192/20)&gt;INT(W191/20)), "TN Ø25 (Lần " &amp; INT(W192/20) &amp; ")", IF(AND(E192=28, INT(X192/20)&gt;INT(X191/20)), "TN Ø28 (Lần " &amp; INT(X192/20) &amp; ")", IF(AND(E192=32, INT(Y192/20)&gt;INT(Y191/20)), "TN Ø32 (Lần " &amp; INT(Y192/20) &amp; ")", IF(AND(F192="ASTM A416", INT(Z192/20)&gt;INT(Z191/20)), "TN Cáp 15.2 (Lần " &amp; INT(Z192/20) &amp; ")", "")))))))))))</f>
        <v/>
      </c>
      <c r="P192" s="20">
        <f>ROUND(P191 + IF(AND(E192&lt;=10, F192&lt;&gt;"ASTM A416"), L192, 0), 3)</f>
        <v/>
      </c>
      <c r="Q192" s="20">
        <f>ROUND(Q191 + IF(AND(E192=12, F192&lt;&gt;"ASTM A416"), L192, 0), 3)</f>
        <v/>
      </c>
      <c r="R192" s="20">
        <f>ROUND(R191 + IF(AND(E192=14, F192&lt;&gt;"ASTM A416"), L192, 0), 3)</f>
        <v/>
      </c>
      <c r="S192" s="20">
        <f>ROUND(S191 + IF(AND(E192=16, F192&lt;&gt;"ASTM A416"), L192, 0), 3)</f>
        <v/>
      </c>
      <c r="T192" s="20">
        <f>ROUND(T191 + IF(AND(E192=18, F192&lt;&gt;"ASTM A416"), L192, 0), 3)</f>
        <v/>
      </c>
      <c r="U192" s="20">
        <f>ROUND(U191 + IF(AND(E192=20, F192&lt;&gt;"ASTM A416"), L192, 0), 3)</f>
        <v/>
      </c>
      <c r="V192" s="20">
        <f>ROUND(V191 + IF(AND(E192=22, F192&lt;&gt;"ASTM A416"), L192, 0), 3)</f>
        <v/>
      </c>
      <c r="W192" s="20">
        <f>ROUND(W191 + IF(AND(E192=25, F192&lt;&gt;"ASTM A416"), L192, 0), 3)</f>
        <v/>
      </c>
      <c r="X192" s="20">
        <f>ROUND(X191 + IF(AND(E192=28, F192&lt;&gt;"ASTM A416"), L192, 0), 3)</f>
        <v/>
      </c>
      <c r="Y192" s="20">
        <f>ROUND(Y191 + IF(AND(E192=32, F192&lt;&gt;"ASTM A416"), L192, 0), 3)</f>
        <v/>
      </c>
      <c r="Z192" s="20">
        <f>ROUND(Z191 + IF(F192="ASTM A416", L192, 0), 3)</f>
        <v/>
      </c>
      <c r="AA192" s="11">
        <f>IF(INT(P192/20)&gt;INT(P191/20), "Lần " &amp; INT(P192/20), "")</f>
        <v/>
      </c>
      <c r="AB192" s="11">
        <f>IF(INT(Q192/20)&gt;INT(Q191/20), "Lần " &amp; INT(Q192/20), "")</f>
        <v/>
      </c>
      <c r="AC192" s="11">
        <f>IF(INT(R192/20)&gt;INT(R191/20), "Lần " &amp; INT(R192/20), "")</f>
        <v/>
      </c>
      <c r="AD192" s="11">
        <f>IF(INT(S192/20)&gt;INT(S191/20), "Lần " &amp; INT(S192/20), "")</f>
        <v/>
      </c>
      <c r="AE192" s="11">
        <f>IF(INT(T192/20)&gt;INT(T191/20), "Lần " &amp; INT(T192/20), "")</f>
        <v/>
      </c>
      <c r="AF192" s="11">
        <f>IF(INT(U192/20)&gt;INT(U191/20), "Lần " &amp; INT(U192/20), "")</f>
        <v/>
      </c>
      <c r="AG192" s="11">
        <f>IF(INT(V192/20)&gt;INT(V191/20), "Lần " &amp; INT(V192/20), "")</f>
        <v/>
      </c>
      <c r="AH192" s="11">
        <f>IF(INT(W192/20)&gt;INT(W191/20), "Lần " &amp; INT(W192/20), "")</f>
        <v/>
      </c>
      <c r="AI192" s="11">
        <f>IF(INT(X192/20)&gt;INT(X191/20), "Lần " &amp; INT(X192/20), "")</f>
        <v/>
      </c>
      <c r="AJ192" s="11">
        <f>IF(INT(Y192/20)&gt;INT(Y191/20), "Lần " &amp; INT(Y192/20), "")</f>
        <v/>
      </c>
      <c r="AK192" s="11">
        <f>IF(INT(Z192/20)&gt;INT(Z191/20), "Lần " &amp; INT(Z192/20), "")</f>
        <v/>
      </c>
      <c r="AL192" s="6" t="inlineStr">
        <is>
          <t>ĐẠT TCVN 1651:2018</t>
        </is>
      </c>
    </row>
    <row r="193" ht="20" customHeight="1">
      <c r="A193" s="17" t="inlineStr">
        <is>
          <t>--- CỌC KHOAN NHỒI C2 TRỤ T2 (D1.2M, L=30.0M) ---</t>
        </is>
      </c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</row>
    <row r="194" ht="19" customHeight="1">
      <c r="A194" s="6" t="n">
        <v>178</v>
      </c>
      <c r="B194" s="7" t="inlineStr">
        <is>
          <t>Cọc khoan nhồi C2 Trụ T2 (D1.2m, L=30.0m)</t>
        </is>
      </c>
      <c r="C194" s="7" t="inlineStr">
        <is>
          <t>Thép đai xoắn lồng cọc</t>
        </is>
      </c>
      <c r="D194" s="18" t="inlineStr">
        <is>
          <t>P1</t>
        </is>
      </c>
      <c r="E194" s="19" t="n">
        <v>10</v>
      </c>
      <c r="F194" s="6" t="inlineStr">
        <is>
          <t>CB240-T</t>
        </is>
      </c>
      <c r="G194" s="7" t="inlineStr">
        <is>
          <t>Đai xoắn tròn</t>
        </is>
      </c>
      <c r="H194" s="20" t="n">
        <v>96.604</v>
      </c>
      <c r="I194" s="21" t="n">
        <v>1</v>
      </c>
      <c r="J194" s="22" t="n">
        <v>0.617</v>
      </c>
      <c r="K194" s="9">
        <f>ROUND(H194*I194*J194, 2)</f>
        <v/>
      </c>
      <c r="L194" s="23">
        <f>ROUND(K194/1000, 3)</f>
        <v/>
      </c>
      <c r="M194" s="8" t="n"/>
      <c r="N194" s="6" t="n"/>
      <c r="O194" s="24">
        <f>IF(AND(E194&lt;=10, F194&lt;&gt;"ASTM A416", INT(P194/20)&gt;INT(P192/20)), "TN Ø10 (Lần " &amp; INT(P194/20) &amp; ")", IF(AND(E194=12, INT(Q194/20)&gt;INT(Q192/20)), "TN Ø12 (Lần " &amp; INT(Q194/20) &amp; ")", IF(AND(E194=14, INT(R194/20)&gt;INT(R192/20)), "TN Ø14 (Lần " &amp; INT(R194/20) &amp; ")", IF(AND(E194=16, INT(S194/20)&gt;INT(S192/20)), "TN Ø16 (Lần " &amp; INT(S194/20) &amp; ")", IF(AND(E194=18, INT(T194/20)&gt;INT(T192/20)), "TN Ø18 (Lần " &amp; INT(T194/20) &amp; ")", IF(AND(E194=20, INT(U194/20)&gt;INT(U192/20)), "TN Ø20 (Lần " &amp; INT(U194/20) &amp; ")", IF(AND(E194=22, INT(V194/20)&gt;INT(V192/20)), "TN Ø22 (Lần " &amp; INT(V194/20) &amp; ")", IF(AND(E194=25, INT(W194/20)&gt;INT(W192/20)), "TN Ø25 (Lần " &amp; INT(W194/20) &amp; ")", IF(AND(E194=28, INT(X194/20)&gt;INT(X192/20)), "TN Ø28 (Lần " &amp; INT(X194/20) &amp; ")", IF(AND(E194=32, INT(Y194/20)&gt;INT(Y192/20)), "TN Ø32 (Lần " &amp; INT(Y194/20) &amp; ")", IF(AND(F194="ASTM A416", INT(Z194/20)&gt;INT(Z192/20)), "TN Cáp 15.2 (Lần " &amp; INT(Z194/20) &amp; ")", "")))))))))))</f>
        <v/>
      </c>
      <c r="P194" s="20">
        <f>ROUND(P192 + IF(AND(E194&lt;=10, F194&lt;&gt;"ASTM A416"), L194, 0), 3)</f>
        <v/>
      </c>
      <c r="Q194" s="20">
        <f>ROUND(Q192 + IF(AND(E194=12, F194&lt;&gt;"ASTM A416"), L194, 0), 3)</f>
        <v/>
      </c>
      <c r="R194" s="20">
        <f>ROUND(R192 + IF(AND(E194=14, F194&lt;&gt;"ASTM A416"), L194, 0), 3)</f>
        <v/>
      </c>
      <c r="S194" s="20">
        <f>ROUND(S192 + IF(AND(E194=16, F194&lt;&gt;"ASTM A416"), L194, 0), 3)</f>
        <v/>
      </c>
      <c r="T194" s="20">
        <f>ROUND(T192 + IF(AND(E194=18, F194&lt;&gt;"ASTM A416"), L194, 0), 3)</f>
        <v/>
      </c>
      <c r="U194" s="20">
        <f>ROUND(U192 + IF(AND(E194=20, F194&lt;&gt;"ASTM A416"), L194, 0), 3)</f>
        <v/>
      </c>
      <c r="V194" s="20">
        <f>ROUND(V192 + IF(AND(E194=22, F194&lt;&gt;"ASTM A416"), L194, 0), 3)</f>
        <v/>
      </c>
      <c r="W194" s="20">
        <f>ROUND(W192 + IF(AND(E194=25, F194&lt;&gt;"ASTM A416"), L194, 0), 3)</f>
        <v/>
      </c>
      <c r="X194" s="20">
        <f>ROUND(X192 + IF(AND(E194=28, F194&lt;&gt;"ASTM A416"), L194, 0), 3)</f>
        <v/>
      </c>
      <c r="Y194" s="20">
        <f>ROUND(Y192 + IF(AND(E194=32, F194&lt;&gt;"ASTM A416"), L194, 0), 3)</f>
        <v/>
      </c>
      <c r="Z194" s="20">
        <f>ROUND(Z192 + IF(F194="ASTM A416", L194, 0), 3)</f>
        <v/>
      </c>
      <c r="AA194" s="11">
        <f>IF(INT(P194/20)&gt;INT(P192/20), "Lần " &amp; INT(P194/20), "")</f>
        <v/>
      </c>
      <c r="AB194" s="11">
        <f>IF(INT(Q194/20)&gt;INT(Q192/20), "Lần " &amp; INT(Q194/20), "")</f>
        <v/>
      </c>
      <c r="AC194" s="11">
        <f>IF(INT(R194/20)&gt;INT(R192/20), "Lần " &amp; INT(R194/20), "")</f>
        <v/>
      </c>
      <c r="AD194" s="11">
        <f>IF(INT(S194/20)&gt;INT(S192/20), "Lần " &amp; INT(S194/20), "")</f>
        <v/>
      </c>
      <c r="AE194" s="11">
        <f>IF(INT(T194/20)&gt;INT(T192/20), "Lần " &amp; INT(T194/20), "")</f>
        <v/>
      </c>
      <c r="AF194" s="11">
        <f>IF(INT(U194/20)&gt;INT(U192/20), "Lần " &amp; INT(U194/20), "")</f>
        <v/>
      </c>
      <c r="AG194" s="11">
        <f>IF(INT(V194/20)&gt;INT(V192/20), "Lần " &amp; INT(V194/20), "")</f>
        <v/>
      </c>
      <c r="AH194" s="11">
        <f>IF(INT(W194/20)&gt;INT(W192/20), "Lần " &amp; INT(W194/20), "")</f>
        <v/>
      </c>
      <c r="AI194" s="11">
        <f>IF(INT(X194/20)&gt;INT(X192/20), "Lần " &amp; INT(X194/20), "")</f>
        <v/>
      </c>
      <c r="AJ194" s="11">
        <f>IF(INT(Y194/20)&gt;INT(Y192/20), "Lần " &amp; INT(Y194/20), "")</f>
        <v/>
      </c>
      <c r="AK194" s="11">
        <f>IF(INT(Z194/20)&gt;INT(Z192/20), "Lần " &amp; INT(Z194/20), "")</f>
        <v/>
      </c>
      <c r="AL194" s="6" t="inlineStr">
        <is>
          <t>ĐẠT TCVN 1651:2018</t>
        </is>
      </c>
    </row>
    <row r="195" ht="19" customHeight="1">
      <c r="A195" s="6" t="n">
        <v>179</v>
      </c>
      <c r="B195" s="7" t="inlineStr">
        <is>
          <t>Cọc khoan nhồi C2 Trụ T2 (D1.2m, L=30.0m)</t>
        </is>
      </c>
      <c r="C195" s="7" t="inlineStr">
        <is>
          <t>Thép đai xoắn lồng cọc</t>
        </is>
      </c>
      <c r="D195" s="18" t="inlineStr">
        <is>
          <t>P1A</t>
        </is>
      </c>
      <c r="E195" s="19" t="n">
        <v>10</v>
      </c>
      <c r="F195" s="6" t="inlineStr">
        <is>
          <t>CB240-T</t>
        </is>
      </c>
      <c r="G195" s="7" t="inlineStr">
        <is>
          <t>Đai xoắn tròn</t>
        </is>
      </c>
      <c r="H195" s="20" t="n">
        <v>389.636</v>
      </c>
      <c r="I195" s="21" t="n">
        <v>1</v>
      </c>
      <c r="J195" s="22" t="n">
        <v>0.617</v>
      </c>
      <c r="K195" s="9">
        <f>ROUND(H195*I195*J195, 2)</f>
        <v/>
      </c>
      <c r="L195" s="23">
        <f>ROUND(K195/1000, 3)</f>
        <v/>
      </c>
      <c r="M195" s="8" t="n"/>
      <c r="N195" s="6" t="n"/>
      <c r="O195" s="24">
        <f>IF(AND(E195&lt;=10, F195&lt;&gt;"ASTM A416", INT(P195/20)&gt;INT(P194/20)), "TN Ø10 (Lần " &amp; INT(P195/20) &amp; ")", IF(AND(E195=12, INT(Q195/20)&gt;INT(Q194/20)), "TN Ø12 (Lần " &amp; INT(Q195/20) &amp; ")", IF(AND(E195=14, INT(R195/20)&gt;INT(R194/20)), "TN Ø14 (Lần " &amp; INT(R195/20) &amp; ")", IF(AND(E195=16, INT(S195/20)&gt;INT(S194/20)), "TN Ø16 (Lần " &amp; INT(S195/20) &amp; ")", IF(AND(E195=18, INT(T195/20)&gt;INT(T194/20)), "TN Ø18 (Lần " &amp; INT(T195/20) &amp; ")", IF(AND(E195=20, INT(U195/20)&gt;INT(U194/20)), "TN Ø20 (Lần " &amp; INT(U195/20) &amp; ")", IF(AND(E195=22, INT(V195/20)&gt;INT(V194/20)), "TN Ø22 (Lần " &amp; INT(V195/20) &amp; ")", IF(AND(E195=25, INT(W195/20)&gt;INT(W194/20)), "TN Ø25 (Lần " &amp; INT(W195/20) &amp; ")", IF(AND(E195=28, INT(X195/20)&gt;INT(X194/20)), "TN Ø28 (Lần " &amp; INT(X195/20) &amp; ")", IF(AND(E195=32, INT(Y195/20)&gt;INT(Y194/20)), "TN Ø32 (Lần " &amp; INT(Y195/20) &amp; ")", IF(AND(F195="ASTM A416", INT(Z195/20)&gt;INT(Z194/20)), "TN Cáp 15.2 (Lần " &amp; INT(Z195/20) &amp; ")", "")))))))))))</f>
        <v/>
      </c>
      <c r="P195" s="20">
        <f>ROUND(P194 + IF(AND(E195&lt;=10, F195&lt;&gt;"ASTM A416"), L195, 0), 3)</f>
        <v/>
      </c>
      <c r="Q195" s="20">
        <f>ROUND(Q194 + IF(AND(E195=12, F195&lt;&gt;"ASTM A416"), L195, 0), 3)</f>
        <v/>
      </c>
      <c r="R195" s="20">
        <f>ROUND(R194 + IF(AND(E195=14, F195&lt;&gt;"ASTM A416"), L195, 0), 3)</f>
        <v/>
      </c>
      <c r="S195" s="20">
        <f>ROUND(S194 + IF(AND(E195=16, F195&lt;&gt;"ASTM A416"), L195, 0), 3)</f>
        <v/>
      </c>
      <c r="T195" s="20">
        <f>ROUND(T194 + IF(AND(E195=18, F195&lt;&gt;"ASTM A416"), L195, 0), 3)</f>
        <v/>
      </c>
      <c r="U195" s="20">
        <f>ROUND(U194 + IF(AND(E195=20, F195&lt;&gt;"ASTM A416"), L195, 0), 3)</f>
        <v/>
      </c>
      <c r="V195" s="20">
        <f>ROUND(V194 + IF(AND(E195=22, F195&lt;&gt;"ASTM A416"), L195, 0), 3)</f>
        <v/>
      </c>
      <c r="W195" s="20">
        <f>ROUND(W194 + IF(AND(E195=25, F195&lt;&gt;"ASTM A416"), L195, 0), 3)</f>
        <v/>
      </c>
      <c r="X195" s="20">
        <f>ROUND(X194 + IF(AND(E195=28, F195&lt;&gt;"ASTM A416"), L195, 0), 3)</f>
        <v/>
      </c>
      <c r="Y195" s="20">
        <f>ROUND(Y194 + IF(AND(E195=32, F195&lt;&gt;"ASTM A416"), L195, 0), 3)</f>
        <v/>
      </c>
      <c r="Z195" s="20">
        <f>ROUND(Z194 + IF(F195="ASTM A416", L195, 0), 3)</f>
        <v/>
      </c>
      <c r="AA195" s="11">
        <f>IF(INT(P195/20)&gt;INT(P194/20), "Lần " &amp; INT(P195/20), "")</f>
        <v/>
      </c>
      <c r="AB195" s="11">
        <f>IF(INT(Q195/20)&gt;INT(Q194/20), "Lần " &amp; INT(Q195/20), "")</f>
        <v/>
      </c>
      <c r="AC195" s="11">
        <f>IF(INT(R195/20)&gt;INT(R194/20), "Lần " &amp; INT(R195/20), "")</f>
        <v/>
      </c>
      <c r="AD195" s="11">
        <f>IF(INT(S195/20)&gt;INT(S194/20), "Lần " &amp; INT(S195/20), "")</f>
        <v/>
      </c>
      <c r="AE195" s="11">
        <f>IF(INT(T195/20)&gt;INT(T194/20), "Lần " &amp; INT(T195/20), "")</f>
        <v/>
      </c>
      <c r="AF195" s="11">
        <f>IF(INT(U195/20)&gt;INT(U194/20), "Lần " &amp; INT(U195/20), "")</f>
        <v/>
      </c>
      <c r="AG195" s="11">
        <f>IF(INT(V195/20)&gt;INT(V194/20), "Lần " &amp; INT(V195/20), "")</f>
        <v/>
      </c>
      <c r="AH195" s="11">
        <f>IF(INT(W195/20)&gt;INT(W194/20), "Lần " &amp; INT(W195/20), "")</f>
        <v/>
      </c>
      <c r="AI195" s="11">
        <f>IF(INT(X195/20)&gt;INT(X194/20), "Lần " &amp; INT(X195/20), "")</f>
        <v/>
      </c>
      <c r="AJ195" s="11">
        <f>IF(INT(Y195/20)&gt;INT(Y194/20), "Lần " &amp; INT(Y195/20), "")</f>
        <v/>
      </c>
      <c r="AK195" s="11">
        <f>IF(INT(Z195/20)&gt;INT(Z194/20), "Lần " &amp; INT(Z195/20), "")</f>
        <v/>
      </c>
      <c r="AL195" s="6" t="inlineStr">
        <is>
          <t>ĐẠT TCVN 1651:2018</t>
        </is>
      </c>
    </row>
    <row r="196" ht="19" customHeight="1">
      <c r="A196" s="6" t="n">
        <v>180</v>
      </c>
      <c r="B196" s="7" t="inlineStr">
        <is>
          <t>Cọc khoan nhồi C2 Trụ T2 (D1.2m, L=30.0m)</t>
        </is>
      </c>
      <c r="C196" s="7" t="inlineStr">
        <is>
          <t>Thép đai xoắn lồng cọc</t>
        </is>
      </c>
      <c r="D196" s="18" t="inlineStr">
        <is>
          <t>P1B</t>
        </is>
      </c>
      <c r="E196" s="19" t="n">
        <v>10</v>
      </c>
      <c r="F196" s="6" t="inlineStr">
        <is>
          <t>CB240-T</t>
        </is>
      </c>
      <c r="G196" s="7" t="inlineStr">
        <is>
          <t>Đai xoắn tròn</t>
        </is>
      </c>
      <c r="H196" s="20" t="n">
        <v>100.256</v>
      </c>
      <c r="I196" s="21" t="n">
        <v>1</v>
      </c>
      <c r="J196" s="22" t="n">
        <v>0.617</v>
      </c>
      <c r="K196" s="9">
        <f>ROUND(H196*I196*J196, 2)</f>
        <v/>
      </c>
      <c r="L196" s="23">
        <f>ROUND(K196/1000, 3)</f>
        <v/>
      </c>
      <c r="M196" s="8" t="n"/>
      <c r="N196" s="6" t="n"/>
      <c r="O196" s="24">
        <f>IF(AND(E196&lt;=10, F196&lt;&gt;"ASTM A416", INT(P196/20)&gt;INT(P195/20)), "TN Ø10 (Lần " &amp; INT(P196/20) &amp; ")", IF(AND(E196=12, INT(Q196/20)&gt;INT(Q195/20)), "TN Ø12 (Lần " &amp; INT(Q196/20) &amp; ")", IF(AND(E196=14, INT(R196/20)&gt;INT(R195/20)), "TN Ø14 (Lần " &amp; INT(R196/20) &amp; ")", IF(AND(E196=16, INT(S196/20)&gt;INT(S195/20)), "TN Ø16 (Lần " &amp; INT(S196/20) &amp; ")", IF(AND(E196=18, INT(T196/20)&gt;INT(T195/20)), "TN Ø18 (Lần " &amp; INT(T196/20) &amp; ")", IF(AND(E196=20, INT(U196/20)&gt;INT(U195/20)), "TN Ø20 (Lần " &amp; INT(U196/20) &amp; ")", IF(AND(E196=22, INT(V196/20)&gt;INT(V195/20)), "TN Ø22 (Lần " &amp; INT(V196/20) &amp; ")", IF(AND(E196=25, INT(W196/20)&gt;INT(W195/20)), "TN Ø25 (Lần " &amp; INT(W196/20) &amp; ")", IF(AND(E196=28, INT(X196/20)&gt;INT(X195/20)), "TN Ø28 (Lần " &amp; INT(X196/20) &amp; ")", IF(AND(E196=32, INT(Y196/20)&gt;INT(Y195/20)), "TN Ø32 (Lần " &amp; INT(Y196/20) &amp; ")", IF(AND(F196="ASTM A416", INT(Z196/20)&gt;INT(Z195/20)), "TN Cáp 15.2 (Lần " &amp; INT(Z196/20) &amp; ")", "")))))))))))</f>
        <v/>
      </c>
      <c r="P196" s="20">
        <f>ROUND(P195 + IF(AND(E196&lt;=10, F196&lt;&gt;"ASTM A416"), L196, 0), 3)</f>
        <v/>
      </c>
      <c r="Q196" s="20">
        <f>ROUND(Q195 + IF(AND(E196=12, F196&lt;&gt;"ASTM A416"), L196, 0), 3)</f>
        <v/>
      </c>
      <c r="R196" s="20">
        <f>ROUND(R195 + IF(AND(E196=14, F196&lt;&gt;"ASTM A416"), L196, 0), 3)</f>
        <v/>
      </c>
      <c r="S196" s="20">
        <f>ROUND(S195 + IF(AND(E196=16, F196&lt;&gt;"ASTM A416"), L196, 0), 3)</f>
        <v/>
      </c>
      <c r="T196" s="20">
        <f>ROUND(T195 + IF(AND(E196=18, F196&lt;&gt;"ASTM A416"), L196, 0), 3)</f>
        <v/>
      </c>
      <c r="U196" s="20">
        <f>ROUND(U195 + IF(AND(E196=20, F196&lt;&gt;"ASTM A416"), L196, 0), 3)</f>
        <v/>
      </c>
      <c r="V196" s="20">
        <f>ROUND(V195 + IF(AND(E196=22, F196&lt;&gt;"ASTM A416"), L196, 0), 3)</f>
        <v/>
      </c>
      <c r="W196" s="20">
        <f>ROUND(W195 + IF(AND(E196=25, F196&lt;&gt;"ASTM A416"), L196, 0), 3)</f>
        <v/>
      </c>
      <c r="X196" s="20">
        <f>ROUND(X195 + IF(AND(E196=28, F196&lt;&gt;"ASTM A416"), L196, 0), 3)</f>
        <v/>
      </c>
      <c r="Y196" s="20">
        <f>ROUND(Y195 + IF(AND(E196=32, F196&lt;&gt;"ASTM A416"), L196, 0), 3)</f>
        <v/>
      </c>
      <c r="Z196" s="20">
        <f>ROUND(Z195 + IF(F196="ASTM A416", L196, 0), 3)</f>
        <v/>
      </c>
      <c r="AA196" s="11">
        <f>IF(INT(P196/20)&gt;INT(P195/20), "Lần " &amp; INT(P196/20), "")</f>
        <v/>
      </c>
      <c r="AB196" s="11">
        <f>IF(INT(Q196/20)&gt;INT(Q195/20), "Lần " &amp; INT(Q196/20), "")</f>
        <v/>
      </c>
      <c r="AC196" s="11">
        <f>IF(INT(R196/20)&gt;INT(R195/20), "Lần " &amp; INT(R196/20), "")</f>
        <v/>
      </c>
      <c r="AD196" s="11">
        <f>IF(INT(S196/20)&gt;INT(S195/20), "Lần " &amp; INT(S196/20), "")</f>
        <v/>
      </c>
      <c r="AE196" s="11">
        <f>IF(INT(T196/20)&gt;INT(T195/20), "Lần " &amp; INT(T196/20), "")</f>
        <v/>
      </c>
      <c r="AF196" s="11">
        <f>IF(INT(U196/20)&gt;INT(U195/20), "Lần " &amp; INT(U196/20), "")</f>
        <v/>
      </c>
      <c r="AG196" s="11">
        <f>IF(INT(V196/20)&gt;INT(V195/20), "Lần " &amp; INT(V196/20), "")</f>
        <v/>
      </c>
      <c r="AH196" s="11">
        <f>IF(INT(W196/20)&gt;INT(W195/20), "Lần " &amp; INT(W196/20), "")</f>
        <v/>
      </c>
      <c r="AI196" s="11">
        <f>IF(INT(X196/20)&gt;INT(X195/20), "Lần " &amp; INT(X196/20), "")</f>
        <v/>
      </c>
      <c r="AJ196" s="11">
        <f>IF(INT(Y196/20)&gt;INT(Y195/20), "Lần " &amp; INT(Y196/20), "")</f>
        <v/>
      </c>
      <c r="AK196" s="11">
        <f>IF(INT(Z196/20)&gt;INT(Z195/20), "Lần " &amp; INT(Z196/20), "")</f>
        <v/>
      </c>
      <c r="AL196" s="6" t="inlineStr">
        <is>
          <t>ĐẠT TCVN 1651:2018</t>
        </is>
      </c>
    </row>
    <row r="197" ht="19" customHeight="1">
      <c r="A197" s="6" t="n">
        <v>181</v>
      </c>
      <c r="B197" s="7" t="inlineStr">
        <is>
          <t>Cọc khoan nhồi C2 Trụ T2 (D1.2m, L=30.0m)</t>
        </is>
      </c>
      <c r="C197" s="7" t="inlineStr">
        <is>
          <t>Thép đai xoắn lồng cọc</t>
        </is>
      </c>
      <c r="D197" s="18" t="inlineStr">
        <is>
          <t>P1C</t>
        </is>
      </c>
      <c r="E197" s="19" t="n">
        <v>10</v>
      </c>
      <c r="F197" s="6" t="inlineStr">
        <is>
          <t>CB240-T</t>
        </is>
      </c>
      <c r="G197" s="7" t="inlineStr">
        <is>
          <t>Đai xoắn tròn</t>
        </is>
      </c>
      <c r="H197" s="20" t="n">
        <v>3.592</v>
      </c>
      <c r="I197" s="21" t="n">
        <v>2</v>
      </c>
      <c r="J197" s="22" t="n">
        <v>0.617</v>
      </c>
      <c r="K197" s="9">
        <f>ROUND(H197*I197*J197, 2)</f>
        <v/>
      </c>
      <c r="L197" s="23">
        <f>ROUND(K197/1000, 3)</f>
        <v/>
      </c>
      <c r="M197" s="8" t="n"/>
      <c r="N197" s="6" t="n"/>
      <c r="O197" s="24">
        <f>IF(AND(E197&lt;=10, F197&lt;&gt;"ASTM A416", INT(P197/20)&gt;INT(P196/20)), "TN Ø10 (Lần " &amp; INT(P197/20) &amp; ")", IF(AND(E197=12, INT(Q197/20)&gt;INT(Q196/20)), "TN Ø12 (Lần " &amp; INT(Q197/20) &amp; ")", IF(AND(E197=14, INT(R197/20)&gt;INT(R196/20)), "TN Ø14 (Lần " &amp; INT(R197/20) &amp; ")", IF(AND(E197=16, INT(S197/20)&gt;INT(S196/20)), "TN Ø16 (Lần " &amp; INT(S197/20) &amp; ")", IF(AND(E197=18, INT(T197/20)&gt;INT(T196/20)), "TN Ø18 (Lần " &amp; INT(T197/20) &amp; ")", IF(AND(E197=20, INT(U197/20)&gt;INT(U196/20)), "TN Ø20 (Lần " &amp; INT(U197/20) &amp; ")", IF(AND(E197=22, INT(V197/20)&gt;INT(V196/20)), "TN Ø22 (Lần " &amp; INT(V197/20) &amp; ")", IF(AND(E197=25, INT(W197/20)&gt;INT(W196/20)), "TN Ø25 (Lần " &amp; INT(W197/20) &amp; ")", IF(AND(E197=28, INT(X197/20)&gt;INT(X196/20)), "TN Ø28 (Lần " &amp; INT(X197/20) &amp; ")", IF(AND(E197=32, INT(Y197/20)&gt;INT(Y196/20)), "TN Ø32 (Lần " &amp; INT(Y197/20) &amp; ")", IF(AND(F197="ASTM A416", INT(Z197/20)&gt;INT(Z196/20)), "TN Cáp 15.2 (Lần " &amp; INT(Z197/20) &amp; ")", "")))))))))))</f>
        <v/>
      </c>
      <c r="P197" s="20">
        <f>ROUND(P196 + IF(AND(E197&lt;=10, F197&lt;&gt;"ASTM A416"), L197, 0), 3)</f>
        <v/>
      </c>
      <c r="Q197" s="20">
        <f>ROUND(Q196 + IF(AND(E197=12, F197&lt;&gt;"ASTM A416"), L197, 0), 3)</f>
        <v/>
      </c>
      <c r="R197" s="20">
        <f>ROUND(R196 + IF(AND(E197=14, F197&lt;&gt;"ASTM A416"), L197, 0), 3)</f>
        <v/>
      </c>
      <c r="S197" s="20">
        <f>ROUND(S196 + IF(AND(E197=16, F197&lt;&gt;"ASTM A416"), L197, 0), 3)</f>
        <v/>
      </c>
      <c r="T197" s="20">
        <f>ROUND(T196 + IF(AND(E197=18, F197&lt;&gt;"ASTM A416"), L197, 0), 3)</f>
        <v/>
      </c>
      <c r="U197" s="20">
        <f>ROUND(U196 + IF(AND(E197=20, F197&lt;&gt;"ASTM A416"), L197, 0), 3)</f>
        <v/>
      </c>
      <c r="V197" s="20">
        <f>ROUND(V196 + IF(AND(E197=22, F197&lt;&gt;"ASTM A416"), L197, 0), 3)</f>
        <v/>
      </c>
      <c r="W197" s="20">
        <f>ROUND(W196 + IF(AND(E197=25, F197&lt;&gt;"ASTM A416"), L197, 0), 3)</f>
        <v/>
      </c>
      <c r="X197" s="20">
        <f>ROUND(X196 + IF(AND(E197=28, F197&lt;&gt;"ASTM A416"), L197, 0), 3)</f>
        <v/>
      </c>
      <c r="Y197" s="20">
        <f>ROUND(Y196 + IF(AND(E197=32, F197&lt;&gt;"ASTM A416"), L197, 0), 3)</f>
        <v/>
      </c>
      <c r="Z197" s="20">
        <f>ROUND(Z196 + IF(F197="ASTM A416", L197, 0), 3)</f>
        <v/>
      </c>
      <c r="AA197" s="11">
        <f>IF(INT(P197/20)&gt;INT(P196/20), "Lần " &amp; INT(P197/20), "")</f>
        <v/>
      </c>
      <c r="AB197" s="11">
        <f>IF(INT(Q197/20)&gt;INT(Q196/20), "Lần " &amp; INT(Q197/20), "")</f>
        <v/>
      </c>
      <c r="AC197" s="11">
        <f>IF(INT(R197/20)&gt;INT(R196/20), "Lần " &amp; INT(R197/20), "")</f>
        <v/>
      </c>
      <c r="AD197" s="11">
        <f>IF(INT(S197/20)&gt;INT(S196/20), "Lần " &amp; INT(S197/20), "")</f>
        <v/>
      </c>
      <c r="AE197" s="11">
        <f>IF(INT(T197/20)&gt;INT(T196/20), "Lần " &amp; INT(T197/20), "")</f>
        <v/>
      </c>
      <c r="AF197" s="11">
        <f>IF(INT(U197/20)&gt;INT(U196/20), "Lần " &amp; INT(U197/20), "")</f>
        <v/>
      </c>
      <c r="AG197" s="11">
        <f>IF(INT(V197/20)&gt;INT(V196/20), "Lần " &amp; INT(V197/20), "")</f>
        <v/>
      </c>
      <c r="AH197" s="11">
        <f>IF(INT(W197/20)&gt;INT(W196/20), "Lần " &amp; INT(W197/20), "")</f>
        <v/>
      </c>
      <c r="AI197" s="11">
        <f>IF(INT(X197/20)&gt;INT(X196/20), "Lần " &amp; INT(X197/20), "")</f>
        <v/>
      </c>
      <c r="AJ197" s="11">
        <f>IF(INT(Y197/20)&gt;INT(Y196/20), "Lần " &amp; INT(Y197/20), "")</f>
        <v/>
      </c>
      <c r="AK197" s="11">
        <f>IF(INT(Z197/20)&gt;INT(Z196/20), "Lần " &amp; INT(Z197/20), "")</f>
        <v/>
      </c>
      <c r="AL197" s="6" t="inlineStr">
        <is>
          <t>ĐẠT TCVN 1651:2018</t>
        </is>
      </c>
    </row>
    <row r="198" ht="19" customHeight="1">
      <c r="A198" s="6" t="n">
        <v>182</v>
      </c>
      <c r="B198" s="7" t="inlineStr">
        <is>
          <t>Cọc khoan nhồi C2 Trụ T2 (D1.2m, L=30.0m)</t>
        </is>
      </c>
      <c r="C198" s="7" t="inlineStr">
        <is>
          <t>Thép đai xoắn lồng cọc</t>
        </is>
      </c>
      <c r="D198" s="18" t="inlineStr">
        <is>
          <t>P1D</t>
        </is>
      </c>
      <c r="E198" s="19" t="n">
        <v>10</v>
      </c>
      <c r="F198" s="6" t="inlineStr">
        <is>
          <t>CB240-T</t>
        </is>
      </c>
      <c r="G198" s="7" t="inlineStr">
        <is>
          <t>Đai xoắn tròn</t>
        </is>
      </c>
      <c r="H198" s="20" t="n">
        <v>19.721</v>
      </c>
      <c r="I198" s="21" t="n">
        <v>1</v>
      </c>
      <c r="J198" s="22" t="n">
        <v>0.617</v>
      </c>
      <c r="K198" s="9">
        <f>ROUND(H198*I198*J198, 2)</f>
        <v/>
      </c>
      <c r="L198" s="23">
        <f>ROUND(K198/1000, 3)</f>
        <v/>
      </c>
      <c r="M198" s="8" t="n"/>
      <c r="N198" s="6" t="n"/>
      <c r="O198" s="24">
        <f>IF(AND(E198&lt;=10, F198&lt;&gt;"ASTM A416", INT(P198/20)&gt;INT(P197/20)), "TN Ø10 (Lần " &amp; INT(P198/20) &amp; ")", IF(AND(E198=12, INT(Q198/20)&gt;INT(Q197/20)), "TN Ø12 (Lần " &amp; INT(Q198/20) &amp; ")", IF(AND(E198=14, INT(R198/20)&gt;INT(R197/20)), "TN Ø14 (Lần " &amp; INT(R198/20) &amp; ")", IF(AND(E198=16, INT(S198/20)&gt;INT(S197/20)), "TN Ø16 (Lần " &amp; INT(S198/20) &amp; ")", IF(AND(E198=18, INT(T198/20)&gt;INT(T197/20)), "TN Ø18 (Lần " &amp; INT(T198/20) &amp; ")", IF(AND(E198=20, INT(U198/20)&gt;INT(U197/20)), "TN Ø20 (Lần " &amp; INT(U198/20) &amp; ")", IF(AND(E198=22, INT(V198/20)&gt;INT(V197/20)), "TN Ø22 (Lần " &amp; INT(V198/20) &amp; ")", IF(AND(E198=25, INT(W198/20)&gt;INT(W197/20)), "TN Ø25 (Lần " &amp; INT(W198/20) &amp; ")", IF(AND(E198=28, INT(X198/20)&gt;INT(X197/20)), "TN Ø28 (Lần " &amp; INT(X198/20) &amp; ")", IF(AND(E198=32, INT(Y198/20)&gt;INT(Y197/20)), "TN Ø32 (Lần " &amp; INT(Y198/20) &amp; ")", IF(AND(F198="ASTM A416", INT(Z198/20)&gt;INT(Z197/20)), "TN Cáp 15.2 (Lần " &amp; INT(Z198/20) &amp; ")", "")))))))))))</f>
        <v/>
      </c>
      <c r="P198" s="20">
        <f>ROUND(P197 + IF(AND(E198&lt;=10, F198&lt;&gt;"ASTM A416"), L198, 0), 3)</f>
        <v/>
      </c>
      <c r="Q198" s="20">
        <f>ROUND(Q197 + IF(AND(E198=12, F198&lt;&gt;"ASTM A416"), L198, 0), 3)</f>
        <v/>
      </c>
      <c r="R198" s="20">
        <f>ROUND(R197 + IF(AND(E198=14, F198&lt;&gt;"ASTM A416"), L198, 0), 3)</f>
        <v/>
      </c>
      <c r="S198" s="20">
        <f>ROUND(S197 + IF(AND(E198=16, F198&lt;&gt;"ASTM A416"), L198, 0), 3)</f>
        <v/>
      </c>
      <c r="T198" s="20">
        <f>ROUND(T197 + IF(AND(E198=18, F198&lt;&gt;"ASTM A416"), L198, 0), 3)</f>
        <v/>
      </c>
      <c r="U198" s="20">
        <f>ROUND(U197 + IF(AND(E198=20, F198&lt;&gt;"ASTM A416"), L198, 0), 3)</f>
        <v/>
      </c>
      <c r="V198" s="20">
        <f>ROUND(V197 + IF(AND(E198=22, F198&lt;&gt;"ASTM A416"), L198, 0), 3)</f>
        <v/>
      </c>
      <c r="W198" s="20">
        <f>ROUND(W197 + IF(AND(E198=25, F198&lt;&gt;"ASTM A416"), L198, 0), 3)</f>
        <v/>
      </c>
      <c r="X198" s="20">
        <f>ROUND(X197 + IF(AND(E198=28, F198&lt;&gt;"ASTM A416"), L198, 0), 3)</f>
        <v/>
      </c>
      <c r="Y198" s="20">
        <f>ROUND(Y197 + IF(AND(E198=32, F198&lt;&gt;"ASTM A416"), L198, 0), 3)</f>
        <v/>
      </c>
      <c r="Z198" s="20">
        <f>ROUND(Z197 + IF(F198="ASTM A416", L198, 0), 3)</f>
        <v/>
      </c>
      <c r="AA198" s="11">
        <f>IF(INT(P198/20)&gt;INT(P197/20), "Lần " &amp; INT(P198/20), "")</f>
        <v/>
      </c>
      <c r="AB198" s="11">
        <f>IF(INT(Q198/20)&gt;INT(Q197/20), "Lần " &amp; INT(Q198/20), "")</f>
        <v/>
      </c>
      <c r="AC198" s="11">
        <f>IF(INT(R198/20)&gt;INT(R197/20), "Lần " &amp; INT(R198/20), "")</f>
        <v/>
      </c>
      <c r="AD198" s="11">
        <f>IF(INT(S198/20)&gt;INT(S197/20), "Lần " &amp; INT(S198/20), "")</f>
        <v/>
      </c>
      <c r="AE198" s="11">
        <f>IF(INT(T198/20)&gt;INT(T197/20), "Lần " &amp; INT(T198/20), "")</f>
        <v/>
      </c>
      <c r="AF198" s="11">
        <f>IF(INT(U198/20)&gt;INT(U197/20), "Lần " &amp; INT(U198/20), "")</f>
        <v/>
      </c>
      <c r="AG198" s="11">
        <f>IF(INT(V198/20)&gt;INT(V197/20), "Lần " &amp; INT(V198/20), "")</f>
        <v/>
      </c>
      <c r="AH198" s="11">
        <f>IF(INT(W198/20)&gt;INT(W197/20), "Lần " &amp; INT(W198/20), "")</f>
        <v/>
      </c>
      <c r="AI198" s="11">
        <f>IF(INT(X198/20)&gt;INT(X197/20), "Lần " &amp; INT(X198/20), "")</f>
        <v/>
      </c>
      <c r="AJ198" s="11">
        <f>IF(INT(Y198/20)&gt;INT(Y197/20), "Lần " &amp; INT(Y198/20), "")</f>
        <v/>
      </c>
      <c r="AK198" s="11">
        <f>IF(INT(Z198/20)&gt;INT(Z197/20), "Lần " &amp; INT(Z198/20), "")</f>
        <v/>
      </c>
      <c r="AL198" s="6" t="inlineStr">
        <is>
          <t>ĐẠT TCVN 1651:2018</t>
        </is>
      </c>
    </row>
    <row r="199" ht="19" customHeight="1">
      <c r="A199" s="6" t="n">
        <v>183</v>
      </c>
      <c r="B199" s="7" t="inlineStr">
        <is>
          <t>Cọc khoan nhồi C2 Trụ T2 (D1.2m, L=30.0m)</t>
        </is>
      </c>
      <c r="C199" s="7" t="inlineStr">
        <is>
          <t>Cốt thép chủ chịu lực cọc</t>
        </is>
      </c>
      <c r="D199" s="18" t="inlineStr">
        <is>
          <t>P2B</t>
        </is>
      </c>
      <c r="E199" s="19" t="n">
        <v>25</v>
      </c>
      <c r="F199" s="6" t="inlineStr">
        <is>
          <t>CB400-V</t>
        </is>
      </c>
      <c r="G199" s="7" t="inlineStr">
        <is>
          <t>Thanh thẳng nối ren/hàn</t>
        </is>
      </c>
      <c r="H199" s="20" t="n">
        <v>2.985</v>
      </c>
      <c r="I199" s="21" t="n">
        <v>12</v>
      </c>
      <c r="J199" s="22" t="n">
        <v>3.85</v>
      </c>
      <c r="K199" s="9">
        <f>ROUND(H199*I199*J199, 2)</f>
        <v/>
      </c>
      <c r="L199" s="23">
        <f>ROUND(K199/1000, 3)</f>
        <v/>
      </c>
      <c r="M199" s="8" t="n"/>
      <c r="N199" s="6" t="n"/>
      <c r="O199" s="24">
        <f>IF(AND(E199&lt;=10, F199&lt;&gt;"ASTM A416", INT(P199/20)&gt;INT(P198/20)), "TN Ø10 (Lần " &amp; INT(P199/20) &amp; ")", IF(AND(E199=12, INT(Q199/20)&gt;INT(Q198/20)), "TN Ø12 (Lần " &amp; INT(Q199/20) &amp; ")", IF(AND(E199=14, INT(R199/20)&gt;INT(R198/20)), "TN Ø14 (Lần " &amp; INT(R199/20) &amp; ")", IF(AND(E199=16, INT(S199/20)&gt;INT(S198/20)), "TN Ø16 (Lần " &amp; INT(S199/20) &amp; ")", IF(AND(E199=18, INT(T199/20)&gt;INT(T198/20)), "TN Ø18 (Lần " &amp; INT(T199/20) &amp; ")", IF(AND(E199=20, INT(U199/20)&gt;INT(U198/20)), "TN Ø20 (Lần " &amp; INT(U199/20) &amp; ")", IF(AND(E199=22, INT(V199/20)&gt;INT(V198/20)), "TN Ø22 (Lần " &amp; INT(V199/20) &amp; ")", IF(AND(E199=25, INT(W199/20)&gt;INT(W198/20)), "TN Ø25 (Lần " &amp; INT(W199/20) &amp; ")", IF(AND(E199=28, INT(X199/20)&gt;INT(X198/20)), "TN Ø28 (Lần " &amp; INT(X199/20) &amp; ")", IF(AND(E199=32, INT(Y199/20)&gt;INT(Y198/20)), "TN Ø32 (Lần " &amp; INT(Y199/20) &amp; ")", IF(AND(F199="ASTM A416", INT(Z199/20)&gt;INT(Z198/20)), "TN Cáp 15.2 (Lần " &amp; INT(Z199/20) &amp; ")", "")))))))))))</f>
        <v/>
      </c>
      <c r="P199" s="20">
        <f>ROUND(P198 + IF(AND(E199&lt;=10, F199&lt;&gt;"ASTM A416"), L199, 0), 3)</f>
        <v/>
      </c>
      <c r="Q199" s="20">
        <f>ROUND(Q198 + IF(AND(E199=12, F199&lt;&gt;"ASTM A416"), L199, 0), 3)</f>
        <v/>
      </c>
      <c r="R199" s="20">
        <f>ROUND(R198 + IF(AND(E199=14, F199&lt;&gt;"ASTM A416"), L199, 0), 3)</f>
        <v/>
      </c>
      <c r="S199" s="20">
        <f>ROUND(S198 + IF(AND(E199=16, F199&lt;&gt;"ASTM A416"), L199, 0), 3)</f>
        <v/>
      </c>
      <c r="T199" s="20">
        <f>ROUND(T198 + IF(AND(E199=18, F199&lt;&gt;"ASTM A416"), L199, 0), 3)</f>
        <v/>
      </c>
      <c r="U199" s="20">
        <f>ROUND(U198 + IF(AND(E199=20, F199&lt;&gt;"ASTM A416"), L199, 0), 3)</f>
        <v/>
      </c>
      <c r="V199" s="20">
        <f>ROUND(V198 + IF(AND(E199=22, F199&lt;&gt;"ASTM A416"), L199, 0), 3)</f>
        <v/>
      </c>
      <c r="W199" s="20">
        <f>ROUND(W198 + IF(AND(E199=25, F199&lt;&gt;"ASTM A416"), L199, 0), 3)</f>
        <v/>
      </c>
      <c r="X199" s="20">
        <f>ROUND(X198 + IF(AND(E199=28, F199&lt;&gt;"ASTM A416"), L199, 0), 3)</f>
        <v/>
      </c>
      <c r="Y199" s="20">
        <f>ROUND(Y198 + IF(AND(E199=32, F199&lt;&gt;"ASTM A416"), L199, 0), 3)</f>
        <v/>
      </c>
      <c r="Z199" s="20">
        <f>ROUND(Z198 + IF(F199="ASTM A416", L199, 0), 3)</f>
        <v/>
      </c>
      <c r="AA199" s="11">
        <f>IF(INT(P199/20)&gt;INT(P198/20), "Lần " &amp; INT(P199/20), "")</f>
        <v/>
      </c>
      <c r="AB199" s="11">
        <f>IF(INT(Q199/20)&gt;INT(Q198/20), "Lần " &amp; INT(Q199/20), "")</f>
        <v/>
      </c>
      <c r="AC199" s="11">
        <f>IF(INT(R199/20)&gt;INT(R198/20), "Lần " &amp; INT(R199/20), "")</f>
        <v/>
      </c>
      <c r="AD199" s="11">
        <f>IF(INT(S199/20)&gt;INT(S198/20), "Lần " &amp; INT(S199/20), "")</f>
        <v/>
      </c>
      <c r="AE199" s="11">
        <f>IF(INT(T199/20)&gt;INT(T198/20), "Lần " &amp; INT(T199/20), "")</f>
        <v/>
      </c>
      <c r="AF199" s="11">
        <f>IF(INT(U199/20)&gt;INT(U198/20), "Lần " &amp; INT(U199/20), "")</f>
        <v/>
      </c>
      <c r="AG199" s="11">
        <f>IF(INT(V199/20)&gt;INT(V198/20), "Lần " &amp; INT(V199/20), "")</f>
        <v/>
      </c>
      <c r="AH199" s="11">
        <f>IF(INT(W199/20)&gt;INT(W198/20), "Lần " &amp; INT(W199/20), "")</f>
        <v/>
      </c>
      <c r="AI199" s="11">
        <f>IF(INT(X199/20)&gt;INT(X198/20), "Lần " &amp; INT(X199/20), "")</f>
        <v/>
      </c>
      <c r="AJ199" s="11">
        <f>IF(INT(Y199/20)&gt;INT(Y198/20), "Lần " &amp; INT(Y199/20), "")</f>
        <v/>
      </c>
      <c r="AK199" s="11">
        <f>IF(INT(Z199/20)&gt;INT(Z198/20), "Lần " &amp; INT(Z199/20), "")</f>
        <v/>
      </c>
      <c r="AL199" s="6" t="inlineStr">
        <is>
          <t>ĐẠT TCVN 1651:2018</t>
        </is>
      </c>
    </row>
    <row r="200" ht="19" customHeight="1">
      <c r="A200" s="6" t="n">
        <v>184</v>
      </c>
      <c r="B200" s="7" t="inlineStr">
        <is>
          <t>Cọc khoan nhồi C2 Trụ T2 (D1.2m, L=30.0m)</t>
        </is>
      </c>
      <c r="C200" s="7" t="inlineStr">
        <is>
          <t>Cốt thép chủ chịu lực cọc</t>
        </is>
      </c>
      <c r="D200" s="18" t="inlineStr">
        <is>
          <t>P3</t>
        </is>
      </c>
      <c r="E200" s="19" t="n">
        <v>25</v>
      </c>
      <c r="F200" s="6" t="inlineStr">
        <is>
          <t>CB400-V</t>
        </is>
      </c>
      <c r="G200" s="7" t="inlineStr">
        <is>
          <t>Thanh thẳng nối ren/hàn</t>
        </is>
      </c>
      <c r="H200" s="20" t="n">
        <v>10.7</v>
      </c>
      <c r="I200" s="21" t="n">
        <v>12</v>
      </c>
      <c r="J200" s="22" t="n">
        <v>3.85</v>
      </c>
      <c r="K200" s="9">
        <f>ROUND(H200*I200*J200, 2)</f>
        <v/>
      </c>
      <c r="L200" s="23">
        <f>ROUND(K200/1000, 3)</f>
        <v/>
      </c>
      <c r="M200" s="8" t="n"/>
      <c r="N200" s="6" t="n"/>
      <c r="O200" s="24">
        <f>IF(AND(E200&lt;=10, F200&lt;&gt;"ASTM A416", INT(P200/20)&gt;INT(P199/20)), "TN Ø10 (Lần " &amp; INT(P200/20) &amp; ")", IF(AND(E200=12, INT(Q200/20)&gt;INT(Q199/20)), "TN Ø12 (Lần " &amp; INT(Q200/20) &amp; ")", IF(AND(E200=14, INT(R200/20)&gt;INT(R199/20)), "TN Ø14 (Lần " &amp; INT(R200/20) &amp; ")", IF(AND(E200=16, INT(S200/20)&gt;INT(S199/20)), "TN Ø16 (Lần " &amp; INT(S200/20) &amp; ")", IF(AND(E200=18, INT(T200/20)&gt;INT(T199/20)), "TN Ø18 (Lần " &amp; INT(T200/20) &amp; ")", IF(AND(E200=20, INT(U200/20)&gt;INT(U199/20)), "TN Ø20 (Lần " &amp; INT(U200/20) &amp; ")", IF(AND(E200=22, INT(V200/20)&gt;INT(V199/20)), "TN Ø22 (Lần " &amp; INT(V200/20) &amp; ")", IF(AND(E200=25, INT(W200/20)&gt;INT(W199/20)), "TN Ø25 (Lần " &amp; INT(W200/20) &amp; ")", IF(AND(E200=28, INT(X200/20)&gt;INT(X199/20)), "TN Ø28 (Lần " &amp; INT(X200/20) &amp; ")", IF(AND(E200=32, INT(Y200/20)&gt;INT(Y199/20)), "TN Ø32 (Lần " &amp; INT(Y200/20) &amp; ")", IF(AND(F200="ASTM A416", INT(Z200/20)&gt;INT(Z199/20)), "TN Cáp 15.2 (Lần " &amp; INT(Z200/20) &amp; ")", "")))))))))))</f>
        <v/>
      </c>
      <c r="P200" s="20">
        <f>ROUND(P199 + IF(AND(E200&lt;=10, F200&lt;&gt;"ASTM A416"), L200, 0), 3)</f>
        <v/>
      </c>
      <c r="Q200" s="20">
        <f>ROUND(Q199 + IF(AND(E200=12, F200&lt;&gt;"ASTM A416"), L200, 0), 3)</f>
        <v/>
      </c>
      <c r="R200" s="20">
        <f>ROUND(R199 + IF(AND(E200=14, F200&lt;&gt;"ASTM A416"), L200, 0), 3)</f>
        <v/>
      </c>
      <c r="S200" s="20">
        <f>ROUND(S199 + IF(AND(E200=16, F200&lt;&gt;"ASTM A416"), L200, 0), 3)</f>
        <v/>
      </c>
      <c r="T200" s="20">
        <f>ROUND(T199 + IF(AND(E200=18, F200&lt;&gt;"ASTM A416"), L200, 0), 3)</f>
        <v/>
      </c>
      <c r="U200" s="20">
        <f>ROUND(U199 + IF(AND(E200=20, F200&lt;&gt;"ASTM A416"), L200, 0), 3)</f>
        <v/>
      </c>
      <c r="V200" s="20">
        <f>ROUND(V199 + IF(AND(E200=22, F200&lt;&gt;"ASTM A416"), L200, 0), 3)</f>
        <v/>
      </c>
      <c r="W200" s="20">
        <f>ROUND(W199 + IF(AND(E200=25, F200&lt;&gt;"ASTM A416"), L200, 0), 3)</f>
        <v/>
      </c>
      <c r="X200" s="20">
        <f>ROUND(X199 + IF(AND(E200=28, F200&lt;&gt;"ASTM A416"), L200, 0), 3)</f>
        <v/>
      </c>
      <c r="Y200" s="20">
        <f>ROUND(Y199 + IF(AND(E200=32, F200&lt;&gt;"ASTM A416"), L200, 0), 3)</f>
        <v/>
      </c>
      <c r="Z200" s="20">
        <f>ROUND(Z199 + IF(F200="ASTM A416", L200, 0), 3)</f>
        <v/>
      </c>
      <c r="AA200" s="11">
        <f>IF(INT(P200/20)&gt;INT(P199/20), "Lần " &amp; INT(P200/20), "")</f>
        <v/>
      </c>
      <c r="AB200" s="11">
        <f>IF(INT(Q200/20)&gt;INT(Q199/20), "Lần " &amp; INT(Q200/20), "")</f>
        <v/>
      </c>
      <c r="AC200" s="11">
        <f>IF(INT(R200/20)&gt;INT(R199/20), "Lần " &amp; INT(R200/20), "")</f>
        <v/>
      </c>
      <c r="AD200" s="11">
        <f>IF(INT(S200/20)&gt;INT(S199/20), "Lần " &amp; INT(S200/20), "")</f>
        <v/>
      </c>
      <c r="AE200" s="11">
        <f>IF(INT(T200/20)&gt;INT(T199/20), "Lần " &amp; INT(T200/20), "")</f>
        <v/>
      </c>
      <c r="AF200" s="11">
        <f>IF(INT(U200/20)&gt;INT(U199/20), "Lần " &amp; INT(U200/20), "")</f>
        <v/>
      </c>
      <c r="AG200" s="11">
        <f>IF(INT(V200/20)&gt;INT(V199/20), "Lần " &amp; INT(V200/20), "")</f>
        <v/>
      </c>
      <c r="AH200" s="11">
        <f>IF(INT(W200/20)&gt;INT(W199/20), "Lần " &amp; INT(W200/20), "")</f>
        <v/>
      </c>
      <c r="AI200" s="11">
        <f>IF(INT(X200/20)&gt;INT(X199/20), "Lần " &amp; INT(X200/20), "")</f>
        <v/>
      </c>
      <c r="AJ200" s="11">
        <f>IF(INT(Y200/20)&gt;INT(Y199/20), "Lần " &amp; INT(Y200/20), "")</f>
        <v/>
      </c>
      <c r="AK200" s="11">
        <f>IF(INT(Z200/20)&gt;INT(Z199/20), "Lần " &amp; INT(Z200/20), "")</f>
        <v/>
      </c>
      <c r="AL200" s="6" t="inlineStr">
        <is>
          <t>ĐẠT TCVN 1651:2018</t>
        </is>
      </c>
    </row>
    <row r="201" ht="19" customHeight="1">
      <c r="A201" s="6" t="n">
        <v>185</v>
      </c>
      <c r="B201" s="7" t="inlineStr">
        <is>
          <t>Cọc khoan nhồi C2 Trụ T2 (D1.2m, L=30.0m)</t>
        </is>
      </c>
      <c r="C201" s="7" t="inlineStr">
        <is>
          <t>Cốt thép chủ chịu lực cọc</t>
        </is>
      </c>
      <c r="D201" s="18" t="inlineStr">
        <is>
          <t>P4</t>
        </is>
      </c>
      <c r="E201" s="19" t="n">
        <v>25</v>
      </c>
      <c r="F201" s="6" t="inlineStr">
        <is>
          <t>CB400-V</t>
        </is>
      </c>
      <c r="G201" s="7" t="inlineStr">
        <is>
          <t>Thanh thẳng nối ren/hàn</t>
        </is>
      </c>
      <c r="H201" s="20" t="n">
        <v>11.7</v>
      </c>
      <c r="I201" s="21" t="n">
        <v>36</v>
      </c>
      <c r="J201" s="22" t="n">
        <v>3.85</v>
      </c>
      <c r="K201" s="9">
        <f>ROUND(H201*I201*J201, 2)</f>
        <v/>
      </c>
      <c r="L201" s="23">
        <f>ROUND(K201/1000, 3)</f>
        <v/>
      </c>
      <c r="M201" s="8" t="n"/>
      <c r="N201" s="6" t="n"/>
      <c r="O201" s="24">
        <f>IF(AND(E201&lt;=10, F201&lt;&gt;"ASTM A416", INT(P201/20)&gt;INT(P200/20)), "TN Ø10 (Lần " &amp; INT(P201/20) &amp; ")", IF(AND(E201=12, INT(Q201/20)&gt;INT(Q200/20)), "TN Ø12 (Lần " &amp; INT(Q201/20) &amp; ")", IF(AND(E201=14, INT(R201/20)&gt;INT(R200/20)), "TN Ø14 (Lần " &amp; INT(R201/20) &amp; ")", IF(AND(E201=16, INT(S201/20)&gt;INT(S200/20)), "TN Ø16 (Lần " &amp; INT(S201/20) &amp; ")", IF(AND(E201=18, INT(T201/20)&gt;INT(T200/20)), "TN Ø18 (Lần " &amp; INT(T201/20) &amp; ")", IF(AND(E201=20, INT(U201/20)&gt;INT(U200/20)), "TN Ø20 (Lần " &amp; INT(U201/20) &amp; ")", IF(AND(E201=22, INT(V201/20)&gt;INT(V200/20)), "TN Ø22 (Lần " &amp; INT(V201/20) &amp; ")", IF(AND(E201=25, INT(W201/20)&gt;INT(W200/20)), "TN Ø25 (Lần " &amp; INT(W201/20) &amp; ")", IF(AND(E201=28, INT(X201/20)&gt;INT(X200/20)), "TN Ø28 (Lần " &amp; INT(X201/20) &amp; ")", IF(AND(E201=32, INT(Y201/20)&gt;INT(Y200/20)), "TN Ø32 (Lần " &amp; INT(Y201/20) &amp; ")", IF(AND(F201="ASTM A416", INT(Z201/20)&gt;INT(Z200/20)), "TN Cáp 15.2 (Lần " &amp; INT(Z201/20) &amp; ")", "")))))))))))</f>
        <v/>
      </c>
      <c r="P201" s="20">
        <f>ROUND(P200 + IF(AND(E201&lt;=10, F201&lt;&gt;"ASTM A416"), L201, 0), 3)</f>
        <v/>
      </c>
      <c r="Q201" s="20">
        <f>ROUND(Q200 + IF(AND(E201=12, F201&lt;&gt;"ASTM A416"), L201, 0), 3)</f>
        <v/>
      </c>
      <c r="R201" s="20">
        <f>ROUND(R200 + IF(AND(E201=14, F201&lt;&gt;"ASTM A416"), L201, 0), 3)</f>
        <v/>
      </c>
      <c r="S201" s="20">
        <f>ROUND(S200 + IF(AND(E201=16, F201&lt;&gt;"ASTM A416"), L201, 0), 3)</f>
        <v/>
      </c>
      <c r="T201" s="20">
        <f>ROUND(T200 + IF(AND(E201=18, F201&lt;&gt;"ASTM A416"), L201, 0), 3)</f>
        <v/>
      </c>
      <c r="U201" s="20">
        <f>ROUND(U200 + IF(AND(E201=20, F201&lt;&gt;"ASTM A416"), L201, 0), 3)</f>
        <v/>
      </c>
      <c r="V201" s="20">
        <f>ROUND(V200 + IF(AND(E201=22, F201&lt;&gt;"ASTM A416"), L201, 0), 3)</f>
        <v/>
      </c>
      <c r="W201" s="20">
        <f>ROUND(W200 + IF(AND(E201=25, F201&lt;&gt;"ASTM A416"), L201, 0), 3)</f>
        <v/>
      </c>
      <c r="X201" s="20">
        <f>ROUND(X200 + IF(AND(E201=28, F201&lt;&gt;"ASTM A416"), L201, 0), 3)</f>
        <v/>
      </c>
      <c r="Y201" s="20">
        <f>ROUND(Y200 + IF(AND(E201=32, F201&lt;&gt;"ASTM A416"), L201, 0), 3)</f>
        <v/>
      </c>
      <c r="Z201" s="20">
        <f>ROUND(Z200 + IF(F201="ASTM A416", L201, 0), 3)</f>
        <v/>
      </c>
      <c r="AA201" s="11">
        <f>IF(INT(P201/20)&gt;INT(P200/20), "Lần " &amp; INT(P201/20), "")</f>
        <v/>
      </c>
      <c r="AB201" s="11">
        <f>IF(INT(Q201/20)&gt;INT(Q200/20), "Lần " &amp; INT(Q201/20), "")</f>
        <v/>
      </c>
      <c r="AC201" s="11">
        <f>IF(INT(R201/20)&gt;INT(R200/20), "Lần " &amp; INT(R201/20), "")</f>
        <v/>
      </c>
      <c r="AD201" s="11">
        <f>IF(INT(S201/20)&gt;INT(S200/20), "Lần " &amp; INT(S201/20), "")</f>
        <v/>
      </c>
      <c r="AE201" s="11">
        <f>IF(INT(T201/20)&gt;INT(T200/20), "Lần " &amp; INT(T201/20), "")</f>
        <v/>
      </c>
      <c r="AF201" s="11">
        <f>IF(INT(U201/20)&gt;INT(U200/20), "Lần " &amp; INT(U201/20), "")</f>
        <v/>
      </c>
      <c r="AG201" s="11">
        <f>IF(INT(V201/20)&gt;INT(V200/20), "Lần " &amp; INT(V201/20), "")</f>
        <v/>
      </c>
      <c r="AH201" s="11">
        <f>IF(INT(W201/20)&gt;INT(W200/20), "Lần " &amp; INT(W201/20), "")</f>
        <v/>
      </c>
      <c r="AI201" s="11">
        <f>IF(INT(X201/20)&gt;INT(X200/20), "Lần " &amp; INT(X201/20), "")</f>
        <v/>
      </c>
      <c r="AJ201" s="11">
        <f>IF(INT(Y201/20)&gt;INT(Y200/20), "Lần " &amp; INT(Y201/20), "")</f>
        <v/>
      </c>
      <c r="AK201" s="11">
        <f>IF(INT(Z201/20)&gt;INT(Z200/20), "Lần " &amp; INT(Z201/20), "")</f>
        <v/>
      </c>
      <c r="AL201" s="6" t="inlineStr">
        <is>
          <t>ĐẠT TCVN 1651:2018</t>
        </is>
      </c>
    </row>
    <row r="202" ht="19" customHeight="1">
      <c r="A202" s="6" t="n">
        <v>186</v>
      </c>
      <c r="B202" s="7" t="inlineStr">
        <is>
          <t>Cọc khoan nhồi C2 Trụ T2 (D1.2m, L=30.0m)</t>
        </is>
      </c>
      <c r="C202" s="7" t="inlineStr">
        <is>
          <t>Cốt thép chủ chịu lực cọc</t>
        </is>
      </c>
      <c r="D202" s="18" t="inlineStr">
        <is>
          <t>P6</t>
        </is>
      </c>
      <c r="E202" s="19" t="n">
        <v>25</v>
      </c>
      <c r="F202" s="6" t="inlineStr">
        <is>
          <t>CB400-V</t>
        </is>
      </c>
      <c r="G202" s="7" t="inlineStr">
        <is>
          <t>Thanh thẳng nối ren/hàn</t>
        </is>
      </c>
      <c r="H202" s="20" t="n">
        <v>9.733000000000001</v>
      </c>
      <c r="I202" s="21" t="n">
        <v>12</v>
      </c>
      <c r="J202" s="22" t="n">
        <v>3.85</v>
      </c>
      <c r="K202" s="9">
        <f>ROUND(H202*I202*J202, 2)</f>
        <v/>
      </c>
      <c r="L202" s="23">
        <f>ROUND(K202/1000, 3)</f>
        <v/>
      </c>
      <c r="M202" s="8" t="n"/>
      <c r="N202" s="6" t="n"/>
      <c r="O202" s="24">
        <f>IF(AND(E202&lt;=10, F202&lt;&gt;"ASTM A416", INT(P202/20)&gt;INT(P201/20)), "TN Ø10 (Lần " &amp; INT(P202/20) &amp; ")", IF(AND(E202=12, INT(Q202/20)&gt;INT(Q201/20)), "TN Ø12 (Lần " &amp; INT(Q202/20) &amp; ")", IF(AND(E202=14, INT(R202/20)&gt;INT(R201/20)), "TN Ø14 (Lần " &amp; INT(R202/20) &amp; ")", IF(AND(E202=16, INT(S202/20)&gt;INT(S201/20)), "TN Ø16 (Lần " &amp; INT(S202/20) &amp; ")", IF(AND(E202=18, INT(T202/20)&gt;INT(T201/20)), "TN Ø18 (Lần " &amp; INT(T202/20) &amp; ")", IF(AND(E202=20, INT(U202/20)&gt;INT(U201/20)), "TN Ø20 (Lần " &amp; INT(U202/20) &amp; ")", IF(AND(E202=22, INT(V202/20)&gt;INT(V201/20)), "TN Ø22 (Lần " &amp; INT(V202/20) &amp; ")", IF(AND(E202=25, INT(W202/20)&gt;INT(W201/20)), "TN Ø25 (Lần " &amp; INT(W202/20) &amp; ")", IF(AND(E202=28, INT(X202/20)&gt;INT(X201/20)), "TN Ø28 (Lần " &amp; INT(X202/20) &amp; ")", IF(AND(E202=32, INT(Y202/20)&gt;INT(Y201/20)), "TN Ø32 (Lần " &amp; INT(Y202/20) &amp; ")", IF(AND(F202="ASTM A416", INT(Z202/20)&gt;INT(Z201/20)), "TN Cáp 15.2 (Lần " &amp; INT(Z202/20) &amp; ")", "")))))))))))</f>
        <v/>
      </c>
      <c r="P202" s="20">
        <f>ROUND(P201 + IF(AND(E202&lt;=10, F202&lt;&gt;"ASTM A416"), L202, 0), 3)</f>
        <v/>
      </c>
      <c r="Q202" s="20">
        <f>ROUND(Q201 + IF(AND(E202=12, F202&lt;&gt;"ASTM A416"), L202, 0), 3)</f>
        <v/>
      </c>
      <c r="R202" s="20">
        <f>ROUND(R201 + IF(AND(E202=14, F202&lt;&gt;"ASTM A416"), L202, 0), 3)</f>
        <v/>
      </c>
      <c r="S202" s="20">
        <f>ROUND(S201 + IF(AND(E202=16, F202&lt;&gt;"ASTM A416"), L202, 0), 3)</f>
        <v/>
      </c>
      <c r="T202" s="20">
        <f>ROUND(T201 + IF(AND(E202=18, F202&lt;&gt;"ASTM A416"), L202, 0), 3)</f>
        <v/>
      </c>
      <c r="U202" s="20">
        <f>ROUND(U201 + IF(AND(E202=20, F202&lt;&gt;"ASTM A416"), L202, 0), 3)</f>
        <v/>
      </c>
      <c r="V202" s="20">
        <f>ROUND(V201 + IF(AND(E202=22, F202&lt;&gt;"ASTM A416"), L202, 0), 3)</f>
        <v/>
      </c>
      <c r="W202" s="20">
        <f>ROUND(W201 + IF(AND(E202=25, F202&lt;&gt;"ASTM A416"), L202, 0), 3)</f>
        <v/>
      </c>
      <c r="X202" s="20">
        <f>ROUND(X201 + IF(AND(E202=28, F202&lt;&gt;"ASTM A416"), L202, 0), 3)</f>
        <v/>
      </c>
      <c r="Y202" s="20">
        <f>ROUND(Y201 + IF(AND(E202=32, F202&lt;&gt;"ASTM A416"), L202, 0), 3)</f>
        <v/>
      </c>
      <c r="Z202" s="20">
        <f>ROUND(Z201 + IF(F202="ASTM A416", L202, 0), 3)</f>
        <v/>
      </c>
      <c r="AA202" s="11">
        <f>IF(INT(P202/20)&gt;INT(P201/20), "Lần " &amp; INT(P202/20), "")</f>
        <v/>
      </c>
      <c r="AB202" s="11">
        <f>IF(INT(Q202/20)&gt;INT(Q201/20), "Lần " &amp; INT(Q202/20), "")</f>
        <v/>
      </c>
      <c r="AC202" s="11">
        <f>IF(INT(R202/20)&gt;INT(R201/20), "Lần " &amp; INT(R202/20), "")</f>
        <v/>
      </c>
      <c r="AD202" s="11">
        <f>IF(INT(S202/20)&gt;INT(S201/20), "Lần " &amp; INT(S202/20), "")</f>
        <v/>
      </c>
      <c r="AE202" s="11">
        <f>IF(INT(T202/20)&gt;INT(T201/20), "Lần " &amp; INT(T202/20), "")</f>
        <v/>
      </c>
      <c r="AF202" s="11">
        <f>IF(INT(U202/20)&gt;INT(U201/20), "Lần " &amp; INT(U202/20), "")</f>
        <v/>
      </c>
      <c r="AG202" s="11">
        <f>IF(INT(V202/20)&gt;INT(V201/20), "Lần " &amp; INT(V202/20), "")</f>
        <v/>
      </c>
      <c r="AH202" s="11">
        <f>IF(INT(W202/20)&gt;INT(W201/20), "Lần " &amp; INT(W202/20), "")</f>
        <v/>
      </c>
      <c r="AI202" s="11">
        <f>IF(INT(X202/20)&gt;INT(X201/20), "Lần " &amp; INT(X202/20), "")</f>
        <v/>
      </c>
      <c r="AJ202" s="11">
        <f>IF(INT(Y202/20)&gt;INT(Y201/20), "Lần " &amp; INT(Y202/20), "")</f>
        <v/>
      </c>
      <c r="AK202" s="11">
        <f>IF(INT(Z202/20)&gt;INT(Z201/20), "Lần " &amp; INT(Z202/20), "")</f>
        <v/>
      </c>
      <c r="AL202" s="6" t="inlineStr">
        <is>
          <t>ĐẠT TCVN 1651:2018</t>
        </is>
      </c>
    </row>
    <row r="203" ht="19" customHeight="1">
      <c r="A203" s="6" t="n">
        <v>187</v>
      </c>
      <c r="B203" s="7" t="inlineStr">
        <is>
          <t>Cọc khoan nhồi C2 Trụ T2 (D1.2m, L=30.0m)</t>
        </is>
      </c>
      <c r="C203" s="7" t="inlineStr">
        <is>
          <t>Cốt thép chủ chịu lực cọc</t>
        </is>
      </c>
      <c r="D203" s="18" t="inlineStr">
        <is>
          <t>P7</t>
        </is>
      </c>
      <c r="E203" s="19" t="n">
        <v>25</v>
      </c>
      <c r="F203" s="6" t="inlineStr">
        <is>
          <t>CB400-V</t>
        </is>
      </c>
      <c r="G203" s="7" t="inlineStr">
        <is>
          <t>Thanh thẳng nối ren/hàn</t>
        </is>
      </c>
      <c r="H203" s="20" t="n">
        <v>10.733</v>
      </c>
      <c r="I203" s="21" t="n">
        <v>12</v>
      </c>
      <c r="J203" s="22" t="n">
        <v>3.85</v>
      </c>
      <c r="K203" s="9">
        <f>ROUND(H203*I203*J203, 2)</f>
        <v/>
      </c>
      <c r="L203" s="23">
        <f>ROUND(K203/1000, 3)</f>
        <v/>
      </c>
      <c r="M203" s="8" t="n"/>
      <c r="N203" s="6" t="n"/>
      <c r="O203" s="24">
        <f>IF(AND(E203&lt;=10, F203&lt;&gt;"ASTM A416", INT(P203/20)&gt;INT(P202/20)), "TN Ø10 (Lần " &amp; INT(P203/20) &amp; ")", IF(AND(E203=12, INT(Q203/20)&gt;INT(Q202/20)), "TN Ø12 (Lần " &amp; INT(Q203/20) &amp; ")", IF(AND(E203=14, INT(R203/20)&gt;INT(R202/20)), "TN Ø14 (Lần " &amp; INT(R203/20) &amp; ")", IF(AND(E203=16, INT(S203/20)&gt;INT(S202/20)), "TN Ø16 (Lần " &amp; INT(S203/20) &amp; ")", IF(AND(E203=18, INT(T203/20)&gt;INT(T202/20)), "TN Ø18 (Lần " &amp; INT(T203/20) &amp; ")", IF(AND(E203=20, INT(U203/20)&gt;INT(U202/20)), "TN Ø20 (Lần " &amp; INT(U203/20) &amp; ")", IF(AND(E203=22, INT(V203/20)&gt;INT(V202/20)), "TN Ø22 (Lần " &amp; INT(V203/20) &amp; ")", IF(AND(E203=25, INT(W203/20)&gt;INT(W202/20)), "TN Ø25 (Lần " &amp; INT(W203/20) &amp; ")", IF(AND(E203=28, INT(X203/20)&gt;INT(X202/20)), "TN Ø28 (Lần " &amp; INT(X203/20) &amp; ")", IF(AND(E203=32, INT(Y203/20)&gt;INT(Y202/20)), "TN Ø32 (Lần " &amp; INT(Y203/20) &amp; ")", IF(AND(F203="ASTM A416", INT(Z203/20)&gt;INT(Z202/20)), "TN Cáp 15.2 (Lần " &amp; INT(Z203/20) &amp; ")", "")))))))))))</f>
        <v/>
      </c>
      <c r="P203" s="20">
        <f>ROUND(P202 + IF(AND(E203&lt;=10, F203&lt;&gt;"ASTM A416"), L203, 0), 3)</f>
        <v/>
      </c>
      <c r="Q203" s="20">
        <f>ROUND(Q202 + IF(AND(E203=12, F203&lt;&gt;"ASTM A416"), L203, 0), 3)</f>
        <v/>
      </c>
      <c r="R203" s="20">
        <f>ROUND(R202 + IF(AND(E203=14, F203&lt;&gt;"ASTM A416"), L203, 0), 3)</f>
        <v/>
      </c>
      <c r="S203" s="20">
        <f>ROUND(S202 + IF(AND(E203=16, F203&lt;&gt;"ASTM A416"), L203, 0), 3)</f>
        <v/>
      </c>
      <c r="T203" s="20">
        <f>ROUND(T202 + IF(AND(E203=18, F203&lt;&gt;"ASTM A416"), L203, 0), 3)</f>
        <v/>
      </c>
      <c r="U203" s="20">
        <f>ROUND(U202 + IF(AND(E203=20, F203&lt;&gt;"ASTM A416"), L203, 0), 3)</f>
        <v/>
      </c>
      <c r="V203" s="20">
        <f>ROUND(V202 + IF(AND(E203=22, F203&lt;&gt;"ASTM A416"), L203, 0), 3)</f>
        <v/>
      </c>
      <c r="W203" s="20">
        <f>ROUND(W202 + IF(AND(E203=25, F203&lt;&gt;"ASTM A416"), L203, 0), 3)</f>
        <v/>
      </c>
      <c r="X203" s="20">
        <f>ROUND(X202 + IF(AND(E203=28, F203&lt;&gt;"ASTM A416"), L203, 0), 3)</f>
        <v/>
      </c>
      <c r="Y203" s="20">
        <f>ROUND(Y202 + IF(AND(E203=32, F203&lt;&gt;"ASTM A416"), L203, 0), 3)</f>
        <v/>
      </c>
      <c r="Z203" s="20">
        <f>ROUND(Z202 + IF(F203="ASTM A416", L203, 0), 3)</f>
        <v/>
      </c>
      <c r="AA203" s="11">
        <f>IF(INT(P203/20)&gt;INT(P202/20), "Lần " &amp; INT(P203/20), "")</f>
        <v/>
      </c>
      <c r="AB203" s="11">
        <f>IF(INT(Q203/20)&gt;INT(Q202/20), "Lần " &amp; INT(Q203/20), "")</f>
        <v/>
      </c>
      <c r="AC203" s="11">
        <f>IF(INT(R203/20)&gt;INT(R202/20), "Lần " &amp; INT(R203/20), "")</f>
        <v/>
      </c>
      <c r="AD203" s="11">
        <f>IF(INT(S203/20)&gt;INT(S202/20), "Lần " &amp; INT(S203/20), "")</f>
        <v/>
      </c>
      <c r="AE203" s="11">
        <f>IF(INT(T203/20)&gt;INT(T202/20), "Lần " &amp; INT(T203/20), "")</f>
        <v/>
      </c>
      <c r="AF203" s="11">
        <f>IF(INT(U203/20)&gt;INT(U202/20), "Lần " &amp; INT(U203/20), "")</f>
        <v/>
      </c>
      <c r="AG203" s="11">
        <f>IF(INT(V203/20)&gt;INT(V202/20), "Lần " &amp; INT(V203/20), "")</f>
        <v/>
      </c>
      <c r="AH203" s="11">
        <f>IF(INT(W203/20)&gt;INT(W202/20), "Lần " &amp; INT(W203/20), "")</f>
        <v/>
      </c>
      <c r="AI203" s="11">
        <f>IF(INT(X203/20)&gt;INT(X202/20), "Lần " &amp; INT(X203/20), "")</f>
        <v/>
      </c>
      <c r="AJ203" s="11">
        <f>IF(INT(Y203/20)&gt;INT(Y202/20), "Lần " &amp; INT(Y203/20), "")</f>
        <v/>
      </c>
      <c r="AK203" s="11">
        <f>IF(INT(Z203/20)&gt;INT(Z202/20), "Lần " &amp; INT(Z203/20), "")</f>
        <v/>
      </c>
      <c r="AL203" s="6" t="inlineStr">
        <is>
          <t>ĐẠT TCVN 1651:2018</t>
        </is>
      </c>
    </row>
    <row r="204" ht="19" customHeight="1">
      <c r="A204" s="6" t="n">
        <v>188</v>
      </c>
      <c r="B204" s="7" t="inlineStr">
        <is>
          <t>Cọc khoan nhồi C2 Trụ T2 (D1.2m, L=30.0m)</t>
        </is>
      </c>
      <c r="C204" s="7" t="inlineStr">
        <is>
          <t>Đai tăng cường / Con kê bảo vệ</t>
        </is>
      </c>
      <c r="D204" s="18" t="inlineStr">
        <is>
          <t>P8</t>
        </is>
      </c>
      <c r="E204" s="19" t="n">
        <v>12</v>
      </c>
      <c r="F204" s="6" t="inlineStr">
        <is>
          <t>CB400-V</t>
        </is>
      </c>
      <c r="G204" s="7" t="inlineStr">
        <is>
          <t>Móc neo / Vòng đai</t>
        </is>
      </c>
      <c r="H204" s="20" t="n">
        <v>0.647</v>
      </c>
      <c r="I204" s="21" t="n">
        <v>12</v>
      </c>
      <c r="J204" s="22" t="n">
        <v>0.888</v>
      </c>
      <c r="K204" s="9">
        <f>ROUND(H204*I204*J204, 2)</f>
        <v/>
      </c>
      <c r="L204" s="23">
        <f>ROUND(K204/1000, 3)</f>
        <v/>
      </c>
      <c r="M204" s="8" t="n"/>
      <c r="N204" s="6" t="n"/>
      <c r="O204" s="24">
        <f>IF(AND(E204&lt;=10, F204&lt;&gt;"ASTM A416", INT(P204/20)&gt;INT(P203/20)), "TN Ø10 (Lần " &amp; INT(P204/20) &amp; ")", IF(AND(E204=12, INT(Q204/20)&gt;INT(Q203/20)), "TN Ø12 (Lần " &amp; INT(Q204/20) &amp; ")", IF(AND(E204=14, INT(R204/20)&gt;INT(R203/20)), "TN Ø14 (Lần " &amp; INT(R204/20) &amp; ")", IF(AND(E204=16, INT(S204/20)&gt;INT(S203/20)), "TN Ø16 (Lần " &amp; INT(S204/20) &amp; ")", IF(AND(E204=18, INT(T204/20)&gt;INT(T203/20)), "TN Ø18 (Lần " &amp; INT(T204/20) &amp; ")", IF(AND(E204=20, INT(U204/20)&gt;INT(U203/20)), "TN Ø20 (Lần " &amp; INT(U204/20) &amp; ")", IF(AND(E204=22, INT(V204/20)&gt;INT(V203/20)), "TN Ø22 (Lần " &amp; INT(V204/20) &amp; ")", IF(AND(E204=25, INT(W204/20)&gt;INT(W203/20)), "TN Ø25 (Lần " &amp; INT(W204/20) &amp; ")", IF(AND(E204=28, INT(X204/20)&gt;INT(X203/20)), "TN Ø28 (Lần " &amp; INT(X204/20) &amp; ")", IF(AND(E204=32, INT(Y204/20)&gt;INT(Y203/20)), "TN Ø32 (Lần " &amp; INT(Y204/20) &amp; ")", IF(AND(F204="ASTM A416", INT(Z204/20)&gt;INT(Z203/20)), "TN Cáp 15.2 (Lần " &amp; INT(Z204/20) &amp; ")", "")))))))))))</f>
        <v/>
      </c>
      <c r="P204" s="20">
        <f>ROUND(P203 + IF(AND(E204&lt;=10, F204&lt;&gt;"ASTM A416"), L204, 0), 3)</f>
        <v/>
      </c>
      <c r="Q204" s="20">
        <f>ROUND(Q203 + IF(AND(E204=12, F204&lt;&gt;"ASTM A416"), L204, 0), 3)</f>
        <v/>
      </c>
      <c r="R204" s="20">
        <f>ROUND(R203 + IF(AND(E204=14, F204&lt;&gt;"ASTM A416"), L204, 0), 3)</f>
        <v/>
      </c>
      <c r="S204" s="20">
        <f>ROUND(S203 + IF(AND(E204=16, F204&lt;&gt;"ASTM A416"), L204, 0), 3)</f>
        <v/>
      </c>
      <c r="T204" s="20">
        <f>ROUND(T203 + IF(AND(E204=18, F204&lt;&gt;"ASTM A416"), L204, 0), 3)</f>
        <v/>
      </c>
      <c r="U204" s="20">
        <f>ROUND(U203 + IF(AND(E204=20, F204&lt;&gt;"ASTM A416"), L204, 0), 3)</f>
        <v/>
      </c>
      <c r="V204" s="20">
        <f>ROUND(V203 + IF(AND(E204=22, F204&lt;&gt;"ASTM A416"), L204, 0), 3)</f>
        <v/>
      </c>
      <c r="W204" s="20">
        <f>ROUND(W203 + IF(AND(E204=25, F204&lt;&gt;"ASTM A416"), L204, 0), 3)</f>
        <v/>
      </c>
      <c r="X204" s="20">
        <f>ROUND(X203 + IF(AND(E204=28, F204&lt;&gt;"ASTM A416"), L204, 0), 3)</f>
        <v/>
      </c>
      <c r="Y204" s="20">
        <f>ROUND(Y203 + IF(AND(E204=32, F204&lt;&gt;"ASTM A416"), L204, 0), 3)</f>
        <v/>
      </c>
      <c r="Z204" s="20">
        <f>ROUND(Z203 + IF(F204="ASTM A416", L204, 0), 3)</f>
        <v/>
      </c>
      <c r="AA204" s="11">
        <f>IF(INT(P204/20)&gt;INT(P203/20), "Lần " &amp; INT(P204/20), "")</f>
        <v/>
      </c>
      <c r="AB204" s="11">
        <f>IF(INT(Q204/20)&gt;INT(Q203/20), "Lần " &amp; INT(Q204/20), "")</f>
        <v/>
      </c>
      <c r="AC204" s="11">
        <f>IF(INT(R204/20)&gt;INT(R203/20), "Lần " &amp; INT(R204/20), "")</f>
        <v/>
      </c>
      <c r="AD204" s="11">
        <f>IF(INT(S204/20)&gt;INT(S203/20), "Lần " &amp; INT(S204/20), "")</f>
        <v/>
      </c>
      <c r="AE204" s="11">
        <f>IF(INT(T204/20)&gt;INT(T203/20), "Lần " &amp; INT(T204/20), "")</f>
        <v/>
      </c>
      <c r="AF204" s="11">
        <f>IF(INT(U204/20)&gt;INT(U203/20), "Lần " &amp; INT(U204/20), "")</f>
        <v/>
      </c>
      <c r="AG204" s="11">
        <f>IF(INT(V204/20)&gt;INT(V203/20), "Lần " &amp; INT(V204/20), "")</f>
        <v/>
      </c>
      <c r="AH204" s="11">
        <f>IF(INT(W204/20)&gt;INT(W203/20), "Lần " &amp; INT(W204/20), "")</f>
        <v/>
      </c>
      <c r="AI204" s="11">
        <f>IF(INT(X204/20)&gt;INT(X203/20), "Lần " &amp; INT(X204/20), "")</f>
        <v/>
      </c>
      <c r="AJ204" s="11">
        <f>IF(INT(Y204/20)&gt;INT(Y203/20), "Lần " &amp; INT(Y204/20), "")</f>
        <v/>
      </c>
      <c r="AK204" s="11">
        <f>IF(INT(Z204/20)&gt;INT(Z203/20), "Lần " &amp; INT(Z204/20), "")</f>
        <v/>
      </c>
      <c r="AL204" s="6" t="inlineStr">
        <is>
          <t>ĐẠT TCVN 1651:2018</t>
        </is>
      </c>
    </row>
    <row r="205" ht="19" customHeight="1">
      <c r="A205" s="6" t="n">
        <v>189</v>
      </c>
      <c r="B205" s="7" t="inlineStr">
        <is>
          <t>Cọc khoan nhồi C2 Trụ T2 (D1.2m, L=30.0m)</t>
        </is>
      </c>
      <c r="C205" s="7" t="inlineStr">
        <is>
          <t>Đai tăng cường / Con kê bảo vệ</t>
        </is>
      </c>
      <c r="D205" s="18" t="inlineStr">
        <is>
          <t>P9</t>
        </is>
      </c>
      <c r="E205" s="19" t="n">
        <v>12</v>
      </c>
      <c r="F205" s="6" t="inlineStr">
        <is>
          <t>CB400-V</t>
        </is>
      </c>
      <c r="G205" s="7" t="inlineStr">
        <is>
          <t>Móc neo / Vòng đai</t>
        </is>
      </c>
      <c r="H205" s="20" t="n">
        <v>0.379</v>
      </c>
      <c r="I205" s="21" t="n">
        <v>36</v>
      </c>
      <c r="J205" s="22" t="n">
        <v>0.888</v>
      </c>
      <c r="K205" s="9">
        <f>ROUND(H205*I205*J205, 2)</f>
        <v/>
      </c>
      <c r="L205" s="23">
        <f>ROUND(K205/1000, 3)</f>
        <v/>
      </c>
      <c r="M205" s="8" t="n"/>
      <c r="N205" s="6" t="n"/>
      <c r="O205" s="24">
        <f>IF(AND(E205&lt;=10, F205&lt;&gt;"ASTM A416", INT(P205/20)&gt;INT(P204/20)), "TN Ø10 (Lần " &amp; INT(P205/20) &amp; ")", IF(AND(E205=12, INT(Q205/20)&gt;INT(Q204/20)), "TN Ø12 (Lần " &amp; INT(Q205/20) &amp; ")", IF(AND(E205=14, INT(R205/20)&gt;INT(R204/20)), "TN Ø14 (Lần " &amp; INT(R205/20) &amp; ")", IF(AND(E205=16, INT(S205/20)&gt;INT(S204/20)), "TN Ø16 (Lần " &amp; INT(S205/20) &amp; ")", IF(AND(E205=18, INT(T205/20)&gt;INT(T204/20)), "TN Ø18 (Lần " &amp; INT(T205/20) &amp; ")", IF(AND(E205=20, INT(U205/20)&gt;INT(U204/20)), "TN Ø20 (Lần " &amp; INT(U205/20) &amp; ")", IF(AND(E205=22, INT(V205/20)&gt;INT(V204/20)), "TN Ø22 (Lần " &amp; INT(V205/20) &amp; ")", IF(AND(E205=25, INT(W205/20)&gt;INT(W204/20)), "TN Ø25 (Lần " &amp; INT(W205/20) &amp; ")", IF(AND(E205=28, INT(X205/20)&gt;INT(X204/20)), "TN Ø28 (Lần " &amp; INT(X205/20) &amp; ")", IF(AND(E205=32, INT(Y205/20)&gt;INT(Y204/20)), "TN Ø32 (Lần " &amp; INT(Y205/20) &amp; ")", IF(AND(F205="ASTM A416", INT(Z205/20)&gt;INT(Z204/20)), "TN Cáp 15.2 (Lần " &amp; INT(Z205/20) &amp; ")", "")))))))))))</f>
        <v/>
      </c>
      <c r="P205" s="20">
        <f>ROUND(P204 + IF(AND(E205&lt;=10, F205&lt;&gt;"ASTM A416"), L205, 0), 3)</f>
        <v/>
      </c>
      <c r="Q205" s="20">
        <f>ROUND(Q204 + IF(AND(E205=12, F205&lt;&gt;"ASTM A416"), L205, 0), 3)</f>
        <v/>
      </c>
      <c r="R205" s="20">
        <f>ROUND(R204 + IF(AND(E205=14, F205&lt;&gt;"ASTM A416"), L205, 0), 3)</f>
        <v/>
      </c>
      <c r="S205" s="20">
        <f>ROUND(S204 + IF(AND(E205=16, F205&lt;&gt;"ASTM A416"), L205, 0), 3)</f>
        <v/>
      </c>
      <c r="T205" s="20">
        <f>ROUND(T204 + IF(AND(E205=18, F205&lt;&gt;"ASTM A416"), L205, 0), 3)</f>
        <v/>
      </c>
      <c r="U205" s="20">
        <f>ROUND(U204 + IF(AND(E205=20, F205&lt;&gt;"ASTM A416"), L205, 0), 3)</f>
        <v/>
      </c>
      <c r="V205" s="20">
        <f>ROUND(V204 + IF(AND(E205=22, F205&lt;&gt;"ASTM A416"), L205, 0), 3)</f>
        <v/>
      </c>
      <c r="W205" s="20">
        <f>ROUND(W204 + IF(AND(E205=25, F205&lt;&gt;"ASTM A416"), L205, 0), 3)</f>
        <v/>
      </c>
      <c r="X205" s="20">
        <f>ROUND(X204 + IF(AND(E205=28, F205&lt;&gt;"ASTM A416"), L205, 0), 3)</f>
        <v/>
      </c>
      <c r="Y205" s="20">
        <f>ROUND(Y204 + IF(AND(E205=32, F205&lt;&gt;"ASTM A416"), L205, 0), 3)</f>
        <v/>
      </c>
      <c r="Z205" s="20">
        <f>ROUND(Z204 + IF(F205="ASTM A416", L205, 0), 3)</f>
        <v/>
      </c>
      <c r="AA205" s="11">
        <f>IF(INT(P205/20)&gt;INT(P204/20), "Lần " &amp; INT(P205/20), "")</f>
        <v/>
      </c>
      <c r="AB205" s="11">
        <f>IF(INT(Q205/20)&gt;INT(Q204/20), "Lần " &amp; INT(Q205/20), "")</f>
        <v/>
      </c>
      <c r="AC205" s="11">
        <f>IF(INT(R205/20)&gt;INT(R204/20), "Lần " &amp; INT(R205/20), "")</f>
        <v/>
      </c>
      <c r="AD205" s="11">
        <f>IF(INT(S205/20)&gt;INT(S204/20), "Lần " &amp; INT(S205/20), "")</f>
        <v/>
      </c>
      <c r="AE205" s="11">
        <f>IF(INT(T205/20)&gt;INT(T204/20), "Lần " &amp; INT(T205/20), "")</f>
        <v/>
      </c>
      <c r="AF205" s="11">
        <f>IF(INT(U205/20)&gt;INT(U204/20), "Lần " &amp; INT(U205/20), "")</f>
        <v/>
      </c>
      <c r="AG205" s="11">
        <f>IF(INT(V205/20)&gt;INT(V204/20), "Lần " &amp; INT(V205/20), "")</f>
        <v/>
      </c>
      <c r="AH205" s="11">
        <f>IF(INT(W205/20)&gt;INT(W204/20), "Lần " &amp; INT(W205/20), "")</f>
        <v/>
      </c>
      <c r="AI205" s="11">
        <f>IF(INT(X205/20)&gt;INT(X204/20), "Lần " &amp; INT(X205/20), "")</f>
        <v/>
      </c>
      <c r="AJ205" s="11">
        <f>IF(INT(Y205/20)&gt;INT(Y204/20), "Lần " &amp; INT(Y205/20), "")</f>
        <v/>
      </c>
      <c r="AK205" s="11">
        <f>IF(INT(Z205/20)&gt;INT(Z204/20), "Lần " &amp; INT(Z205/20), "")</f>
        <v/>
      </c>
      <c r="AL205" s="6" t="inlineStr">
        <is>
          <t>ĐẠT TCVN 1651:2018</t>
        </is>
      </c>
    </row>
    <row r="206" ht="19" customHeight="1">
      <c r="A206" s="6" t="n">
        <v>190</v>
      </c>
      <c r="B206" s="7" t="inlineStr">
        <is>
          <t>Cọc khoan nhồi C2 Trụ T2 (D1.2m, L=30.0m)</t>
        </is>
      </c>
      <c r="C206" s="7" t="inlineStr">
        <is>
          <t>Thép đai xoắn lồng cọc</t>
        </is>
      </c>
      <c r="D206" s="18" t="inlineStr">
        <is>
          <t>P10</t>
        </is>
      </c>
      <c r="E206" s="19" t="n">
        <v>20</v>
      </c>
      <c r="F206" s="6" t="inlineStr">
        <is>
          <t>CB400-V</t>
        </is>
      </c>
      <c r="G206" s="7" t="inlineStr">
        <is>
          <t>Đai xoắn tròn</t>
        </is>
      </c>
      <c r="H206" s="20" t="n">
        <v>2.057</v>
      </c>
      <c r="I206" s="21" t="n">
        <v>1</v>
      </c>
      <c r="J206" s="22" t="n">
        <v>2.47</v>
      </c>
      <c r="K206" s="9">
        <f>ROUND(H206*I206*J206, 2)</f>
        <v/>
      </c>
      <c r="L206" s="23">
        <f>ROUND(K206/1000, 3)</f>
        <v/>
      </c>
      <c r="M206" s="8" t="n"/>
      <c r="N206" s="6" t="n"/>
      <c r="O206" s="24">
        <f>IF(AND(E206&lt;=10, F206&lt;&gt;"ASTM A416", INT(P206/20)&gt;INT(P205/20)), "TN Ø10 (Lần " &amp; INT(P206/20) &amp; ")", IF(AND(E206=12, INT(Q206/20)&gt;INT(Q205/20)), "TN Ø12 (Lần " &amp; INT(Q206/20) &amp; ")", IF(AND(E206=14, INT(R206/20)&gt;INT(R205/20)), "TN Ø14 (Lần " &amp; INT(R206/20) &amp; ")", IF(AND(E206=16, INT(S206/20)&gt;INT(S205/20)), "TN Ø16 (Lần " &amp; INT(S206/20) &amp; ")", IF(AND(E206=18, INT(T206/20)&gt;INT(T205/20)), "TN Ø18 (Lần " &amp; INT(T206/20) &amp; ")", IF(AND(E206=20, INT(U206/20)&gt;INT(U205/20)), "TN Ø20 (Lần " &amp; INT(U206/20) &amp; ")", IF(AND(E206=22, INT(V206/20)&gt;INT(V205/20)), "TN Ø22 (Lần " &amp; INT(V206/20) &amp; ")", IF(AND(E206=25, INT(W206/20)&gt;INT(W205/20)), "TN Ø25 (Lần " &amp; INT(W206/20) &amp; ")", IF(AND(E206=28, INT(X206/20)&gt;INT(X205/20)), "TN Ø28 (Lần " &amp; INT(X206/20) &amp; ")", IF(AND(E206=32, INT(Y206/20)&gt;INT(Y205/20)), "TN Ø32 (Lần " &amp; INT(Y206/20) &amp; ")", IF(AND(F206="ASTM A416", INT(Z206/20)&gt;INT(Z205/20)), "TN Cáp 15.2 (Lần " &amp; INT(Z206/20) &amp; ")", "")))))))))))</f>
        <v/>
      </c>
      <c r="P206" s="20">
        <f>ROUND(P205 + IF(AND(E206&lt;=10, F206&lt;&gt;"ASTM A416"), L206, 0), 3)</f>
        <v/>
      </c>
      <c r="Q206" s="20">
        <f>ROUND(Q205 + IF(AND(E206=12, F206&lt;&gt;"ASTM A416"), L206, 0), 3)</f>
        <v/>
      </c>
      <c r="R206" s="20">
        <f>ROUND(R205 + IF(AND(E206=14, F206&lt;&gt;"ASTM A416"), L206, 0), 3)</f>
        <v/>
      </c>
      <c r="S206" s="20">
        <f>ROUND(S205 + IF(AND(E206=16, F206&lt;&gt;"ASTM A416"), L206, 0), 3)</f>
        <v/>
      </c>
      <c r="T206" s="20">
        <f>ROUND(T205 + IF(AND(E206=18, F206&lt;&gt;"ASTM A416"), L206, 0), 3)</f>
        <v/>
      </c>
      <c r="U206" s="20">
        <f>ROUND(U205 + IF(AND(E206=20, F206&lt;&gt;"ASTM A416"), L206, 0), 3)</f>
        <v/>
      </c>
      <c r="V206" s="20">
        <f>ROUND(V205 + IF(AND(E206=22, F206&lt;&gt;"ASTM A416"), L206, 0), 3)</f>
        <v/>
      </c>
      <c r="W206" s="20">
        <f>ROUND(W205 + IF(AND(E206=25, F206&lt;&gt;"ASTM A416"), L206, 0), 3)</f>
        <v/>
      </c>
      <c r="X206" s="20">
        <f>ROUND(X205 + IF(AND(E206=28, F206&lt;&gt;"ASTM A416"), L206, 0), 3)</f>
        <v/>
      </c>
      <c r="Y206" s="20">
        <f>ROUND(Y205 + IF(AND(E206=32, F206&lt;&gt;"ASTM A416"), L206, 0), 3)</f>
        <v/>
      </c>
      <c r="Z206" s="20">
        <f>ROUND(Z205 + IF(F206="ASTM A416", L206, 0), 3)</f>
        <v/>
      </c>
      <c r="AA206" s="11">
        <f>IF(INT(P206/20)&gt;INT(P205/20), "Lần " &amp; INT(P206/20), "")</f>
        <v/>
      </c>
      <c r="AB206" s="11">
        <f>IF(INT(Q206/20)&gt;INT(Q205/20), "Lần " &amp; INT(Q206/20), "")</f>
        <v/>
      </c>
      <c r="AC206" s="11">
        <f>IF(INT(R206/20)&gt;INT(R205/20), "Lần " &amp; INT(R206/20), "")</f>
        <v/>
      </c>
      <c r="AD206" s="11">
        <f>IF(INT(S206/20)&gt;INT(S205/20), "Lần " &amp; INT(S206/20), "")</f>
        <v/>
      </c>
      <c r="AE206" s="11">
        <f>IF(INT(T206/20)&gt;INT(T205/20), "Lần " &amp; INT(T206/20), "")</f>
        <v/>
      </c>
      <c r="AF206" s="11">
        <f>IF(INT(U206/20)&gt;INT(U205/20), "Lần " &amp; INT(U206/20), "")</f>
        <v/>
      </c>
      <c r="AG206" s="11">
        <f>IF(INT(V206/20)&gt;INT(V205/20), "Lần " &amp; INT(V206/20), "")</f>
        <v/>
      </c>
      <c r="AH206" s="11">
        <f>IF(INT(W206/20)&gt;INT(W205/20), "Lần " &amp; INT(W206/20), "")</f>
        <v/>
      </c>
      <c r="AI206" s="11">
        <f>IF(INT(X206/20)&gt;INT(X205/20), "Lần " &amp; INT(X206/20), "")</f>
        <v/>
      </c>
      <c r="AJ206" s="11">
        <f>IF(INT(Y206/20)&gt;INT(Y205/20), "Lần " &amp; INT(Y206/20), "")</f>
        <v/>
      </c>
      <c r="AK206" s="11">
        <f>IF(INT(Z206/20)&gt;INT(Z205/20), "Lần " &amp; INT(Z206/20), "")</f>
        <v/>
      </c>
      <c r="AL206" s="6" t="inlineStr">
        <is>
          <t>ĐẠT TCVN 1651:2018</t>
        </is>
      </c>
    </row>
    <row r="207" ht="19" customHeight="1">
      <c r="A207" s="6" t="n">
        <v>191</v>
      </c>
      <c r="B207" s="7" t="inlineStr">
        <is>
          <t>Cọc khoan nhồi C2 Trụ T2 (D1.2m, L=30.0m)</t>
        </is>
      </c>
      <c r="C207" s="7" t="inlineStr">
        <is>
          <t>Thanh thép treo lồng cọc</t>
        </is>
      </c>
      <c r="D207" s="18" t="inlineStr">
        <is>
          <t>P11</t>
        </is>
      </c>
      <c r="E207" s="19" t="n">
        <v>16</v>
      </c>
      <c r="F207" s="6" t="inlineStr">
        <is>
          <t>CB400-V</t>
        </is>
      </c>
      <c r="G207" s="7" t="inlineStr">
        <is>
          <t>Thanh treo lồng (bảng phụ tr.70)</t>
        </is>
      </c>
      <c r="H207" s="20" t="n">
        <v>2.604</v>
      </c>
      <c r="I207" s="21" t="n">
        <v>4</v>
      </c>
      <c r="J207" s="22" t="n">
        <v>1.58</v>
      </c>
      <c r="K207" s="9">
        <f>ROUND(H207*I207*J207, 2)</f>
        <v/>
      </c>
      <c r="L207" s="23">
        <f>ROUND(K207/1000, 3)</f>
        <v/>
      </c>
      <c r="M207" s="8" t="n"/>
      <c r="N207" s="6" t="n"/>
      <c r="O207" s="24">
        <f>IF(AND(E207&lt;=10, F207&lt;&gt;"ASTM A416", INT(P207/20)&gt;INT(P206/20)), "TN Ø10 (Lần " &amp; INT(P207/20) &amp; ")", IF(AND(E207=12, INT(Q207/20)&gt;INT(Q206/20)), "TN Ø12 (Lần " &amp; INT(Q207/20) &amp; ")", IF(AND(E207=14, INT(R207/20)&gt;INT(R206/20)), "TN Ø14 (Lần " &amp; INT(R207/20) &amp; ")", IF(AND(E207=16, INT(S207/20)&gt;INT(S206/20)), "TN Ø16 (Lần " &amp; INT(S207/20) &amp; ")", IF(AND(E207=18, INT(T207/20)&gt;INT(T206/20)), "TN Ø18 (Lần " &amp; INT(T207/20) &amp; ")", IF(AND(E207=20, INT(U207/20)&gt;INT(U206/20)), "TN Ø20 (Lần " &amp; INT(U207/20) &amp; ")", IF(AND(E207=22, INT(V207/20)&gt;INT(V206/20)), "TN Ø22 (Lần " &amp; INT(V207/20) &amp; ")", IF(AND(E207=25, INT(W207/20)&gt;INT(W206/20)), "TN Ø25 (Lần " &amp; INT(W207/20) &amp; ")", IF(AND(E207=28, INT(X207/20)&gt;INT(X206/20)), "TN Ø28 (Lần " &amp; INT(X207/20) &amp; ")", IF(AND(E207=32, INT(Y207/20)&gt;INT(Y206/20)), "TN Ø32 (Lần " &amp; INT(Y207/20) &amp; ")", IF(AND(F207="ASTM A416", INT(Z207/20)&gt;INT(Z206/20)), "TN Cáp 15.2 (Lần " &amp; INT(Z207/20) &amp; ")", "")))))))))))</f>
        <v/>
      </c>
      <c r="P207" s="20">
        <f>ROUND(P206 + IF(AND(E207&lt;=10, F207&lt;&gt;"ASTM A416"), L207, 0), 3)</f>
        <v/>
      </c>
      <c r="Q207" s="20">
        <f>ROUND(Q206 + IF(AND(E207=12, F207&lt;&gt;"ASTM A416"), L207, 0), 3)</f>
        <v/>
      </c>
      <c r="R207" s="20">
        <f>ROUND(R206 + IF(AND(E207=14, F207&lt;&gt;"ASTM A416"), L207, 0), 3)</f>
        <v/>
      </c>
      <c r="S207" s="20">
        <f>ROUND(S206 + IF(AND(E207=16, F207&lt;&gt;"ASTM A416"), L207, 0), 3)</f>
        <v/>
      </c>
      <c r="T207" s="20">
        <f>ROUND(T206 + IF(AND(E207=18, F207&lt;&gt;"ASTM A416"), L207, 0), 3)</f>
        <v/>
      </c>
      <c r="U207" s="20">
        <f>ROUND(U206 + IF(AND(E207=20, F207&lt;&gt;"ASTM A416"), L207, 0), 3)</f>
        <v/>
      </c>
      <c r="V207" s="20">
        <f>ROUND(V206 + IF(AND(E207=22, F207&lt;&gt;"ASTM A416"), L207, 0), 3)</f>
        <v/>
      </c>
      <c r="W207" s="20">
        <f>ROUND(W206 + IF(AND(E207=25, F207&lt;&gt;"ASTM A416"), L207, 0), 3)</f>
        <v/>
      </c>
      <c r="X207" s="20">
        <f>ROUND(X206 + IF(AND(E207=28, F207&lt;&gt;"ASTM A416"), L207, 0), 3)</f>
        <v/>
      </c>
      <c r="Y207" s="20">
        <f>ROUND(Y206 + IF(AND(E207=32, F207&lt;&gt;"ASTM A416"), L207, 0), 3)</f>
        <v/>
      </c>
      <c r="Z207" s="20">
        <f>ROUND(Z206 + IF(F207="ASTM A416", L207, 0), 3)</f>
        <v/>
      </c>
      <c r="AA207" s="11">
        <f>IF(INT(P207/20)&gt;INT(P206/20), "Lần " &amp; INT(P207/20), "")</f>
        <v/>
      </c>
      <c r="AB207" s="11">
        <f>IF(INT(Q207/20)&gt;INT(Q206/20), "Lần " &amp; INT(Q207/20), "")</f>
        <v/>
      </c>
      <c r="AC207" s="11">
        <f>IF(INT(R207/20)&gt;INT(R206/20), "Lần " &amp; INT(R207/20), "")</f>
        <v/>
      </c>
      <c r="AD207" s="11">
        <f>IF(INT(S207/20)&gt;INT(S206/20), "Lần " &amp; INT(S207/20), "")</f>
        <v/>
      </c>
      <c r="AE207" s="11">
        <f>IF(INT(T207/20)&gt;INT(T206/20), "Lần " &amp; INT(T207/20), "")</f>
        <v/>
      </c>
      <c r="AF207" s="11">
        <f>IF(INT(U207/20)&gt;INT(U206/20), "Lần " &amp; INT(U207/20), "")</f>
        <v/>
      </c>
      <c r="AG207" s="11">
        <f>IF(INT(V207/20)&gt;INT(V206/20), "Lần " &amp; INT(V207/20), "")</f>
        <v/>
      </c>
      <c r="AH207" s="11">
        <f>IF(INT(W207/20)&gt;INT(W206/20), "Lần " &amp; INT(W207/20), "")</f>
        <v/>
      </c>
      <c r="AI207" s="11">
        <f>IF(INT(X207/20)&gt;INT(X206/20), "Lần " &amp; INT(X207/20), "")</f>
        <v/>
      </c>
      <c r="AJ207" s="11">
        <f>IF(INT(Y207/20)&gt;INT(Y206/20), "Lần " &amp; INT(Y207/20), "")</f>
        <v/>
      </c>
      <c r="AK207" s="11">
        <f>IF(INT(Z207/20)&gt;INT(Z206/20), "Lần " &amp; INT(Z207/20), "")</f>
        <v/>
      </c>
      <c r="AL207" s="6" t="inlineStr">
        <is>
          <t>ĐẠT TCVN 1651:2018</t>
        </is>
      </c>
    </row>
    <row r="208" ht="19" customHeight="1">
      <c r="A208" s="6" t="n">
        <v>192</v>
      </c>
      <c r="B208" s="7" t="inlineStr">
        <is>
          <t>Cọc khoan nhồi C2 Trụ T2 (D1.2m, L=30.0m)</t>
        </is>
      </c>
      <c r="C208" s="7" t="inlineStr">
        <is>
          <t>Thép đai xoắn lồng cọc</t>
        </is>
      </c>
      <c r="D208" s="18" t="inlineStr">
        <is>
          <t>P12</t>
        </is>
      </c>
      <c r="E208" s="19" t="n">
        <v>20</v>
      </c>
      <c r="F208" s="6" t="inlineStr">
        <is>
          <t>CB400-V</t>
        </is>
      </c>
      <c r="G208" s="7" t="inlineStr">
        <is>
          <t>Đai xoắn tròn</t>
        </is>
      </c>
      <c r="H208" s="20" t="n">
        <v>0.583</v>
      </c>
      <c r="I208" s="21" t="n">
        <v>48</v>
      </c>
      <c r="J208" s="22" t="n">
        <v>2.47</v>
      </c>
      <c r="K208" s="9">
        <f>ROUND(H208*I208*J208, 2)</f>
        <v/>
      </c>
      <c r="L208" s="23">
        <f>ROUND(K208/1000, 3)</f>
        <v/>
      </c>
      <c r="M208" s="8" t="n"/>
      <c r="N208" s="6" t="n"/>
      <c r="O208" s="24">
        <f>IF(AND(E208&lt;=10, F208&lt;&gt;"ASTM A416", INT(P208/20)&gt;INT(P207/20)), "TN Ø10 (Lần " &amp; INT(P208/20) &amp; ")", IF(AND(E208=12, INT(Q208/20)&gt;INT(Q207/20)), "TN Ø12 (Lần " &amp; INT(Q208/20) &amp; ")", IF(AND(E208=14, INT(R208/20)&gt;INT(R207/20)), "TN Ø14 (Lần " &amp; INT(R208/20) &amp; ")", IF(AND(E208=16, INT(S208/20)&gt;INT(S207/20)), "TN Ø16 (Lần " &amp; INT(S208/20) &amp; ")", IF(AND(E208=18, INT(T208/20)&gt;INT(T207/20)), "TN Ø18 (Lần " &amp; INT(T208/20) &amp; ")", IF(AND(E208=20, INT(U208/20)&gt;INT(U207/20)), "TN Ø20 (Lần " &amp; INT(U208/20) &amp; ")", IF(AND(E208=22, INT(V208/20)&gt;INT(V207/20)), "TN Ø22 (Lần " &amp; INT(V208/20) &amp; ")", IF(AND(E208=25, INT(W208/20)&gt;INT(W207/20)), "TN Ø25 (Lần " &amp; INT(W208/20) &amp; ")", IF(AND(E208=28, INT(X208/20)&gt;INT(X207/20)), "TN Ø28 (Lần " &amp; INT(X208/20) &amp; ")", IF(AND(E208=32, INT(Y208/20)&gt;INT(Y207/20)), "TN Ø32 (Lần " &amp; INT(Y208/20) &amp; ")", IF(AND(F208="ASTM A416", INT(Z208/20)&gt;INT(Z207/20)), "TN Cáp 15.2 (Lần " &amp; INT(Z208/20) &amp; ")", "")))))))))))</f>
        <v/>
      </c>
      <c r="P208" s="20">
        <f>ROUND(P207 + IF(AND(E208&lt;=10, F208&lt;&gt;"ASTM A416"), L208, 0), 3)</f>
        <v/>
      </c>
      <c r="Q208" s="20">
        <f>ROUND(Q207 + IF(AND(E208=12, F208&lt;&gt;"ASTM A416"), L208, 0), 3)</f>
        <v/>
      </c>
      <c r="R208" s="20">
        <f>ROUND(R207 + IF(AND(E208=14, F208&lt;&gt;"ASTM A416"), L208, 0), 3)</f>
        <v/>
      </c>
      <c r="S208" s="20">
        <f>ROUND(S207 + IF(AND(E208=16, F208&lt;&gt;"ASTM A416"), L208, 0), 3)</f>
        <v/>
      </c>
      <c r="T208" s="20">
        <f>ROUND(T207 + IF(AND(E208=18, F208&lt;&gt;"ASTM A416"), L208, 0), 3)</f>
        <v/>
      </c>
      <c r="U208" s="20">
        <f>ROUND(U207 + IF(AND(E208=20, F208&lt;&gt;"ASTM A416"), L208, 0), 3)</f>
        <v/>
      </c>
      <c r="V208" s="20">
        <f>ROUND(V207 + IF(AND(E208=22, F208&lt;&gt;"ASTM A416"), L208, 0), 3)</f>
        <v/>
      </c>
      <c r="W208" s="20">
        <f>ROUND(W207 + IF(AND(E208=25, F208&lt;&gt;"ASTM A416"), L208, 0), 3)</f>
        <v/>
      </c>
      <c r="X208" s="20">
        <f>ROUND(X207 + IF(AND(E208=28, F208&lt;&gt;"ASTM A416"), L208, 0), 3)</f>
        <v/>
      </c>
      <c r="Y208" s="20">
        <f>ROUND(Y207 + IF(AND(E208=32, F208&lt;&gt;"ASTM A416"), L208, 0), 3)</f>
        <v/>
      </c>
      <c r="Z208" s="20">
        <f>ROUND(Z207 + IF(F208="ASTM A416", L208, 0), 3)</f>
        <v/>
      </c>
      <c r="AA208" s="11">
        <f>IF(INT(P208/20)&gt;INT(P207/20), "Lần " &amp; INT(P208/20), "")</f>
        <v/>
      </c>
      <c r="AB208" s="11">
        <f>IF(INT(Q208/20)&gt;INT(Q207/20), "Lần " &amp; INT(Q208/20), "")</f>
        <v/>
      </c>
      <c r="AC208" s="11">
        <f>IF(INT(R208/20)&gt;INT(R207/20), "Lần " &amp; INT(R208/20), "")</f>
        <v/>
      </c>
      <c r="AD208" s="11">
        <f>IF(INT(S208/20)&gt;INT(S207/20), "Lần " &amp; INT(S208/20), "")</f>
        <v/>
      </c>
      <c r="AE208" s="11">
        <f>IF(INT(T208/20)&gt;INT(T207/20), "Lần " &amp; INT(T208/20), "")</f>
        <v/>
      </c>
      <c r="AF208" s="11">
        <f>IF(INT(U208/20)&gt;INT(U207/20), "Lần " &amp; INT(U208/20), "")</f>
        <v/>
      </c>
      <c r="AG208" s="11">
        <f>IF(INT(V208/20)&gt;INT(V207/20), "Lần " &amp; INT(V208/20), "")</f>
        <v/>
      </c>
      <c r="AH208" s="11">
        <f>IF(INT(W208/20)&gt;INT(W207/20), "Lần " &amp; INT(W208/20), "")</f>
        <v/>
      </c>
      <c r="AI208" s="11">
        <f>IF(INT(X208/20)&gt;INT(X207/20), "Lần " &amp; INT(X208/20), "")</f>
        <v/>
      </c>
      <c r="AJ208" s="11">
        <f>IF(INT(Y208/20)&gt;INT(Y207/20), "Lần " &amp; INT(Y208/20), "")</f>
        <v/>
      </c>
      <c r="AK208" s="11">
        <f>IF(INT(Z208/20)&gt;INT(Z207/20), "Lần " &amp; INT(Z208/20), "")</f>
        <v/>
      </c>
      <c r="AL208" s="6" t="inlineStr">
        <is>
          <t>ĐẠT TCVN 1651:2018</t>
        </is>
      </c>
    </row>
    <row r="209" ht="20" customHeight="1">
      <c r="A209" s="17" t="inlineStr">
        <is>
          <t>--- CỌC KHOAN NHỒI C3 TRỤ T2 (D1.2M, L=30.0M) ---</t>
        </is>
      </c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</row>
    <row r="210" ht="19" customHeight="1">
      <c r="A210" s="6" t="n">
        <v>193</v>
      </c>
      <c r="B210" s="7" t="inlineStr">
        <is>
          <t>Cọc khoan nhồi C3 Trụ T2 (D1.2m, L=30.0m)</t>
        </is>
      </c>
      <c r="C210" s="7" t="inlineStr">
        <is>
          <t>Thép đai xoắn lồng cọc</t>
        </is>
      </c>
      <c r="D210" s="18" t="inlineStr">
        <is>
          <t>P1</t>
        </is>
      </c>
      <c r="E210" s="19" t="n">
        <v>10</v>
      </c>
      <c r="F210" s="6" t="inlineStr">
        <is>
          <t>CB240-T</t>
        </is>
      </c>
      <c r="G210" s="7" t="inlineStr">
        <is>
          <t>Đai xoắn tròn</t>
        </is>
      </c>
      <c r="H210" s="20" t="n">
        <v>96.604</v>
      </c>
      <c r="I210" s="21" t="n">
        <v>1</v>
      </c>
      <c r="J210" s="22" t="n">
        <v>0.617</v>
      </c>
      <c r="K210" s="9">
        <f>ROUND(H210*I210*J210, 2)</f>
        <v/>
      </c>
      <c r="L210" s="23">
        <f>ROUND(K210/1000, 3)</f>
        <v/>
      </c>
      <c r="M210" s="8" t="n"/>
      <c r="N210" s="6" t="n"/>
      <c r="O210" s="24">
        <f>IF(AND(E210&lt;=10, F210&lt;&gt;"ASTM A416", INT(P210/20)&gt;INT(P208/20)), "TN Ø10 (Lần " &amp; INT(P210/20) &amp; ")", IF(AND(E210=12, INT(Q210/20)&gt;INT(Q208/20)), "TN Ø12 (Lần " &amp; INT(Q210/20) &amp; ")", IF(AND(E210=14, INT(R210/20)&gt;INT(R208/20)), "TN Ø14 (Lần " &amp; INT(R210/20) &amp; ")", IF(AND(E210=16, INT(S210/20)&gt;INT(S208/20)), "TN Ø16 (Lần " &amp; INT(S210/20) &amp; ")", IF(AND(E210=18, INT(T210/20)&gt;INT(T208/20)), "TN Ø18 (Lần " &amp; INT(T210/20) &amp; ")", IF(AND(E210=20, INT(U210/20)&gt;INT(U208/20)), "TN Ø20 (Lần " &amp; INT(U210/20) &amp; ")", IF(AND(E210=22, INT(V210/20)&gt;INT(V208/20)), "TN Ø22 (Lần " &amp; INT(V210/20) &amp; ")", IF(AND(E210=25, INT(W210/20)&gt;INT(W208/20)), "TN Ø25 (Lần " &amp; INT(W210/20) &amp; ")", IF(AND(E210=28, INT(X210/20)&gt;INT(X208/20)), "TN Ø28 (Lần " &amp; INT(X210/20) &amp; ")", IF(AND(E210=32, INT(Y210/20)&gt;INT(Y208/20)), "TN Ø32 (Lần " &amp; INT(Y210/20) &amp; ")", IF(AND(F210="ASTM A416", INT(Z210/20)&gt;INT(Z208/20)), "TN Cáp 15.2 (Lần " &amp; INT(Z210/20) &amp; ")", "")))))))))))</f>
        <v/>
      </c>
      <c r="P210" s="20">
        <f>ROUND(P208 + IF(AND(E210&lt;=10, F210&lt;&gt;"ASTM A416"), L210, 0), 3)</f>
        <v/>
      </c>
      <c r="Q210" s="20">
        <f>ROUND(Q208 + IF(AND(E210=12, F210&lt;&gt;"ASTM A416"), L210, 0), 3)</f>
        <v/>
      </c>
      <c r="R210" s="20">
        <f>ROUND(R208 + IF(AND(E210=14, F210&lt;&gt;"ASTM A416"), L210, 0), 3)</f>
        <v/>
      </c>
      <c r="S210" s="20">
        <f>ROUND(S208 + IF(AND(E210=16, F210&lt;&gt;"ASTM A416"), L210, 0), 3)</f>
        <v/>
      </c>
      <c r="T210" s="20">
        <f>ROUND(T208 + IF(AND(E210=18, F210&lt;&gt;"ASTM A416"), L210, 0), 3)</f>
        <v/>
      </c>
      <c r="U210" s="20">
        <f>ROUND(U208 + IF(AND(E210=20, F210&lt;&gt;"ASTM A416"), L210, 0), 3)</f>
        <v/>
      </c>
      <c r="V210" s="20">
        <f>ROUND(V208 + IF(AND(E210=22, F210&lt;&gt;"ASTM A416"), L210, 0), 3)</f>
        <v/>
      </c>
      <c r="W210" s="20">
        <f>ROUND(W208 + IF(AND(E210=25, F210&lt;&gt;"ASTM A416"), L210, 0), 3)</f>
        <v/>
      </c>
      <c r="X210" s="20">
        <f>ROUND(X208 + IF(AND(E210=28, F210&lt;&gt;"ASTM A416"), L210, 0), 3)</f>
        <v/>
      </c>
      <c r="Y210" s="20">
        <f>ROUND(Y208 + IF(AND(E210=32, F210&lt;&gt;"ASTM A416"), L210, 0), 3)</f>
        <v/>
      </c>
      <c r="Z210" s="20">
        <f>ROUND(Z208 + IF(F210="ASTM A416", L210, 0), 3)</f>
        <v/>
      </c>
      <c r="AA210" s="11">
        <f>IF(INT(P210/20)&gt;INT(P208/20), "Lần " &amp; INT(P210/20), "")</f>
        <v/>
      </c>
      <c r="AB210" s="11">
        <f>IF(INT(Q210/20)&gt;INT(Q208/20), "Lần " &amp; INT(Q210/20), "")</f>
        <v/>
      </c>
      <c r="AC210" s="11">
        <f>IF(INT(R210/20)&gt;INT(R208/20), "Lần " &amp; INT(R210/20), "")</f>
        <v/>
      </c>
      <c r="AD210" s="11">
        <f>IF(INT(S210/20)&gt;INT(S208/20), "Lần " &amp; INT(S210/20), "")</f>
        <v/>
      </c>
      <c r="AE210" s="11">
        <f>IF(INT(T210/20)&gt;INT(T208/20), "Lần " &amp; INT(T210/20), "")</f>
        <v/>
      </c>
      <c r="AF210" s="11">
        <f>IF(INT(U210/20)&gt;INT(U208/20), "Lần " &amp; INT(U210/20), "")</f>
        <v/>
      </c>
      <c r="AG210" s="11">
        <f>IF(INT(V210/20)&gt;INT(V208/20), "Lần " &amp; INT(V210/20), "")</f>
        <v/>
      </c>
      <c r="AH210" s="11">
        <f>IF(INT(W210/20)&gt;INT(W208/20), "Lần " &amp; INT(W210/20), "")</f>
        <v/>
      </c>
      <c r="AI210" s="11">
        <f>IF(INT(X210/20)&gt;INT(X208/20), "Lần " &amp; INT(X210/20), "")</f>
        <v/>
      </c>
      <c r="AJ210" s="11">
        <f>IF(INT(Y210/20)&gt;INT(Y208/20), "Lần " &amp; INT(Y210/20), "")</f>
        <v/>
      </c>
      <c r="AK210" s="11">
        <f>IF(INT(Z210/20)&gt;INT(Z208/20), "Lần " &amp; INT(Z210/20), "")</f>
        <v/>
      </c>
      <c r="AL210" s="6" t="inlineStr">
        <is>
          <t>ĐẠT TCVN 1651:2018</t>
        </is>
      </c>
    </row>
    <row r="211" ht="19" customHeight="1">
      <c r="A211" s="6" t="n">
        <v>194</v>
      </c>
      <c r="B211" s="7" t="inlineStr">
        <is>
          <t>Cọc khoan nhồi C3 Trụ T2 (D1.2m, L=30.0m)</t>
        </is>
      </c>
      <c r="C211" s="7" t="inlineStr">
        <is>
          <t>Thép đai xoắn lồng cọc</t>
        </is>
      </c>
      <c r="D211" s="18" t="inlineStr">
        <is>
          <t>P1A</t>
        </is>
      </c>
      <c r="E211" s="19" t="n">
        <v>10</v>
      </c>
      <c r="F211" s="6" t="inlineStr">
        <is>
          <t>CB240-T</t>
        </is>
      </c>
      <c r="G211" s="7" t="inlineStr">
        <is>
          <t>Đai xoắn tròn</t>
        </is>
      </c>
      <c r="H211" s="20" t="n">
        <v>389.636</v>
      </c>
      <c r="I211" s="21" t="n">
        <v>1</v>
      </c>
      <c r="J211" s="22" t="n">
        <v>0.617</v>
      </c>
      <c r="K211" s="9">
        <f>ROUND(H211*I211*J211, 2)</f>
        <v/>
      </c>
      <c r="L211" s="23">
        <f>ROUND(K211/1000, 3)</f>
        <v/>
      </c>
      <c r="M211" s="8" t="n"/>
      <c r="N211" s="6" t="n"/>
      <c r="O211" s="24">
        <f>IF(AND(E211&lt;=10, F211&lt;&gt;"ASTM A416", INT(P211/20)&gt;INT(P210/20)), "TN Ø10 (Lần " &amp; INT(P211/20) &amp; ")", IF(AND(E211=12, INT(Q211/20)&gt;INT(Q210/20)), "TN Ø12 (Lần " &amp; INT(Q211/20) &amp; ")", IF(AND(E211=14, INT(R211/20)&gt;INT(R210/20)), "TN Ø14 (Lần " &amp; INT(R211/20) &amp; ")", IF(AND(E211=16, INT(S211/20)&gt;INT(S210/20)), "TN Ø16 (Lần " &amp; INT(S211/20) &amp; ")", IF(AND(E211=18, INT(T211/20)&gt;INT(T210/20)), "TN Ø18 (Lần " &amp; INT(T211/20) &amp; ")", IF(AND(E211=20, INT(U211/20)&gt;INT(U210/20)), "TN Ø20 (Lần " &amp; INT(U211/20) &amp; ")", IF(AND(E211=22, INT(V211/20)&gt;INT(V210/20)), "TN Ø22 (Lần " &amp; INT(V211/20) &amp; ")", IF(AND(E211=25, INT(W211/20)&gt;INT(W210/20)), "TN Ø25 (Lần " &amp; INT(W211/20) &amp; ")", IF(AND(E211=28, INT(X211/20)&gt;INT(X210/20)), "TN Ø28 (Lần " &amp; INT(X211/20) &amp; ")", IF(AND(E211=32, INT(Y211/20)&gt;INT(Y210/20)), "TN Ø32 (Lần " &amp; INT(Y211/20) &amp; ")", IF(AND(F211="ASTM A416", INT(Z211/20)&gt;INT(Z210/20)), "TN Cáp 15.2 (Lần " &amp; INT(Z211/20) &amp; ")", "")))))))))))</f>
        <v/>
      </c>
      <c r="P211" s="20">
        <f>ROUND(P210 + IF(AND(E211&lt;=10, F211&lt;&gt;"ASTM A416"), L211, 0), 3)</f>
        <v/>
      </c>
      <c r="Q211" s="20">
        <f>ROUND(Q210 + IF(AND(E211=12, F211&lt;&gt;"ASTM A416"), L211, 0), 3)</f>
        <v/>
      </c>
      <c r="R211" s="20">
        <f>ROUND(R210 + IF(AND(E211=14, F211&lt;&gt;"ASTM A416"), L211, 0), 3)</f>
        <v/>
      </c>
      <c r="S211" s="20">
        <f>ROUND(S210 + IF(AND(E211=16, F211&lt;&gt;"ASTM A416"), L211, 0), 3)</f>
        <v/>
      </c>
      <c r="T211" s="20">
        <f>ROUND(T210 + IF(AND(E211=18, F211&lt;&gt;"ASTM A416"), L211, 0), 3)</f>
        <v/>
      </c>
      <c r="U211" s="20">
        <f>ROUND(U210 + IF(AND(E211=20, F211&lt;&gt;"ASTM A416"), L211, 0), 3)</f>
        <v/>
      </c>
      <c r="V211" s="20">
        <f>ROUND(V210 + IF(AND(E211=22, F211&lt;&gt;"ASTM A416"), L211, 0), 3)</f>
        <v/>
      </c>
      <c r="W211" s="20">
        <f>ROUND(W210 + IF(AND(E211=25, F211&lt;&gt;"ASTM A416"), L211, 0), 3)</f>
        <v/>
      </c>
      <c r="X211" s="20">
        <f>ROUND(X210 + IF(AND(E211=28, F211&lt;&gt;"ASTM A416"), L211, 0), 3)</f>
        <v/>
      </c>
      <c r="Y211" s="20">
        <f>ROUND(Y210 + IF(AND(E211=32, F211&lt;&gt;"ASTM A416"), L211, 0), 3)</f>
        <v/>
      </c>
      <c r="Z211" s="20">
        <f>ROUND(Z210 + IF(F211="ASTM A416", L211, 0), 3)</f>
        <v/>
      </c>
      <c r="AA211" s="11">
        <f>IF(INT(P211/20)&gt;INT(P210/20), "Lần " &amp; INT(P211/20), "")</f>
        <v/>
      </c>
      <c r="AB211" s="11">
        <f>IF(INT(Q211/20)&gt;INT(Q210/20), "Lần " &amp; INT(Q211/20), "")</f>
        <v/>
      </c>
      <c r="AC211" s="11">
        <f>IF(INT(R211/20)&gt;INT(R210/20), "Lần " &amp; INT(R211/20), "")</f>
        <v/>
      </c>
      <c r="AD211" s="11">
        <f>IF(INT(S211/20)&gt;INT(S210/20), "Lần " &amp; INT(S211/20), "")</f>
        <v/>
      </c>
      <c r="AE211" s="11">
        <f>IF(INT(T211/20)&gt;INT(T210/20), "Lần " &amp; INT(T211/20), "")</f>
        <v/>
      </c>
      <c r="AF211" s="11">
        <f>IF(INT(U211/20)&gt;INT(U210/20), "Lần " &amp; INT(U211/20), "")</f>
        <v/>
      </c>
      <c r="AG211" s="11">
        <f>IF(INT(V211/20)&gt;INT(V210/20), "Lần " &amp; INT(V211/20), "")</f>
        <v/>
      </c>
      <c r="AH211" s="11">
        <f>IF(INT(W211/20)&gt;INT(W210/20), "Lần " &amp; INT(W211/20), "")</f>
        <v/>
      </c>
      <c r="AI211" s="11">
        <f>IF(INT(X211/20)&gt;INT(X210/20), "Lần " &amp; INT(X211/20), "")</f>
        <v/>
      </c>
      <c r="AJ211" s="11">
        <f>IF(INT(Y211/20)&gt;INT(Y210/20), "Lần " &amp; INT(Y211/20), "")</f>
        <v/>
      </c>
      <c r="AK211" s="11">
        <f>IF(INT(Z211/20)&gt;INT(Z210/20), "Lần " &amp; INT(Z211/20), "")</f>
        <v/>
      </c>
      <c r="AL211" s="6" t="inlineStr">
        <is>
          <t>ĐẠT TCVN 1651:2018</t>
        </is>
      </c>
    </row>
    <row r="212" ht="19" customHeight="1">
      <c r="A212" s="6" t="n">
        <v>195</v>
      </c>
      <c r="B212" s="7" t="inlineStr">
        <is>
          <t>Cọc khoan nhồi C3 Trụ T2 (D1.2m, L=30.0m)</t>
        </is>
      </c>
      <c r="C212" s="7" t="inlineStr">
        <is>
          <t>Thép đai xoắn lồng cọc</t>
        </is>
      </c>
      <c r="D212" s="18" t="inlineStr">
        <is>
          <t>P1B</t>
        </is>
      </c>
      <c r="E212" s="19" t="n">
        <v>10</v>
      </c>
      <c r="F212" s="6" t="inlineStr">
        <is>
          <t>CB240-T</t>
        </is>
      </c>
      <c r="G212" s="7" t="inlineStr">
        <is>
          <t>Đai xoắn tròn</t>
        </is>
      </c>
      <c r="H212" s="20" t="n">
        <v>100.256</v>
      </c>
      <c r="I212" s="21" t="n">
        <v>1</v>
      </c>
      <c r="J212" s="22" t="n">
        <v>0.617</v>
      </c>
      <c r="K212" s="9">
        <f>ROUND(H212*I212*J212, 2)</f>
        <v/>
      </c>
      <c r="L212" s="23">
        <f>ROUND(K212/1000, 3)</f>
        <v/>
      </c>
      <c r="M212" s="8" t="n"/>
      <c r="N212" s="6" t="n"/>
      <c r="O212" s="24">
        <f>IF(AND(E212&lt;=10, F212&lt;&gt;"ASTM A416", INT(P212/20)&gt;INT(P211/20)), "TN Ø10 (Lần " &amp; INT(P212/20) &amp; ")", IF(AND(E212=12, INT(Q212/20)&gt;INT(Q211/20)), "TN Ø12 (Lần " &amp; INT(Q212/20) &amp; ")", IF(AND(E212=14, INT(R212/20)&gt;INT(R211/20)), "TN Ø14 (Lần " &amp; INT(R212/20) &amp; ")", IF(AND(E212=16, INT(S212/20)&gt;INT(S211/20)), "TN Ø16 (Lần " &amp; INT(S212/20) &amp; ")", IF(AND(E212=18, INT(T212/20)&gt;INT(T211/20)), "TN Ø18 (Lần " &amp; INT(T212/20) &amp; ")", IF(AND(E212=20, INT(U212/20)&gt;INT(U211/20)), "TN Ø20 (Lần " &amp; INT(U212/20) &amp; ")", IF(AND(E212=22, INT(V212/20)&gt;INT(V211/20)), "TN Ø22 (Lần " &amp; INT(V212/20) &amp; ")", IF(AND(E212=25, INT(W212/20)&gt;INT(W211/20)), "TN Ø25 (Lần " &amp; INT(W212/20) &amp; ")", IF(AND(E212=28, INT(X212/20)&gt;INT(X211/20)), "TN Ø28 (Lần " &amp; INT(X212/20) &amp; ")", IF(AND(E212=32, INT(Y212/20)&gt;INT(Y211/20)), "TN Ø32 (Lần " &amp; INT(Y212/20) &amp; ")", IF(AND(F212="ASTM A416", INT(Z212/20)&gt;INT(Z211/20)), "TN Cáp 15.2 (Lần " &amp; INT(Z212/20) &amp; ")", "")))))))))))</f>
        <v/>
      </c>
      <c r="P212" s="20">
        <f>ROUND(P211 + IF(AND(E212&lt;=10, F212&lt;&gt;"ASTM A416"), L212, 0), 3)</f>
        <v/>
      </c>
      <c r="Q212" s="20">
        <f>ROUND(Q211 + IF(AND(E212=12, F212&lt;&gt;"ASTM A416"), L212, 0), 3)</f>
        <v/>
      </c>
      <c r="R212" s="20">
        <f>ROUND(R211 + IF(AND(E212=14, F212&lt;&gt;"ASTM A416"), L212, 0), 3)</f>
        <v/>
      </c>
      <c r="S212" s="20">
        <f>ROUND(S211 + IF(AND(E212=16, F212&lt;&gt;"ASTM A416"), L212, 0), 3)</f>
        <v/>
      </c>
      <c r="T212" s="20">
        <f>ROUND(T211 + IF(AND(E212=18, F212&lt;&gt;"ASTM A416"), L212, 0), 3)</f>
        <v/>
      </c>
      <c r="U212" s="20">
        <f>ROUND(U211 + IF(AND(E212=20, F212&lt;&gt;"ASTM A416"), L212, 0), 3)</f>
        <v/>
      </c>
      <c r="V212" s="20">
        <f>ROUND(V211 + IF(AND(E212=22, F212&lt;&gt;"ASTM A416"), L212, 0), 3)</f>
        <v/>
      </c>
      <c r="W212" s="20">
        <f>ROUND(W211 + IF(AND(E212=25, F212&lt;&gt;"ASTM A416"), L212, 0), 3)</f>
        <v/>
      </c>
      <c r="X212" s="20">
        <f>ROUND(X211 + IF(AND(E212=28, F212&lt;&gt;"ASTM A416"), L212, 0), 3)</f>
        <v/>
      </c>
      <c r="Y212" s="20">
        <f>ROUND(Y211 + IF(AND(E212=32, F212&lt;&gt;"ASTM A416"), L212, 0), 3)</f>
        <v/>
      </c>
      <c r="Z212" s="20">
        <f>ROUND(Z211 + IF(F212="ASTM A416", L212, 0), 3)</f>
        <v/>
      </c>
      <c r="AA212" s="11">
        <f>IF(INT(P212/20)&gt;INT(P211/20), "Lần " &amp; INT(P212/20), "")</f>
        <v/>
      </c>
      <c r="AB212" s="11">
        <f>IF(INT(Q212/20)&gt;INT(Q211/20), "Lần " &amp; INT(Q212/20), "")</f>
        <v/>
      </c>
      <c r="AC212" s="11">
        <f>IF(INT(R212/20)&gt;INT(R211/20), "Lần " &amp; INT(R212/20), "")</f>
        <v/>
      </c>
      <c r="AD212" s="11">
        <f>IF(INT(S212/20)&gt;INT(S211/20), "Lần " &amp; INT(S212/20), "")</f>
        <v/>
      </c>
      <c r="AE212" s="11">
        <f>IF(INT(T212/20)&gt;INT(T211/20), "Lần " &amp; INT(T212/20), "")</f>
        <v/>
      </c>
      <c r="AF212" s="11">
        <f>IF(INT(U212/20)&gt;INT(U211/20), "Lần " &amp; INT(U212/20), "")</f>
        <v/>
      </c>
      <c r="AG212" s="11">
        <f>IF(INT(V212/20)&gt;INT(V211/20), "Lần " &amp; INT(V212/20), "")</f>
        <v/>
      </c>
      <c r="AH212" s="11">
        <f>IF(INT(W212/20)&gt;INT(W211/20), "Lần " &amp; INT(W212/20), "")</f>
        <v/>
      </c>
      <c r="AI212" s="11">
        <f>IF(INT(X212/20)&gt;INT(X211/20), "Lần " &amp; INT(X212/20), "")</f>
        <v/>
      </c>
      <c r="AJ212" s="11">
        <f>IF(INT(Y212/20)&gt;INT(Y211/20), "Lần " &amp; INT(Y212/20), "")</f>
        <v/>
      </c>
      <c r="AK212" s="11">
        <f>IF(INT(Z212/20)&gt;INT(Z211/20), "Lần " &amp; INT(Z212/20), "")</f>
        <v/>
      </c>
      <c r="AL212" s="6" t="inlineStr">
        <is>
          <t>ĐẠT TCVN 1651:2018</t>
        </is>
      </c>
    </row>
    <row r="213" ht="19" customHeight="1">
      <c r="A213" s="6" t="n">
        <v>196</v>
      </c>
      <c r="B213" s="7" t="inlineStr">
        <is>
          <t>Cọc khoan nhồi C3 Trụ T2 (D1.2m, L=30.0m)</t>
        </is>
      </c>
      <c r="C213" s="7" t="inlineStr">
        <is>
          <t>Thép đai xoắn lồng cọc</t>
        </is>
      </c>
      <c r="D213" s="18" t="inlineStr">
        <is>
          <t>P1C</t>
        </is>
      </c>
      <c r="E213" s="19" t="n">
        <v>10</v>
      </c>
      <c r="F213" s="6" t="inlineStr">
        <is>
          <t>CB240-T</t>
        </is>
      </c>
      <c r="G213" s="7" t="inlineStr">
        <is>
          <t>Đai xoắn tròn</t>
        </is>
      </c>
      <c r="H213" s="20" t="n">
        <v>3.592</v>
      </c>
      <c r="I213" s="21" t="n">
        <v>2</v>
      </c>
      <c r="J213" s="22" t="n">
        <v>0.617</v>
      </c>
      <c r="K213" s="9">
        <f>ROUND(H213*I213*J213, 2)</f>
        <v/>
      </c>
      <c r="L213" s="23">
        <f>ROUND(K213/1000, 3)</f>
        <v/>
      </c>
      <c r="M213" s="8" t="n"/>
      <c r="N213" s="6" t="n"/>
      <c r="O213" s="24">
        <f>IF(AND(E213&lt;=10, F213&lt;&gt;"ASTM A416", INT(P213/20)&gt;INT(P212/20)), "TN Ø10 (Lần " &amp; INT(P213/20) &amp; ")", IF(AND(E213=12, INT(Q213/20)&gt;INT(Q212/20)), "TN Ø12 (Lần " &amp; INT(Q213/20) &amp; ")", IF(AND(E213=14, INT(R213/20)&gt;INT(R212/20)), "TN Ø14 (Lần " &amp; INT(R213/20) &amp; ")", IF(AND(E213=16, INT(S213/20)&gt;INT(S212/20)), "TN Ø16 (Lần " &amp; INT(S213/20) &amp; ")", IF(AND(E213=18, INT(T213/20)&gt;INT(T212/20)), "TN Ø18 (Lần " &amp; INT(T213/20) &amp; ")", IF(AND(E213=20, INT(U213/20)&gt;INT(U212/20)), "TN Ø20 (Lần " &amp; INT(U213/20) &amp; ")", IF(AND(E213=22, INT(V213/20)&gt;INT(V212/20)), "TN Ø22 (Lần " &amp; INT(V213/20) &amp; ")", IF(AND(E213=25, INT(W213/20)&gt;INT(W212/20)), "TN Ø25 (Lần " &amp; INT(W213/20) &amp; ")", IF(AND(E213=28, INT(X213/20)&gt;INT(X212/20)), "TN Ø28 (Lần " &amp; INT(X213/20) &amp; ")", IF(AND(E213=32, INT(Y213/20)&gt;INT(Y212/20)), "TN Ø32 (Lần " &amp; INT(Y213/20) &amp; ")", IF(AND(F213="ASTM A416", INT(Z213/20)&gt;INT(Z212/20)), "TN Cáp 15.2 (Lần " &amp; INT(Z213/20) &amp; ")", "")))))))))))</f>
        <v/>
      </c>
      <c r="P213" s="20">
        <f>ROUND(P212 + IF(AND(E213&lt;=10, F213&lt;&gt;"ASTM A416"), L213, 0), 3)</f>
        <v/>
      </c>
      <c r="Q213" s="20">
        <f>ROUND(Q212 + IF(AND(E213=12, F213&lt;&gt;"ASTM A416"), L213, 0), 3)</f>
        <v/>
      </c>
      <c r="R213" s="20">
        <f>ROUND(R212 + IF(AND(E213=14, F213&lt;&gt;"ASTM A416"), L213, 0), 3)</f>
        <v/>
      </c>
      <c r="S213" s="20">
        <f>ROUND(S212 + IF(AND(E213=16, F213&lt;&gt;"ASTM A416"), L213, 0), 3)</f>
        <v/>
      </c>
      <c r="T213" s="20">
        <f>ROUND(T212 + IF(AND(E213=18, F213&lt;&gt;"ASTM A416"), L213, 0), 3)</f>
        <v/>
      </c>
      <c r="U213" s="20">
        <f>ROUND(U212 + IF(AND(E213=20, F213&lt;&gt;"ASTM A416"), L213, 0), 3)</f>
        <v/>
      </c>
      <c r="V213" s="20">
        <f>ROUND(V212 + IF(AND(E213=22, F213&lt;&gt;"ASTM A416"), L213, 0), 3)</f>
        <v/>
      </c>
      <c r="W213" s="20">
        <f>ROUND(W212 + IF(AND(E213=25, F213&lt;&gt;"ASTM A416"), L213, 0), 3)</f>
        <v/>
      </c>
      <c r="X213" s="20">
        <f>ROUND(X212 + IF(AND(E213=28, F213&lt;&gt;"ASTM A416"), L213, 0), 3)</f>
        <v/>
      </c>
      <c r="Y213" s="20">
        <f>ROUND(Y212 + IF(AND(E213=32, F213&lt;&gt;"ASTM A416"), L213, 0), 3)</f>
        <v/>
      </c>
      <c r="Z213" s="20">
        <f>ROUND(Z212 + IF(F213="ASTM A416", L213, 0), 3)</f>
        <v/>
      </c>
      <c r="AA213" s="11">
        <f>IF(INT(P213/20)&gt;INT(P212/20), "Lần " &amp; INT(P213/20), "")</f>
        <v/>
      </c>
      <c r="AB213" s="11">
        <f>IF(INT(Q213/20)&gt;INT(Q212/20), "Lần " &amp; INT(Q213/20), "")</f>
        <v/>
      </c>
      <c r="AC213" s="11">
        <f>IF(INT(R213/20)&gt;INT(R212/20), "Lần " &amp; INT(R213/20), "")</f>
        <v/>
      </c>
      <c r="AD213" s="11">
        <f>IF(INT(S213/20)&gt;INT(S212/20), "Lần " &amp; INT(S213/20), "")</f>
        <v/>
      </c>
      <c r="AE213" s="11">
        <f>IF(INT(T213/20)&gt;INT(T212/20), "Lần " &amp; INT(T213/20), "")</f>
        <v/>
      </c>
      <c r="AF213" s="11">
        <f>IF(INT(U213/20)&gt;INT(U212/20), "Lần " &amp; INT(U213/20), "")</f>
        <v/>
      </c>
      <c r="AG213" s="11">
        <f>IF(INT(V213/20)&gt;INT(V212/20), "Lần " &amp; INT(V213/20), "")</f>
        <v/>
      </c>
      <c r="AH213" s="11">
        <f>IF(INT(W213/20)&gt;INT(W212/20), "Lần " &amp; INT(W213/20), "")</f>
        <v/>
      </c>
      <c r="AI213" s="11">
        <f>IF(INT(X213/20)&gt;INT(X212/20), "Lần " &amp; INT(X213/20), "")</f>
        <v/>
      </c>
      <c r="AJ213" s="11">
        <f>IF(INT(Y213/20)&gt;INT(Y212/20), "Lần " &amp; INT(Y213/20), "")</f>
        <v/>
      </c>
      <c r="AK213" s="11">
        <f>IF(INT(Z213/20)&gt;INT(Z212/20), "Lần " &amp; INT(Z213/20), "")</f>
        <v/>
      </c>
      <c r="AL213" s="6" t="inlineStr">
        <is>
          <t>ĐẠT TCVN 1651:2018</t>
        </is>
      </c>
    </row>
    <row r="214" ht="19" customHeight="1">
      <c r="A214" s="6" t="n">
        <v>197</v>
      </c>
      <c r="B214" s="7" t="inlineStr">
        <is>
          <t>Cọc khoan nhồi C3 Trụ T2 (D1.2m, L=30.0m)</t>
        </is>
      </c>
      <c r="C214" s="7" t="inlineStr">
        <is>
          <t>Thép đai xoắn lồng cọc</t>
        </is>
      </c>
      <c r="D214" s="18" t="inlineStr">
        <is>
          <t>P1D</t>
        </is>
      </c>
      <c r="E214" s="19" t="n">
        <v>10</v>
      </c>
      <c r="F214" s="6" t="inlineStr">
        <is>
          <t>CB240-T</t>
        </is>
      </c>
      <c r="G214" s="7" t="inlineStr">
        <is>
          <t>Đai xoắn tròn</t>
        </is>
      </c>
      <c r="H214" s="20" t="n">
        <v>19.721</v>
      </c>
      <c r="I214" s="21" t="n">
        <v>1</v>
      </c>
      <c r="J214" s="22" t="n">
        <v>0.617</v>
      </c>
      <c r="K214" s="9">
        <f>ROUND(H214*I214*J214, 2)</f>
        <v/>
      </c>
      <c r="L214" s="23">
        <f>ROUND(K214/1000, 3)</f>
        <v/>
      </c>
      <c r="M214" s="8" t="n"/>
      <c r="N214" s="6" t="n"/>
      <c r="O214" s="24">
        <f>IF(AND(E214&lt;=10, F214&lt;&gt;"ASTM A416", INT(P214/20)&gt;INT(P213/20)), "TN Ø10 (Lần " &amp; INT(P214/20) &amp; ")", IF(AND(E214=12, INT(Q214/20)&gt;INT(Q213/20)), "TN Ø12 (Lần " &amp; INT(Q214/20) &amp; ")", IF(AND(E214=14, INT(R214/20)&gt;INT(R213/20)), "TN Ø14 (Lần " &amp; INT(R214/20) &amp; ")", IF(AND(E214=16, INT(S214/20)&gt;INT(S213/20)), "TN Ø16 (Lần " &amp; INT(S214/20) &amp; ")", IF(AND(E214=18, INT(T214/20)&gt;INT(T213/20)), "TN Ø18 (Lần " &amp; INT(T214/20) &amp; ")", IF(AND(E214=20, INT(U214/20)&gt;INT(U213/20)), "TN Ø20 (Lần " &amp; INT(U214/20) &amp; ")", IF(AND(E214=22, INT(V214/20)&gt;INT(V213/20)), "TN Ø22 (Lần " &amp; INT(V214/20) &amp; ")", IF(AND(E214=25, INT(W214/20)&gt;INT(W213/20)), "TN Ø25 (Lần " &amp; INT(W214/20) &amp; ")", IF(AND(E214=28, INT(X214/20)&gt;INT(X213/20)), "TN Ø28 (Lần " &amp; INT(X214/20) &amp; ")", IF(AND(E214=32, INT(Y214/20)&gt;INT(Y213/20)), "TN Ø32 (Lần " &amp; INT(Y214/20) &amp; ")", IF(AND(F214="ASTM A416", INT(Z214/20)&gt;INT(Z213/20)), "TN Cáp 15.2 (Lần " &amp; INT(Z214/20) &amp; ")", "")))))))))))</f>
        <v/>
      </c>
      <c r="P214" s="20">
        <f>ROUND(P213 + IF(AND(E214&lt;=10, F214&lt;&gt;"ASTM A416"), L214, 0), 3)</f>
        <v/>
      </c>
      <c r="Q214" s="20">
        <f>ROUND(Q213 + IF(AND(E214=12, F214&lt;&gt;"ASTM A416"), L214, 0), 3)</f>
        <v/>
      </c>
      <c r="R214" s="20">
        <f>ROUND(R213 + IF(AND(E214=14, F214&lt;&gt;"ASTM A416"), L214, 0), 3)</f>
        <v/>
      </c>
      <c r="S214" s="20">
        <f>ROUND(S213 + IF(AND(E214=16, F214&lt;&gt;"ASTM A416"), L214, 0), 3)</f>
        <v/>
      </c>
      <c r="T214" s="20">
        <f>ROUND(T213 + IF(AND(E214=18, F214&lt;&gt;"ASTM A416"), L214, 0), 3)</f>
        <v/>
      </c>
      <c r="U214" s="20">
        <f>ROUND(U213 + IF(AND(E214=20, F214&lt;&gt;"ASTM A416"), L214, 0), 3)</f>
        <v/>
      </c>
      <c r="V214" s="20">
        <f>ROUND(V213 + IF(AND(E214=22, F214&lt;&gt;"ASTM A416"), L214, 0), 3)</f>
        <v/>
      </c>
      <c r="W214" s="20">
        <f>ROUND(W213 + IF(AND(E214=25, F214&lt;&gt;"ASTM A416"), L214, 0), 3)</f>
        <v/>
      </c>
      <c r="X214" s="20">
        <f>ROUND(X213 + IF(AND(E214=28, F214&lt;&gt;"ASTM A416"), L214, 0), 3)</f>
        <v/>
      </c>
      <c r="Y214" s="20">
        <f>ROUND(Y213 + IF(AND(E214=32, F214&lt;&gt;"ASTM A416"), L214, 0), 3)</f>
        <v/>
      </c>
      <c r="Z214" s="20">
        <f>ROUND(Z213 + IF(F214="ASTM A416", L214, 0), 3)</f>
        <v/>
      </c>
      <c r="AA214" s="11">
        <f>IF(INT(P214/20)&gt;INT(P213/20), "Lần " &amp; INT(P214/20), "")</f>
        <v/>
      </c>
      <c r="AB214" s="11">
        <f>IF(INT(Q214/20)&gt;INT(Q213/20), "Lần " &amp; INT(Q214/20), "")</f>
        <v/>
      </c>
      <c r="AC214" s="11">
        <f>IF(INT(R214/20)&gt;INT(R213/20), "Lần " &amp; INT(R214/20), "")</f>
        <v/>
      </c>
      <c r="AD214" s="11">
        <f>IF(INT(S214/20)&gt;INT(S213/20), "Lần " &amp; INT(S214/20), "")</f>
        <v/>
      </c>
      <c r="AE214" s="11">
        <f>IF(INT(T214/20)&gt;INT(T213/20), "Lần " &amp; INT(T214/20), "")</f>
        <v/>
      </c>
      <c r="AF214" s="11">
        <f>IF(INT(U214/20)&gt;INT(U213/20), "Lần " &amp; INT(U214/20), "")</f>
        <v/>
      </c>
      <c r="AG214" s="11">
        <f>IF(INT(V214/20)&gt;INT(V213/20), "Lần " &amp; INT(V214/20), "")</f>
        <v/>
      </c>
      <c r="AH214" s="11">
        <f>IF(INT(W214/20)&gt;INT(W213/20), "Lần " &amp; INT(W214/20), "")</f>
        <v/>
      </c>
      <c r="AI214" s="11">
        <f>IF(INT(X214/20)&gt;INT(X213/20), "Lần " &amp; INT(X214/20), "")</f>
        <v/>
      </c>
      <c r="AJ214" s="11">
        <f>IF(INT(Y214/20)&gt;INT(Y213/20), "Lần " &amp; INT(Y214/20), "")</f>
        <v/>
      </c>
      <c r="AK214" s="11">
        <f>IF(INT(Z214/20)&gt;INT(Z213/20), "Lần " &amp; INT(Z214/20), "")</f>
        <v/>
      </c>
      <c r="AL214" s="6" t="inlineStr">
        <is>
          <t>ĐẠT TCVN 1651:2018</t>
        </is>
      </c>
    </row>
    <row r="215" ht="19" customHeight="1">
      <c r="A215" s="6" t="n">
        <v>198</v>
      </c>
      <c r="B215" s="7" t="inlineStr">
        <is>
          <t>Cọc khoan nhồi C3 Trụ T2 (D1.2m, L=30.0m)</t>
        </is>
      </c>
      <c r="C215" s="7" t="inlineStr">
        <is>
          <t>Cốt thép chủ chịu lực cọc</t>
        </is>
      </c>
      <c r="D215" s="18" t="inlineStr">
        <is>
          <t>P2B</t>
        </is>
      </c>
      <c r="E215" s="19" t="n">
        <v>25</v>
      </c>
      <c r="F215" s="6" t="inlineStr">
        <is>
          <t>CB400-V</t>
        </is>
      </c>
      <c r="G215" s="7" t="inlineStr">
        <is>
          <t>Thanh thẳng nối ren/hàn</t>
        </is>
      </c>
      <c r="H215" s="20" t="n">
        <v>2.985</v>
      </c>
      <c r="I215" s="21" t="n">
        <v>12</v>
      </c>
      <c r="J215" s="22" t="n">
        <v>3.85</v>
      </c>
      <c r="K215" s="9">
        <f>ROUND(H215*I215*J215, 2)</f>
        <v/>
      </c>
      <c r="L215" s="23">
        <f>ROUND(K215/1000, 3)</f>
        <v/>
      </c>
      <c r="M215" s="8" t="n"/>
      <c r="N215" s="6" t="n"/>
      <c r="O215" s="24">
        <f>IF(AND(E215&lt;=10, F215&lt;&gt;"ASTM A416", INT(P215/20)&gt;INT(P214/20)), "TN Ø10 (Lần " &amp; INT(P215/20) &amp; ")", IF(AND(E215=12, INT(Q215/20)&gt;INT(Q214/20)), "TN Ø12 (Lần " &amp; INT(Q215/20) &amp; ")", IF(AND(E215=14, INT(R215/20)&gt;INT(R214/20)), "TN Ø14 (Lần " &amp; INT(R215/20) &amp; ")", IF(AND(E215=16, INT(S215/20)&gt;INT(S214/20)), "TN Ø16 (Lần " &amp; INT(S215/20) &amp; ")", IF(AND(E215=18, INT(T215/20)&gt;INT(T214/20)), "TN Ø18 (Lần " &amp; INT(T215/20) &amp; ")", IF(AND(E215=20, INT(U215/20)&gt;INT(U214/20)), "TN Ø20 (Lần " &amp; INT(U215/20) &amp; ")", IF(AND(E215=22, INT(V215/20)&gt;INT(V214/20)), "TN Ø22 (Lần " &amp; INT(V215/20) &amp; ")", IF(AND(E215=25, INT(W215/20)&gt;INT(W214/20)), "TN Ø25 (Lần " &amp; INT(W215/20) &amp; ")", IF(AND(E215=28, INT(X215/20)&gt;INT(X214/20)), "TN Ø28 (Lần " &amp; INT(X215/20) &amp; ")", IF(AND(E215=32, INT(Y215/20)&gt;INT(Y214/20)), "TN Ø32 (Lần " &amp; INT(Y215/20) &amp; ")", IF(AND(F215="ASTM A416", INT(Z215/20)&gt;INT(Z214/20)), "TN Cáp 15.2 (Lần " &amp; INT(Z215/20) &amp; ")", "")))))))))))</f>
        <v/>
      </c>
      <c r="P215" s="20">
        <f>ROUND(P214 + IF(AND(E215&lt;=10, F215&lt;&gt;"ASTM A416"), L215, 0), 3)</f>
        <v/>
      </c>
      <c r="Q215" s="20">
        <f>ROUND(Q214 + IF(AND(E215=12, F215&lt;&gt;"ASTM A416"), L215, 0), 3)</f>
        <v/>
      </c>
      <c r="R215" s="20">
        <f>ROUND(R214 + IF(AND(E215=14, F215&lt;&gt;"ASTM A416"), L215, 0), 3)</f>
        <v/>
      </c>
      <c r="S215" s="20">
        <f>ROUND(S214 + IF(AND(E215=16, F215&lt;&gt;"ASTM A416"), L215, 0), 3)</f>
        <v/>
      </c>
      <c r="T215" s="20">
        <f>ROUND(T214 + IF(AND(E215=18, F215&lt;&gt;"ASTM A416"), L215, 0), 3)</f>
        <v/>
      </c>
      <c r="U215" s="20">
        <f>ROUND(U214 + IF(AND(E215=20, F215&lt;&gt;"ASTM A416"), L215, 0), 3)</f>
        <v/>
      </c>
      <c r="V215" s="20">
        <f>ROUND(V214 + IF(AND(E215=22, F215&lt;&gt;"ASTM A416"), L215, 0), 3)</f>
        <v/>
      </c>
      <c r="W215" s="20">
        <f>ROUND(W214 + IF(AND(E215=25, F215&lt;&gt;"ASTM A416"), L215, 0), 3)</f>
        <v/>
      </c>
      <c r="X215" s="20">
        <f>ROUND(X214 + IF(AND(E215=28, F215&lt;&gt;"ASTM A416"), L215, 0), 3)</f>
        <v/>
      </c>
      <c r="Y215" s="20">
        <f>ROUND(Y214 + IF(AND(E215=32, F215&lt;&gt;"ASTM A416"), L215, 0), 3)</f>
        <v/>
      </c>
      <c r="Z215" s="20">
        <f>ROUND(Z214 + IF(F215="ASTM A416", L215, 0), 3)</f>
        <v/>
      </c>
      <c r="AA215" s="11">
        <f>IF(INT(P215/20)&gt;INT(P214/20), "Lần " &amp; INT(P215/20), "")</f>
        <v/>
      </c>
      <c r="AB215" s="11">
        <f>IF(INT(Q215/20)&gt;INT(Q214/20), "Lần " &amp; INT(Q215/20), "")</f>
        <v/>
      </c>
      <c r="AC215" s="11">
        <f>IF(INT(R215/20)&gt;INT(R214/20), "Lần " &amp; INT(R215/20), "")</f>
        <v/>
      </c>
      <c r="AD215" s="11">
        <f>IF(INT(S215/20)&gt;INT(S214/20), "Lần " &amp; INT(S215/20), "")</f>
        <v/>
      </c>
      <c r="AE215" s="11">
        <f>IF(INT(T215/20)&gt;INT(T214/20), "Lần " &amp; INT(T215/20), "")</f>
        <v/>
      </c>
      <c r="AF215" s="11">
        <f>IF(INT(U215/20)&gt;INT(U214/20), "Lần " &amp; INT(U215/20), "")</f>
        <v/>
      </c>
      <c r="AG215" s="11">
        <f>IF(INT(V215/20)&gt;INT(V214/20), "Lần " &amp; INT(V215/20), "")</f>
        <v/>
      </c>
      <c r="AH215" s="11">
        <f>IF(INT(W215/20)&gt;INT(W214/20), "Lần " &amp; INT(W215/20), "")</f>
        <v/>
      </c>
      <c r="AI215" s="11">
        <f>IF(INT(X215/20)&gt;INT(X214/20), "Lần " &amp; INT(X215/20), "")</f>
        <v/>
      </c>
      <c r="AJ215" s="11">
        <f>IF(INT(Y215/20)&gt;INT(Y214/20), "Lần " &amp; INT(Y215/20), "")</f>
        <v/>
      </c>
      <c r="AK215" s="11">
        <f>IF(INT(Z215/20)&gt;INT(Z214/20), "Lần " &amp; INT(Z215/20), "")</f>
        <v/>
      </c>
      <c r="AL215" s="6" t="inlineStr">
        <is>
          <t>ĐẠT TCVN 1651:2018</t>
        </is>
      </c>
    </row>
    <row r="216" ht="19" customHeight="1">
      <c r="A216" s="6" t="n">
        <v>199</v>
      </c>
      <c r="B216" s="7" t="inlineStr">
        <is>
          <t>Cọc khoan nhồi C3 Trụ T2 (D1.2m, L=30.0m)</t>
        </is>
      </c>
      <c r="C216" s="7" t="inlineStr">
        <is>
          <t>Cốt thép chủ chịu lực cọc</t>
        </is>
      </c>
      <c r="D216" s="18" t="inlineStr">
        <is>
          <t>P3</t>
        </is>
      </c>
      <c r="E216" s="19" t="n">
        <v>25</v>
      </c>
      <c r="F216" s="6" t="inlineStr">
        <is>
          <t>CB400-V</t>
        </is>
      </c>
      <c r="G216" s="7" t="inlineStr">
        <is>
          <t>Thanh thẳng nối ren/hàn</t>
        </is>
      </c>
      <c r="H216" s="20" t="n">
        <v>10.7</v>
      </c>
      <c r="I216" s="21" t="n">
        <v>12</v>
      </c>
      <c r="J216" s="22" t="n">
        <v>3.85</v>
      </c>
      <c r="K216" s="9">
        <f>ROUND(H216*I216*J216, 2)</f>
        <v/>
      </c>
      <c r="L216" s="23">
        <f>ROUND(K216/1000, 3)</f>
        <v/>
      </c>
      <c r="M216" s="8" t="n"/>
      <c r="N216" s="6" t="n"/>
      <c r="O216" s="24">
        <f>IF(AND(E216&lt;=10, F216&lt;&gt;"ASTM A416", INT(P216/20)&gt;INT(P215/20)), "TN Ø10 (Lần " &amp; INT(P216/20) &amp; ")", IF(AND(E216=12, INT(Q216/20)&gt;INT(Q215/20)), "TN Ø12 (Lần " &amp; INT(Q216/20) &amp; ")", IF(AND(E216=14, INT(R216/20)&gt;INT(R215/20)), "TN Ø14 (Lần " &amp; INT(R216/20) &amp; ")", IF(AND(E216=16, INT(S216/20)&gt;INT(S215/20)), "TN Ø16 (Lần " &amp; INT(S216/20) &amp; ")", IF(AND(E216=18, INT(T216/20)&gt;INT(T215/20)), "TN Ø18 (Lần " &amp; INT(T216/20) &amp; ")", IF(AND(E216=20, INT(U216/20)&gt;INT(U215/20)), "TN Ø20 (Lần " &amp; INT(U216/20) &amp; ")", IF(AND(E216=22, INT(V216/20)&gt;INT(V215/20)), "TN Ø22 (Lần " &amp; INT(V216/20) &amp; ")", IF(AND(E216=25, INT(W216/20)&gt;INT(W215/20)), "TN Ø25 (Lần " &amp; INT(W216/20) &amp; ")", IF(AND(E216=28, INT(X216/20)&gt;INT(X215/20)), "TN Ø28 (Lần " &amp; INT(X216/20) &amp; ")", IF(AND(E216=32, INT(Y216/20)&gt;INT(Y215/20)), "TN Ø32 (Lần " &amp; INT(Y216/20) &amp; ")", IF(AND(F216="ASTM A416", INT(Z216/20)&gt;INT(Z215/20)), "TN Cáp 15.2 (Lần " &amp; INT(Z216/20) &amp; ")", "")))))))))))</f>
        <v/>
      </c>
      <c r="P216" s="20">
        <f>ROUND(P215 + IF(AND(E216&lt;=10, F216&lt;&gt;"ASTM A416"), L216, 0), 3)</f>
        <v/>
      </c>
      <c r="Q216" s="20">
        <f>ROUND(Q215 + IF(AND(E216=12, F216&lt;&gt;"ASTM A416"), L216, 0), 3)</f>
        <v/>
      </c>
      <c r="R216" s="20">
        <f>ROUND(R215 + IF(AND(E216=14, F216&lt;&gt;"ASTM A416"), L216, 0), 3)</f>
        <v/>
      </c>
      <c r="S216" s="20">
        <f>ROUND(S215 + IF(AND(E216=16, F216&lt;&gt;"ASTM A416"), L216, 0), 3)</f>
        <v/>
      </c>
      <c r="T216" s="20">
        <f>ROUND(T215 + IF(AND(E216=18, F216&lt;&gt;"ASTM A416"), L216, 0), 3)</f>
        <v/>
      </c>
      <c r="U216" s="20">
        <f>ROUND(U215 + IF(AND(E216=20, F216&lt;&gt;"ASTM A416"), L216, 0), 3)</f>
        <v/>
      </c>
      <c r="V216" s="20">
        <f>ROUND(V215 + IF(AND(E216=22, F216&lt;&gt;"ASTM A416"), L216, 0), 3)</f>
        <v/>
      </c>
      <c r="W216" s="20">
        <f>ROUND(W215 + IF(AND(E216=25, F216&lt;&gt;"ASTM A416"), L216, 0), 3)</f>
        <v/>
      </c>
      <c r="X216" s="20">
        <f>ROUND(X215 + IF(AND(E216=28, F216&lt;&gt;"ASTM A416"), L216, 0), 3)</f>
        <v/>
      </c>
      <c r="Y216" s="20">
        <f>ROUND(Y215 + IF(AND(E216=32, F216&lt;&gt;"ASTM A416"), L216, 0), 3)</f>
        <v/>
      </c>
      <c r="Z216" s="20">
        <f>ROUND(Z215 + IF(F216="ASTM A416", L216, 0), 3)</f>
        <v/>
      </c>
      <c r="AA216" s="11">
        <f>IF(INT(P216/20)&gt;INT(P215/20), "Lần " &amp; INT(P216/20), "")</f>
        <v/>
      </c>
      <c r="AB216" s="11">
        <f>IF(INT(Q216/20)&gt;INT(Q215/20), "Lần " &amp; INT(Q216/20), "")</f>
        <v/>
      </c>
      <c r="AC216" s="11">
        <f>IF(INT(R216/20)&gt;INT(R215/20), "Lần " &amp; INT(R216/20), "")</f>
        <v/>
      </c>
      <c r="AD216" s="11">
        <f>IF(INT(S216/20)&gt;INT(S215/20), "Lần " &amp; INT(S216/20), "")</f>
        <v/>
      </c>
      <c r="AE216" s="11">
        <f>IF(INT(T216/20)&gt;INT(T215/20), "Lần " &amp; INT(T216/20), "")</f>
        <v/>
      </c>
      <c r="AF216" s="11">
        <f>IF(INT(U216/20)&gt;INT(U215/20), "Lần " &amp; INT(U216/20), "")</f>
        <v/>
      </c>
      <c r="AG216" s="11">
        <f>IF(INT(V216/20)&gt;INT(V215/20), "Lần " &amp; INT(V216/20), "")</f>
        <v/>
      </c>
      <c r="AH216" s="11">
        <f>IF(INT(W216/20)&gt;INT(W215/20), "Lần " &amp; INT(W216/20), "")</f>
        <v/>
      </c>
      <c r="AI216" s="11">
        <f>IF(INT(X216/20)&gt;INT(X215/20), "Lần " &amp; INT(X216/20), "")</f>
        <v/>
      </c>
      <c r="AJ216" s="11">
        <f>IF(INT(Y216/20)&gt;INT(Y215/20), "Lần " &amp; INT(Y216/20), "")</f>
        <v/>
      </c>
      <c r="AK216" s="11">
        <f>IF(INT(Z216/20)&gt;INT(Z215/20), "Lần " &amp; INT(Z216/20), "")</f>
        <v/>
      </c>
      <c r="AL216" s="6" t="inlineStr">
        <is>
          <t>ĐẠT TCVN 1651:2018</t>
        </is>
      </c>
    </row>
    <row r="217" ht="19" customHeight="1">
      <c r="A217" s="6" t="n">
        <v>200</v>
      </c>
      <c r="B217" s="7" t="inlineStr">
        <is>
          <t>Cọc khoan nhồi C3 Trụ T2 (D1.2m, L=30.0m)</t>
        </is>
      </c>
      <c r="C217" s="7" t="inlineStr">
        <is>
          <t>Cốt thép chủ chịu lực cọc</t>
        </is>
      </c>
      <c r="D217" s="18" t="inlineStr">
        <is>
          <t>P4</t>
        </is>
      </c>
      <c r="E217" s="19" t="n">
        <v>25</v>
      </c>
      <c r="F217" s="6" t="inlineStr">
        <is>
          <t>CB400-V</t>
        </is>
      </c>
      <c r="G217" s="7" t="inlineStr">
        <is>
          <t>Thanh thẳng nối ren/hàn</t>
        </is>
      </c>
      <c r="H217" s="20" t="n">
        <v>11.7</v>
      </c>
      <c r="I217" s="21" t="n">
        <v>36</v>
      </c>
      <c r="J217" s="22" t="n">
        <v>3.85</v>
      </c>
      <c r="K217" s="9">
        <f>ROUND(H217*I217*J217, 2)</f>
        <v/>
      </c>
      <c r="L217" s="23">
        <f>ROUND(K217/1000, 3)</f>
        <v/>
      </c>
      <c r="M217" s="8" t="n"/>
      <c r="N217" s="6" t="n"/>
      <c r="O217" s="24">
        <f>IF(AND(E217&lt;=10, F217&lt;&gt;"ASTM A416", INT(P217/20)&gt;INT(P216/20)), "TN Ø10 (Lần " &amp; INT(P217/20) &amp; ")", IF(AND(E217=12, INT(Q217/20)&gt;INT(Q216/20)), "TN Ø12 (Lần " &amp; INT(Q217/20) &amp; ")", IF(AND(E217=14, INT(R217/20)&gt;INT(R216/20)), "TN Ø14 (Lần " &amp; INT(R217/20) &amp; ")", IF(AND(E217=16, INT(S217/20)&gt;INT(S216/20)), "TN Ø16 (Lần " &amp; INT(S217/20) &amp; ")", IF(AND(E217=18, INT(T217/20)&gt;INT(T216/20)), "TN Ø18 (Lần " &amp; INT(T217/20) &amp; ")", IF(AND(E217=20, INT(U217/20)&gt;INT(U216/20)), "TN Ø20 (Lần " &amp; INT(U217/20) &amp; ")", IF(AND(E217=22, INT(V217/20)&gt;INT(V216/20)), "TN Ø22 (Lần " &amp; INT(V217/20) &amp; ")", IF(AND(E217=25, INT(W217/20)&gt;INT(W216/20)), "TN Ø25 (Lần " &amp; INT(W217/20) &amp; ")", IF(AND(E217=28, INT(X217/20)&gt;INT(X216/20)), "TN Ø28 (Lần " &amp; INT(X217/20) &amp; ")", IF(AND(E217=32, INT(Y217/20)&gt;INT(Y216/20)), "TN Ø32 (Lần " &amp; INT(Y217/20) &amp; ")", IF(AND(F217="ASTM A416", INT(Z217/20)&gt;INT(Z216/20)), "TN Cáp 15.2 (Lần " &amp; INT(Z217/20) &amp; ")", "")))))))))))</f>
        <v/>
      </c>
      <c r="P217" s="20">
        <f>ROUND(P216 + IF(AND(E217&lt;=10, F217&lt;&gt;"ASTM A416"), L217, 0), 3)</f>
        <v/>
      </c>
      <c r="Q217" s="20">
        <f>ROUND(Q216 + IF(AND(E217=12, F217&lt;&gt;"ASTM A416"), L217, 0), 3)</f>
        <v/>
      </c>
      <c r="R217" s="20">
        <f>ROUND(R216 + IF(AND(E217=14, F217&lt;&gt;"ASTM A416"), L217, 0), 3)</f>
        <v/>
      </c>
      <c r="S217" s="20">
        <f>ROUND(S216 + IF(AND(E217=16, F217&lt;&gt;"ASTM A416"), L217, 0), 3)</f>
        <v/>
      </c>
      <c r="T217" s="20">
        <f>ROUND(T216 + IF(AND(E217=18, F217&lt;&gt;"ASTM A416"), L217, 0), 3)</f>
        <v/>
      </c>
      <c r="U217" s="20">
        <f>ROUND(U216 + IF(AND(E217=20, F217&lt;&gt;"ASTM A416"), L217, 0), 3)</f>
        <v/>
      </c>
      <c r="V217" s="20">
        <f>ROUND(V216 + IF(AND(E217=22, F217&lt;&gt;"ASTM A416"), L217, 0), 3)</f>
        <v/>
      </c>
      <c r="W217" s="20">
        <f>ROUND(W216 + IF(AND(E217=25, F217&lt;&gt;"ASTM A416"), L217, 0), 3)</f>
        <v/>
      </c>
      <c r="X217" s="20">
        <f>ROUND(X216 + IF(AND(E217=28, F217&lt;&gt;"ASTM A416"), L217, 0), 3)</f>
        <v/>
      </c>
      <c r="Y217" s="20">
        <f>ROUND(Y216 + IF(AND(E217=32, F217&lt;&gt;"ASTM A416"), L217, 0), 3)</f>
        <v/>
      </c>
      <c r="Z217" s="20">
        <f>ROUND(Z216 + IF(F217="ASTM A416", L217, 0), 3)</f>
        <v/>
      </c>
      <c r="AA217" s="11">
        <f>IF(INT(P217/20)&gt;INT(P216/20), "Lần " &amp; INT(P217/20), "")</f>
        <v/>
      </c>
      <c r="AB217" s="11">
        <f>IF(INT(Q217/20)&gt;INT(Q216/20), "Lần " &amp; INT(Q217/20), "")</f>
        <v/>
      </c>
      <c r="AC217" s="11">
        <f>IF(INT(R217/20)&gt;INT(R216/20), "Lần " &amp; INT(R217/20), "")</f>
        <v/>
      </c>
      <c r="AD217" s="11">
        <f>IF(INT(S217/20)&gt;INT(S216/20), "Lần " &amp; INT(S217/20), "")</f>
        <v/>
      </c>
      <c r="AE217" s="11">
        <f>IF(INT(T217/20)&gt;INT(T216/20), "Lần " &amp; INT(T217/20), "")</f>
        <v/>
      </c>
      <c r="AF217" s="11">
        <f>IF(INT(U217/20)&gt;INT(U216/20), "Lần " &amp; INT(U217/20), "")</f>
        <v/>
      </c>
      <c r="AG217" s="11">
        <f>IF(INT(V217/20)&gt;INT(V216/20), "Lần " &amp; INT(V217/20), "")</f>
        <v/>
      </c>
      <c r="AH217" s="11">
        <f>IF(INT(W217/20)&gt;INT(W216/20), "Lần " &amp; INT(W217/20), "")</f>
        <v/>
      </c>
      <c r="AI217" s="11">
        <f>IF(INT(X217/20)&gt;INT(X216/20), "Lần " &amp; INT(X217/20), "")</f>
        <v/>
      </c>
      <c r="AJ217" s="11">
        <f>IF(INT(Y217/20)&gt;INT(Y216/20), "Lần " &amp; INT(Y217/20), "")</f>
        <v/>
      </c>
      <c r="AK217" s="11">
        <f>IF(INT(Z217/20)&gt;INT(Z216/20), "Lần " &amp; INT(Z217/20), "")</f>
        <v/>
      </c>
      <c r="AL217" s="6" t="inlineStr">
        <is>
          <t>ĐẠT TCVN 1651:2018</t>
        </is>
      </c>
    </row>
    <row r="218" ht="19" customHeight="1">
      <c r="A218" s="6" t="n">
        <v>201</v>
      </c>
      <c r="B218" s="7" t="inlineStr">
        <is>
          <t>Cọc khoan nhồi C3 Trụ T2 (D1.2m, L=30.0m)</t>
        </is>
      </c>
      <c r="C218" s="7" t="inlineStr">
        <is>
          <t>Cốt thép chủ chịu lực cọc</t>
        </is>
      </c>
      <c r="D218" s="18" t="inlineStr">
        <is>
          <t>P6</t>
        </is>
      </c>
      <c r="E218" s="19" t="n">
        <v>25</v>
      </c>
      <c r="F218" s="6" t="inlineStr">
        <is>
          <t>CB400-V</t>
        </is>
      </c>
      <c r="G218" s="7" t="inlineStr">
        <is>
          <t>Thanh thẳng nối ren/hàn</t>
        </is>
      </c>
      <c r="H218" s="20" t="n">
        <v>9.733000000000001</v>
      </c>
      <c r="I218" s="21" t="n">
        <v>12</v>
      </c>
      <c r="J218" s="22" t="n">
        <v>3.85</v>
      </c>
      <c r="K218" s="9">
        <f>ROUND(H218*I218*J218, 2)</f>
        <v/>
      </c>
      <c r="L218" s="23">
        <f>ROUND(K218/1000, 3)</f>
        <v/>
      </c>
      <c r="M218" s="8" t="n"/>
      <c r="N218" s="6" t="n"/>
      <c r="O218" s="24">
        <f>IF(AND(E218&lt;=10, F218&lt;&gt;"ASTM A416", INT(P218/20)&gt;INT(P217/20)), "TN Ø10 (Lần " &amp; INT(P218/20) &amp; ")", IF(AND(E218=12, INT(Q218/20)&gt;INT(Q217/20)), "TN Ø12 (Lần " &amp; INT(Q218/20) &amp; ")", IF(AND(E218=14, INT(R218/20)&gt;INT(R217/20)), "TN Ø14 (Lần " &amp; INT(R218/20) &amp; ")", IF(AND(E218=16, INT(S218/20)&gt;INT(S217/20)), "TN Ø16 (Lần " &amp; INT(S218/20) &amp; ")", IF(AND(E218=18, INT(T218/20)&gt;INT(T217/20)), "TN Ø18 (Lần " &amp; INT(T218/20) &amp; ")", IF(AND(E218=20, INT(U218/20)&gt;INT(U217/20)), "TN Ø20 (Lần " &amp; INT(U218/20) &amp; ")", IF(AND(E218=22, INT(V218/20)&gt;INT(V217/20)), "TN Ø22 (Lần " &amp; INT(V218/20) &amp; ")", IF(AND(E218=25, INT(W218/20)&gt;INT(W217/20)), "TN Ø25 (Lần " &amp; INT(W218/20) &amp; ")", IF(AND(E218=28, INT(X218/20)&gt;INT(X217/20)), "TN Ø28 (Lần " &amp; INT(X218/20) &amp; ")", IF(AND(E218=32, INT(Y218/20)&gt;INT(Y217/20)), "TN Ø32 (Lần " &amp; INT(Y218/20) &amp; ")", IF(AND(F218="ASTM A416", INT(Z218/20)&gt;INT(Z217/20)), "TN Cáp 15.2 (Lần " &amp; INT(Z218/20) &amp; ")", "")))))))))))</f>
        <v/>
      </c>
      <c r="P218" s="20">
        <f>ROUND(P217 + IF(AND(E218&lt;=10, F218&lt;&gt;"ASTM A416"), L218, 0), 3)</f>
        <v/>
      </c>
      <c r="Q218" s="20">
        <f>ROUND(Q217 + IF(AND(E218=12, F218&lt;&gt;"ASTM A416"), L218, 0), 3)</f>
        <v/>
      </c>
      <c r="R218" s="20">
        <f>ROUND(R217 + IF(AND(E218=14, F218&lt;&gt;"ASTM A416"), L218, 0), 3)</f>
        <v/>
      </c>
      <c r="S218" s="20">
        <f>ROUND(S217 + IF(AND(E218=16, F218&lt;&gt;"ASTM A416"), L218, 0), 3)</f>
        <v/>
      </c>
      <c r="T218" s="20">
        <f>ROUND(T217 + IF(AND(E218=18, F218&lt;&gt;"ASTM A416"), L218, 0), 3)</f>
        <v/>
      </c>
      <c r="U218" s="20">
        <f>ROUND(U217 + IF(AND(E218=20, F218&lt;&gt;"ASTM A416"), L218, 0), 3)</f>
        <v/>
      </c>
      <c r="V218" s="20">
        <f>ROUND(V217 + IF(AND(E218=22, F218&lt;&gt;"ASTM A416"), L218, 0), 3)</f>
        <v/>
      </c>
      <c r="W218" s="20">
        <f>ROUND(W217 + IF(AND(E218=25, F218&lt;&gt;"ASTM A416"), L218, 0), 3)</f>
        <v/>
      </c>
      <c r="X218" s="20">
        <f>ROUND(X217 + IF(AND(E218=28, F218&lt;&gt;"ASTM A416"), L218, 0), 3)</f>
        <v/>
      </c>
      <c r="Y218" s="20">
        <f>ROUND(Y217 + IF(AND(E218=32, F218&lt;&gt;"ASTM A416"), L218, 0), 3)</f>
        <v/>
      </c>
      <c r="Z218" s="20">
        <f>ROUND(Z217 + IF(F218="ASTM A416", L218, 0), 3)</f>
        <v/>
      </c>
      <c r="AA218" s="11">
        <f>IF(INT(P218/20)&gt;INT(P217/20), "Lần " &amp; INT(P218/20), "")</f>
        <v/>
      </c>
      <c r="AB218" s="11">
        <f>IF(INT(Q218/20)&gt;INT(Q217/20), "Lần " &amp; INT(Q218/20), "")</f>
        <v/>
      </c>
      <c r="AC218" s="11">
        <f>IF(INT(R218/20)&gt;INT(R217/20), "Lần " &amp; INT(R218/20), "")</f>
        <v/>
      </c>
      <c r="AD218" s="11">
        <f>IF(INT(S218/20)&gt;INT(S217/20), "Lần " &amp; INT(S218/20), "")</f>
        <v/>
      </c>
      <c r="AE218" s="11">
        <f>IF(INT(T218/20)&gt;INT(T217/20), "Lần " &amp; INT(T218/20), "")</f>
        <v/>
      </c>
      <c r="AF218" s="11">
        <f>IF(INT(U218/20)&gt;INT(U217/20), "Lần " &amp; INT(U218/20), "")</f>
        <v/>
      </c>
      <c r="AG218" s="11">
        <f>IF(INT(V218/20)&gt;INT(V217/20), "Lần " &amp; INT(V218/20), "")</f>
        <v/>
      </c>
      <c r="AH218" s="11">
        <f>IF(INT(W218/20)&gt;INT(W217/20), "Lần " &amp; INT(W218/20), "")</f>
        <v/>
      </c>
      <c r="AI218" s="11">
        <f>IF(INT(X218/20)&gt;INT(X217/20), "Lần " &amp; INT(X218/20), "")</f>
        <v/>
      </c>
      <c r="AJ218" s="11">
        <f>IF(INT(Y218/20)&gt;INT(Y217/20), "Lần " &amp; INT(Y218/20), "")</f>
        <v/>
      </c>
      <c r="AK218" s="11">
        <f>IF(INT(Z218/20)&gt;INT(Z217/20), "Lần " &amp; INT(Z218/20), "")</f>
        <v/>
      </c>
      <c r="AL218" s="6" t="inlineStr">
        <is>
          <t>ĐẠT TCVN 1651:2018</t>
        </is>
      </c>
    </row>
    <row r="219" ht="19" customHeight="1">
      <c r="A219" s="6" t="n">
        <v>202</v>
      </c>
      <c r="B219" s="7" t="inlineStr">
        <is>
          <t>Cọc khoan nhồi C3 Trụ T2 (D1.2m, L=30.0m)</t>
        </is>
      </c>
      <c r="C219" s="7" t="inlineStr">
        <is>
          <t>Cốt thép chủ chịu lực cọc</t>
        </is>
      </c>
      <c r="D219" s="18" t="inlineStr">
        <is>
          <t>P7</t>
        </is>
      </c>
      <c r="E219" s="19" t="n">
        <v>25</v>
      </c>
      <c r="F219" s="6" t="inlineStr">
        <is>
          <t>CB400-V</t>
        </is>
      </c>
      <c r="G219" s="7" t="inlineStr">
        <is>
          <t>Thanh thẳng nối ren/hàn</t>
        </is>
      </c>
      <c r="H219" s="20" t="n">
        <v>10.733</v>
      </c>
      <c r="I219" s="21" t="n">
        <v>12</v>
      </c>
      <c r="J219" s="22" t="n">
        <v>3.85</v>
      </c>
      <c r="K219" s="9">
        <f>ROUND(H219*I219*J219, 2)</f>
        <v/>
      </c>
      <c r="L219" s="23">
        <f>ROUND(K219/1000, 3)</f>
        <v/>
      </c>
      <c r="M219" s="8" t="n"/>
      <c r="N219" s="6" t="n"/>
      <c r="O219" s="24">
        <f>IF(AND(E219&lt;=10, F219&lt;&gt;"ASTM A416", INT(P219/20)&gt;INT(P218/20)), "TN Ø10 (Lần " &amp; INT(P219/20) &amp; ")", IF(AND(E219=12, INT(Q219/20)&gt;INT(Q218/20)), "TN Ø12 (Lần " &amp; INT(Q219/20) &amp; ")", IF(AND(E219=14, INT(R219/20)&gt;INT(R218/20)), "TN Ø14 (Lần " &amp; INT(R219/20) &amp; ")", IF(AND(E219=16, INT(S219/20)&gt;INT(S218/20)), "TN Ø16 (Lần " &amp; INT(S219/20) &amp; ")", IF(AND(E219=18, INT(T219/20)&gt;INT(T218/20)), "TN Ø18 (Lần " &amp; INT(T219/20) &amp; ")", IF(AND(E219=20, INT(U219/20)&gt;INT(U218/20)), "TN Ø20 (Lần " &amp; INT(U219/20) &amp; ")", IF(AND(E219=22, INT(V219/20)&gt;INT(V218/20)), "TN Ø22 (Lần " &amp; INT(V219/20) &amp; ")", IF(AND(E219=25, INT(W219/20)&gt;INT(W218/20)), "TN Ø25 (Lần " &amp; INT(W219/20) &amp; ")", IF(AND(E219=28, INT(X219/20)&gt;INT(X218/20)), "TN Ø28 (Lần " &amp; INT(X219/20) &amp; ")", IF(AND(E219=32, INT(Y219/20)&gt;INT(Y218/20)), "TN Ø32 (Lần " &amp; INT(Y219/20) &amp; ")", IF(AND(F219="ASTM A416", INT(Z219/20)&gt;INT(Z218/20)), "TN Cáp 15.2 (Lần " &amp; INT(Z219/20) &amp; ")", "")))))))))))</f>
        <v/>
      </c>
      <c r="P219" s="20">
        <f>ROUND(P218 + IF(AND(E219&lt;=10, F219&lt;&gt;"ASTM A416"), L219, 0), 3)</f>
        <v/>
      </c>
      <c r="Q219" s="20">
        <f>ROUND(Q218 + IF(AND(E219=12, F219&lt;&gt;"ASTM A416"), L219, 0), 3)</f>
        <v/>
      </c>
      <c r="R219" s="20">
        <f>ROUND(R218 + IF(AND(E219=14, F219&lt;&gt;"ASTM A416"), L219, 0), 3)</f>
        <v/>
      </c>
      <c r="S219" s="20">
        <f>ROUND(S218 + IF(AND(E219=16, F219&lt;&gt;"ASTM A416"), L219, 0), 3)</f>
        <v/>
      </c>
      <c r="T219" s="20">
        <f>ROUND(T218 + IF(AND(E219=18, F219&lt;&gt;"ASTM A416"), L219, 0), 3)</f>
        <v/>
      </c>
      <c r="U219" s="20">
        <f>ROUND(U218 + IF(AND(E219=20, F219&lt;&gt;"ASTM A416"), L219, 0), 3)</f>
        <v/>
      </c>
      <c r="V219" s="20">
        <f>ROUND(V218 + IF(AND(E219=22, F219&lt;&gt;"ASTM A416"), L219, 0), 3)</f>
        <v/>
      </c>
      <c r="W219" s="20">
        <f>ROUND(W218 + IF(AND(E219=25, F219&lt;&gt;"ASTM A416"), L219, 0), 3)</f>
        <v/>
      </c>
      <c r="X219" s="20">
        <f>ROUND(X218 + IF(AND(E219=28, F219&lt;&gt;"ASTM A416"), L219, 0), 3)</f>
        <v/>
      </c>
      <c r="Y219" s="20">
        <f>ROUND(Y218 + IF(AND(E219=32, F219&lt;&gt;"ASTM A416"), L219, 0), 3)</f>
        <v/>
      </c>
      <c r="Z219" s="20">
        <f>ROUND(Z218 + IF(F219="ASTM A416", L219, 0), 3)</f>
        <v/>
      </c>
      <c r="AA219" s="11">
        <f>IF(INT(P219/20)&gt;INT(P218/20), "Lần " &amp; INT(P219/20), "")</f>
        <v/>
      </c>
      <c r="AB219" s="11">
        <f>IF(INT(Q219/20)&gt;INT(Q218/20), "Lần " &amp; INT(Q219/20), "")</f>
        <v/>
      </c>
      <c r="AC219" s="11">
        <f>IF(INT(R219/20)&gt;INT(R218/20), "Lần " &amp; INT(R219/20), "")</f>
        <v/>
      </c>
      <c r="AD219" s="11">
        <f>IF(INT(S219/20)&gt;INT(S218/20), "Lần " &amp; INT(S219/20), "")</f>
        <v/>
      </c>
      <c r="AE219" s="11">
        <f>IF(INT(T219/20)&gt;INT(T218/20), "Lần " &amp; INT(T219/20), "")</f>
        <v/>
      </c>
      <c r="AF219" s="11">
        <f>IF(INT(U219/20)&gt;INT(U218/20), "Lần " &amp; INT(U219/20), "")</f>
        <v/>
      </c>
      <c r="AG219" s="11">
        <f>IF(INT(V219/20)&gt;INT(V218/20), "Lần " &amp; INT(V219/20), "")</f>
        <v/>
      </c>
      <c r="AH219" s="11">
        <f>IF(INT(W219/20)&gt;INT(W218/20), "Lần " &amp; INT(W219/20), "")</f>
        <v/>
      </c>
      <c r="AI219" s="11">
        <f>IF(INT(X219/20)&gt;INT(X218/20), "Lần " &amp; INT(X219/20), "")</f>
        <v/>
      </c>
      <c r="AJ219" s="11">
        <f>IF(INT(Y219/20)&gt;INT(Y218/20), "Lần " &amp; INT(Y219/20), "")</f>
        <v/>
      </c>
      <c r="AK219" s="11">
        <f>IF(INT(Z219/20)&gt;INT(Z218/20), "Lần " &amp; INT(Z219/20), "")</f>
        <v/>
      </c>
      <c r="AL219" s="6" t="inlineStr">
        <is>
          <t>ĐẠT TCVN 1651:2018</t>
        </is>
      </c>
    </row>
    <row r="220" ht="19" customHeight="1">
      <c r="A220" s="6" t="n">
        <v>203</v>
      </c>
      <c r="B220" s="7" t="inlineStr">
        <is>
          <t>Cọc khoan nhồi C3 Trụ T2 (D1.2m, L=30.0m)</t>
        </is>
      </c>
      <c r="C220" s="7" t="inlineStr">
        <is>
          <t>Đai tăng cường / Con kê bảo vệ</t>
        </is>
      </c>
      <c r="D220" s="18" t="inlineStr">
        <is>
          <t>P8</t>
        </is>
      </c>
      <c r="E220" s="19" t="n">
        <v>12</v>
      </c>
      <c r="F220" s="6" t="inlineStr">
        <is>
          <t>CB400-V</t>
        </is>
      </c>
      <c r="G220" s="7" t="inlineStr">
        <is>
          <t>Móc neo / Vòng đai</t>
        </is>
      </c>
      <c r="H220" s="20" t="n">
        <v>0.647</v>
      </c>
      <c r="I220" s="21" t="n">
        <v>12</v>
      </c>
      <c r="J220" s="22" t="n">
        <v>0.888</v>
      </c>
      <c r="K220" s="9">
        <f>ROUND(H220*I220*J220, 2)</f>
        <v/>
      </c>
      <c r="L220" s="23">
        <f>ROUND(K220/1000, 3)</f>
        <v/>
      </c>
      <c r="M220" s="8" t="n"/>
      <c r="N220" s="6" t="n"/>
      <c r="O220" s="24">
        <f>IF(AND(E220&lt;=10, F220&lt;&gt;"ASTM A416", INT(P220/20)&gt;INT(P219/20)), "TN Ø10 (Lần " &amp; INT(P220/20) &amp; ")", IF(AND(E220=12, INT(Q220/20)&gt;INT(Q219/20)), "TN Ø12 (Lần " &amp; INT(Q220/20) &amp; ")", IF(AND(E220=14, INT(R220/20)&gt;INT(R219/20)), "TN Ø14 (Lần " &amp; INT(R220/20) &amp; ")", IF(AND(E220=16, INT(S220/20)&gt;INT(S219/20)), "TN Ø16 (Lần " &amp; INT(S220/20) &amp; ")", IF(AND(E220=18, INT(T220/20)&gt;INT(T219/20)), "TN Ø18 (Lần " &amp; INT(T220/20) &amp; ")", IF(AND(E220=20, INT(U220/20)&gt;INT(U219/20)), "TN Ø20 (Lần " &amp; INT(U220/20) &amp; ")", IF(AND(E220=22, INT(V220/20)&gt;INT(V219/20)), "TN Ø22 (Lần " &amp; INT(V220/20) &amp; ")", IF(AND(E220=25, INT(W220/20)&gt;INT(W219/20)), "TN Ø25 (Lần " &amp; INT(W220/20) &amp; ")", IF(AND(E220=28, INT(X220/20)&gt;INT(X219/20)), "TN Ø28 (Lần " &amp; INT(X220/20) &amp; ")", IF(AND(E220=32, INT(Y220/20)&gt;INT(Y219/20)), "TN Ø32 (Lần " &amp; INT(Y220/20) &amp; ")", IF(AND(F220="ASTM A416", INT(Z220/20)&gt;INT(Z219/20)), "TN Cáp 15.2 (Lần " &amp; INT(Z220/20) &amp; ")", "")))))))))))</f>
        <v/>
      </c>
      <c r="P220" s="20">
        <f>ROUND(P219 + IF(AND(E220&lt;=10, F220&lt;&gt;"ASTM A416"), L220, 0), 3)</f>
        <v/>
      </c>
      <c r="Q220" s="20">
        <f>ROUND(Q219 + IF(AND(E220=12, F220&lt;&gt;"ASTM A416"), L220, 0), 3)</f>
        <v/>
      </c>
      <c r="R220" s="20">
        <f>ROUND(R219 + IF(AND(E220=14, F220&lt;&gt;"ASTM A416"), L220, 0), 3)</f>
        <v/>
      </c>
      <c r="S220" s="20">
        <f>ROUND(S219 + IF(AND(E220=16, F220&lt;&gt;"ASTM A416"), L220, 0), 3)</f>
        <v/>
      </c>
      <c r="T220" s="20">
        <f>ROUND(T219 + IF(AND(E220=18, F220&lt;&gt;"ASTM A416"), L220, 0), 3)</f>
        <v/>
      </c>
      <c r="U220" s="20">
        <f>ROUND(U219 + IF(AND(E220=20, F220&lt;&gt;"ASTM A416"), L220, 0), 3)</f>
        <v/>
      </c>
      <c r="V220" s="20">
        <f>ROUND(V219 + IF(AND(E220=22, F220&lt;&gt;"ASTM A416"), L220, 0), 3)</f>
        <v/>
      </c>
      <c r="W220" s="20">
        <f>ROUND(W219 + IF(AND(E220=25, F220&lt;&gt;"ASTM A416"), L220, 0), 3)</f>
        <v/>
      </c>
      <c r="X220" s="20">
        <f>ROUND(X219 + IF(AND(E220=28, F220&lt;&gt;"ASTM A416"), L220, 0), 3)</f>
        <v/>
      </c>
      <c r="Y220" s="20">
        <f>ROUND(Y219 + IF(AND(E220=32, F220&lt;&gt;"ASTM A416"), L220, 0), 3)</f>
        <v/>
      </c>
      <c r="Z220" s="20">
        <f>ROUND(Z219 + IF(F220="ASTM A416", L220, 0), 3)</f>
        <v/>
      </c>
      <c r="AA220" s="11">
        <f>IF(INT(P220/20)&gt;INT(P219/20), "Lần " &amp; INT(P220/20), "")</f>
        <v/>
      </c>
      <c r="AB220" s="11">
        <f>IF(INT(Q220/20)&gt;INT(Q219/20), "Lần " &amp; INT(Q220/20), "")</f>
        <v/>
      </c>
      <c r="AC220" s="11">
        <f>IF(INT(R220/20)&gt;INT(R219/20), "Lần " &amp; INT(R220/20), "")</f>
        <v/>
      </c>
      <c r="AD220" s="11">
        <f>IF(INT(S220/20)&gt;INT(S219/20), "Lần " &amp; INT(S220/20), "")</f>
        <v/>
      </c>
      <c r="AE220" s="11">
        <f>IF(INT(T220/20)&gt;INT(T219/20), "Lần " &amp; INT(T220/20), "")</f>
        <v/>
      </c>
      <c r="AF220" s="11">
        <f>IF(INT(U220/20)&gt;INT(U219/20), "Lần " &amp; INT(U220/20), "")</f>
        <v/>
      </c>
      <c r="AG220" s="11">
        <f>IF(INT(V220/20)&gt;INT(V219/20), "Lần " &amp; INT(V220/20), "")</f>
        <v/>
      </c>
      <c r="AH220" s="11">
        <f>IF(INT(W220/20)&gt;INT(W219/20), "Lần " &amp; INT(W220/20), "")</f>
        <v/>
      </c>
      <c r="AI220" s="11">
        <f>IF(INT(X220/20)&gt;INT(X219/20), "Lần " &amp; INT(X220/20), "")</f>
        <v/>
      </c>
      <c r="AJ220" s="11">
        <f>IF(INT(Y220/20)&gt;INT(Y219/20), "Lần " &amp; INT(Y220/20), "")</f>
        <v/>
      </c>
      <c r="AK220" s="11">
        <f>IF(INT(Z220/20)&gt;INT(Z219/20), "Lần " &amp; INT(Z220/20), "")</f>
        <v/>
      </c>
      <c r="AL220" s="6" t="inlineStr">
        <is>
          <t>ĐẠT TCVN 1651:2018</t>
        </is>
      </c>
    </row>
    <row r="221" ht="19" customHeight="1">
      <c r="A221" s="6" t="n">
        <v>204</v>
      </c>
      <c r="B221" s="7" t="inlineStr">
        <is>
          <t>Cọc khoan nhồi C3 Trụ T2 (D1.2m, L=30.0m)</t>
        </is>
      </c>
      <c r="C221" s="7" t="inlineStr">
        <is>
          <t>Đai tăng cường / Con kê bảo vệ</t>
        </is>
      </c>
      <c r="D221" s="18" t="inlineStr">
        <is>
          <t>P9</t>
        </is>
      </c>
      <c r="E221" s="19" t="n">
        <v>12</v>
      </c>
      <c r="F221" s="6" t="inlineStr">
        <is>
          <t>CB400-V</t>
        </is>
      </c>
      <c r="G221" s="7" t="inlineStr">
        <is>
          <t>Móc neo / Vòng đai</t>
        </is>
      </c>
      <c r="H221" s="20" t="n">
        <v>0.379</v>
      </c>
      <c r="I221" s="21" t="n">
        <v>36</v>
      </c>
      <c r="J221" s="22" t="n">
        <v>0.888</v>
      </c>
      <c r="K221" s="9">
        <f>ROUND(H221*I221*J221, 2)</f>
        <v/>
      </c>
      <c r="L221" s="23">
        <f>ROUND(K221/1000, 3)</f>
        <v/>
      </c>
      <c r="M221" s="8" t="n"/>
      <c r="N221" s="6" t="n"/>
      <c r="O221" s="24">
        <f>IF(AND(E221&lt;=10, F221&lt;&gt;"ASTM A416", INT(P221/20)&gt;INT(P220/20)), "TN Ø10 (Lần " &amp; INT(P221/20) &amp; ")", IF(AND(E221=12, INT(Q221/20)&gt;INT(Q220/20)), "TN Ø12 (Lần " &amp; INT(Q221/20) &amp; ")", IF(AND(E221=14, INT(R221/20)&gt;INT(R220/20)), "TN Ø14 (Lần " &amp; INT(R221/20) &amp; ")", IF(AND(E221=16, INT(S221/20)&gt;INT(S220/20)), "TN Ø16 (Lần " &amp; INT(S221/20) &amp; ")", IF(AND(E221=18, INT(T221/20)&gt;INT(T220/20)), "TN Ø18 (Lần " &amp; INT(T221/20) &amp; ")", IF(AND(E221=20, INT(U221/20)&gt;INT(U220/20)), "TN Ø20 (Lần " &amp; INT(U221/20) &amp; ")", IF(AND(E221=22, INT(V221/20)&gt;INT(V220/20)), "TN Ø22 (Lần " &amp; INT(V221/20) &amp; ")", IF(AND(E221=25, INT(W221/20)&gt;INT(W220/20)), "TN Ø25 (Lần " &amp; INT(W221/20) &amp; ")", IF(AND(E221=28, INT(X221/20)&gt;INT(X220/20)), "TN Ø28 (Lần " &amp; INT(X221/20) &amp; ")", IF(AND(E221=32, INT(Y221/20)&gt;INT(Y220/20)), "TN Ø32 (Lần " &amp; INT(Y221/20) &amp; ")", IF(AND(F221="ASTM A416", INT(Z221/20)&gt;INT(Z220/20)), "TN Cáp 15.2 (Lần " &amp; INT(Z221/20) &amp; ")", "")))))))))))</f>
        <v/>
      </c>
      <c r="P221" s="20">
        <f>ROUND(P220 + IF(AND(E221&lt;=10, F221&lt;&gt;"ASTM A416"), L221, 0), 3)</f>
        <v/>
      </c>
      <c r="Q221" s="20">
        <f>ROUND(Q220 + IF(AND(E221=12, F221&lt;&gt;"ASTM A416"), L221, 0), 3)</f>
        <v/>
      </c>
      <c r="R221" s="20">
        <f>ROUND(R220 + IF(AND(E221=14, F221&lt;&gt;"ASTM A416"), L221, 0), 3)</f>
        <v/>
      </c>
      <c r="S221" s="20">
        <f>ROUND(S220 + IF(AND(E221=16, F221&lt;&gt;"ASTM A416"), L221, 0), 3)</f>
        <v/>
      </c>
      <c r="T221" s="20">
        <f>ROUND(T220 + IF(AND(E221=18, F221&lt;&gt;"ASTM A416"), L221, 0), 3)</f>
        <v/>
      </c>
      <c r="U221" s="20">
        <f>ROUND(U220 + IF(AND(E221=20, F221&lt;&gt;"ASTM A416"), L221, 0), 3)</f>
        <v/>
      </c>
      <c r="V221" s="20">
        <f>ROUND(V220 + IF(AND(E221=22, F221&lt;&gt;"ASTM A416"), L221, 0), 3)</f>
        <v/>
      </c>
      <c r="W221" s="20">
        <f>ROUND(W220 + IF(AND(E221=25, F221&lt;&gt;"ASTM A416"), L221, 0), 3)</f>
        <v/>
      </c>
      <c r="X221" s="20">
        <f>ROUND(X220 + IF(AND(E221=28, F221&lt;&gt;"ASTM A416"), L221, 0), 3)</f>
        <v/>
      </c>
      <c r="Y221" s="20">
        <f>ROUND(Y220 + IF(AND(E221=32, F221&lt;&gt;"ASTM A416"), L221, 0), 3)</f>
        <v/>
      </c>
      <c r="Z221" s="20">
        <f>ROUND(Z220 + IF(F221="ASTM A416", L221, 0), 3)</f>
        <v/>
      </c>
      <c r="AA221" s="11">
        <f>IF(INT(P221/20)&gt;INT(P220/20), "Lần " &amp; INT(P221/20), "")</f>
        <v/>
      </c>
      <c r="AB221" s="11">
        <f>IF(INT(Q221/20)&gt;INT(Q220/20), "Lần " &amp; INT(Q221/20), "")</f>
        <v/>
      </c>
      <c r="AC221" s="11">
        <f>IF(INT(R221/20)&gt;INT(R220/20), "Lần " &amp; INT(R221/20), "")</f>
        <v/>
      </c>
      <c r="AD221" s="11">
        <f>IF(INT(S221/20)&gt;INT(S220/20), "Lần " &amp; INT(S221/20), "")</f>
        <v/>
      </c>
      <c r="AE221" s="11">
        <f>IF(INT(T221/20)&gt;INT(T220/20), "Lần " &amp; INT(T221/20), "")</f>
        <v/>
      </c>
      <c r="AF221" s="11">
        <f>IF(INT(U221/20)&gt;INT(U220/20), "Lần " &amp; INT(U221/20), "")</f>
        <v/>
      </c>
      <c r="AG221" s="11">
        <f>IF(INT(V221/20)&gt;INT(V220/20), "Lần " &amp; INT(V221/20), "")</f>
        <v/>
      </c>
      <c r="AH221" s="11">
        <f>IF(INT(W221/20)&gt;INT(W220/20), "Lần " &amp; INT(W221/20), "")</f>
        <v/>
      </c>
      <c r="AI221" s="11">
        <f>IF(INT(X221/20)&gt;INT(X220/20), "Lần " &amp; INT(X221/20), "")</f>
        <v/>
      </c>
      <c r="AJ221" s="11">
        <f>IF(INT(Y221/20)&gt;INT(Y220/20), "Lần " &amp; INT(Y221/20), "")</f>
        <v/>
      </c>
      <c r="AK221" s="11">
        <f>IF(INT(Z221/20)&gt;INT(Z220/20), "Lần " &amp; INT(Z221/20), "")</f>
        <v/>
      </c>
      <c r="AL221" s="6" t="inlineStr">
        <is>
          <t>ĐẠT TCVN 1651:2018</t>
        </is>
      </c>
    </row>
    <row r="222" ht="19" customHeight="1">
      <c r="A222" s="6" t="n">
        <v>205</v>
      </c>
      <c r="B222" s="7" t="inlineStr">
        <is>
          <t>Cọc khoan nhồi C3 Trụ T2 (D1.2m, L=30.0m)</t>
        </is>
      </c>
      <c r="C222" s="7" t="inlineStr">
        <is>
          <t>Thép đai xoắn lồng cọc</t>
        </is>
      </c>
      <c r="D222" s="18" t="inlineStr">
        <is>
          <t>P10</t>
        </is>
      </c>
      <c r="E222" s="19" t="n">
        <v>20</v>
      </c>
      <c r="F222" s="6" t="inlineStr">
        <is>
          <t>CB400-V</t>
        </is>
      </c>
      <c r="G222" s="7" t="inlineStr">
        <is>
          <t>Đai xoắn tròn</t>
        </is>
      </c>
      <c r="H222" s="20" t="n">
        <v>2.057</v>
      </c>
      <c r="I222" s="21" t="n">
        <v>1</v>
      </c>
      <c r="J222" s="22" t="n">
        <v>2.47</v>
      </c>
      <c r="K222" s="9">
        <f>ROUND(H222*I222*J222, 2)</f>
        <v/>
      </c>
      <c r="L222" s="23">
        <f>ROUND(K222/1000, 3)</f>
        <v/>
      </c>
      <c r="M222" s="8" t="n"/>
      <c r="N222" s="6" t="n"/>
      <c r="O222" s="24">
        <f>IF(AND(E222&lt;=10, F222&lt;&gt;"ASTM A416", INT(P222/20)&gt;INT(P221/20)), "TN Ø10 (Lần " &amp; INT(P222/20) &amp; ")", IF(AND(E222=12, INT(Q222/20)&gt;INT(Q221/20)), "TN Ø12 (Lần " &amp; INT(Q222/20) &amp; ")", IF(AND(E222=14, INT(R222/20)&gt;INT(R221/20)), "TN Ø14 (Lần " &amp; INT(R222/20) &amp; ")", IF(AND(E222=16, INT(S222/20)&gt;INT(S221/20)), "TN Ø16 (Lần " &amp; INT(S222/20) &amp; ")", IF(AND(E222=18, INT(T222/20)&gt;INT(T221/20)), "TN Ø18 (Lần " &amp; INT(T222/20) &amp; ")", IF(AND(E222=20, INT(U222/20)&gt;INT(U221/20)), "TN Ø20 (Lần " &amp; INT(U222/20) &amp; ")", IF(AND(E222=22, INT(V222/20)&gt;INT(V221/20)), "TN Ø22 (Lần " &amp; INT(V222/20) &amp; ")", IF(AND(E222=25, INT(W222/20)&gt;INT(W221/20)), "TN Ø25 (Lần " &amp; INT(W222/20) &amp; ")", IF(AND(E222=28, INT(X222/20)&gt;INT(X221/20)), "TN Ø28 (Lần " &amp; INT(X222/20) &amp; ")", IF(AND(E222=32, INT(Y222/20)&gt;INT(Y221/20)), "TN Ø32 (Lần " &amp; INT(Y222/20) &amp; ")", IF(AND(F222="ASTM A416", INT(Z222/20)&gt;INT(Z221/20)), "TN Cáp 15.2 (Lần " &amp; INT(Z222/20) &amp; ")", "")))))))))))</f>
        <v/>
      </c>
      <c r="P222" s="20">
        <f>ROUND(P221 + IF(AND(E222&lt;=10, F222&lt;&gt;"ASTM A416"), L222, 0), 3)</f>
        <v/>
      </c>
      <c r="Q222" s="20">
        <f>ROUND(Q221 + IF(AND(E222=12, F222&lt;&gt;"ASTM A416"), L222, 0), 3)</f>
        <v/>
      </c>
      <c r="R222" s="20">
        <f>ROUND(R221 + IF(AND(E222=14, F222&lt;&gt;"ASTM A416"), L222, 0), 3)</f>
        <v/>
      </c>
      <c r="S222" s="20">
        <f>ROUND(S221 + IF(AND(E222=16, F222&lt;&gt;"ASTM A416"), L222, 0), 3)</f>
        <v/>
      </c>
      <c r="T222" s="20">
        <f>ROUND(T221 + IF(AND(E222=18, F222&lt;&gt;"ASTM A416"), L222, 0), 3)</f>
        <v/>
      </c>
      <c r="U222" s="20">
        <f>ROUND(U221 + IF(AND(E222=20, F222&lt;&gt;"ASTM A416"), L222, 0), 3)</f>
        <v/>
      </c>
      <c r="V222" s="20">
        <f>ROUND(V221 + IF(AND(E222=22, F222&lt;&gt;"ASTM A416"), L222, 0), 3)</f>
        <v/>
      </c>
      <c r="W222" s="20">
        <f>ROUND(W221 + IF(AND(E222=25, F222&lt;&gt;"ASTM A416"), L222, 0), 3)</f>
        <v/>
      </c>
      <c r="X222" s="20">
        <f>ROUND(X221 + IF(AND(E222=28, F222&lt;&gt;"ASTM A416"), L222, 0), 3)</f>
        <v/>
      </c>
      <c r="Y222" s="20">
        <f>ROUND(Y221 + IF(AND(E222=32, F222&lt;&gt;"ASTM A416"), L222, 0), 3)</f>
        <v/>
      </c>
      <c r="Z222" s="20">
        <f>ROUND(Z221 + IF(F222="ASTM A416", L222, 0), 3)</f>
        <v/>
      </c>
      <c r="AA222" s="11">
        <f>IF(INT(P222/20)&gt;INT(P221/20), "Lần " &amp; INT(P222/20), "")</f>
        <v/>
      </c>
      <c r="AB222" s="11">
        <f>IF(INT(Q222/20)&gt;INT(Q221/20), "Lần " &amp; INT(Q222/20), "")</f>
        <v/>
      </c>
      <c r="AC222" s="11">
        <f>IF(INT(R222/20)&gt;INT(R221/20), "Lần " &amp; INT(R222/20), "")</f>
        <v/>
      </c>
      <c r="AD222" s="11">
        <f>IF(INT(S222/20)&gt;INT(S221/20), "Lần " &amp; INT(S222/20), "")</f>
        <v/>
      </c>
      <c r="AE222" s="11">
        <f>IF(INT(T222/20)&gt;INT(T221/20), "Lần " &amp; INT(T222/20), "")</f>
        <v/>
      </c>
      <c r="AF222" s="11">
        <f>IF(INT(U222/20)&gt;INT(U221/20), "Lần " &amp; INT(U222/20), "")</f>
        <v/>
      </c>
      <c r="AG222" s="11">
        <f>IF(INT(V222/20)&gt;INT(V221/20), "Lần " &amp; INT(V222/20), "")</f>
        <v/>
      </c>
      <c r="AH222" s="11">
        <f>IF(INT(W222/20)&gt;INT(W221/20), "Lần " &amp; INT(W222/20), "")</f>
        <v/>
      </c>
      <c r="AI222" s="11">
        <f>IF(INT(X222/20)&gt;INT(X221/20), "Lần " &amp; INT(X222/20), "")</f>
        <v/>
      </c>
      <c r="AJ222" s="11">
        <f>IF(INT(Y222/20)&gt;INT(Y221/20), "Lần " &amp; INT(Y222/20), "")</f>
        <v/>
      </c>
      <c r="AK222" s="11">
        <f>IF(INT(Z222/20)&gt;INT(Z221/20), "Lần " &amp; INT(Z222/20), "")</f>
        <v/>
      </c>
      <c r="AL222" s="6" t="inlineStr">
        <is>
          <t>ĐẠT TCVN 1651:2018</t>
        </is>
      </c>
    </row>
    <row r="223" ht="19" customHeight="1">
      <c r="A223" s="6" t="n">
        <v>206</v>
      </c>
      <c r="B223" s="7" t="inlineStr">
        <is>
          <t>Cọc khoan nhồi C3 Trụ T2 (D1.2m, L=30.0m)</t>
        </is>
      </c>
      <c r="C223" s="7" t="inlineStr">
        <is>
          <t>Thanh thép treo lồng cọc</t>
        </is>
      </c>
      <c r="D223" s="18" t="inlineStr">
        <is>
          <t>P11</t>
        </is>
      </c>
      <c r="E223" s="19" t="n">
        <v>16</v>
      </c>
      <c r="F223" s="6" t="inlineStr">
        <is>
          <t>CB400-V</t>
        </is>
      </c>
      <c r="G223" s="7" t="inlineStr">
        <is>
          <t>Thanh treo lồng (bảng phụ tr.70)</t>
        </is>
      </c>
      <c r="H223" s="20" t="n">
        <v>2.604</v>
      </c>
      <c r="I223" s="21" t="n">
        <v>4</v>
      </c>
      <c r="J223" s="22" t="n">
        <v>1.58</v>
      </c>
      <c r="K223" s="9">
        <f>ROUND(H223*I223*J223, 2)</f>
        <v/>
      </c>
      <c r="L223" s="23">
        <f>ROUND(K223/1000, 3)</f>
        <v/>
      </c>
      <c r="M223" s="8" t="n"/>
      <c r="N223" s="6" t="n"/>
      <c r="O223" s="24">
        <f>IF(AND(E223&lt;=10, F223&lt;&gt;"ASTM A416", INT(P223/20)&gt;INT(P222/20)), "TN Ø10 (Lần " &amp; INT(P223/20) &amp; ")", IF(AND(E223=12, INT(Q223/20)&gt;INT(Q222/20)), "TN Ø12 (Lần " &amp; INT(Q223/20) &amp; ")", IF(AND(E223=14, INT(R223/20)&gt;INT(R222/20)), "TN Ø14 (Lần " &amp; INT(R223/20) &amp; ")", IF(AND(E223=16, INT(S223/20)&gt;INT(S222/20)), "TN Ø16 (Lần " &amp; INT(S223/20) &amp; ")", IF(AND(E223=18, INT(T223/20)&gt;INT(T222/20)), "TN Ø18 (Lần " &amp; INT(T223/20) &amp; ")", IF(AND(E223=20, INT(U223/20)&gt;INT(U222/20)), "TN Ø20 (Lần " &amp; INT(U223/20) &amp; ")", IF(AND(E223=22, INT(V223/20)&gt;INT(V222/20)), "TN Ø22 (Lần " &amp; INT(V223/20) &amp; ")", IF(AND(E223=25, INT(W223/20)&gt;INT(W222/20)), "TN Ø25 (Lần " &amp; INT(W223/20) &amp; ")", IF(AND(E223=28, INT(X223/20)&gt;INT(X222/20)), "TN Ø28 (Lần " &amp; INT(X223/20) &amp; ")", IF(AND(E223=32, INT(Y223/20)&gt;INT(Y222/20)), "TN Ø32 (Lần " &amp; INT(Y223/20) &amp; ")", IF(AND(F223="ASTM A416", INT(Z223/20)&gt;INT(Z222/20)), "TN Cáp 15.2 (Lần " &amp; INT(Z223/20) &amp; ")", "")))))))))))</f>
        <v/>
      </c>
      <c r="P223" s="20">
        <f>ROUND(P222 + IF(AND(E223&lt;=10, F223&lt;&gt;"ASTM A416"), L223, 0), 3)</f>
        <v/>
      </c>
      <c r="Q223" s="20">
        <f>ROUND(Q222 + IF(AND(E223=12, F223&lt;&gt;"ASTM A416"), L223, 0), 3)</f>
        <v/>
      </c>
      <c r="R223" s="20">
        <f>ROUND(R222 + IF(AND(E223=14, F223&lt;&gt;"ASTM A416"), L223, 0), 3)</f>
        <v/>
      </c>
      <c r="S223" s="20">
        <f>ROUND(S222 + IF(AND(E223=16, F223&lt;&gt;"ASTM A416"), L223, 0), 3)</f>
        <v/>
      </c>
      <c r="T223" s="20">
        <f>ROUND(T222 + IF(AND(E223=18, F223&lt;&gt;"ASTM A416"), L223, 0), 3)</f>
        <v/>
      </c>
      <c r="U223" s="20">
        <f>ROUND(U222 + IF(AND(E223=20, F223&lt;&gt;"ASTM A416"), L223, 0), 3)</f>
        <v/>
      </c>
      <c r="V223" s="20">
        <f>ROUND(V222 + IF(AND(E223=22, F223&lt;&gt;"ASTM A416"), L223, 0), 3)</f>
        <v/>
      </c>
      <c r="W223" s="20">
        <f>ROUND(W222 + IF(AND(E223=25, F223&lt;&gt;"ASTM A416"), L223, 0), 3)</f>
        <v/>
      </c>
      <c r="X223" s="20">
        <f>ROUND(X222 + IF(AND(E223=28, F223&lt;&gt;"ASTM A416"), L223, 0), 3)</f>
        <v/>
      </c>
      <c r="Y223" s="20">
        <f>ROUND(Y222 + IF(AND(E223=32, F223&lt;&gt;"ASTM A416"), L223, 0), 3)</f>
        <v/>
      </c>
      <c r="Z223" s="20">
        <f>ROUND(Z222 + IF(F223="ASTM A416", L223, 0), 3)</f>
        <v/>
      </c>
      <c r="AA223" s="11">
        <f>IF(INT(P223/20)&gt;INT(P222/20), "Lần " &amp; INT(P223/20), "")</f>
        <v/>
      </c>
      <c r="AB223" s="11">
        <f>IF(INT(Q223/20)&gt;INT(Q222/20), "Lần " &amp; INT(Q223/20), "")</f>
        <v/>
      </c>
      <c r="AC223" s="11">
        <f>IF(INT(R223/20)&gt;INT(R222/20), "Lần " &amp; INT(R223/20), "")</f>
        <v/>
      </c>
      <c r="AD223" s="11">
        <f>IF(INT(S223/20)&gt;INT(S222/20), "Lần " &amp; INT(S223/20), "")</f>
        <v/>
      </c>
      <c r="AE223" s="11">
        <f>IF(INT(T223/20)&gt;INT(T222/20), "Lần " &amp; INT(T223/20), "")</f>
        <v/>
      </c>
      <c r="AF223" s="11">
        <f>IF(INT(U223/20)&gt;INT(U222/20), "Lần " &amp; INT(U223/20), "")</f>
        <v/>
      </c>
      <c r="AG223" s="11">
        <f>IF(INT(V223/20)&gt;INT(V222/20), "Lần " &amp; INT(V223/20), "")</f>
        <v/>
      </c>
      <c r="AH223" s="11">
        <f>IF(INT(W223/20)&gt;INT(W222/20), "Lần " &amp; INT(W223/20), "")</f>
        <v/>
      </c>
      <c r="AI223" s="11">
        <f>IF(INT(X223/20)&gt;INT(X222/20), "Lần " &amp; INT(X223/20), "")</f>
        <v/>
      </c>
      <c r="AJ223" s="11">
        <f>IF(INT(Y223/20)&gt;INT(Y222/20), "Lần " &amp; INT(Y223/20), "")</f>
        <v/>
      </c>
      <c r="AK223" s="11">
        <f>IF(INT(Z223/20)&gt;INT(Z222/20), "Lần " &amp; INT(Z223/20), "")</f>
        <v/>
      </c>
      <c r="AL223" s="6" t="inlineStr">
        <is>
          <t>ĐẠT TCVN 1651:2018</t>
        </is>
      </c>
    </row>
    <row r="224" ht="19" customHeight="1">
      <c r="A224" s="6" t="n">
        <v>207</v>
      </c>
      <c r="B224" s="7" t="inlineStr">
        <is>
          <t>Cọc khoan nhồi C3 Trụ T2 (D1.2m, L=30.0m)</t>
        </is>
      </c>
      <c r="C224" s="7" t="inlineStr">
        <is>
          <t>Thép đai xoắn lồng cọc</t>
        </is>
      </c>
      <c r="D224" s="18" t="inlineStr">
        <is>
          <t>P12</t>
        </is>
      </c>
      <c r="E224" s="19" t="n">
        <v>20</v>
      </c>
      <c r="F224" s="6" t="inlineStr">
        <is>
          <t>CB400-V</t>
        </is>
      </c>
      <c r="G224" s="7" t="inlineStr">
        <is>
          <t>Đai xoắn tròn</t>
        </is>
      </c>
      <c r="H224" s="20" t="n">
        <v>0.583</v>
      </c>
      <c r="I224" s="21" t="n">
        <v>48</v>
      </c>
      <c r="J224" s="22" t="n">
        <v>2.47</v>
      </c>
      <c r="K224" s="9">
        <f>ROUND(H224*I224*J224, 2)</f>
        <v/>
      </c>
      <c r="L224" s="23">
        <f>ROUND(K224/1000, 3)</f>
        <v/>
      </c>
      <c r="M224" s="8" t="n"/>
      <c r="N224" s="6" t="n"/>
      <c r="O224" s="24">
        <f>IF(AND(E224&lt;=10, F224&lt;&gt;"ASTM A416", INT(P224/20)&gt;INT(P223/20)), "TN Ø10 (Lần " &amp; INT(P224/20) &amp; ")", IF(AND(E224=12, INT(Q224/20)&gt;INT(Q223/20)), "TN Ø12 (Lần " &amp; INT(Q224/20) &amp; ")", IF(AND(E224=14, INT(R224/20)&gt;INT(R223/20)), "TN Ø14 (Lần " &amp; INT(R224/20) &amp; ")", IF(AND(E224=16, INT(S224/20)&gt;INT(S223/20)), "TN Ø16 (Lần " &amp; INT(S224/20) &amp; ")", IF(AND(E224=18, INT(T224/20)&gt;INT(T223/20)), "TN Ø18 (Lần " &amp; INT(T224/20) &amp; ")", IF(AND(E224=20, INT(U224/20)&gt;INT(U223/20)), "TN Ø20 (Lần " &amp; INT(U224/20) &amp; ")", IF(AND(E224=22, INT(V224/20)&gt;INT(V223/20)), "TN Ø22 (Lần " &amp; INT(V224/20) &amp; ")", IF(AND(E224=25, INT(W224/20)&gt;INT(W223/20)), "TN Ø25 (Lần " &amp; INT(W224/20) &amp; ")", IF(AND(E224=28, INT(X224/20)&gt;INT(X223/20)), "TN Ø28 (Lần " &amp; INT(X224/20) &amp; ")", IF(AND(E224=32, INT(Y224/20)&gt;INT(Y223/20)), "TN Ø32 (Lần " &amp; INT(Y224/20) &amp; ")", IF(AND(F224="ASTM A416", INT(Z224/20)&gt;INT(Z223/20)), "TN Cáp 15.2 (Lần " &amp; INT(Z224/20) &amp; ")", "")))))))))))</f>
        <v/>
      </c>
      <c r="P224" s="20">
        <f>ROUND(P223 + IF(AND(E224&lt;=10, F224&lt;&gt;"ASTM A416"), L224, 0), 3)</f>
        <v/>
      </c>
      <c r="Q224" s="20">
        <f>ROUND(Q223 + IF(AND(E224=12, F224&lt;&gt;"ASTM A416"), L224, 0), 3)</f>
        <v/>
      </c>
      <c r="R224" s="20">
        <f>ROUND(R223 + IF(AND(E224=14, F224&lt;&gt;"ASTM A416"), L224, 0), 3)</f>
        <v/>
      </c>
      <c r="S224" s="20">
        <f>ROUND(S223 + IF(AND(E224=16, F224&lt;&gt;"ASTM A416"), L224, 0), 3)</f>
        <v/>
      </c>
      <c r="T224" s="20">
        <f>ROUND(T223 + IF(AND(E224=18, F224&lt;&gt;"ASTM A416"), L224, 0), 3)</f>
        <v/>
      </c>
      <c r="U224" s="20">
        <f>ROUND(U223 + IF(AND(E224=20, F224&lt;&gt;"ASTM A416"), L224, 0), 3)</f>
        <v/>
      </c>
      <c r="V224" s="20">
        <f>ROUND(V223 + IF(AND(E224=22, F224&lt;&gt;"ASTM A416"), L224, 0), 3)</f>
        <v/>
      </c>
      <c r="W224" s="20">
        <f>ROUND(W223 + IF(AND(E224=25, F224&lt;&gt;"ASTM A416"), L224, 0), 3)</f>
        <v/>
      </c>
      <c r="X224" s="20">
        <f>ROUND(X223 + IF(AND(E224=28, F224&lt;&gt;"ASTM A416"), L224, 0), 3)</f>
        <v/>
      </c>
      <c r="Y224" s="20">
        <f>ROUND(Y223 + IF(AND(E224=32, F224&lt;&gt;"ASTM A416"), L224, 0), 3)</f>
        <v/>
      </c>
      <c r="Z224" s="20">
        <f>ROUND(Z223 + IF(F224="ASTM A416", L224, 0), 3)</f>
        <v/>
      </c>
      <c r="AA224" s="11">
        <f>IF(INT(P224/20)&gt;INT(P223/20), "Lần " &amp; INT(P224/20), "")</f>
        <v/>
      </c>
      <c r="AB224" s="11">
        <f>IF(INT(Q224/20)&gt;INT(Q223/20), "Lần " &amp; INT(Q224/20), "")</f>
        <v/>
      </c>
      <c r="AC224" s="11">
        <f>IF(INT(R224/20)&gt;INT(R223/20), "Lần " &amp; INT(R224/20), "")</f>
        <v/>
      </c>
      <c r="AD224" s="11">
        <f>IF(INT(S224/20)&gt;INT(S223/20), "Lần " &amp; INT(S224/20), "")</f>
        <v/>
      </c>
      <c r="AE224" s="11">
        <f>IF(INT(T224/20)&gt;INT(T223/20), "Lần " &amp; INT(T224/20), "")</f>
        <v/>
      </c>
      <c r="AF224" s="11">
        <f>IF(INT(U224/20)&gt;INT(U223/20), "Lần " &amp; INT(U224/20), "")</f>
        <v/>
      </c>
      <c r="AG224" s="11">
        <f>IF(INT(V224/20)&gt;INT(V223/20), "Lần " &amp; INT(V224/20), "")</f>
        <v/>
      </c>
      <c r="AH224" s="11">
        <f>IF(INT(W224/20)&gt;INT(W223/20), "Lần " &amp; INT(W224/20), "")</f>
        <v/>
      </c>
      <c r="AI224" s="11">
        <f>IF(INT(X224/20)&gt;INT(X223/20), "Lần " &amp; INT(X224/20), "")</f>
        <v/>
      </c>
      <c r="AJ224" s="11">
        <f>IF(INT(Y224/20)&gt;INT(Y223/20), "Lần " &amp; INT(Y224/20), "")</f>
        <v/>
      </c>
      <c r="AK224" s="11">
        <f>IF(INT(Z224/20)&gt;INT(Z223/20), "Lần " &amp; INT(Z224/20), "")</f>
        <v/>
      </c>
      <c r="AL224" s="6" t="inlineStr">
        <is>
          <t>ĐẠT TCVN 1651:2018</t>
        </is>
      </c>
    </row>
    <row r="225" ht="20" customHeight="1">
      <c r="A225" s="17" t="inlineStr">
        <is>
          <t>--- CỌC KHOAN NHỒI C4 TRỤ T2 (D1.2M, L=30.0M) ---</t>
        </is>
      </c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</row>
    <row r="226" ht="19" customHeight="1">
      <c r="A226" s="6" t="n">
        <v>208</v>
      </c>
      <c r="B226" s="7" t="inlineStr">
        <is>
          <t>Cọc khoan nhồi C4 Trụ T2 (D1.2m, L=30.0m)</t>
        </is>
      </c>
      <c r="C226" s="7" t="inlineStr">
        <is>
          <t>Thép đai xoắn lồng cọc</t>
        </is>
      </c>
      <c r="D226" s="18" t="inlineStr">
        <is>
          <t>P1</t>
        </is>
      </c>
      <c r="E226" s="19" t="n">
        <v>10</v>
      </c>
      <c r="F226" s="6" t="inlineStr">
        <is>
          <t>CB240-T</t>
        </is>
      </c>
      <c r="G226" s="7" t="inlineStr">
        <is>
          <t>Đai xoắn tròn</t>
        </is>
      </c>
      <c r="H226" s="20" t="n">
        <v>96.604</v>
      </c>
      <c r="I226" s="21" t="n">
        <v>1</v>
      </c>
      <c r="J226" s="22" t="n">
        <v>0.617</v>
      </c>
      <c r="K226" s="9">
        <f>ROUND(H226*I226*J226, 2)</f>
        <v/>
      </c>
      <c r="L226" s="23">
        <f>ROUND(K226/1000, 3)</f>
        <v/>
      </c>
      <c r="M226" s="8" t="n"/>
      <c r="N226" s="6" t="n"/>
      <c r="O226" s="24">
        <f>IF(AND(E226&lt;=10, F226&lt;&gt;"ASTM A416", INT(P226/20)&gt;INT(P224/20)), "TN Ø10 (Lần " &amp; INT(P226/20) &amp; ")", IF(AND(E226=12, INT(Q226/20)&gt;INT(Q224/20)), "TN Ø12 (Lần " &amp; INT(Q226/20) &amp; ")", IF(AND(E226=14, INT(R226/20)&gt;INT(R224/20)), "TN Ø14 (Lần " &amp; INT(R226/20) &amp; ")", IF(AND(E226=16, INT(S226/20)&gt;INT(S224/20)), "TN Ø16 (Lần " &amp; INT(S226/20) &amp; ")", IF(AND(E226=18, INT(T226/20)&gt;INT(T224/20)), "TN Ø18 (Lần " &amp; INT(T226/20) &amp; ")", IF(AND(E226=20, INT(U226/20)&gt;INT(U224/20)), "TN Ø20 (Lần " &amp; INT(U226/20) &amp; ")", IF(AND(E226=22, INT(V226/20)&gt;INT(V224/20)), "TN Ø22 (Lần " &amp; INT(V226/20) &amp; ")", IF(AND(E226=25, INT(W226/20)&gt;INT(W224/20)), "TN Ø25 (Lần " &amp; INT(W226/20) &amp; ")", IF(AND(E226=28, INT(X226/20)&gt;INT(X224/20)), "TN Ø28 (Lần " &amp; INT(X226/20) &amp; ")", IF(AND(E226=32, INT(Y226/20)&gt;INT(Y224/20)), "TN Ø32 (Lần " &amp; INT(Y226/20) &amp; ")", IF(AND(F226="ASTM A416", INT(Z226/20)&gt;INT(Z224/20)), "TN Cáp 15.2 (Lần " &amp; INT(Z226/20) &amp; ")", "")))))))))))</f>
        <v/>
      </c>
      <c r="P226" s="20">
        <f>ROUND(P224 + IF(AND(E226&lt;=10, F226&lt;&gt;"ASTM A416"), L226, 0), 3)</f>
        <v/>
      </c>
      <c r="Q226" s="20">
        <f>ROUND(Q224 + IF(AND(E226=12, F226&lt;&gt;"ASTM A416"), L226, 0), 3)</f>
        <v/>
      </c>
      <c r="R226" s="20">
        <f>ROUND(R224 + IF(AND(E226=14, F226&lt;&gt;"ASTM A416"), L226, 0), 3)</f>
        <v/>
      </c>
      <c r="S226" s="20">
        <f>ROUND(S224 + IF(AND(E226=16, F226&lt;&gt;"ASTM A416"), L226, 0), 3)</f>
        <v/>
      </c>
      <c r="T226" s="20">
        <f>ROUND(T224 + IF(AND(E226=18, F226&lt;&gt;"ASTM A416"), L226, 0), 3)</f>
        <v/>
      </c>
      <c r="U226" s="20">
        <f>ROUND(U224 + IF(AND(E226=20, F226&lt;&gt;"ASTM A416"), L226, 0), 3)</f>
        <v/>
      </c>
      <c r="V226" s="20">
        <f>ROUND(V224 + IF(AND(E226=22, F226&lt;&gt;"ASTM A416"), L226, 0), 3)</f>
        <v/>
      </c>
      <c r="W226" s="20">
        <f>ROUND(W224 + IF(AND(E226=25, F226&lt;&gt;"ASTM A416"), L226, 0), 3)</f>
        <v/>
      </c>
      <c r="X226" s="20">
        <f>ROUND(X224 + IF(AND(E226=28, F226&lt;&gt;"ASTM A416"), L226, 0), 3)</f>
        <v/>
      </c>
      <c r="Y226" s="20">
        <f>ROUND(Y224 + IF(AND(E226=32, F226&lt;&gt;"ASTM A416"), L226, 0), 3)</f>
        <v/>
      </c>
      <c r="Z226" s="20">
        <f>ROUND(Z224 + IF(F226="ASTM A416", L226, 0), 3)</f>
        <v/>
      </c>
      <c r="AA226" s="11">
        <f>IF(INT(P226/20)&gt;INT(P224/20), "Lần " &amp; INT(P226/20), "")</f>
        <v/>
      </c>
      <c r="AB226" s="11">
        <f>IF(INT(Q226/20)&gt;INT(Q224/20), "Lần " &amp; INT(Q226/20), "")</f>
        <v/>
      </c>
      <c r="AC226" s="11">
        <f>IF(INT(R226/20)&gt;INT(R224/20), "Lần " &amp; INT(R226/20), "")</f>
        <v/>
      </c>
      <c r="AD226" s="11">
        <f>IF(INT(S226/20)&gt;INT(S224/20), "Lần " &amp; INT(S226/20), "")</f>
        <v/>
      </c>
      <c r="AE226" s="11">
        <f>IF(INT(T226/20)&gt;INT(T224/20), "Lần " &amp; INT(T226/20), "")</f>
        <v/>
      </c>
      <c r="AF226" s="11">
        <f>IF(INT(U226/20)&gt;INT(U224/20), "Lần " &amp; INT(U226/20), "")</f>
        <v/>
      </c>
      <c r="AG226" s="11">
        <f>IF(INT(V226/20)&gt;INT(V224/20), "Lần " &amp; INT(V226/20), "")</f>
        <v/>
      </c>
      <c r="AH226" s="11">
        <f>IF(INT(W226/20)&gt;INT(W224/20), "Lần " &amp; INT(W226/20), "")</f>
        <v/>
      </c>
      <c r="AI226" s="11">
        <f>IF(INT(X226/20)&gt;INT(X224/20), "Lần " &amp; INT(X226/20), "")</f>
        <v/>
      </c>
      <c r="AJ226" s="11">
        <f>IF(INT(Y226/20)&gt;INT(Y224/20), "Lần " &amp; INT(Y226/20), "")</f>
        <v/>
      </c>
      <c r="AK226" s="11">
        <f>IF(INT(Z226/20)&gt;INT(Z224/20), "Lần " &amp; INT(Z226/20), "")</f>
        <v/>
      </c>
      <c r="AL226" s="6" t="inlineStr">
        <is>
          <t>ĐẠT TCVN 1651:2018</t>
        </is>
      </c>
    </row>
    <row r="227" ht="19" customHeight="1">
      <c r="A227" s="6" t="n">
        <v>209</v>
      </c>
      <c r="B227" s="7" t="inlineStr">
        <is>
          <t>Cọc khoan nhồi C4 Trụ T2 (D1.2m, L=30.0m)</t>
        </is>
      </c>
      <c r="C227" s="7" t="inlineStr">
        <is>
          <t>Thép đai xoắn lồng cọc</t>
        </is>
      </c>
      <c r="D227" s="18" t="inlineStr">
        <is>
          <t>P1A</t>
        </is>
      </c>
      <c r="E227" s="19" t="n">
        <v>10</v>
      </c>
      <c r="F227" s="6" t="inlineStr">
        <is>
          <t>CB240-T</t>
        </is>
      </c>
      <c r="G227" s="7" t="inlineStr">
        <is>
          <t>Đai xoắn tròn</t>
        </is>
      </c>
      <c r="H227" s="20" t="n">
        <v>389.636</v>
      </c>
      <c r="I227" s="21" t="n">
        <v>1</v>
      </c>
      <c r="J227" s="22" t="n">
        <v>0.617</v>
      </c>
      <c r="K227" s="9">
        <f>ROUND(H227*I227*J227, 2)</f>
        <v/>
      </c>
      <c r="L227" s="23">
        <f>ROUND(K227/1000, 3)</f>
        <v/>
      </c>
      <c r="M227" s="8" t="n"/>
      <c r="N227" s="6" t="n"/>
      <c r="O227" s="24">
        <f>IF(AND(E227&lt;=10, F227&lt;&gt;"ASTM A416", INT(P227/20)&gt;INT(P226/20)), "TN Ø10 (Lần " &amp; INT(P227/20) &amp; ")", IF(AND(E227=12, INT(Q227/20)&gt;INT(Q226/20)), "TN Ø12 (Lần " &amp; INT(Q227/20) &amp; ")", IF(AND(E227=14, INT(R227/20)&gt;INT(R226/20)), "TN Ø14 (Lần " &amp; INT(R227/20) &amp; ")", IF(AND(E227=16, INT(S227/20)&gt;INT(S226/20)), "TN Ø16 (Lần " &amp; INT(S227/20) &amp; ")", IF(AND(E227=18, INT(T227/20)&gt;INT(T226/20)), "TN Ø18 (Lần " &amp; INT(T227/20) &amp; ")", IF(AND(E227=20, INT(U227/20)&gt;INT(U226/20)), "TN Ø20 (Lần " &amp; INT(U227/20) &amp; ")", IF(AND(E227=22, INT(V227/20)&gt;INT(V226/20)), "TN Ø22 (Lần " &amp; INT(V227/20) &amp; ")", IF(AND(E227=25, INT(W227/20)&gt;INT(W226/20)), "TN Ø25 (Lần " &amp; INT(W227/20) &amp; ")", IF(AND(E227=28, INT(X227/20)&gt;INT(X226/20)), "TN Ø28 (Lần " &amp; INT(X227/20) &amp; ")", IF(AND(E227=32, INT(Y227/20)&gt;INT(Y226/20)), "TN Ø32 (Lần " &amp; INT(Y227/20) &amp; ")", IF(AND(F227="ASTM A416", INT(Z227/20)&gt;INT(Z226/20)), "TN Cáp 15.2 (Lần " &amp; INT(Z227/20) &amp; ")", "")))))))))))</f>
        <v/>
      </c>
      <c r="P227" s="20">
        <f>ROUND(P226 + IF(AND(E227&lt;=10, F227&lt;&gt;"ASTM A416"), L227, 0), 3)</f>
        <v/>
      </c>
      <c r="Q227" s="20">
        <f>ROUND(Q226 + IF(AND(E227=12, F227&lt;&gt;"ASTM A416"), L227, 0), 3)</f>
        <v/>
      </c>
      <c r="R227" s="20">
        <f>ROUND(R226 + IF(AND(E227=14, F227&lt;&gt;"ASTM A416"), L227, 0), 3)</f>
        <v/>
      </c>
      <c r="S227" s="20">
        <f>ROUND(S226 + IF(AND(E227=16, F227&lt;&gt;"ASTM A416"), L227, 0), 3)</f>
        <v/>
      </c>
      <c r="T227" s="20">
        <f>ROUND(T226 + IF(AND(E227=18, F227&lt;&gt;"ASTM A416"), L227, 0), 3)</f>
        <v/>
      </c>
      <c r="U227" s="20">
        <f>ROUND(U226 + IF(AND(E227=20, F227&lt;&gt;"ASTM A416"), L227, 0), 3)</f>
        <v/>
      </c>
      <c r="V227" s="20">
        <f>ROUND(V226 + IF(AND(E227=22, F227&lt;&gt;"ASTM A416"), L227, 0), 3)</f>
        <v/>
      </c>
      <c r="W227" s="20">
        <f>ROUND(W226 + IF(AND(E227=25, F227&lt;&gt;"ASTM A416"), L227, 0), 3)</f>
        <v/>
      </c>
      <c r="X227" s="20">
        <f>ROUND(X226 + IF(AND(E227=28, F227&lt;&gt;"ASTM A416"), L227, 0), 3)</f>
        <v/>
      </c>
      <c r="Y227" s="20">
        <f>ROUND(Y226 + IF(AND(E227=32, F227&lt;&gt;"ASTM A416"), L227, 0), 3)</f>
        <v/>
      </c>
      <c r="Z227" s="20">
        <f>ROUND(Z226 + IF(F227="ASTM A416", L227, 0), 3)</f>
        <v/>
      </c>
      <c r="AA227" s="11">
        <f>IF(INT(P227/20)&gt;INT(P226/20), "Lần " &amp; INT(P227/20), "")</f>
        <v/>
      </c>
      <c r="AB227" s="11">
        <f>IF(INT(Q227/20)&gt;INT(Q226/20), "Lần " &amp; INT(Q227/20), "")</f>
        <v/>
      </c>
      <c r="AC227" s="11">
        <f>IF(INT(R227/20)&gt;INT(R226/20), "Lần " &amp; INT(R227/20), "")</f>
        <v/>
      </c>
      <c r="AD227" s="11">
        <f>IF(INT(S227/20)&gt;INT(S226/20), "Lần " &amp; INT(S227/20), "")</f>
        <v/>
      </c>
      <c r="AE227" s="11">
        <f>IF(INT(T227/20)&gt;INT(T226/20), "Lần " &amp; INT(T227/20), "")</f>
        <v/>
      </c>
      <c r="AF227" s="11">
        <f>IF(INT(U227/20)&gt;INT(U226/20), "Lần " &amp; INT(U227/20), "")</f>
        <v/>
      </c>
      <c r="AG227" s="11">
        <f>IF(INT(V227/20)&gt;INT(V226/20), "Lần " &amp; INT(V227/20), "")</f>
        <v/>
      </c>
      <c r="AH227" s="11">
        <f>IF(INT(W227/20)&gt;INT(W226/20), "Lần " &amp; INT(W227/20), "")</f>
        <v/>
      </c>
      <c r="AI227" s="11">
        <f>IF(INT(X227/20)&gt;INT(X226/20), "Lần " &amp; INT(X227/20), "")</f>
        <v/>
      </c>
      <c r="AJ227" s="11">
        <f>IF(INT(Y227/20)&gt;INT(Y226/20), "Lần " &amp; INT(Y227/20), "")</f>
        <v/>
      </c>
      <c r="AK227" s="11">
        <f>IF(INT(Z227/20)&gt;INT(Z226/20), "Lần " &amp; INT(Z227/20), "")</f>
        <v/>
      </c>
      <c r="AL227" s="6" t="inlineStr">
        <is>
          <t>ĐẠT TCVN 1651:2018</t>
        </is>
      </c>
    </row>
    <row r="228" ht="19" customHeight="1">
      <c r="A228" s="6" t="n">
        <v>210</v>
      </c>
      <c r="B228" s="7" t="inlineStr">
        <is>
          <t>Cọc khoan nhồi C4 Trụ T2 (D1.2m, L=30.0m)</t>
        </is>
      </c>
      <c r="C228" s="7" t="inlineStr">
        <is>
          <t>Thép đai xoắn lồng cọc</t>
        </is>
      </c>
      <c r="D228" s="18" t="inlineStr">
        <is>
          <t>P1B</t>
        </is>
      </c>
      <c r="E228" s="19" t="n">
        <v>10</v>
      </c>
      <c r="F228" s="6" t="inlineStr">
        <is>
          <t>CB240-T</t>
        </is>
      </c>
      <c r="G228" s="7" t="inlineStr">
        <is>
          <t>Đai xoắn tròn</t>
        </is>
      </c>
      <c r="H228" s="20" t="n">
        <v>100.256</v>
      </c>
      <c r="I228" s="21" t="n">
        <v>1</v>
      </c>
      <c r="J228" s="22" t="n">
        <v>0.617</v>
      </c>
      <c r="K228" s="9">
        <f>ROUND(H228*I228*J228, 2)</f>
        <v/>
      </c>
      <c r="L228" s="23">
        <f>ROUND(K228/1000, 3)</f>
        <v/>
      </c>
      <c r="M228" s="8" t="n"/>
      <c r="N228" s="6" t="n"/>
      <c r="O228" s="24">
        <f>IF(AND(E228&lt;=10, F228&lt;&gt;"ASTM A416", INT(P228/20)&gt;INT(P227/20)), "TN Ø10 (Lần " &amp; INT(P228/20) &amp; ")", IF(AND(E228=12, INT(Q228/20)&gt;INT(Q227/20)), "TN Ø12 (Lần " &amp; INT(Q228/20) &amp; ")", IF(AND(E228=14, INT(R228/20)&gt;INT(R227/20)), "TN Ø14 (Lần " &amp; INT(R228/20) &amp; ")", IF(AND(E228=16, INT(S228/20)&gt;INT(S227/20)), "TN Ø16 (Lần " &amp; INT(S228/20) &amp; ")", IF(AND(E228=18, INT(T228/20)&gt;INT(T227/20)), "TN Ø18 (Lần " &amp; INT(T228/20) &amp; ")", IF(AND(E228=20, INT(U228/20)&gt;INT(U227/20)), "TN Ø20 (Lần " &amp; INT(U228/20) &amp; ")", IF(AND(E228=22, INT(V228/20)&gt;INT(V227/20)), "TN Ø22 (Lần " &amp; INT(V228/20) &amp; ")", IF(AND(E228=25, INT(W228/20)&gt;INT(W227/20)), "TN Ø25 (Lần " &amp; INT(W228/20) &amp; ")", IF(AND(E228=28, INT(X228/20)&gt;INT(X227/20)), "TN Ø28 (Lần " &amp; INT(X228/20) &amp; ")", IF(AND(E228=32, INT(Y228/20)&gt;INT(Y227/20)), "TN Ø32 (Lần " &amp; INT(Y228/20) &amp; ")", IF(AND(F228="ASTM A416", INT(Z228/20)&gt;INT(Z227/20)), "TN Cáp 15.2 (Lần " &amp; INT(Z228/20) &amp; ")", "")))))))))))</f>
        <v/>
      </c>
      <c r="P228" s="20">
        <f>ROUND(P227 + IF(AND(E228&lt;=10, F228&lt;&gt;"ASTM A416"), L228, 0), 3)</f>
        <v/>
      </c>
      <c r="Q228" s="20">
        <f>ROUND(Q227 + IF(AND(E228=12, F228&lt;&gt;"ASTM A416"), L228, 0), 3)</f>
        <v/>
      </c>
      <c r="R228" s="20">
        <f>ROUND(R227 + IF(AND(E228=14, F228&lt;&gt;"ASTM A416"), L228, 0), 3)</f>
        <v/>
      </c>
      <c r="S228" s="20">
        <f>ROUND(S227 + IF(AND(E228=16, F228&lt;&gt;"ASTM A416"), L228, 0), 3)</f>
        <v/>
      </c>
      <c r="T228" s="20">
        <f>ROUND(T227 + IF(AND(E228=18, F228&lt;&gt;"ASTM A416"), L228, 0), 3)</f>
        <v/>
      </c>
      <c r="U228" s="20">
        <f>ROUND(U227 + IF(AND(E228=20, F228&lt;&gt;"ASTM A416"), L228, 0), 3)</f>
        <v/>
      </c>
      <c r="V228" s="20">
        <f>ROUND(V227 + IF(AND(E228=22, F228&lt;&gt;"ASTM A416"), L228, 0), 3)</f>
        <v/>
      </c>
      <c r="W228" s="20">
        <f>ROUND(W227 + IF(AND(E228=25, F228&lt;&gt;"ASTM A416"), L228, 0), 3)</f>
        <v/>
      </c>
      <c r="X228" s="20">
        <f>ROUND(X227 + IF(AND(E228=28, F228&lt;&gt;"ASTM A416"), L228, 0), 3)</f>
        <v/>
      </c>
      <c r="Y228" s="20">
        <f>ROUND(Y227 + IF(AND(E228=32, F228&lt;&gt;"ASTM A416"), L228, 0), 3)</f>
        <v/>
      </c>
      <c r="Z228" s="20">
        <f>ROUND(Z227 + IF(F228="ASTM A416", L228, 0), 3)</f>
        <v/>
      </c>
      <c r="AA228" s="11">
        <f>IF(INT(P228/20)&gt;INT(P227/20), "Lần " &amp; INT(P228/20), "")</f>
        <v/>
      </c>
      <c r="AB228" s="11">
        <f>IF(INT(Q228/20)&gt;INT(Q227/20), "Lần " &amp; INT(Q228/20), "")</f>
        <v/>
      </c>
      <c r="AC228" s="11">
        <f>IF(INT(R228/20)&gt;INT(R227/20), "Lần " &amp; INT(R228/20), "")</f>
        <v/>
      </c>
      <c r="AD228" s="11">
        <f>IF(INT(S228/20)&gt;INT(S227/20), "Lần " &amp; INT(S228/20), "")</f>
        <v/>
      </c>
      <c r="AE228" s="11">
        <f>IF(INT(T228/20)&gt;INT(T227/20), "Lần " &amp; INT(T228/20), "")</f>
        <v/>
      </c>
      <c r="AF228" s="11">
        <f>IF(INT(U228/20)&gt;INT(U227/20), "Lần " &amp; INT(U228/20), "")</f>
        <v/>
      </c>
      <c r="AG228" s="11">
        <f>IF(INT(V228/20)&gt;INT(V227/20), "Lần " &amp; INT(V228/20), "")</f>
        <v/>
      </c>
      <c r="AH228" s="11">
        <f>IF(INT(W228/20)&gt;INT(W227/20), "Lần " &amp; INT(W228/20), "")</f>
        <v/>
      </c>
      <c r="AI228" s="11">
        <f>IF(INT(X228/20)&gt;INT(X227/20), "Lần " &amp; INT(X228/20), "")</f>
        <v/>
      </c>
      <c r="AJ228" s="11">
        <f>IF(INT(Y228/20)&gt;INT(Y227/20), "Lần " &amp; INT(Y228/20), "")</f>
        <v/>
      </c>
      <c r="AK228" s="11">
        <f>IF(INT(Z228/20)&gt;INT(Z227/20), "Lần " &amp; INT(Z228/20), "")</f>
        <v/>
      </c>
      <c r="AL228" s="6" t="inlineStr">
        <is>
          <t>ĐẠT TCVN 1651:2018</t>
        </is>
      </c>
    </row>
    <row r="229" ht="19" customHeight="1">
      <c r="A229" s="6" t="n">
        <v>211</v>
      </c>
      <c r="B229" s="7" t="inlineStr">
        <is>
          <t>Cọc khoan nhồi C4 Trụ T2 (D1.2m, L=30.0m)</t>
        </is>
      </c>
      <c r="C229" s="7" t="inlineStr">
        <is>
          <t>Thép đai xoắn lồng cọc</t>
        </is>
      </c>
      <c r="D229" s="18" t="inlineStr">
        <is>
          <t>P1C</t>
        </is>
      </c>
      <c r="E229" s="19" t="n">
        <v>10</v>
      </c>
      <c r="F229" s="6" t="inlineStr">
        <is>
          <t>CB240-T</t>
        </is>
      </c>
      <c r="G229" s="7" t="inlineStr">
        <is>
          <t>Đai xoắn tròn</t>
        </is>
      </c>
      <c r="H229" s="20" t="n">
        <v>3.592</v>
      </c>
      <c r="I229" s="21" t="n">
        <v>2</v>
      </c>
      <c r="J229" s="22" t="n">
        <v>0.617</v>
      </c>
      <c r="K229" s="9">
        <f>ROUND(H229*I229*J229, 2)</f>
        <v/>
      </c>
      <c r="L229" s="23">
        <f>ROUND(K229/1000, 3)</f>
        <v/>
      </c>
      <c r="M229" s="8" t="n"/>
      <c r="N229" s="6" t="n"/>
      <c r="O229" s="24">
        <f>IF(AND(E229&lt;=10, F229&lt;&gt;"ASTM A416", INT(P229/20)&gt;INT(P228/20)), "TN Ø10 (Lần " &amp; INT(P229/20) &amp; ")", IF(AND(E229=12, INT(Q229/20)&gt;INT(Q228/20)), "TN Ø12 (Lần " &amp; INT(Q229/20) &amp; ")", IF(AND(E229=14, INT(R229/20)&gt;INT(R228/20)), "TN Ø14 (Lần " &amp; INT(R229/20) &amp; ")", IF(AND(E229=16, INT(S229/20)&gt;INT(S228/20)), "TN Ø16 (Lần " &amp; INT(S229/20) &amp; ")", IF(AND(E229=18, INT(T229/20)&gt;INT(T228/20)), "TN Ø18 (Lần " &amp; INT(T229/20) &amp; ")", IF(AND(E229=20, INT(U229/20)&gt;INT(U228/20)), "TN Ø20 (Lần " &amp; INT(U229/20) &amp; ")", IF(AND(E229=22, INT(V229/20)&gt;INT(V228/20)), "TN Ø22 (Lần " &amp; INT(V229/20) &amp; ")", IF(AND(E229=25, INT(W229/20)&gt;INT(W228/20)), "TN Ø25 (Lần " &amp; INT(W229/20) &amp; ")", IF(AND(E229=28, INT(X229/20)&gt;INT(X228/20)), "TN Ø28 (Lần " &amp; INT(X229/20) &amp; ")", IF(AND(E229=32, INT(Y229/20)&gt;INT(Y228/20)), "TN Ø32 (Lần " &amp; INT(Y229/20) &amp; ")", IF(AND(F229="ASTM A416", INT(Z229/20)&gt;INT(Z228/20)), "TN Cáp 15.2 (Lần " &amp; INT(Z229/20) &amp; ")", "")))))))))))</f>
        <v/>
      </c>
      <c r="P229" s="20">
        <f>ROUND(P228 + IF(AND(E229&lt;=10, F229&lt;&gt;"ASTM A416"), L229, 0), 3)</f>
        <v/>
      </c>
      <c r="Q229" s="20">
        <f>ROUND(Q228 + IF(AND(E229=12, F229&lt;&gt;"ASTM A416"), L229, 0), 3)</f>
        <v/>
      </c>
      <c r="R229" s="20">
        <f>ROUND(R228 + IF(AND(E229=14, F229&lt;&gt;"ASTM A416"), L229, 0), 3)</f>
        <v/>
      </c>
      <c r="S229" s="20">
        <f>ROUND(S228 + IF(AND(E229=16, F229&lt;&gt;"ASTM A416"), L229, 0), 3)</f>
        <v/>
      </c>
      <c r="T229" s="20">
        <f>ROUND(T228 + IF(AND(E229=18, F229&lt;&gt;"ASTM A416"), L229, 0), 3)</f>
        <v/>
      </c>
      <c r="U229" s="20">
        <f>ROUND(U228 + IF(AND(E229=20, F229&lt;&gt;"ASTM A416"), L229, 0), 3)</f>
        <v/>
      </c>
      <c r="V229" s="20">
        <f>ROUND(V228 + IF(AND(E229=22, F229&lt;&gt;"ASTM A416"), L229, 0), 3)</f>
        <v/>
      </c>
      <c r="W229" s="20">
        <f>ROUND(W228 + IF(AND(E229=25, F229&lt;&gt;"ASTM A416"), L229, 0), 3)</f>
        <v/>
      </c>
      <c r="X229" s="20">
        <f>ROUND(X228 + IF(AND(E229=28, F229&lt;&gt;"ASTM A416"), L229, 0), 3)</f>
        <v/>
      </c>
      <c r="Y229" s="20">
        <f>ROUND(Y228 + IF(AND(E229=32, F229&lt;&gt;"ASTM A416"), L229, 0), 3)</f>
        <v/>
      </c>
      <c r="Z229" s="20">
        <f>ROUND(Z228 + IF(F229="ASTM A416", L229, 0), 3)</f>
        <v/>
      </c>
      <c r="AA229" s="11">
        <f>IF(INT(P229/20)&gt;INT(P228/20), "Lần " &amp; INT(P229/20), "")</f>
        <v/>
      </c>
      <c r="AB229" s="11">
        <f>IF(INT(Q229/20)&gt;INT(Q228/20), "Lần " &amp; INT(Q229/20), "")</f>
        <v/>
      </c>
      <c r="AC229" s="11">
        <f>IF(INT(R229/20)&gt;INT(R228/20), "Lần " &amp; INT(R229/20), "")</f>
        <v/>
      </c>
      <c r="AD229" s="11">
        <f>IF(INT(S229/20)&gt;INT(S228/20), "Lần " &amp; INT(S229/20), "")</f>
        <v/>
      </c>
      <c r="AE229" s="11">
        <f>IF(INT(T229/20)&gt;INT(T228/20), "Lần " &amp; INT(T229/20), "")</f>
        <v/>
      </c>
      <c r="AF229" s="11">
        <f>IF(INT(U229/20)&gt;INT(U228/20), "Lần " &amp; INT(U229/20), "")</f>
        <v/>
      </c>
      <c r="AG229" s="11">
        <f>IF(INT(V229/20)&gt;INT(V228/20), "Lần " &amp; INT(V229/20), "")</f>
        <v/>
      </c>
      <c r="AH229" s="11">
        <f>IF(INT(W229/20)&gt;INT(W228/20), "Lần " &amp; INT(W229/20), "")</f>
        <v/>
      </c>
      <c r="AI229" s="11">
        <f>IF(INT(X229/20)&gt;INT(X228/20), "Lần " &amp; INT(X229/20), "")</f>
        <v/>
      </c>
      <c r="AJ229" s="11">
        <f>IF(INT(Y229/20)&gt;INT(Y228/20), "Lần " &amp; INT(Y229/20), "")</f>
        <v/>
      </c>
      <c r="AK229" s="11">
        <f>IF(INT(Z229/20)&gt;INT(Z228/20), "Lần " &amp; INT(Z229/20), "")</f>
        <v/>
      </c>
      <c r="AL229" s="6" t="inlineStr">
        <is>
          <t>ĐẠT TCVN 1651:2018</t>
        </is>
      </c>
    </row>
    <row r="230" ht="19" customHeight="1">
      <c r="A230" s="6" t="n">
        <v>212</v>
      </c>
      <c r="B230" s="7" t="inlineStr">
        <is>
          <t>Cọc khoan nhồi C4 Trụ T2 (D1.2m, L=30.0m)</t>
        </is>
      </c>
      <c r="C230" s="7" t="inlineStr">
        <is>
          <t>Thép đai xoắn lồng cọc</t>
        </is>
      </c>
      <c r="D230" s="18" t="inlineStr">
        <is>
          <t>P1D</t>
        </is>
      </c>
      <c r="E230" s="19" t="n">
        <v>10</v>
      </c>
      <c r="F230" s="6" t="inlineStr">
        <is>
          <t>CB240-T</t>
        </is>
      </c>
      <c r="G230" s="7" t="inlineStr">
        <is>
          <t>Đai xoắn tròn</t>
        </is>
      </c>
      <c r="H230" s="20" t="n">
        <v>19.721</v>
      </c>
      <c r="I230" s="21" t="n">
        <v>1</v>
      </c>
      <c r="J230" s="22" t="n">
        <v>0.617</v>
      </c>
      <c r="K230" s="9">
        <f>ROUND(H230*I230*J230, 2)</f>
        <v/>
      </c>
      <c r="L230" s="23">
        <f>ROUND(K230/1000, 3)</f>
        <v/>
      </c>
      <c r="M230" s="8" t="n"/>
      <c r="N230" s="6" t="n"/>
      <c r="O230" s="24">
        <f>IF(AND(E230&lt;=10, F230&lt;&gt;"ASTM A416", INT(P230/20)&gt;INT(P229/20)), "TN Ø10 (Lần " &amp; INT(P230/20) &amp; ")", IF(AND(E230=12, INT(Q230/20)&gt;INT(Q229/20)), "TN Ø12 (Lần " &amp; INT(Q230/20) &amp; ")", IF(AND(E230=14, INT(R230/20)&gt;INT(R229/20)), "TN Ø14 (Lần " &amp; INT(R230/20) &amp; ")", IF(AND(E230=16, INT(S230/20)&gt;INT(S229/20)), "TN Ø16 (Lần " &amp; INT(S230/20) &amp; ")", IF(AND(E230=18, INT(T230/20)&gt;INT(T229/20)), "TN Ø18 (Lần " &amp; INT(T230/20) &amp; ")", IF(AND(E230=20, INT(U230/20)&gt;INT(U229/20)), "TN Ø20 (Lần " &amp; INT(U230/20) &amp; ")", IF(AND(E230=22, INT(V230/20)&gt;INT(V229/20)), "TN Ø22 (Lần " &amp; INT(V230/20) &amp; ")", IF(AND(E230=25, INT(W230/20)&gt;INT(W229/20)), "TN Ø25 (Lần " &amp; INT(W230/20) &amp; ")", IF(AND(E230=28, INT(X230/20)&gt;INT(X229/20)), "TN Ø28 (Lần " &amp; INT(X230/20) &amp; ")", IF(AND(E230=32, INT(Y230/20)&gt;INT(Y229/20)), "TN Ø32 (Lần " &amp; INT(Y230/20) &amp; ")", IF(AND(F230="ASTM A416", INT(Z230/20)&gt;INT(Z229/20)), "TN Cáp 15.2 (Lần " &amp; INT(Z230/20) &amp; ")", "")))))))))))</f>
        <v/>
      </c>
      <c r="P230" s="20">
        <f>ROUND(P229 + IF(AND(E230&lt;=10, F230&lt;&gt;"ASTM A416"), L230, 0), 3)</f>
        <v/>
      </c>
      <c r="Q230" s="20">
        <f>ROUND(Q229 + IF(AND(E230=12, F230&lt;&gt;"ASTM A416"), L230, 0), 3)</f>
        <v/>
      </c>
      <c r="R230" s="20">
        <f>ROUND(R229 + IF(AND(E230=14, F230&lt;&gt;"ASTM A416"), L230, 0), 3)</f>
        <v/>
      </c>
      <c r="S230" s="20">
        <f>ROUND(S229 + IF(AND(E230=16, F230&lt;&gt;"ASTM A416"), L230, 0), 3)</f>
        <v/>
      </c>
      <c r="T230" s="20">
        <f>ROUND(T229 + IF(AND(E230=18, F230&lt;&gt;"ASTM A416"), L230, 0), 3)</f>
        <v/>
      </c>
      <c r="U230" s="20">
        <f>ROUND(U229 + IF(AND(E230=20, F230&lt;&gt;"ASTM A416"), L230, 0), 3)</f>
        <v/>
      </c>
      <c r="V230" s="20">
        <f>ROUND(V229 + IF(AND(E230=22, F230&lt;&gt;"ASTM A416"), L230, 0), 3)</f>
        <v/>
      </c>
      <c r="W230" s="20">
        <f>ROUND(W229 + IF(AND(E230=25, F230&lt;&gt;"ASTM A416"), L230, 0), 3)</f>
        <v/>
      </c>
      <c r="X230" s="20">
        <f>ROUND(X229 + IF(AND(E230=28, F230&lt;&gt;"ASTM A416"), L230, 0), 3)</f>
        <v/>
      </c>
      <c r="Y230" s="20">
        <f>ROUND(Y229 + IF(AND(E230=32, F230&lt;&gt;"ASTM A416"), L230, 0), 3)</f>
        <v/>
      </c>
      <c r="Z230" s="20">
        <f>ROUND(Z229 + IF(F230="ASTM A416", L230, 0), 3)</f>
        <v/>
      </c>
      <c r="AA230" s="11">
        <f>IF(INT(P230/20)&gt;INT(P229/20), "Lần " &amp; INT(P230/20), "")</f>
        <v/>
      </c>
      <c r="AB230" s="11">
        <f>IF(INT(Q230/20)&gt;INT(Q229/20), "Lần " &amp; INT(Q230/20), "")</f>
        <v/>
      </c>
      <c r="AC230" s="11">
        <f>IF(INT(R230/20)&gt;INT(R229/20), "Lần " &amp; INT(R230/20), "")</f>
        <v/>
      </c>
      <c r="AD230" s="11">
        <f>IF(INT(S230/20)&gt;INT(S229/20), "Lần " &amp; INT(S230/20), "")</f>
        <v/>
      </c>
      <c r="AE230" s="11">
        <f>IF(INT(T230/20)&gt;INT(T229/20), "Lần " &amp; INT(T230/20), "")</f>
        <v/>
      </c>
      <c r="AF230" s="11">
        <f>IF(INT(U230/20)&gt;INT(U229/20), "Lần " &amp; INT(U230/20), "")</f>
        <v/>
      </c>
      <c r="AG230" s="11">
        <f>IF(INT(V230/20)&gt;INT(V229/20), "Lần " &amp; INT(V230/20), "")</f>
        <v/>
      </c>
      <c r="AH230" s="11">
        <f>IF(INT(W230/20)&gt;INT(W229/20), "Lần " &amp; INT(W230/20), "")</f>
        <v/>
      </c>
      <c r="AI230" s="11">
        <f>IF(INT(X230/20)&gt;INT(X229/20), "Lần " &amp; INT(X230/20), "")</f>
        <v/>
      </c>
      <c r="AJ230" s="11">
        <f>IF(INT(Y230/20)&gt;INT(Y229/20), "Lần " &amp; INT(Y230/20), "")</f>
        <v/>
      </c>
      <c r="AK230" s="11">
        <f>IF(INT(Z230/20)&gt;INT(Z229/20), "Lần " &amp; INT(Z230/20), "")</f>
        <v/>
      </c>
      <c r="AL230" s="6" t="inlineStr">
        <is>
          <t>ĐẠT TCVN 1651:2018</t>
        </is>
      </c>
    </row>
    <row r="231" ht="19" customHeight="1">
      <c r="A231" s="6" t="n">
        <v>213</v>
      </c>
      <c r="B231" s="7" t="inlineStr">
        <is>
          <t>Cọc khoan nhồi C4 Trụ T2 (D1.2m, L=30.0m)</t>
        </is>
      </c>
      <c r="C231" s="7" t="inlineStr">
        <is>
          <t>Cốt thép chủ chịu lực cọc</t>
        </is>
      </c>
      <c r="D231" s="18" t="inlineStr">
        <is>
          <t>P2B</t>
        </is>
      </c>
      <c r="E231" s="19" t="n">
        <v>25</v>
      </c>
      <c r="F231" s="6" t="inlineStr">
        <is>
          <t>CB400-V</t>
        </is>
      </c>
      <c r="G231" s="7" t="inlineStr">
        <is>
          <t>Thanh thẳng nối ren/hàn</t>
        </is>
      </c>
      <c r="H231" s="20" t="n">
        <v>2.985</v>
      </c>
      <c r="I231" s="21" t="n">
        <v>12</v>
      </c>
      <c r="J231" s="22" t="n">
        <v>3.85</v>
      </c>
      <c r="K231" s="9">
        <f>ROUND(H231*I231*J231, 2)</f>
        <v/>
      </c>
      <c r="L231" s="23">
        <f>ROUND(K231/1000, 3)</f>
        <v/>
      </c>
      <c r="M231" s="8" t="n"/>
      <c r="N231" s="6" t="n"/>
      <c r="O231" s="24">
        <f>IF(AND(E231&lt;=10, F231&lt;&gt;"ASTM A416", INT(P231/20)&gt;INT(P230/20)), "TN Ø10 (Lần " &amp; INT(P231/20) &amp; ")", IF(AND(E231=12, INT(Q231/20)&gt;INT(Q230/20)), "TN Ø12 (Lần " &amp; INT(Q231/20) &amp; ")", IF(AND(E231=14, INT(R231/20)&gt;INT(R230/20)), "TN Ø14 (Lần " &amp; INT(R231/20) &amp; ")", IF(AND(E231=16, INT(S231/20)&gt;INT(S230/20)), "TN Ø16 (Lần " &amp; INT(S231/20) &amp; ")", IF(AND(E231=18, INT(T231/20)&gt;INT(T230/20)), "TN Ø18 (Lần " &amp; INT(T231/20) &amp; ")", IF(AND(E231=20, INT(U231/20)&gt;INT(U230/20)), "TN Ø20 (Lần " &amp; INT(U231/20) &amp; ")", IF(AND(E231=22, INT(V231/20)&gt;INT(V230/20)), "TN Ø22 (Lần " &amp; INT(V231/20) &amp; ")", IF(AND(E231=25, INT(W231/20)&gt;INT(W230/20)), "TN Ø25 (Lần " &amp; INT(W231/20) &amp; ")", IF(AND(E231=28, INT(X231/20)&gt;INT(X230/20)), "TN Ø28 (Lần " &amp; INT(X231/20) &amp; ")", IF(AND(E231=32, INT(Y231/20)&gt;INT(Y230/20)), "TN Ø32 (Lần " &amp; INT(Y231/20) &amp; ")", IF(AND(F231="ASTM A416", INT(Z231/20)&gt;INT(Z230/20)), "TN Cáp 15.2 (Lần " &amp; INT(Z231/20) &amp; ")", "")))))))))))</f>
        <v/>
      </c>
      <c r="P231" s="20">
        <f>ROUND(P230 + IF(AND(E231&lt;=10, F231&lt;&gt;"ASTM A416"), L231, 0), 3)</f>
        <v/>
      </c>
      <c r="Q231" s="20">
        <f>ROUND(Q230 + IF(AND(E231=12, F231&lt;&gt;"ASTM A416"), L231, 0), 3)</f>
        <v/>
      </c>
      <c r="R231" s="20">
        <f>ROUND(R230 + IF(AND(E231=14, F231&lt;&gt;"ASTM A416"), L231, 0), 3)</f>
        <v/>
      </c>
      <c r="S231" s="20">
        <f>ROUND(S230 + IF(AND(E231=16, F231&lt;&gt;"ASTM A416"), L231, 0), 3)</f>
        <v/>
      </c>
      <c r="T231" s="20">
        <f>ROUND(T230 + IF(AND(E231=18, F231&lt;&gt;"ASTM A416"), L231, 0), 3)</f>
        <v/>
      </c>
      <c r="U231" s="20">
        <f>ROUND(U230 + IF(AND(E231=20, F231&lt;&gt;"ASTM A416"), L231, 0), 3)</f>
        <v/>
      </c>
      <c r="V231" s="20">
        <f>ROUND(V230 + IF(AND(E231=22, F231&lt;&gt;"ASTM A416"), L231, 0), 3)</f>
        <v/>
      </c>
      <c r="W231" s="20">
        <f>ROUND(W230 + IF(AND(E231=25, F231&lt;&gt;"ASTM A416"), L231, 0), 3)</f>
        <v/>
      </c>
      <c r="X231" s="20">
        <f>ROUND(X230 + IF(AND(E231=28, F231&lt;&gt;"ASTM A416"), L231, 0), 3)</f>
        <v/>
      </c>
      <c r="Y231" s="20">
        <f>ROUND(Y230 + IF(AND(E231=32, F231&lt;&gt;"ASTM A416"), L231, 0), 3)</f>
        <v/>
      </c>
      <c r="Z231" s="20">
        <f>ROUND(Z230 + IF(F231="ASTM A416", L231, 0), 3)</f>
        <v/>
      </c>
      <c r="AA231" s="11">
        <f>IF(INT(P231/20)&gt;INT(P230/20), "Lần " &amp; INT(P231/20), "")</f>
        <v/>
      </c>
      <c r="AB231" s="11">
        <f>IF(INT(Q231/20)&gt;INT(Q230/20), "Lần " &amp; INT(Q231/20), "")</f>
        <v/>
      </c>
      <c r="AC231" s="11">
        <f>IF(INT(R231/20)&gt;INT(R230/20), "Lần " &amp; INT(R231/20), "")</f>
        <v/>
      </c>
      <c r="AD231" s="11">
        <f>IF(INT(S231/20)&gt;INT(S230/20), "Lần " &amp; INT(S231/20), "")</f>
        <v/>
      </c>
      <c r="AE231" s="11">
        <f>IF(INT(T231/20)&gt;INT(T230/20), "Lần " &amp; INT(T231/20), "")</f>
        <v/>
      </c>
      <c r="AF231" s="11">
        <f>IF(INT(U231/20)&gt;INT(U230/20), "Lần " &amp; INT(U231/20), "")</f>
        <v/>
      </c>
      <c r="AG231" s="11">
        <f>IF(INT(V231/20)&gt;INT(V230/20), "Lần " &amp; INT(V231/20), "")</f>
        <v/>
      </c>
      <c r="AH231" s="11">
        <f>IF(INT(W231/20)&gt;INT(W230/20), "Lần " &amp; INT(W231/20), "")</f>
        <v/>
      </c>
      <c r="AI231" s="11">
        <f>IF(INT(X231/20)&gt;INT(X230/20), "Lần " &amp; INT(X231/20), "")</f>
        <v/>
      </c>
      <c r="AJ231" s="11">
        <f>IF(INT(Y231/20)&gt;INT(Y230/20), "Lần " &amp; INT(Y231/20), "")</f>
        <v/>
      </c>
      <c r="AK231" s="11">
        <f>IF(INT(Z231/20)&gt;INT(Z230/20), "Lần " &amp; INT(Z231/20), "")</f>
        <v/>
      </c>
      <c r="AL231" s="6" t="inlineStr">
        <is>
          <t>ĐẠT TCVN 1651:2018</t>
        </is>
      </c>
    </row>
    <row r="232" ht="19" customHeight="1">
      <c r="A232" s="6" t="n">
        <v>214</v>
      </c>
      <c r="B232" s="7" t="inlineStr">
        <is>
          <t>Cọc khoan nhồi C4 Trụ T2 (D1.2m, L=30.0m)</t>
        </is>
      </c>
      <c r="C232" s="7" t="inlineStr">
        <is>
          <t>Cốt thép chủ chịu lực cọc</t>
        </is>
      </c>
      <c r="D232" s="18" t="inlineStr">
        <is>
          <t>P3</t>
        </is>
      </c>
      <c r="E232" s="19" t="n">
        <v>25</v>
      </c>
      <c r="F232" s="6" t="inlineStr">
        <is>
          <t>CB400-V</t>
        </is>
      </c>
      <c r="G232" s="7" t="inlineStr">
        <is>
          <t>Thanh thẳng nối ren/hàn</t>
        </is>
      </c>
      <c r="H232" s="20" t="n">
        <v>10.7</v>
      </c>
      <c r="I232" s="21" t="n">
        <v>12</v>
      </c>
      <c r="J232" s="22" t="n">
        <v>3.85</v>
      </c>
      <c r="K232" s="9">
        <f>ROUND(H232*I232*J232, 2)</f>
        <v/>
      </c>
      <c r="L232" s="23">
        <f>ROUND(K232/1000, 3)</f>
        <v/>
      </c>
      <c r="M232" s="8" t="n"/>
      <c r="N232" s="6" t="n"/>
      <c r="O232" s="24">
        <f>IF(AND(E232&lt;=10, F232&lt;&gt;"ASTM A416", INT(P232/20)&gt;INT(P231/20)), "TN Ø10 (Lần " &amp; INT(P232/20) &amp; ")", IF(AND(E232=12, INT(Q232/20)&gt;INT(Q231/20)), "TN Ø12 (Lần " &amp; INT(Q232/20) &amp; ")", IF(AND(E232=14, INT(R232/20)&gt;INT(R231/20)), "TN Ø14 (Lần " &amp; INT(R232/20) &amp; ")", IF(AND(E232=16, INT(S232/20)&gt;INT(S231/20)), "TN Ø16 (Lần " &amp; INT(S232/20) &amp; ")", IF(AND(E232=18, INT(T232/20)&gt;INT(T231/20)), "TN Ø18 (Lần " &amp; INT(T232/20) &amp; ")", IF(AND(E232=20, INT(U232/20)&gt;INT(U231/20)), "TN Ø20 (Lần " &amp; INT(U232/20) &amp; ")", IF(AND(E232=22, INT(V232/20)&gt;INT(V231/20)), "TN Ø22 (Lần " &amp; INT(V232/20) &amp; ")", IF(AND(E232=25, INT(W232/20)&gt;INT(W231/20)), "TN Ø25 (Lần " &amp; INT(W232/20) &amp; ")", IF(AND(E232=28, INT(X232/20)&gt;INT(X231/20)), "TN Ø28 (Lần " &amp; INT(X232/20) &amp; ")", IF(AND(E232=32, INT(Y232/20)&gt;INT(Y231/20)), "TN Ø32 (Lần " &amp; INT(Y232/20) &amp; ")", IF(AND(F232="ASTM A416", INT(Z232/20)&gt;INT(Z231/20)), "TN Cáp 15.2 (Lần " &amp; INT(Z232/20) &amp; ")", "")))))))))))</f>
        <v/>
      </c>
      <c r="P232" s="20">
        <f>ROUND(P231 + IF(AND(E232&lt;=10, F232&lt;&gt;"ASTM A416"), L232, 0), 3)</f>
        <v/>
      </c>
      <c r="Q232" s="20">
        <f>ROUND(Q231 + IF(AND(E232=12, F232&lt;&gt;"ASTM A416"), L232, 0), 3)</f>
        <v/>
      </c>
      <c r="R232" s="20">
        <f>ROUND(R231 + IF(AND(E232=14, F232&lt;&gt;"ASTM A416"), L232, 0), 3)</f>
        <v/>
      </c>
      <c r="S232" s="20">
        <f>ROUND(S231 + IF(AND(E232=16, F232&lt;&gt;"ASTM A416"), L232, 0), 3)</f>
        <v/>
      </c>
      <c r="T232" s="20">
        <f>ROUND(T231 + IF(AND(E232=18, F232&lt;&gt;"ASTM A416"), L232, 0), 3)</f>
        <v/>
      </c>
      <c r="U232" s="20">
        <f>ROUND(U231 + IF(AND(E232=20, F232&lt;&gt;"ASTM A416"), L232, 0), 3)</f>
        <v/>
      </c>
      <c r="V232" s="20">
        <f>ROUND(V231 + IF(AND(E232=22, F232&lt;&gt;"ASTM A416"), L232, 0), 3)</f>
        <v/>
      </c>
      <c r="W232" s="20">
        <f>ROUND(W231 + IF(AND(E232=25, F232&lt;&gt;"ASTM A416"), L232, 0), 3)</f>
        <v/>
      </c>
      <c r="X232" s="20">
        <f>ROUND(X231 + IF(AND(E232=28, F232&lt;&gt;"ASTM A416"), L232, 0), 3)</f>
        <v/>
      </c>
      <c r="Y232" s="20">
        <f>ROUND(Y231 + IF(AND(E232=32, F232&lt;&gt;"ASTM A416"), L232, 0), 3)</f>
        <v/>
      </c>
      <c r="Z232" s="20">
        <f>ROUND(Z231 + IF(F232="ASTM A416", L232, 0), 3)</f>
        <v/>
      </c>
      <c r="AA232" s="11">
        <f>IF(INT(P232/20)&gt;INT(P231/20), "Lần " &amp; INT(P232/20), "")</f>
        <v/>
      </c>
      <c r="AB232" s="11">
        <f>IF(INT(Q232/20)&gt;INT(Q231/20), "Lần " &amp; INT(Q232/20), "")</f>
        <v/>
      </c>
      <c r="AC232" s="11">
        <f>IF(INT(R232/20)&gt;INT(R231/20), "Lần " &amp; INT(R232/20), "")</f>
        <v/>
      </c>
      <c r="AD232" s="11">
        <f>IF(INT(S232/20)&gt;INT(S231/20), "Lần " &amp; INT(S232/20), "")</f>
        <v/>
      </c>
      <c r="AE232" s="11">
        <f>IF(INT(T232/20)&gt;INT(T231/20), "Lần " &amp; INT(T232/20), "")</f>
        <v/>
      </c>
      <c r="AF232" s="11">
        <f>IF(INT(U232/20)&gt;INT(U231/20), "Lần " &amp; INT(U232/20), "")</f>
        <v/>
      </c>
      <c r="AG232" s="11">
        <f>IF(INT(V232/20)&gt;INT(V231/20), "Lần " &amp; INT(V232/20), "")</f>
        <v/>
      </c>
      <c r="AH232" s="11">
        <f>IF(INT(W232/20)&gt;INT(W231/20), "Lần " &amp; INT(W232/20), "")</f>
        <v/>
      </c>
      <c r="AI232" s="11">
        <f>IF(INT(X232/20)&gt;INT(X231/20), "Lần " &amp; INT(X232/20), "")</f>
        <v/>
      </c>
      <c r="AJ232" s="11">
        <f>IF(INT(Y232/20)&gt;INT(Y231/20), "Lần " &amp; INT(Y232/20), "")</f>
        <v/>
      </c>
      <c r="AK232" s="11">
        <f>IF(INT(Z232/20)&gt;INT(Z231/20), "Lần " &amp; INT(Z232/20), "")</f>
        <v/>
      </c>
      <c r="AL232" s="6" t="inlineStr">
        <is>
          <t>ĐẠT TCVN 1651:2018</t>
        </is>
      </c>
    </row>
    <row r="233" ht="19" customHeight="1">
      <c r="A233" s="6" t="n">
        <v>215</v>
      </c>
      <c r="B233" s="7" t="inlineStr">
        <is>
          <t>Cọc khoan nhồi C4 Trụ T2 (D1.2m, L=30.0m)</t>
        </is>
      </c>
      <c r="C233" s="7" t="inlineStr">
        <is>
          <t>Cốt thép chủ chịu lực cọc</t>
        </is>
      </c>
      <c r="D233" s="18" t="inlineStr">
        <is>
          <t>P4</t>
        </is>
      </c>
      <c r="E233" s="19" t="n">
        <v>25</v>
      </c>
      <c r="F233" s="6" t="inlineStr">
        <is>
          <t>CB400-V</t>
        </is>
      </c>
      <c r="G233" s="7" t="inlineStr">
        <is>
          <t>Thanh thẳng nối ren/hàn</t>
        </is>
      </c>
      <c r="H233" s="20" t="n">
        <v>11.7</v>
      </c>
      <c r="I233" s="21" t="n">
        <v>36</v>
      </c>
      <c r="J233" s="22" t="n">
        <v>3.85</v>
      </c>
      <c r="K233" s="9">
        <f>ROUND(H233*I233*J233, 2)</f>
        <v/>
      </c>
      <c r="L233" s="23">
        <f>ROUND(K233/1000, 3)</f>
        <v/>
      </c>
      <c r="M233" s="8" t="n"/>
      <c r="N233" s="6" t="n"/>
      <c r="O233" s="24">
        <f>IF(AND(E233&lt;=10, F233&lt;&gt;"ASTM A416", INT(P233/20)&gt;INT(P232/20)), "TN Ø10 (Lần " &amp; INT(P233/20) &amp; ")", IF(AND(E233=12, INT(Q233/20)&gt;INT(Q232/20)), "TN Ø12 (Lần " &amp; INT(Q233/20) &amp; ")", IF(AND(E233=14, INT(R233/20)&gt;INT(R232/20)), "TN Ø14 (Lần " &amp; INT(R233/20) &amp; ")", IF(AND(E233=16, INT(S233/20)&gt;INT(S232/20)), "TN Ø16 (Lần " &amp; INT(S233/20) &amp; ")", IF(AND(E233=18, INT(T233/20)&gt;INT(T232/20)), "TN Ø18 (Lần " &amp; INT(T233/20) &amp; ")", IF(AND(E233=20, INT(U233/20)&gt;INT(U232/20)), "TN Ø20 (Lần " &amp; INT(U233/20) &amp; ")", IF(AND(E233=22, INT(V233/20)&gt;INT(V232/20)), "TN Ø22 (Lần " &amp; INT(V233/20) &amp; ")", IF(AND(E233=25, INT(W233/20)&gt;INT(W232/20)), "TN Ø25 (Lần " &amp; INT(W233/20) &amp; ")", IF(AND(E233=28, INT(X233/20)&gt;INT(X232/20)), "TN Ø28 (Lần " &amp; INT(X233/20) &amp; ")", IF(AND(E233=32, INT(Y233/20)&gt;INT(Y232/20)), "TN Ø32 (Lần " &amp; INT(Y233/20) &amp; ")", IF(AND(F233="ASTM A416", INT(Z233/20)&gt;INT(Z232/20)), "TN Cáp 15.2 (Lần " &amp; INT(Z233/20) &amp; ")", "")))))))))))</f>
        <v/>
      </c>
      <c r="P233" s="20">
        <f>ROUND(P232 + IF(AND(E233&lt;=10, F233&lt;&gt;"ASTM A416"), L233, 0), 3)</f>
        <v/>
      </c>
      <c r="Q233" s="20">
        <f>ROUND(Q232 + IF(AND(E233=12, F233&lt;&gt;"ASTM A416"), L233, 0), 3)</f>
        <v/>
      </c>
      <c r="R233" s="20">
        <f>ROUND(R232 + IF(AND(E233=14, F233&lt;&gt;"ASTM A416"), L233, 0), 3)</f>
        <v/>
      </c>
      <c r="S233" s="20">
        <f>ROUND(S232 + IF(AND(E233=16, F233&lt;&gt;"ASTM A416"), L233, 0), 3)</f>
        <v/>
      </c>
      <c r="T233" s="20">
        <f>ROUND(T232 + IF(AND(E233=18, F233&lt;&gt;"ASTM A416"), L233, 0), 3)</f>
        <v/>
      </c>
      <c r="U233" s="20">
        <f>ROUND(U232 + IF(AND(E233=20, F233&lt;&gt;"ASTM A416"), L233, 0), 3)</f>
        <v/>
      </c>
      <c r="V233" s="20">
        <f>ROUND(V232 + IF(AND(E233=22, F233&lt;&gt;"ASTM A416"), L233, 0), 3)</f>
        <v/>
      </c>
      <c r="W233" s="20">
        <f>ROUND(W232 + IF(AND(E233=25, F233&lt;&gt;"ASTM A416"), L233, 0), 3)</f>
        <v/>
      </c>
      <c r="X233" s="20">
        <f>ROUND(X232 + IF(AND(E233=28, F233&lt;&gt;"ASTM A416"), L233, 0), 3)</f>
        <v/>
      </c>
      <c r="Y233" s="20">
        <f>ROUND(Y232 + IF(AND(E233=32, F233&lt;&gt;"ASTM A416"), L233, 0), 3)</f>
        <v/>
      </c>
      <c r="Z233" s="20">
        <f>ROUND(Z232 + IF(F233="ASTM A416", L233, 0), 3)</f>
        <v/>
      </c>
      <c r="AA233" s="11">
        <f>IF(INT(P233/20)&gt;INT(P232/20), "Lần " &amp; INT(P233/20), "")</f>
        <v/>
      </c>
      <c r="AB233" s="11">
        <f>IF(INT(Q233/20)&gt;INT(Q232/20), "Lần " &amp; INT(Q233/20), "")</f>
        <v/>
      </c>
      <c r="AC233" s="11">
        <f>IF(INT(R233/20)&gt;INT(R232/20), "Lần " &amp; INT(R233/20), "")</f>
        <v/>
      </c>
      <c r="AD233" s="11">
        <f>IF(INT(S233/20)&gt;INT(S232/20), "Lần " &amp; INT(S233/20), "")</f>
        <v/>
      </c>
      <c r="AE233" s="11">
        <f>IF(INT(T233/20)&gt;INT(T232/20), "Lần " &amp; INT(T233/20), "")</f>
        <v/>
      </c>
      <c r="AF233" s="11">
        <f>IF(INT(U233/20)&gt;INT(U232/20), "Lần " &amp; INT(U233/20), "")</f>
        <v/>
      </c>
      <c r="AG233" s="11">
        <f>IF(INT(V233/20)&gt;INT(V232/20), "Lần " &amp; INT(V233/20), "")</f>
        <v/>
      </c>
      <c r="AH233" s="11">
        <f>IF(INT(W233/20)&gt;INT(W232/20), "Lần " &amp; INT(W233/20), "")</f>
        <v/>
      </c>
      <c r="AI233" s="11">
        <f>IF(INT(X233/20)&gt;INT(X232/20), "Lần " &amp; INT(X233/20), "")</f>
        <v/>
      </c>
      <c r="AJ233" s="11">
        <f>IF(INT(Y233/20)&gt;INT(Y232/20), "Lần " &amp; INT(Y233/20), "")</f>
        <v/>
      </c>
      <c r="AK233" s="11">
        <f>IF(INT(Z233/20)&gt;INT(Z232/20), "Lần " &amp; INT(Z233/20), "")</f>
        <v/>
      </c>
      <c r="AL233" s="6" t="inlineStr">
        <is>
          <t>ĐẠT TCVN 1651:2018</t>
        </is>
      </c>
    </row>
    <row r="234" ht="19" customHeight="1">
      <c r="A234" s="6" t="n">
        <v>216</v>
      </c>
      <c r="B234" s="7" t="inlineStr">
        <is>
          <t>Cọc khoan nhồi C4 Trụ T2 (D1.2m, L=30.0m)</t>
        </is>
      </c>
      <c r="C234" s="7" t="inlineStr">
        <is>
          <t>Cốt thép chủ chịu lực cọc</t>
        </is>
      </c>
      <c r="D234" s="18" t="inlineStr">
        <is>
          <t>P6</t>
        </is>
      </c>
      <c r="E234" s="19" t="n">
        <v>25</v>
      </c>
      <c r="F234" s="6" t="inlineStr">
        <is>
          <t>CB400-V</t>
        </is>
      </c>
      <c r="G234" s="7" t="inlineStr">
        <is>
          <t>Thanh thẳng nối ren/hàn</t>
        </is>
      </c>
      <c r="H234" s="20" t="n">
        <v>9.733000000000001</v>
      </c>
      <c r="I234" s="21" t="n">
        <v>12</v>
      </c>
      <c r="J234" s="22" t="n">
        <v>3.85</v>
      </c>
      <c r="K234" s="9">
        <f>ROUND(H234*I234*J234, 2)</f>
        <v/>
      </c>
      <c r="L234" s="23">
        <f>ROUND(K234/1000, 3)</f>
        <v/>
      </c>
      <c r="M234" s="8" t="n"/>
      <c r="N234" s="6" t="n"/>
      <c r="O234" s="24">
        <f>IF(AND(E234&lt;=10, F234&lt;&gt;"ASTM A416", INT(P234/20)&gt;INT(P233/20)), "TN Ø10 (Lần " &amp; INT(P234/20) &amp; ")", IF(AND(E234=12, INT(Q234/20)&gt;INT(Q233/20)), "TN Ø12 (Lần " &amp; INT(Q234/20) &amp; ")", IF(AND(E234=14, INT(R234/20)&gt;INT(R233/20)), "TN Ø14 (Lần " &amp; INT(R234/20) &amp; ")", IF(AND(E234=16, INT(S234/20)&gt;INT(S233/20)), "TN Ø16 (Lần " &amp; INT(S234/20) &amp; ")", IF(AND(E234=18, INT(T234/20)&gt;INT(T233/20)), "TN Ø18 (Lần " &amp; INT(T234/20) &amp; ")", IF(AND(E234=20, INT(U234/20)&gt;INT(U233/20)), "TN Ø20 (Lần " &amp; INT(U234/20) &amp; ")", IF(AND(E234=22, INT(V234/20)&gt;INT(V233/20)), "TN Ø22 (Lần " &amp; INT(V234/20) &amp; ")", IF(AND(E234=25, INT(W234/20)&gt;INT(W233/20)), "TN Ø25 (Lần " &amp; INT(W234/20) &amp; ")", IF(AND(E234=28, INT(X234/20)&gt;INT(X233/20)), "TN Ø28 (Lần " &amp; INT(X234/20) &amp; ")", IF(AND(E234=32, INT(Y234/20)&gt;INT(Y233/20)), "TN Ø32 (Lần " &amp; INT(Y234/20) &amp; ")", IF(AND(F234="ASTM A416", INT(Z234/20)&gt;INT(Z233/20)), "TN Cáp 15.2 (Lần " &amp; INT(Z234/20) &amp; ")", "")))))))))))</f>
        <v/>
      </c>
      <c r="P234" s="20">
        <f>ROUND(P233 + IF(AND(E234&lt;=10, F234&lt;&gt;"ASTM A416"), L234, 0), 3)</f>
        <v/>
      </c>
      <c r="Q234" s="20">
        <f>ROUND(Q233 + IF(AND(E234=12, F234&lt;&gt;"ASTM A416"), L234, 0), 3)</f>
        <v/>
      </c>
      <c r="R234" s="20">
        <f>ROUND(R233 + IF(AND(E234=14, F234&lt;&gt;"ASTM A416"), L234, 0), 3)</f>
        <v/>
      </c>
      <c r="S234" s="20">
        <f>ROUND(S233 + IF(AND(E234=16, F234&lt;&gt;"ASTM A416"), L234, 0), 3)</f>
        <v/>
      </c>
      <c r="T234" s="20">
        <f>ROUND(T233 + IF(AND(E234=18, F234&lt;&gt;"ASTM A416"), L234, 0), 3)</f>
        <v/>
      </c>
      <c r="U234" s="20">
        <f>ROUND(U233 + IF(AND(E234=20, F234&lt;&gt;"ASTM A416"), L234, 0), 3)</f>
        <v/>
      </c>
      <c r="V234" s="20">
        <f>ROUND(V233 + IF(AND(E234=22, F234&lt;&gt;"ASTM A416"), L234, 0), 3)</f>
        <v/>
      </c>
      <c r="W234" s="20">
        <f>ROUND(W233 + IF(AND(E234=25, F234&lt;&gt;"ASTM A416"), L234, 0), 3)</f>
        <v/>
      </c>
      <c r="X234" s="20">
        <f>ROUND(X233 + IF(AND(E234=28, F234&lt;&gt;"ASTM A416"), L234, 0), 3)</f>
        <v/>
      </c>
      <c r="Y234" s="20">
        <f>ROUND(Y233 + IF(AND(E234=32, F234&lt;&gt;"ASTM A416"), L234, 0), 3)</f>
        <v/>
      </c>
      <c r="Z234" s="20">
        <f>ROUND(Z233 + IF(F234="ASTM A416", L234, 0), 3)</f>
        <v/>
      </c>
      <c r="AA234" s="11">
        <f>IF(INT(P234/20)&gt;INT(P233/20), "Lần " &amp; INT(P234/20), "")</f>
        <v/>
      </c>
      <c r="AB234" s="11">
        <f>IF(INT(Q234/20)&gt;INT(Q233/20), "Lần " &amp; INT(Q234/20), "")</f>
        <v/>
      </c>
      <c r="AC234" s="11">
        <f>IF(INT(R234/20)&gt;INT(R233/20), "Lần " &amp; INT(R234/20), "")</f>
        <v/>
      </c>
      <c r="AD234" s="11">
        <f>IF(INT(S234/20)&gt;INT(S233/20), "Lần " &amp; INT(S234/20), "")</f>
        <v/>
      </c>
      <c r="AE234" s="11">
        <f>IF(INT(T234/20)&gt;INT(T233/20), "Lần " &amp; INT(T234/20), "")</f>
        <v/>
      </c>
      <c r="AF234" s="11">
        <f>IF(INT(U234/20)&gt;INT(U233/20), "Lần " &amp; INT(U234/20), "")</f>
        <v/>
      </c>
      <c r="AG234" s="11">
        <f>IF(INT(V234/20)&gt;INT(V233/20), "Lần " &amp; INT(V234/20), "")</f>
        <v/>
      </c>
      <c r="AH234" s="11">
        <f>IF(INT(W234/20)&gt;INT(W233/20), "Lần " &amp; INT(W234/20), "")</f>
        <v/>
      </c>
      <c r="AI234" s="11">
        <f>IF(INT(X234/20)&gt;INT(X233/20), "Lần " &amp; INT(X234/20), "")</f>
        <v/>
      </c>
      <c r="AJ234" s="11">
        <f>IF(INT(Y234/20)&gt;INT(Y233/20), "Lần " &amp; INT(Y234/20), "")</f>
        <v/>
      </c>
      <c r="AK234" s="11">
        <f>IF(INT(Z234/20)&gt;INT(Z233/20), "Lần " &amp; INT(Z234/20), "")</f>
        <v/>
      </c>
      <c r="AL234" s="6" t="inlineStr">
        <is>
          <t>ĐẠT TCVN 1651:2018</t>
        </is>
      </c>
    </row>
    <row r="235" ht="19" customHeight="1">
      <c r="A235" s="6" t="n">
        <v>217</v>
      </c>
      <c r="B235" s="7" t="inlineStr">
        <is>
          <t>Cọc khoan nhồi C4 Trụ T2 (D1.2m, L=30.0m)</t>
        </is>
      </c>
      <c r="C235" s="7" t="inlineStr">
        <is>
          <t>Cốt thép chủ chịu lực cọc</t>
        </is>
      </c>
      <c r="D235" s="18" t="inlineStr">
        <is>
          <t>P7</t>
        </is>
      </c>
      <c r="E235" s="19" t="n">
        <v>25</v>
      </c>
      <c r="F235" s="6" t="inlineStr">
        <is>
          <t>CB400-V</t>
        </is>
      </c>
      <c r="G235" s="7" t="inlineStr">
        <is>
          <t>Thanh thẳng nối ren/hàn</t>
        </is>
      </c>
      <c r="H235" s="20" t="n">
        <v>10.733</v>
      </c>
      <c r="I235" s="21" t="n">
        <v>12</v>
      </c>
      <c r="J235" s="22" t="n">
        <v>3.85</v>
      </c>
      <c r="K235" s="9">
        <f>ROUND(H235*I235*J235, 2)</f>
        <v/>
      </c>
      <c r="L235" s="23">
        <f>ROUND(K235/1000, 3)</f>
        <v/>
      </c>
      <c r="M235" s="8" t="n"/>
      <c r="N235" s="6" t="n"/>
      <c r="O235" s="24">
        <f>IF(AND(E235&lt;=10, F235&lt;&gt;"ASTM A416", INT(P235/20)&gt;INT(P234/20)), "TN Ø10 (Lần " &amp; INT(P235/20) &amp; ")", IF(AND(E235=12, INT(Q235/20)&gt;INT(Q234/20)), "TN Ø12 (Lần " &amp; INT(Q235/20) &amp; ")", IF(AND(E235=14, INT(R235/20)&gt;INT(R234/20)), "TN Ø14 (Lần " &amp; INT(R235/20) &amp; ")", IF(AND(E235=16, INT(S235/20)&gt;INT(S234/20)), "TN Ø16 (Lần " &amp; INT(S235/20) &amp; ")", IF(AND(E235=18, INT(T235/20)&gt;INT(T234/20)), "TN Ø18 (Lần " &amp; INT(T235/20) &amp; ")", IF(AND(E235=20, INT(U235/20)&gt;INT(U234/20)), "TN Ø20 (Lần " &amp; INT(U235/20) &amp; ")", IF(AND(E235=22, INT(V235/20)&gt;INT(V234/20)), "TN Ø22 (Lần " &amp; INT(V235/20) &amp; ")", IF(AND(E235=25, INT(W235/20)&gt;INT(W234/20)), "TN Ø25 (Lần " &amp; INT(W235/20) &amp; ")", IF(AND(E235=28, INT(X235/20)&gt;INT(X234/20)), "TN Ø28 (Lần " &amp; INT(X235/20) &amp; ")", IF(AND(E235=32, INT(Y235/20)&gt;INT(Y234/20)), "TN Ø32 (Lần " &amp; INT(Y235/20) &amp; ")", IF(AND(F235="ASTM A416", INT(Z235/20)&gt;INT(Z234/20)), "TN Cáp 15.2 (Lần " &amp; INT(Z235/20) &amp; ")", "")))))))))))</f>
        <v/>
      </c>
      <c r="P235" s="20">
        <f>ROUND(P234 + IF(AND(E235&lt;=10, F235&lt;&gt;"ASTM A416"), L235, 0), 3)</f>
        <v/>
      </c>
      <c r="Q235" s="20">
        <f>ROUND(Q234 + IF(AND(E235=12, F235&lt;&gt;"ASTM A416"), L235, 0), 3)</f>
        <v/>
      </c>
      <c r="R235" s="20">
        <f>ROUND(R234 + IF(AND(E235=14, F235&lt;&gt;"ASTM A416"), L235, 0), 3)</f>
        <v/>
      </c>
      <c r="S235" s="20">
        <f>ROUND(S234 + IF(AND(E235=16, F235&lt;&gt;"ASTM A416"), L235, 0), 3)</f>
        <v/>
      </c>
      <c r="T235" s="20">
        <f>ROUND(T234 + IF(AND(E235=18, F235&lt;&gt;"ASTM A416"), L235, 0), 3)</f>
        <v/>
      </c>
      <c r="U235" s="20">
        <f>ROUND(U234 + IF(AND(E235=20, F235&lt;&gt;"ASTM A416"), L235, 0), 3)</f>
        <v/>
      </c>
      <c r="V235" s="20">
        <f>ROUND(V234 + IF(AND(E235=22, F235&lt;&gt;"ASTM A416"), L235, 0), 3)</f>
        <v/>
      </c>
      <c r="W235" s="20">
        <f>ROUND(W234 + IF(AND(E235=25, F235&lt;&gt;"ASTM A416"), L235, 0), 3)</f>
        <v/>
      </c>
      <c r="X235" s="20">
        <f>ROUND(X234 + IF(AND(E235=28, F235&lt;&gt;"ASTM A416"), L235, 0), 3)</f>
        <v/>
      </c>
      <c r="Y235" s="20">
        <f>ROUND(Y234 + IF(AND(E235=32, F235&lt;&gt;"ASTM A416"), L235, 0), 3)</f>
        <v/>
      </c>
      <c r="Z235" s="20">
        <f>ROUND(Z234 + IF(F235="ASTM A416", L235, 0), 3)</f>
        <v/>
      </c>
      <c r="AA235" s="11">
        <f>IF(INT(P235/20)&gt;INT(P234/20), "Lần " &amp; INT(P235/20), "")</f>
        <v/>
      </c>
      <c r="AB235" s="11">
        <f>IF(INT(Q235/20)&gt;INT(Q234/20), "Lần " &amp; INT(Q235/20), "")</f>
        <v/>
      </c>
      <c r="AC235" s="11">
        <f>IF(INT(R235/20)&gt;INT(R234/20), "Lần " &amp; INT(R235/20), "")</f>
        <v/>
      </c>
      <c r="AD235" s="11">
        <f>IF(INT(S235/20)&gt;INT(S234/20), "Lần " &amp; INT(S235/20), "")</f>
        <v/>
      </c>
      <c r="AE235" s="11">
        <f>IF(INT(T235/20)&gt;INT(T234/20), "Lần " &amp; INT(T235/20), "")</f>
        <v/>
      </c>
      <c r="AF235" s="11">
        <f>IF(INT(U235/20)&gt;INT(U234/20), "Lần " &amp; INT(U235/20), "")</f>
        <v/>
      </c>
      <c r="AG235" s="11">
        <f>IF(INT(V235/20)&gt;INT(V234/20), "Lần " &amp; INT(V235/20), "")</f>
        <v/>
      </c>
      <c r="AH235" s="11">
        <f>IF(INT(W235/20)&gt;INT(W234/20), "Lần " &amp; INT(W235/20), "")</f>
        <v/>
      </c>
      <c r="AI235" s="11">
        <f>IF(INT(X235/20)&gt;INT(X234/20), "Lần " &amp; INT(X235/20), "")</f>
        <v/>
      </c>
      <c r="AJ235" s="11">
        <f>IF(INT(Y235/20)&gt;INT(Y234/20), "Lần " &amp; INT(Y235/20), "")</f>
        <v/>
      </c>
      <c r="AK235" s="11">
        <f>IF(INT(Z235/20)&gt;INT(Z234/20), "Lần " &amp; INT(Z235/20), "")</f>
        <v/>
      </c>
      <c r="AL235" s="6" t="inlineStr">
        <is>
          <t>ĐẠT TCVN 1651:2018</t>
        </is>
      </c>
    </row>
    <row r="236" ht="19" customHeight="1">
      <c r="A236" s="6" t="n">
        <v>218</v>
      </c>
      <c r="B236" s="7" t="inlineStr">
        <is>
          <t>Cọc khoan nhồi C4 Trụ T2 (D1.2m, L=30.0m)</t>
        </is>
      </c>
      <c r="C236" s="7" t="inlineStr">
        <is>
          <t>Đai tăng cường / Con kê bảo vệ</t>
        </is>
      </c>
      <c r="D236" s="18" t="inlineStr">
        <is>
          <t>P8</t>
        </is>
      </c>
      <c r="E236" s="19" t="n">
        <v>12</v>
      </c>
      <c r="F236" s="6" t="inlineStr">
        <is>
          <t>CB400-V</t>
        </is>
      </c>
      <c r="G236" s="7" t="inlineStr">
        <is>
          <t>Móc neo / Vòng đai</t>
        </is>
      </c>
      <c r="H236" s="20" t="n">
        <v>0.647</v>
      </c>
      <c r="I236" s="21" t="n">
        <v>12</v>
      </c>
      <c r="J236" s="22" t="n">
        <v>0.888</v>
      </c>
      <c r="K236" s="9">
        <f>ROUND(H236*I236*J236, 2)</f>
        <v/>
      </c>
      <c r="L236" s="23">
        <f>ROUND(K236/1000, 3)</f>
        <v/>
      </c>
      <c r="M236" s="8" t="n"/>
      <c r="N236" s="6" t="n"/>
      <c r="O236" s="24">
        <f>IF(AND(E236&lt;=10, F236&lt;&gt;"ASTM A416", INT(P236/20)&gt;INT(P235/20)), "TN Ø10 (Lần " &amp; INT(P236/20) &amp; ")", IF(AND(E236=12, INT(Q236/20)&gt;INT(Q235/20)), "TN Ø12 (Lần " &amp; INT(Q236/20) &amp; ")", IF(AND(E236=14, INT(R236/20)&gt;INT(R235/20)), "TN Ø14 (Lần " &amp; INT(R236/20) &amp; ")", IF(AND(E236=16, INT(S236/20)&gt;INT(S235/20)), "TN Ø16 (Lần " &amp; INT(S236/20) &amp; ")", IF(AND(E236=18, INT(T236/20)&gt;INT(T235/20)), "TN Ø18 (Lần " &amp; INT(T236/20) &amp; ")", IF(AND(E236=20, INT(U236/20)&gt;INT(U235/20)), "TN Ø20 (Lần " &amp; INT(U236/20) &amp; ")", IF(AND(E236=22, INT(V236/20)&gt;INT(V235/20)), "TN Ø22 (Lần " &amp; INT(V236/20) &amp; ")", IF(AND(E236=25, INT(W236/20)&gt;INT(W235/20)), "TN Ø25 (Lần " &amp; INT(W236/20) &amp; ")", IF(AND(E236=28, INT(X236/20)&gt;INT(X235/20)), "TN Ø28 (Lần " &amp; INT(X236/20) &amp; ")", IF(AND(E236=32, INT(Y236/20)&gt;INT(Y235/20)), "TN Ø32 (Lần " &amp; INT(Y236/20) &amp; ")", IF(AND(F236="ASTM A416", INT(Z236/20)&gt;INT(Z235/20)), "TN Cáp 15.2 (Lần " &amp; INT(Z236/20) &amp; ")", "")))))))))))</f>
        <v/>
      </c>
      <c r="P236" s="20">
        <f>ROUND(P235 + IF(AND(E236&lt;=10, F236&lt;&gt;"ASTM A416"), L236, 0), 3)</f>
        <v/>
      </c>
      <c r="Q236" s="20">
        <f>ROUND(Q235 + IF(AND(E236=12, F236&lt;&gt;"ASTM A416"), L236, 0), 3)</f>
        <v/>
      </c>
      <c r="R236" s="20">
        <f>ROUND(R235 + IF(AND(E236=14, F236&lt;&gt;"ASTM A416"), L236, 0), 3)</f>
        <v/>
      </c>
      <c r="S236" s="20">
        <f>ROUND(S235 + IF(AND(E236=16, F236&lt;&gt;"ASTM A416"), L236, 0), 3)</f>
        <v/>
      </c>
      <c r="T236" s="20">
        <f>ROUND(T235 + IF(AND(E236=18, F236&lt;&gt;"ASTM A416"), L236, 0), 3)</f>
        <v/>
      </c>
      <c r="U236" s="20">
        <f>ROUND(U235 + IF(AND(E236=20, F236&lt;&gt;"ASTM A416"), L236, 0), 3)</f>
        <v/>
      </c>
      <c r="V236" s="20">
        <f>ROUND(V235 + IF(AND(E236=22, F236&lt;&gt;"ASTM A416"), L236, 0), 3)</f>
        <v/>
      </c>
      <c r="W236" s="20">
        <f>ROUND(W235 + IF(AND(E236=25, F236&lt;&gt;"ASTM A416"), L236, 0), 3)</f>
        <v/>
      </c>
      <c r="X236" s="20">
        <f>ROUND(X235 + IF(AND(E236=28, F236&lt;&gt;"ASTM A416"), L236, 0), 3)</f>
        <v/>
      </c>
      <c r="Y236" s="20">
        <f>ROUND(Y235 + IF(AND(E236=32, F236&lt;&gt;"ASTM A416"), L236, 0), 3)</f>
        <v/>
      </c>
      <c r="Z236" s="20">
        <f>ROUND(Z235 + IF(F236="ASTM A416", L236, 0), 3)</f>
        <v/>
      </c>
      <c r="AA236" s="11">
        <f>IF(INT(P236/20)&gt;INT(P235/20), "Lần " &amp; INT(P236/20), "")</f>
        <v/>
      </c>
      <c r="AB236" s="11">
        <f>IF(INT(Q236/20)&gt;INT(Q235/20), "Lần " &amp; INT(Q236/20), "")</f>
        <v/>
      </c>
      <c r="AC236" s="11">
        <f>IF(INT(R236/20)&gt;INT(R235/20), "Lần " &amp; INT(R236/20), "")</f>
        <v/>
      </c>
      <c r="AD236" s="11">
        <f>IF(INT(S236/20)&gt;INT(S235/20), "Lần " &amp; INT(S236/20), "")</f>
        <v/>
      </c>
      <c r="AE236" s="11">
        <f>IF(INT(T236/20)&gt;INT(T235/20), "Lần " &amp; INT(T236/20), "")</f>
        <v/>
      </c>
      <c r="AF236" s="11">
        <f>IF(INT(U236/20)&gt;INT(U235/20), "Lần " &amp; INT(U236/20), "")</f>
        <v/>
      </c>
      <c r="AG236" s="11">
        <f>IF(INT(V236/20)&gt;INT(V235/20), "Lần " &amp; INT(V236/20), "")</f>
        <v/>
      </c>
      <c r="AH236" s="11">
        <f>IF(INT(W236/20)&gt;INT(W235/20), "Lần " &amp; INT(W236/20), "")</f>
        <v/>
      </c>
      <c r="AI236" s="11">
        <f>IF(INT(X236/20)&gt;INT(X235/20), "Lần " &amp; INT(X236/20), "")</f>
        <v/>
      </c>
      <c r="AJ236" s="11">
        <f>IF(INT(Y236/20)&gt;INT(Y235/20), "Lần " &amp; INT(Y236/20), "")</f>
        <v/>
      </c>
      <c r="AK236" s="11">
        <f>IF(INT(Z236/20)&gt;INT(Z235/20), "Lần " &amp; INT(Z236/20), "")</f>
        <v/>
      </c>
      <c r="AL236" s="6" t="inlineStr">
        <is>
          <t>ĐẠT TCVN 1651:2018</t>
        </is>
      </c>
    </row>
    <row r="237" ht="19" customHeight="1">
      <c r="A237" s="6" t="n">
        <v>219</v>
      </c>
      <c r="B237" s="7" t="inlineStr">
        <is>
          <t>Cọc khoan nhồi C4 Trụ T2 (D1.2m, L=30.0m)</t>
        </is>
      </c>
      <c r="C237" s="7" t="inlineStr">
        <is>
          <t>Đai tăng cường / Con kê bảo vệ</t>
        </is>
      </c>
      <c r="D237" s="18" t="inlineStr">
        <is>
          <t>P9</t>
        </is>
      </c>
      <c r="E237" s="19" t="n">
        <v>12</v>
      </c>
      <c r="F237" s="6" t="inlineStr">
        <is>
          <t>CB400-V</t>
        </is>
      </c>
      <c r="G237" s="7" t="inlineStr">
        <is>
          <t>Móc neo / Vòng đai</t>
        </is>
      </c>
      <c r="H237" s="20" t="n">
        <v>0.379</v>
      </c>
      <c r="I237" s="21" t="n">
        <v>36</v>
      </c>
      <c r="J237" s="22" t="n">
        <v>0.888</v>
      </c>
      <c r="K237" s="9">
        <f>ROUND(H237*I237*J237, 2)</f>
        <v/>
      </c>
      <c r="L237" s="23">
        <f>ROUND(K237/1000, 3)</f>
        <v/>
      </c>
      <c r="M237" s="8" t="n"/>
      <c r="N237" s="6" t="n"/>
      <c r="O237" s="24">
        <f>IF(AND(E237&lt;=10, F237&lt;&gt;"ASTM A416", INT(P237/20)&gt;INT(P236/20)), "TN Ø10 (Lần " &amp; INT(P237/20) &amp; ")", IF(AND(E237=12, INT(Q237/20)&gt;INT(Q236/20)), "TN Ø12 (Lần " &amp; INT(Q237/20) &amp; ")", IF(AND(E237=14, INT(R237/20)&gt;INT(R236/20)), "TN Ø14 (Lần " &amp; INT(R237/20) &amp; ")", IF(AND(E237=16, INT(S237/20)&gt;INT(S236/20)), "TN Ø16 (Lần " &amp; INT(S237/20) &amp; ")", IF(AND(E237=18, INT(T237/20)&gt;INT(T236/20)), "TN Ø18 (Lần " &amp; INT(T237/20) &amp; ")", IF(AND(E237=20, INT(U237/20)&gt;INT(U236/20)), "TN Ø20 (Lần " &amp; INT(U237/20) &amp; ")", IF(AND(E237=22, INT(V237/20)&gt;INT(V236/20)), "TN Ø22 (Lần " &amp; INT(V237/20) &amp; ")", IF(AND(E237=25, INT(W237/20)&gt;INT(W236/20)), "TN Ø25 (Lần " &amp; INT(W237/20) &amp; ")", IF(AND(E237=28, INT(X237/20)&gt;INT(X236/20)), "TN Ø28 (Lần " &amp; INT(X237/20) &amp; ")", IF(AND(E237=32, INT(Y237/20)&gt;INT(Y236/20)), "TN Ø32 (Lần " &amp; INT(Y237/20) &amp; ")", IF(AND(F237="ASTM A416", INT(Z237/20)&gt;INT(Z236/20)), "TN Cáp 15.2 (Lần " &amp; INT(Z237/20) &amp; ")", "")))))))))))</f>
        <v/>
      </c>
      <c r="P237" s="20">
        <f>ROUND(P236 + IF(AND(E237&lt;=10, F237&lt;&gt;"ASTM A416"), L237, 0), 3)</f>
        <v/>
      </c>
      <c r="Q237" s="20">
        <f>ROUND(Q236 + IF(AND(E237=12, F237&lt;&gt;"ASTM A416"), L237, 0), 3)</f>
        <v/>
      </c>
      <c r="R237" s="20">
        <f>ROUND(R236 + IF(AND(E237=14, F237&lt;&gt;"ASTM A416"), L237, 0), 3)</f>
        <v/>
      </c>
      <c r="S237" s="20">
        <f>ROUND(S236 + IF(AND(E237=16, F237&lt;&gt;"ASTM A416"), L237, 0), 3)</f>
        <v/>
      </c>
      <c r="T237" s="20">
        <f>ROUND(T236 + IF(AND(E237=18, F237&lt;&gt;"ASTM A416"), L237, 0), 3)</f>
        <v/>
      </c>
      <c r="U237" s="20">
        <f>ROUND(U236 + IF(AND(E237=20, F237&lt;&gt;"ASTM A416"), L237, 0), 3)</f>
        <v/>
      </c>
      <c r="V237" s="20">
        <f>ROUND(V236 + IF(AND(E237=22, F237&lt;&gt;"ASTM A416"), L237, 0), 3)</f>
        <v/>
      </c>
      <c r="W237" s="20">
        <f>ROUND(W236 + IF(AND(E237=25, F237&lt;&gt;"ASTM A416"), L237, 0), 3)</f>
        <v/>
      </c>
      <c r="X237" s="20">
        <f>ROUND(X236 + IF(AND(E237=28, F237&lt;&gt;"ASTM A416"), L237, 0), 3)</f>
        <v/>
      </c>
      <c r="Y237" s="20">
        <f>ROUND(Y236 + IF(AND(E237=32, F237&lt;&gt;"ASTM A416"), L237, 0), 3)</f>
        <v/>
      </c>
      <c r="Z237" s="20">
        <f>ROUND(Z236 + IF(F237="ASTM A416", L237, 0), 3)</f>
        <v/>
      </c>
      <c r="AA237" s="11">
        <f>IF(INT(P237/20)&gt;INT(P236/20), "Lần " &amp; INT(P237/20), "")</f>
        <v/>
      </c>
      <c r="AB237" s="11">
        <f>IF(INT(Q237/20)&gt;INT(Q236/20), "Lần " &amp; INT(Q237/20), "")</f>
        <v/>
      </c>
      <c r="AC237" s="11">
        <f>IF(INT(R237/20)&gt;INT(R236/20), "Lần " &amp; INT(R237/20), "")</f>
        <v/>
      </c>
      <c r="AD237" s="11">
        <f>IF(INT(S237/20)&gt;INT(S236/20), "Lần " &amp; INT(S237/20), "")</f>
        <v/>
      </c>
      <c r="AE237" s="11">
        <f>IF(INT(T237/20)&gt;INT(T236/20), "Lần " &amp; INT(T237/20), "")</f>
        <v/>
      </c>
      <c r="AF237" s="11">
        <f>IF(INT(U237/20)&gt;INT(U236/20), "Lần " &amp; INT(U237/20), "")</f>
        <v/>
      </c>
      <c r="AG237" s="11">
        <f>IF(INT(V237/20)&gt;INT(V236/20), "Lần " &amp; INT(V237/20), "")</f>
        <v/>
      </c>
      <c r="AH237" s="11">
        <f>IF(INT(W237/20)&gt;INT(W236/20), "Lần " &amp; INT(W237/20), "")</f>
        <v/>
      </c>
      <c r="AI237" s="11">
        <f>IF(INT(X237/20)&gt;INT(X236/20), "Lần " &amp; INT(X237/20), "")</f>
        <v/>
      </c>
      <c r="AJ237" s="11">
        <f>IF(INT(Y237/20)&gt;INT(Y236/20), "Lần " &amp; INT(Y237/20), "")</f>
        <v/>
      </c>
      <c r="AK237" s="11">
        <f>IF(INT(Z237/20)&gt;INT(Z236/20), "Lần " &amp; INT(Z237/20), "")</f>
        <v/>
      </c>
      <c r="AL237" s="6" t="inlineStr">
        <is>
          <t>ĐẠT TCVN 1651:2018</t>
        </is>
      </c>
    </row>
    <row r="238" ht="19" customHeight="1">
      <c r="A238" s="6" t="n">
        <v>220</v>
      </c>
      <c r="B238" s="7" t="inlineStr">
        <is>
          <t>Cọc khoan nhồi C4 Trụ T2 (D1.2m, L=30.0m)</t>
        </is>
      </c>
      <c r="C238" s="7" t="inlineStr">
        <is>
          <t>Thép đai xoắn lồng cọc</t>
        </is>
      </c>
      <c r="D238" s="18" t="inlineStr">
        <is>
          <t>P10</t>
        </is>
      </c>
      <c r="E238" s="19" t="n">
        <v>20</v>
      </c>
      <c r="F238" s="6" t="inlineStr">
        <is>
          <t>CB400-V</t>
        </is>
      </c>
      <c r="G238" s="7" t="inlineStr">
        <is>
          <t>Đai xoắn tròn</t>
        </is>
      </c>
      <c r="H238" s="20" t="n">
        <v>2.057</v>
      </c>
      <c r="I238" s="21" t="n">
        <v>1</v>
      </c>
      <c r="J238" s="22" t="n">
        <v>2.47</v>
      </c>
      <c r="K238" s="9">
        <f>ROUND(H238*I238*J238, 2)</f>
        <v/>
      </c>
      <c r="L238" s="23">
        <f>ROUND(K238/1000, 3)</f>
        <v/>
      </c>
      <c r="M238" s="8" t="n"/>
      <c r="N238" s="6" t="n"/>
      <c r="O238" s="24">
        <f>IF(AND(E238&lt;=10, F238&lt;&gt;"ASTM A416", INT(P238/20)&gt;INT(P237/20)), "TN Ø10 (Lần " &amp; INT(P238/20) &amp; ")", IF(AND(E238=12, INT(Q238/20)&gt;INT(Q237/20)), "TN Ø12 (Lần " &amp; INT(Q238/20) &amp; ")", IF(AND(E238=14, INT(R238/20)&gt;INT(R237/20)), "TN Ø14 (Lần " &amp; INT(R238/20) &amp; ")", IF(AND(E238=16, INT(S238/20)&gt;INT(S237/20)), "TN Ø16 (Lần " &amp; INT(S238/20) &amp; ")", IF(AND(E238=18, INT(T238/20)&gt;INT(T237/20)), "TN Ø18 (Lần " &amp; INT(T238/20) &amp; ")", IF(AND(E238=20, INT(U238/20)&gt;INT(U237/20)), "TN Ø20 (Lần " &amp; INT(U238/20) &amp; ")", IF(AND(E238=22, INT(V238/20)&gt;INT(V237/20)), "TN Ø22 (Lần " &amp; INT(V238/20) &amp; ")", IF(AND(E238=25, INT(W238/20)&gt;INT(W237/20)), "TN Ø25 (Lần " &amp; INT(W238/20) &amp; ")", IF(AND(E238=28, INT(X238/20)&gt;INT(X237/20)), "TN Ø28 (Lần " &amp; INT(X238/20) &amp; ")", IF(AND(E238=32, INT(Y238/20)&gt;INT(Y237/20)), "TN Ø32 (Lần " &amp; INT(Y238/20) &amp; ")", IF(AND(F238="ASTM A416", INT(Z238/20)&gt;INT(Z237/20)), "TN Cáp 15.2 (Lần " &amp; INT(Z238/20) &amp; ")", "")))))))))))</f>
        <v/>
      </c>
      <c r="P238" s="20">
        <f>ROUND(P237 + IF(AND(E238&lt;=10, F238&lt;&gt;"ASTM A416"), L238, 0), 3)</f>
        <v/>
      </c>
      <c r="Q238" s="20">
        <f>ROUND(Q237 + IF(AND(E238=12, F238&lt;&gt;"ASTM A416"), L238, 0), 3)</f>
        <v/>
      </c>
      <c r="R238" s="20">
        <f>ROUND(R237 + IF(AND(E238=14, F238&lt;&gt;"ASTM A416"), L238, 0), 3)</f>
        <v/>
      </c>
      <c r="S238" s="20">
        <f>ROUND(S237 + IF(AND(E238=16, F238&lt;&gt;"ASTM A416"), L238, 0), 3)</f>
        <v/>
      </c>
      <c r="T238" s="20">
        <f>ROUND(T237 + IF(AND(E238=18, F238&lt;&gt;"ASTM A416"), L238, 0), 3)</f>
        <v/>
      </c>
      <c r="U238" s="20">
        <f>ROUND(U237 + IF(AND(E238=20, F238&lt;&gt;"ASTM A416"), L238, 0), 3)</f>
        <v/>
      </c>
      <c r="V238" s="20">
        <f>ROUND(V237 + IF(AND(E238=22, F238&lt;&gt;"ASTM A416"), L238, 0), 3)</f>
        <v/>
      </c>
      <c r="W238" s="20">
        <f>ROUND(W237 + IF(AND(E238=25, F238&lt;&gt;"ASTM A416"), L238, 0), 3)</f>
        <v/>
      </c>
      <c r="X238" s="20">
        <f>ROUND(X237 + IF(AND(E238=28, F238&lt;&gt;"ASTM A416"), L238, 0), 3)</f>
        <v/>
      </c>
      <c r="Y238" s="20">
        <f>ROUND(Y237 + IF(AND(E238=32, F238&lt;&gt;"ASTM A416"), L238, 0), 3)</f>
        <v/>
      </c>
      <c r="Z238" s="20">
        <f>ROUND(Z237 + IF(F238="ASTM A416", L238, 0), 3)</f>
        <v/>
      </c>
      <c r="AA238" s="11">
        <f>IF(INT(P238/20)&gt;INT(P237/20), "Lần " &amp; INT(P238/20), "")</f>
        <v/>
      </c>
      <c r="AB238" s="11">
        <f>IF(INT(Q238/20)&gt;INT(Q237/20), "Lần " &amp; INT(Q238/20), "")</f>
        <v/>
      </c>
      <c r="AC238" s="11">
        <f>IF(INT(R238/20)&gt;INT(R237/20), "Lần " &amp; INT(R238/20), "")</f>
        <v/>
      </c>
      <c r="AD238" s="11">
        <f>IF(INT(S238/20)&gt;INT(S237/20), "Lần " &amp; INT(S238/20), "")</f>
        <v/>
      </c>
      <c r="AE238" s="11">
        <f>IF(INT(T238/20)&gt;INT(T237/20), "Lần " &amp; INT(T238/20), "")</f>
        <v/>
      </c>
      <c r="AF238" s="11">
        <f>IF(INT(U238/20)&gt;INT(U237/20), "Lần " &amp; INT(U238/20), "")</f>
        <v/>
      </c>
      <c r="AG238" s="11">
        <f>IF(INT(V238/20)&gt;INT(V237/20), "Lần " &amp; INT(V238/20), "")</f>
        <v/>
      </c>
      <c r="AH238" s="11">
        <f>IF(INT(W238/20)&gt;INT(W237/20), "Lần " &amp; INT(W238/20), "")</f>
        <v/>
      </c>
      <c r="AI238" s="11">
        <f>IF(INT(X238/20)&gt;INT(X237/20), "Lần " &amp; INT(X238/20), "")</f>
        <v/>
      </c>
      <c r="AJ238" s="11">
        <f>IF(INT(Y238/20)&gt;INT(Y237/20), "Lần " &amp; INT(Y238/20), "")</f>
        <v/>
      </c>
      <c r="AK238" s="11">
        <f>IF(INT(Z238/20)&gt;INT(Z237/20), "Lần " &amp; INT(Z238/20), "")</f>
        <v/>
      </c>
      <c r="AL238" s="6" t="inlineStr">
        <is>
          <t>ĐẠT TCVN 1651:2018</t>
        </is>
      </c>
    </row>
    <row r="239" ht="19" customHeight="1">
      <c r="A239" s="6" t="n">
        <v>221</v>
      </c>
      <c r="B239" s="7" t="inlineStr">
        <is>
          <t>Cọc khoan nhồi C4 Trụ T2 (D1.2m, L=30.0m)</t>
        </is>
      </c>
      <c r="C239" s="7" t="inlineStr">
        <is>
          <t>Thanh thép treo lồng cọc</t>
        </is>
      </c>
      <c r="D239" s="18" t="inlineStr">
        <is>
          <t>P11</t>
        </is>
      </c>
      <c r="E239" s="19" t="n">
        <v>16</v>
      </c>
      <c r="F239" s="6" t="inlineStr">
        <is>
          <t>CB400-V</t>
        </is>
      </c>
      <c r="G239" s="7" t="inlineStr">
        <is>
          <t>Thanh treo lồng (bảng phụ tr.70)</t>
        </is>
      </c>
      <c r="H239" s="20" t="n">
        <v>2.604</v>
      </c>
      <c r="I239" s="21" t="n">
        <v>4</v>
      </c>
      <c r="J239" s="22" t="n">
        <v>1.58</v>
      </c>
      <c r="K239" s="9">
        <f>ROUND(H239*I239*J239, 2)</f>
        <v/>
      </c>
      <c r="L239" s="23">
        <f>ROUND(K239/1000, 3)</f>
        <v/>
      </c>
      <c r="M239" s="8" t="n"/>
      <c r="N239" s="6" t="n"/>
      <c r="O239" s="24">
        <f>IF(AND(E239&lt;=10, F239&lt;&gt;"ASTM A416", INT(P239/20)&gt;INT(P238/20)), "TN Ø10 (Lần " &amp; INT(P239/20) &amp; ")", IF(AND(E239=12, INT(Q239/20)&gt;INT(Q238/20)), "TN Ø12 (Lần " &amp; INT(Q239/20) &amp; ")", IF(AND(E239=14, INT(R239/20)&gt;INT(R238/20)), "TN Ø14 (Lần " &amp; INT(R239/20) &amp; ")", IF(AND(E239=16, INT(S239/20)&gt;INT(S238/20)), "TN Ø16 (Lần " &amp; INT(S239/20) &amp; ")", IF(AND(E239=18, INT(T239/20)&gt;INT(T238/20)), "TN Ø18 (Lần " &amp; INT(T239/20) &amp; ")", IF(AND(E239=20, INT(U239/20)&gt;INT(U238/20)), "TN Ø20 (Lần " &amp; INT(U239/20) &amp; ")", IF(AND(E239=22, INT(V239/20)&gt;INT(V238/20)), "TN Ø22 (Lần " &amp; INT(V239/20) &amp; ")", IF(AND(E239=25, INT(W239/20)&gt;INT(W238/20)), "TN Ø25 (Lần " &amp; INT(W239/20) &amp; ")", IF(AND(E239=28, INT(X239/20)&gt;INT(X238/20)), "TN Ø28 (Lần " &amp; INT(X239/20) &amp; ")", IF(AND(E239=32, INT(Y239/20)&gt;INT(Y238/20)), "TN Ø32 (Lần " &amp; INT(Y239/20) &amp; ")", IF(AND(F239="ASTM A416", INT(Z239/20)&gt;INT(Z238/20)), "TN Cáp 15.2 (Lần " &amp; INT(Z239/20) &amp; ")", "")))))))))))</f>
        <v/>
      </c>
      <c r="P239" s="20">
        <f>ROUND(P238 + IF(AND(E239&lt;=10, F239&lt;&gt;"ASTM A416"), L239, 0), 3)</f>
        <v/>
      </c>
      <c r="Q239" s="20">
        <f>ROUND(Q238 + IF(AND(E239=12, F239&lt;&gt;"ASTM A416"), L239, 0), 3)</f>
        <v/>
      </c>
      <c r="R239" s="20">
        <f>ROUND(R238 + IF(AND(E239=14, F239&lt;&gt;"ASTM A416"), L239, 0), 3)</f>
        <v/>
      </c>
      <c r="S239" s="20">
        <f>ROUND(S238 + IF(AND(E239=16, F239&lt;&gt;"ASTM A416"), L239, 0), 3)</f>
        <v/>
      </c>
      <c r="T239" s="20">
        <f>ROUND(T238 + IF(AND(E239=18, F239&lt;&gt;"ASTM A416"), L239, 0), 3)</f>
        <v/>
      </c>
      <c r="U239" s="20">
        <f>ROUND(U238 + IF(AND(E239=20, F239&lt;&gt;"ASTM A416"), L239, 0), 3)</f>
        <v/>
      </c>
      <c r="V239" s="20">
        <f>ROUND(V238 + IF(AND(E239=22, F239&lt;&gt;"ASTM A416"), L239, 0), 3)</f>
        <v/>
      </c>
      <c r="W239" s="20">
        <f>ROUND(W238 + IF(AND(E239=25, F239&lt;&gt;"ASTM A416"), L239, 0), 3)</f>
        <v/>
      </c>
      <c r="X239" s="20">
        <f>ROUND(X238 + IF(AND(E239=28, F239&lt;&gt;"ASTM A416"), L239, 0), 3)</f>
        <v/>
      </c>
      <c r="Y239" s="20">
        <f>ROUND(Y238 + IF(AND(E239=32, F239&lt;&gt;"ASTM A416"), L239, 0), 3)</f>
        <v/>
      </c>
      <c r="Z239" s="20">
        <f>ROUND(Z238 + IF(F239="ASTM A416", L239, 0), 3)</f>
        <v/>
      </c>
      <c r="AA239" s="11">
        <f>IF(INT(P239/20)&gt;INT(P238/20), "Lần " &amp; INT(P239/20), "")</f>
        <v/>
      </c>
      <c r="AB239" s="11">
        <f>IF(INT(Q239/20)&gt;INT(Q238/20), "Lần " &amp; INT(Q239/20), "")</f>
        <v/>
      </c>
      <c r="AC239" s="11">
        <f>IF(INT(R239/20)&gt;INT(R238/20), "Lần " &amp; INT(R239/20), "")</f>
        <v/>
      </c>
      <c r="AD239" s="11">
        <f>IF(INT(S239/20)&gt;INT(S238/20), "Lần " &amp; INT(S239/20), "")</f>
        <v/>
      </c>
      <c r="AE239" s="11">
        <f>IF(INT(T239/20)&gt;INT(T238/20), "Lần " &amp; INT(T239/20), "")</f>
        <v/>
      </c>
      <c r="AF239" s="11">
        <f>IF(INT(U239/20)&gt;INT(U238/20), "Lần " &amp; INT(U239/20), "")</f>
        <v/>
      </c>
      <c r="AG239" s="11">
        <f>IF(INT(V239/20)&gt;INT(V238/20), "Lần " &amp; INT(V239/20), "")</f>
        <v/>
      </c>
      <c r="AH239" s="11">
        <f>IF(INT(W239/20)&gt;INT(W238/20), "Lần " &amp; INT(W239/20), "")</f>
        <v/>
      </c>
      <c r="AI239" s="11">
        <f>IF(INT(X239/20)&gt;INT(X238/20), "Lần " &amp; INT(X239/20), "")</f>
        <v/>
      </c>
      <c r="AJ239" s="11">
        <f>IF(INT(Y239/20)&gt;INT(Y238/20), "Lần " &amp; INT(Y239/20), "")</f>
        <v/>
      </c>
      <c r="AK239" s="11">
        <f>IF(INT(Z239/20)&gt;INT(Z238/20), "Lần " &amp; INT(Z239/20), "")</f>
        <v/>
      </c>
      <c r="AL239" s="6" t="inlineStr">
        <is>
          <t>ĐẠT TCVN 1651:2018</t>
        </is>
      </c>
    </row>
    <row r="240" ht="19" customHeight="1">
      <c r="A240" s="6" t="n">
        <v>222</v>
      </c>
      <c r="B240" s="7" t="inlineStr">
        <is>
          <t>Cọc khoan nhồi C4 Trụ T2 (D1.2m, L=30.0m)</t>
        </is>
      </c>
      <c r="C240" s="7" t="inlineStr">
        <is>
          <t>Thép đai xoắn lồng cọc</t>
        </is>
      </c>
      <c r="D240" s="18" t="inlineStr">
        <is>
          <t>P12</t>
        </is>
      </c>
      <c r="E240" s="19" t="n">
        <v>20</v>
      </c>
      <c r="F240" s="6" t="inlineStr">
        <is>
          <t>CB400-V</t>
        </is>
      </c>
      <c r="G240" s="7" t="inlineStr">
        <is>
          <t>Đai xoắn tròn</t>
        </is>
      </c>
      <c r="H240" s="20" t="n">
        <v>0.583</v>
      </c>
      <c r="I240" s="21" t="n">
        <v>48</v>
      </c>
      <c r="J240" s="22" t="n">
        <v>2.47</v>
      </c>
      <c r="K240" s="9">
        <f>ROUND(H240*I240*J240, 2)</f>
        <v/>
      </c>
      <c r="L240" s="23">
        <f>ROUND(K240/1000, 3)</f>
        <v/>
      </c>
      <c r="M240" s="8" t="n"/>
      <c r="N240" s="6" t="n"/>
      <c r="O240" s="24">
        <f>IF(AND(E240&lt;=10, F240&lt;&gt;"ASTM A416", INT(P240/20)&gt;INT(P239/20)), "TN Ø10 (Lần " &amp; INT(P240/20) &amp; ")", IF(AND(E240=12, INT(Q240/20)&gt;INT(Q239/20)), "TN Ø12 (Lần " &amp; INT(Q240/20) &amp; ")", IF(AND(E240=14, INT(R240/20)&gt;INT(R239/20)), "TN Ø14 (Lần " &amp; INT(R240/20) &amp; ")", IF(AND(E240=16, INT(S240/20)&gt;INT(S239/20)), "TN Ø16 (Lần " &amp; INT(S240/20) &amp; ")", IF(AND(E240=18, INT(T240/20)&gt;INT(T239/20)), "TN Ø18 (Lần " &amp; INT(T240/20) &amp; ")", IF(AND(E240=20, INT(U240/20)&gt;INT(U239/20)), "TN Ø20 (Lần " &amp; INT(U240/20) &amp; ")", IF(AND(E240=22, INT(V240/20)&gt;INT(V239/20)), "TN Ø22 (Lần " &amp; INT(V240/20) &amp; ")", IF(AND(E240=25, INT(W240/20)&gt;INT(W239/20)), "TN Ø25 (Lần " &amp; INT(W240/20) &amp; ")", IF(AND(E240=28, INT(X240/20)&gt;INT(X239/20)), "TN Ø28 (Lần " &amp; INT(X240/20) &amp; ")", IF(AND(E240=32, INT(Y240/20)&gt;INT(Y239/20)), "TN Ø32 (Lần " &amp; INT(Y240/20) &amp; ")", IF(AND(F240="ASTM A416", INT(Z240/20)&gt;INT(Z239/20)), "TN Cáp 15.2 (Lần " &amp; INT(Z240/20) &amp; ")", "")))))))))))</f>
        <v/>
      </c>
      <c r="P240" s="20">
        <f>ROUND(P239 + IF(AND(E240&lt;=10, F240&lt;&gt;"ASTM A416"), L240, 0), 3)</f>
        <v/>
      </c>
      <c r="Q240" s="20">
        <f>ROUND(Q239 + IF(AND(E240=12, F240&lt;&gt;"ASTM A416"), L240, 0), 3)</f>
        <v/>
      </c>
      <c r="R240" s="20">
        <f>ROUND(R239 + IF(AND(E240=14, F240&lt;&gt;"ASTM A416"), L240, 0), 3)</f>
        <v/>
      </c>
      <c r="S240" s="20">
        <f>ROUND(S239 + IF(AND(E240=16, F240&lt;&gt;"ASTM A416"), L240, 0), 3)</f>
        <v/>
      </c>
      <c r="T240" s="20">
        <f>ROUND(T239 + IF(AND(E240=18, F240&lt;&gt;"ASTM A416"), L240, 0), 3)</f>
        <v/>
      </c>
      <c r="U240" s="20">
        <f>ROUND(U239 + IF(AND(E240=20, F240&lt;&gt;"ASTM A416"), L240, 0), 3)</f>
        <v/>
      </c>
      <c r="V240" s="20">
        <f>ROUND(V239 + IF(AND(E240=22, F240&lt;&gt;"ASTM A416"), L240, 0), 3)</f>
        <v/>
      </c>
      <c r="W240" s="20">
        <f>ROUND(W239 + IF(AND(E240=25, F240&lt;&gt;"ASTM A416"), L240, 0), 3)</f>
        <v/>
      </c>
      <c r="X240" s="20">
        <f>ROUND(X239 + IF(AND(E240=28, F240&lt;&gt;"ASTM A416"), L240, 0), 3)</f>
        <v/>
      </c>
      <c r="Y240" s="20">
        <f>ROUND(Y239 + IF(AND(E240=32, F240&lt;&gt;"ASTM A416"), L240, 0), 3)</f>
        <v/>
      </c>
      <c r="Z240" s="20">
        <f>ROUND(Z239 + IF(F240="ASTM A416", L240, 0), 3)</f>
        <v/>
      </c>
      <c r="AA240" s="11">
        <f>IF(INT(P240/20)&gt;INT(P239/20), "Lần " &amp; INT(P240/20), "")</f>
        <v/>
      </c>
      <c r="AB240" s="11">
        <f>IF(INT(Q240/20)&gt;INT(Q239/20), "Lần " &amp; INT(Q240/20), "")</f>
        <v/>
      </c>
      <c r="AC240" s="11">
        <f>IF(INT(R240/20)&gt;INT(R239/20), "Lần " &amp; INT(R240/20), "")</f>
        <v/>
      </c>
      <c r="AD240" s="11">
        <f>IF(INT(S240/20)&gt;INT(S239/20), "Lần " &amp; INT(S240/20), "")</f>
        <v/>
      </c>
      <c r="AE240" s="11">
        <f>IF(INT(T240/20)&gt;INT(T239/20), "Lần " &amp; INT(T240/20), "")</f>
        <v/>
      </c>
      <c r="AF240" s="11">
        <f>IF(INT(U240/20)&gt;INT(U239/20), "Lần " &amp; INT(U240/20), "")</f>
        <v/>
      </c>
      <c r="AG240" s="11">
        <f>IF(INT(V240/20)&gt;INT(V239/20), "Lần " &amp; INT(V240/20), "")</f>
        <v/>
      </c>
      <c r="AH240" s="11">
        <f>IF(INT(W240/20)&gt;INT(W239/20), "Lần " &amp; INT(W240/20), "")</f>
        <v/>
      </c>
      <c r="AI240" s="11">
        <f>IF(INT(X240/20)&gt;INT(X239/20), "Lần " &amp; INT(X240/20), "")</f>
        <v/>
      </c>
      <c r="AJ240" s="11">
        <f>IF(INT(Y240/20)&gt;INT(Y239/20), "Lần " &amp; INT(Y240/20), "")</f>
        <v/>
      </c>
      <c r="AK240" s="11">
        <f>IF(INT(Z240/20)&gt;INT(Z239/20), "Lần " &amp; INT(Z240/20), "")</f>
        <v/>
      </c>
      <c r="AL240" s="6" t="inlineStr">
        <is>
          <t>ĐẠT TCVN 1651:2018</t>
        </is>
      </c>
    </row>
    <row r="241" ht="20" customHeight="1">
      <c r="A241" s="17" t="inlineStr">
        <is>
          <t>--- CỌC KHOAN NHỒI C5 TRỤ T2 (D1.2M, L=30.0M) ---</t>
        </is>
      </c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</row>
    <row r="242" ht="19" customHeight="1">
      <c r="A242" s="6" t="n">
        <v>223</v>
      </c>
      <c r="B242" s="7" t="inlineStr">
        <is>
          <t>Cọc khoan nhồi C5 Trụ T2 (D1.2m, L=30.0m)</t>
        </is>
      </c>
      <c r="C242" s="7" t="inlineStr">
        <is>
          <t>Thép đai xoắn lồng cọc</t>
        </is>
      </c>
      <c r="D242" s="18" t="inlineStr">
        <is>
          <t>P1</t>
        </is>
      </c>
      <c r="E242" s="19" t="n">
        <v>10</v>
      </c>
      <c r="F242" s="6" t="inlineStr">
        <is>
          <t>CB240-T</t>
        </is>
      </c>
      <c r="G242" s="7" t="inlineStr">
        <is>
          <t>Đai xoắn tròn</t>
        </is>
      </c>
      <c r="H242" s="20" t="n">
        <v>96.604</v>
      </c>
      <c r="I242" s="21" t="n">
        <v>1</v>
      </c>
      <c r="J242" s="22" t="n">
        <v>0.617</v>
      </c>
      <c r="K242" s="9">
        <f>ROUND(H242*I242*J242, 2)</f>
        <v/>
      </c>
      <c r="L242" s="23">
        <f>ROUND(K242/1000, 3)</f>
        <v/>
      </c>
      <c r="M242" s="8" t="n"/>
      <c r="N242" s="6" t="n"/>
      <c r="O242" s="24">
        <f>IF(AND(E242&lt;=10, F242&lt;&gt;"ASTM A416", INT(P242/20)&gt;INT(P240/20)), "TN Ø10 (Lần " &amp; INT(P242/20) &amp; ")", IF(AND(E242=12, INT(Q242/20)&gt;INT(Q240/20)), "TN Ø12 (Lần " &amp; INT(Q242/20) &amp; ")", IF(AND(E242=14, INT(R242/20)&gt;INT(R240/20)), "TN Ø14 (Lần " &amp; INT(R242/20) &amp; ")", IF(AND(E242=16, INT(S242/20)&gt;INT(S240/20)), "TN Ø16 (Lần " &amp; INT(S242/20) &amp; ")", IF(AND(E242=18, INT(T242/20)&gt;INT(T240/20)), "TN Ø18 (Lần " &amp; INT(T242/20) &amp; ")", IF(AND(E242=20, INT(U242/20)&gt;INT(U240/20)), "TN Ø20 (Lần " &amp; INT(U242/20) &amp; ")", IF(AND(E242=22, INT(V242/20)&gt;INT(V240/20)), "TN Ø22 (Lần " &amp; INT(V242/20) &amp; ")", IF(AND(E242=25, INT(W242/20)&gt;INT(W240/20)), "TN Ø25 (Lần " &amp; INT(W242/20) &amp; ")", IF(AND(E242=28, INT(X242/20)&gt;INT(X240/20)), "TN Ø28 (Lần " &amp; INT(X242/20) &amp; ")", IF(AND(E242=32, INT(Y242/20)&gt;INT(Y240/20)), "TN Ø32 (Lần " &amp; INT(Y242/20) &amp; ")", IF(AND(F242="ASTM A416", INT(Z242/20)&gt;INT(Z240/20)), "TN Cáp 15.2 (Lần " &amp; INT(Z242/20) &amp; ")", "")))))))))))</f>
        <v/>
      </c>
      <c r="P242" s="20">
        <f>ROUND(P240 + IF(AND(E242&lt;=10, F242&lt;&gt;"ASTM A416"), L242, 0), 3)</f>
        <v/>
      </c>
      <c r="Q242" s="20">
        <f>ROUND(Q240 + IF(AND(E242=12, F242&lt;&gt;"ASTM A416"), L242, 0), 3)</f>
        <v/>
      </c>
      <c r="R242" s="20">
        <f>ROUND(R240 + IF(AND(E242=14, F242&lt;&gt;"ASTM A416"), L242, 0), 3)</f>
        <v/>
      </c>
      <c r="S242" s="20">
        <f>ROUND(S240 + IF(AND(E242=16, F242&lt;&gt;"ASTM A416"), L242, 0), 3)</f>
        <v/>
      </c>
      <c r="T242" s="20">
        <f>ROUND(T240 + IF(AND(E242=18, F242&lt;&gt;"ASTM A416"), L242, 0), 3)</f>
        <v/>
      </c>
      <c r="U242" s="20">
        <f>ROUND(U240 + IF(AND(E242=20, F242&lt;&gt;"ASTM A416"), L242, 0), 3)</f>
        <v/>
      </c>
      <c r="V242" s="20">
        <f>ROUND(V240 + IF(AND(E242=22, F242&lt;&gt;"ASTM A416"), L242, 0), 3)</f>
        <v/>
      </c>
      <c r="W242" s="20">
        <f>ROUND(W240 + IF(AND(E242=25, F242&lt;&gt;"ASTM A416"), L242, 0), 3)</f>
        <v/>
      </c>
      <c r="X242" s="20">
        <f>ROUND(X240 + IF(AND(E242=28, F242&lt;&gt;"ASTM A416"), L242, 0), 3)</f>
        <v/>
      </c>
      <c r="Y242" s="20">
        <f>ROUND(Y240 + IF(AND(E242=32, F242&lt;&gt;"ASTM A416"), L242, 0), 3)</f>
        <v/>
      </c>
      <c r="Z242" s="20">
        <f>ROUND(Z240 + IF(F242="ASTM A416", L242, 0), 3)</f>
        <v/>
      </c>
      <c r="AA242" s="11">
        <f>IF(INT(P242/20)&gt;INT(P240/20), "Lần " &amp; INT(P242/20), "")</f>
        <v/>
      </c>
      <c r="AB242" s="11">
        <f>IF(INT(Q242/20)&gt;INT(Q240/20), "Lần " &amp; INT(Q242/20), "")</f>
        <v/>
      </c>
      <c r="AC242" s="11">
        <f>IF(INT(R242/20)&gt;INT(R240/20), "Lần " &amp; INT(R242/20), "")</f>
        <v/>
      </c>
      <c r="AD242" s="11">
        <f>IF(INT(S242/20)&gt;INT(S240/20), "Lần " &amp; INT(S242/20), "")</f>
        <v/>
      </c>
      <c r="AE242" s="11">
        <f>IF(INT(T242/20)&gt;INT(T240/20), "Lần " &amp; INT(T242/20), "")</f>
        <v/>
      </c>
      <c r="AF242" s="11">
        <f>IF(INT(U242/20)&gt;INT(U240/20), "Lần " &amp; INT(U242/20), "")</f>
        <v/>
      </c>
      <c r="AG242" s="11">
        <f>IF(INT(V242/20)&gt;INT(V240/20), "Lần " &amp; INT(V242/20), "")</f>
        <v/>
      </c>
      <c r="AH242" s="11">
        <f>IF(INT(W242/20)&gt;INT(W240/20), "Lần " &amp; INT(W242/20), "")</f>
        <v/>
      </c>
      <c r="AI242" s="11">
        <f>IF(INT(X242/20)&gt;INT(X240/20), "Lần " &amp; INT(X242/20), "")</f>
        <v/>
      </c>
      <c r="AJ242" s="11">
        <f>IF(INT(Y242/20)&gt;INT(Y240/20), "Lần " &amp; INT(Y242/20), "")</f>
        <v/>
      </c>
      <c r="AK242" s="11">
        <f>IF(INT(Z242/20)&gt;INT(Z240/20), "Lần " &amp; INT(Z242/20), "")</f>
        <v/>
      </c>
      <c r="AL242" s="6" t="inlineStr">
        <is>
          <t>ĐẠT TCVN 1651:2018</t>
        </is>
      </c>
    </row>
    <row r="243" ht="19" customHeight="1">
      <c r="A243" s="6" t="n">
        <v>224</v>
      </c>
      <c r="B243" s="7" t="inlineStr">
        <is>
          <t>Cọc khoan nhồi C5 Trụ T2 (D1.2m, L=30.0m)</t>
        </is>
      </c>
      <c r="C243" s="7" t="inlineStr">
        <is>
          <t>Thép đai xoắn lồng cọc</t>
        </is>
      </c>
      <c r="D243" s="18" t="inlineStr">
        <is>
          <t>P1A</t>
        </is>
      </c>
      <c r="E243" s="19" t="n">
        <v>10</v>
      </c>
      <c r="F243" s="6" t="inlineStr">
        <is>
          <t>CB240-T</t>
        </is>
      </c>
      <c r="G243" s="7" t="inlineStr">
        <is>
          <t>Đai xoắn tròn</t>
        </is>
      </c>
      <c r="H243" s="20" t="n">
        <v>389.636</v>
      </c>
      <c r="I243" s="21" t="n">
        <v>1</v>
      </c>
      <c r="J243" s="22" t="n">
        <v>0.617</v>
      </c>
      <c r="K243" s="9">
        <f>ROUND(H243*I243*J243, 2)</f>
        <v/>
      </c>
      <c r="L243" s="23">
        <f>ROUND(K243/1000, 3)</f>
        <v/>
      </c>
      <c r="M243" s="8" t="n"/>
      <c r="N243" s="6" t="n"/>
      <c r="O243" s="24">
        <f>IF(AND(E243&lt;=10, F243&lt;&gt;"ASTM A416", INT(P243/20)&gt;INT(P242/20)), "TN Ø10 (Lần " &amp; INT(P243/20) &amp; ")", IF(AND(E243=12, INT(Q243/20)&gt;INT(Q242/20)), "TN Ø12 (Lần " &amp; INT(Q243/20) &amp; ")", IF(AND(E243=14, INT(R243/20)&gt;INT(R242/20)), "TN Ø14 (Lần " &amp; INT(R243/20) &amp; ")", IF(AND(E243=16, INT(S243/20)&gt;INT(S242/20)), "TN Ø16 (Lần " &amp; INT(S243/20) &amp; ")", IF(AND(E243=18, INT(T243/20)&gt;INT(T242/20)), "TN Ø18 (Lần " &amp; INT(T243/20) &amp; ")", IF(AND(E243=20, INT(U243/20)&gt;INT(U242/20)), "TN Ø20 (Lần " &amp; INT(U243/20) &amp; ")", IF(AND(E243=22, INT(V243/20)&gt;INT(V242/20)), "TN Ø22 (Lần " &amp; INT(V243/20) &amp; ")", IF(AND(E243=25, INT(W243/20)&gt;INT(W242/20)), "TN Ø25 (Lần " &amp; INT(W243/20) &amp; ")", IF(AND(E243=28, INT(X243/20)&gt;INT(X242/20)), "TN Ø28 (Lần " &amp; INT(X243/20) &amp; ")", IF(AND(E243=32, INT(Y243/20)&gt;INT(Y242/20)), "TN Ø32 (Lần " &amp; INT(Y243/20) &amp; ")", IF(AND(F243="ASTM A416", INT(Z243/20)&gt;INT(Z242/20)), "TN Cáp 15.2 (Lần " &amp; INT(Z243/20) &amp; ")", "")))))))))))</f>
        <v/>
      </c>
      <c r="P243" s="20">
        <f>ROUND(P242 + IF(AND(E243&lt;=10, F243&lt;&gt;"ASTM A416"), L243, 0), 3)</f>
        <v/>
      </c>
      <c r="Q243" s="20">
        <f>ROUND(Q242 + IF(AND(E243=12, F243&lt;&gt;"ASTM A416"), L243, 0), 3)</f>
        <v/>
      </c>
      <c r="R243" s="20">
        <f>ROUND(R242 + IF(AND(E243=14, F243&lt;&gt;"ASTM A416"), L243, 0), 3)</f>
        <v/>
      </c>
      <c r="S243" s="20">
        <f>ROUND(S242 + IF(AND(E243=16, F243&lt;&gt;"ASTM A416"), L243, 0), 3)</f>
        <v/>
      </c>
      <c r="T243" s="20">
        <f>ROUND(T242 + IF(AND(E243=18, F243&lt;&gt;"ASTM A416"), L243, 0), 3)</f>
        <v/>
      </c>
      <c r="U243" s="20">
        <f>ROUND(U242 + IF(AND(E243=20, F243&lt;&gt;"ASTM A416"), L243, 0), 3)</f>
        <v/>
      </c>
      <c r="V243" s="20">
        <f>ROUND(V242 + IF(AND(E243=22, F243&lt;&gt;"ASTM A416"), L243, 0), 3)</f>
        <v/>
      </c>
      <c r="W243" s="20">
        <f>ROUND(W242 + IF(AND(E243=25, F243&lt;&gt;"ASTM A416"), L243, 0), 3)</f>
        <v/>
      </c>
      <c r="X243" s="20">
        <f>ROUND(X242 + IF(AND(E243=28, F243&lt;&gt;"ASTM A416"), L243, 0), 3)</f>
        <v/>
      </c>
      <c r="Y243" s="20">
        <f>ROUND(Y242 + IF(AND(E243=32, F243&lt;&gt;"ASTM A416"), L243, 0), 3)</f>
        <v/>
      </c>
      <c r="Z243" s="20">
        <f>ROUND(Z242 + IF(F243="ASTM A416", L243, 0), 3)</f>
        <v/>
      </c>
      <c r="AA243" s="11">
        <f>IF(INT(P243/20)&gt;INT(P242/20), "Lần " &amp; INT(P243/20), "")</f>
        <v/>
      </c>
      <c r="AB243" s="11">
        <f>IF(INT(Q243/20)&gt;INT(Q242/20), "Lần " &amp; INT(Q243/20), "")</f>
        <v/>
      </c>
      <c r="AC243" s="11">
        <f>IF(INT(R243/20)&gt;INT(R242/20), "Lần " &amp; INT(R243/20), "")</f>
        <v/>
      </c>
      <c r="AD243" s="11">
        <f>IF(INT(S243/20)&gt;INT(S242/20), "Lần " &amp; INT(S243/20), "")</f>
        <v/>
      </c>
      <c r="AE243" s="11">
        <f>IF(INT(T243/20)&gt;INT(T242/20), "Lần " &amp; INT(T243/20), "")</f>
        <v/>
      </c>
      <c r="AF243" s="11">
        <f>IF(INT(U243/20)&gt;INT(U242/20), "Lần " &amp; INT(U243/20), "")</f>
        <v/>
      </c>
      <c r="AG243" s="11">
        <f>IF(INT(V243/20)&gt;INT(V242/20), "Lần " &amp; INT(V243/20), "")</f>
        <v/>
      </c>
      <c r="AH243" s="11">
        <f>IF(INT(W243/20)&gt;INT(W242/20), "Lần " &amp; INT(W243/20), "")</f>
        <v/>
      </c>
      <c r="AI243" s="11">
        <f>IF(INT(X243/20)&gt;INT(X242/20), "Lần " &amp; INT(X243/20), "")</f>
        <v/>
      </c>
      <c r="AJ243" s="11">
        <f>IF(INT(Y243/20)&gt;INT(Y242/20), "Lần " &amp; INT(Y243/20), "")</f>
        <v/>
      </c>
      <c r="AK243" s="11">
        <f>IF(INT(Z243/20)&gt;INT(Z242/20), "Lần " &amp; INT(Z243/20), "")</f>
        <v/>
      </c>
      <c r="AL243" s="6" t="inlineStr">
        <is>
          <t>ĐẠT TCVN 1651:2018</t>
        </is>
      </c>
    </row>
    <row r="244" ht="19" customHeight="1">
      <c r="A244" s="6" t="n">
        <v>225</v>
      </c>
      <c r="B244" s="7" t="inlineStr">
        <is>
          <t>Cọc khoan nhồi C5 Trụ T2 (D1.2m, L=30.0m)</t>
        </is>
      </c>
      <c r="C244" s="7" t="inlineStr">
        <is>
          <t>Thép đai xoắn lồng cọc</t>
        </is>
      </c>
      <c r="D244" s="18" t="inlineStr">
        <is>
          <t>P1B</t>
        </is>
      </c>
      <c r="E244" s="19" t="n">
        <v>10</v>
      </c>
      <c r="F244" s="6" t="inlineStr">
        <is>
          <t>CB240-T</t>
        </is>
      </c>
      <c r="G244" s="7" t="inlineStr">
        <is>
          <t>Đai xoắn tròn</t>
        </is>
      </c>
      <c r="H244" s="20" t="n">
        <v>100.256</v>
      </c>
      <c r="I244" s="21" t="n">
        <v>1</v>
      </c>
      <c r="J244" s="22" t="n">
        <v>0.617</v>
      </c>
      <c r="K244" s="9">
        <f>ROUND(H244*I244*J244, 2)</f>
        <v/>
      </c>
      <c r="L244" s="23">
        <f>ROUND(K244/1000, 3)</f>
        <v/>
      </c>
      <c r="M244" s="8" t="n"/>
      <c r="N244" s="6" t="n"/>
      <c r="O244" s="24">
        <f>IF(AND(E244&lt;=10, F244&lt;&gt;"ASTM A416", INT(P244/20)&gt;INT(P243/20)), "TN Ø10 (Lần " &amp; INT(P244/20) &amp; ")", IF(AND(E244=12, INT(Q244/20)&gt;INT(Q243/20)), "TN Ø12 (Lần " &amp; INT(Q244/20) &amp; ")", IF(AND(E244=14, INT(R244/20)&gt;INT(R243/20)), "TN Ø14 (Lần " &amp; INT(R244/20) &amp; ")", IF(AND(E244=16, INT(S244/20)&gt;INT(S243/20)), "TN Ø16 (Lần " &amp; INT(S244/20) &amp; ")", IF(AND(E244=18, INT(T244/20)&gt;INT(T243/20)), "TN Ø18 (Lần " &amp; INT(T244/20) &amp; ")", IF(AND(E244=20, INT(U244/20)&gt;INT(U243/20)), "TN Ø20 (Lần " &amp; INT(U244/20) &amp; ")", IF(AND(E244=22, INT(V244/20)&gt;INT(V243/20)), "TN Ø22 (Lần " &amp; INT(V244/20) &amp; ")", IF(AND(E244=25, INT(W244/20)&gt;INT(W243/20)), "TN Ø25 (Lần " &amp; INT(W244/20) &amp; ")", IF(AND(E244=28, INT(X244/20)&gt;INT(X243/20)), "TN Ø28 (Lần " &amp; INT(X244/20) &amp; ")", IF(AND(E244=32, INT(Y244/20)&gt;INT(Y243/20)), "TN Ø32 (Lần " &amp; INT(Y244/20) &amp; ")", IF(AND(F244="ASTM A416", INT(Z244/20)&gt;INT(Z243/20)), "TN Cáp 15.2 (Lần " &amp; INT(Z244/20) &amp; ")", "")))))))))))</f>
        <v/>
      </c>
      <c r="P244" s="20">
        <f>ROUND(P243 + IF(AND(E244&lt;=10, F244&lt;&gt;"ASTM A416"), L244, 0), 3)</f>
        <v/>
      </c>
      <c r="Q244" s="20">
        <f>ROUND(Q243 + IF(AND(E244=12, F244&lt;&gt;"ASTM A416"), L244, 0), 3)</f>
        <v/>
      </c>
      <c r="R244" s="20">
        <f>ROUND(R243 + IF(AND(E244=14, F244&lt;&gt;"ASTM A416"), L244, 0), 3)</f>
        <v/>
      </c>
      <c r="S244" s="20">
        <f>ROUND(S243 + IF(AND(E244=16, F244&lt;&gt;"ASTM A416"), L244, 0), 3)</f>
        <v/>
      </c>
      <c r="T244" s="20">
        <f>ROUND(T243 + IF(AND(E244=18, F244&lt;&gt;"ASTM A416"), L244, 0), 3)</f>
        <v/>
      </c>
      <c r="U244" s="20">
        <f>ROUND(U243 + IF(AND(E244=20, F244&lt;&gt;"ASTM A416"), L244, 0), 3)</f>
        <v/>
      </c>
      <c r="V244" s="20">
        <f>ROUND(V243 + IF(AND(E244=22, F244&lt;&gt;"ASTM A416"), L244, 0), 3)</f>
        <v/>
      </c>
      <c r="W244" s="20">
        <f>ROUND(W243 + IF(AND(E244=25, F244&lt;&gt;"ASTM A416"), L244, 0), 3)</f>
        <v/>
      </c>
      <c r="X244" s="20">
        <f>ROUND(X243 + IF(AND(E244=28, F244&lt;&gt;"ASTM A416"), L244, 0), 3)</f>
        <v/>
      </c>
      <c r="Y244" s="20">
        <f>ROUND(Y243 + IF(AND(E244=32, F244&lt;&gt;"ASTM A416"), L244, 0), 3)</f>
        <v/>
      </c>
      <c r="Z244" s="20">
        <f>ROUND(Z243 + IF(F244="ASTM A416", L244, 0), 3)</f>
        <v/>
      </c>
      <c r="AA244" s="11">
        <f>IF(INT(P244/20)&gt;INT(P243/20), "Lần " &amp; INT(P244/20), "")</f>
        <v/>
      </c>
      <c r="AB244" s="11">
        <f>IF(INT(Q244/20)&gt;INT(Q243/20), "Lần " &amp; INT(Q244/20), "")</f>
        <v/>
      </c>
      <c r="AC244" s="11">
        <f>IF(INT(R244/20)&gt;INT(R243/20), "Lần " &amp; INT(R244/20), "")</f>
        <v/>
      </c>
      <c r="AD244" s="11">
        <f>IF(INT(S244/20)&gt;INT(S243/20), "Lần " &amp; INT(S244/20), "")</f>
        <v/>
      </c>
      <c r="AE244" s="11">
        <f>IF(INT(T244/20)&gt;INT(T243/20), "Lần " &amp; INT(T244/20), "")</f>
        <v/>
      </c>
      <c r="AF244" s="11">
        <f>IF(INT(U244/20)&gt;INT(U243/20), "Lần " &amp; INT(U244/20), "")</f>
        <v/>
      </c>
      <c r="AG244" s="11">
        <f>IF(INT(V244/20)&gt;INT(V243/20), "Lần " &amp; INT(V244/20), "")</f>
        <v/>
      </c>
      <c r="AH244" s="11">
        <f>IF(INT(W244/20)&gt;INT(W243/20), "Lần " &amp; INT(W244/20), "")</f>
        <v/>
      </c>
      <c r="AI244" s="11">
        <f>IF(INT(X244/20)&gt;INT(X243/20), "Lần " &amp; INT(X244/20), "")</f>
        <v/>
      </c>
      <c r="AJ244" s="11">
        <f>IF(INT(Y244/20)&gt;INT(Y243/20), "Lần " &amp; INT(Y244/20), "")</f>
        <v/>
      </c>
      <c r="AK244" s="11">
        <f>IF(INT(Z244/20)&gt;INT(Z243/20), "Lần " &amp; INT(Z244/20), "")</f>
        <v/>
      </c>
      <c r="AL244" s="6" t="inlineStr">
        <is>
          <t>ĐẠT TCVN 1651:2018</t>
        </is>
      </c>
    </row>
    <row r="245" ht="19" customHeight="1">
      <c r="A245" s="6" t="n">
        <v>226</v>
      </c>
      <c r="B245" s="7" t="inlineStr">
        <is>
          <t>Cọc khoan nhồi C5 Trụ T2 (D1.2m, L=30.0m)</t>
        </is>
      </c>
      <c r="C245" s="7" t="inlineStr">
        <is>
          <t>Thép đai xoắn lồng cọc</t>
        </is>
      </c>
      <c r="D245" s="18" t="inlineStr">
        <is>
          <t>P1C</t>
        </is>
      </c>
      <c r="E245" s="19" t="n">
        <v>10</v>
      </c>
      <c r="F245" s="6" t="inlineStr">
        <is>
          <t>CB240-T</t>
        </is>
      </c>
      <c r="G245" s="7" t="inlineStr">
        <is>
          <t>Đai xoắn tròn</t>
        </is>
      </c>
      <c r="H245" s="20" t="n">
        <v>3.592</v>
      </c>
      <c r="I245" s="21" t="n">
        <v>2</v>
      </c>
      <c r="J245" s="22" t="n">
        <v>0.617</v>
      </c>
      <c r="K245" s="9">
        <f>ROUND(H245*I245*J245, 2)</f>
        <v/>
      </c>
      <c r="L245" s="23">
        <f>ROUND(K245/1000, 3)</f>
        <v/>
      </c>
      <c r="M245" s="8" t="n"/>
      <c r="N245" s="6" t="n"/>
      <c r="O245" s="24">
        <f>IF(AND(E245&lt;=10, F245&lt;&gt;"ASTM A416", INT(P245/20)&gt;INT(P244/20)), "TN Ø10 (Lần " &amp; INT(P245/20) &amp; ")", IF(AND(E245=12, INT(Q245/20)&gt;INT(Q244/20)), "TN Ø12 (Lần " &amp; INT(Q245/20) &amp; ")", IF(AND(E245=14, INT(R245/20)&gt;INT(R244/20)), "TN Ø14 (Lần " &amp; INT(R245/20) &amp; ")", IF(AND(E245=16, INT(S245/20)&gt;INT(S244/20)), "TN Ø16 (Lần " &amp; INT(S245/20) &amp; ")", IF(AND(E245=18, INT(T245/20)&gt;INT(T244/20)), "TN Ø18 (Lần " &amp; INT(T245/20) &amp; ")", IF(AND(E245=20, INT(U245/20)&gt;INT(U244/20)), "TN Ø20 (Lần " &amp; INT(U245/20) &amp; ")", IF(AND(E245=22, INT(V245/20)&gt;INT(V244/20)), "TN Ø22 (Lần " &amp; INT(V245/20) &amp; ")", IF(AND(E245=25, INT(W245/20)&gt;INT(W244/20)), "TN Ø25 (Lần " &amp; INT(W245/20) &amp; ")", IF(AND(E245=28, INT(X245/20)&gt;INT(X244/20)), "TN Ø28 (Lần " &amp; INT(X245/20) &amp; ")", IF(AND(E245=32, INT(Y245/20)&gt;INT(Y244/20)), "TN Ø32 (Lần " &amp; INT(Y245/20) &amp; ")", IF(AND(F245="ASTM A416", INT(Z245/20)&gt;INT(Z244/20)), "TN Cáp 15.2 (Lần " &amp; INT(Z245/20) &amp; ")", "")))))))))))</f>
        <v/>
      </c>
      <c r="P245" s="20">
        <f>ROUND(P244 + IF(AND(E245&lt;=10, F245&lt;&gt;"ASTM A416"), L245, 0), 3)</f>
        <v/>
      </c>
      <c r="Q245" s="20">
        <f>ROUND(Q244 + IF(AND(E245=12, F245&lt;&gt;"ASTM A416"), L245, 0), 3)</f>
        <v/>
      </c>
      <c r="R245" s="20">
        <f>ROUND(R244 + IF(AND(E245=14, F245&lt;&gt;"ASTM A416"), L245, 0), 3)</f>
        <v/>
      </c>
      <c r="S245" s="20">
        <f>ROUND(S244 + IF(AND(E245=16, F245&lt;&gt;"ASTM A416"), L245, 0), 3)</f>
        <v/>
      </c>
      <c r="T245" s="20">
        <f>ROUND(T244 + IF(AND(E245=18, F245&lt;&gt;"ASTM A416"), L245, 0), 3)</f>
        <v/>
      </c>
      <c r="U245" s="20">
        <f>ROUND(U244 + IF(AND(E245=20, F245&lt;&gt;"ASTM A416"), L245, 0), 3)</f>
        <v/>
      </c>
      <c r="V245" s="20">
        <f>ROUND(V244 + IF(AND(E245=22, F245&lt;&gt;"ASTM A416"), L245, 0), 3)</f>
        <v/>
      </c>
      <c r="W245" s="20">
        <f>ROUND(W244 + IF(AND(E245=25, F245&lt;&gt;"ASTM A416"), L245, 0), 3)</f>
        <v/>
      </c>
      <c r="X245" s="20">
        <f>ROUND(X244 + IF(AND(E245=28, F245&lt;&gt;"ASTM A416"), L245, 0), 3)</f>
        <v/>
      </c>
      <c r="Y245" s="20">
        <f>ROUND(Y244 + IF(AND(E245=32, F245&lt;&gt;"ASTM A416"), L245, 0), 3)</f>
        <v/>
      </c>
      <c r="Z245" s="20">
        <f>ROUND(Z244 + IF(F245="ASTM A416", L245, 0), 3)</f>
        <v/>
      </c>
      <c r="AA245" s="11">
        <f>IF(INT(P245/20)&gt;INT(P244/20), "Lần " &amp; INT(P245/20), "")</f>
        <v/>
      </c>
      <c r="AB245" s="11">
        <f>IF(INT(Q245/20)&gt;INT(Q244/20), "Lần " &amp; INT(Q245/20), "")</f>
        <v/>
      </c>
      <c r="AC245" s="11">
        <f>IF(INT(R245/20)&gt;INT(R244/20), "Lần " &amp; INT(R245/20), "")</f>
        <v/>
      </c>
      <c r="AD245" s="11">
        <f>IF(INT(S245/20)&gt;INT(S244/20), "Lần " &amp; INT(S245/20), "")</f>
        <v/>
      </c>
      <c r="AE245" s="11">
        <f>IF(INT(T245/20)&gt;INT(T244/20), "Lần " &amp; INT(T245/20), "")</f>
        <v/>
      </c>
      <c r="AF245" s="11">
        <f>IF(INT(U245/20)&gt;INT(U244/20), "Lần " &amp; INT(U245/20), "")</f>
        <v/>
      </c>
      <c r="AG245" s="11">
        <f>IF(INT(V245/20)&gt;INT(V244/20), "Lần " &amp; INT(V245/20), "")</f>
        <v/>
      </c>
      <c r="AH245" s="11">
        <f>IF(INT(W245/20)&gt;INT(W244/20), "Lần " &amp; INT(W245/20), "")</f>
        <v/>
      </c>
      <c r="AI245" s="11">
        <f>IF(INT(X245/20)&gt;INT(X244/20), "Lần " &amp; INT(X245/20), "")</f>
        <v/>
      </c>
      <c r="AJ245" s="11">
        <f>IF(INT(Y245/20)&gt;INT(Y244/20), "Lần " &amp; INT(Y245/20), "")</f>
        <v/>
      </c>
      <c r="AK245" s="11">
        <f>IF(INT(Z245/20)&gt;INT(Z244/20), "Lần " &amp; INT(Z245/20), "")</f>
        <v/>
      </c>
      <c r="AL245" s="6" t="inlineStr">
        <is>
          <t>ĐẠT TCVN 1651:2018</t>
        </is>
      </c>
    </row>
    <row r="246" ht="19" customHeight="1">
      <c r="A246" s="6" t="n">
        <v>227</v>
      </c>
      <c r="B246" s="7" t="inlineStr">
        <is>
          <t>Cọc khoan nhồi C5 Trụ T2 (D1.2m, L=30.0m)</t>
        </is>
      </c>
      <c r="C246" s="7" t="inlineStr">
        <is>
          <t>Thép đai xoắn lồng cọc</t>
        </is>
      </c>
      <c r="D246" s="18" t="inlineStr">
        <is>
          <t>P1D</t>
        </is>
      </c>
      <c r="E246" s="19" t="n">
        <v>10</v>
      </c>
      <c r="F246" s="6" t="inlineStr">
        <is>
          <t>CB240-T</t>
        </is>
      </c>
      <c r="G246" s="7" t="inlineStr">
        <is>
          <t>Đai xoắn tròn</t>
        </is>
      </c>
      <c r="H246" s="20" t="n">
        <v>19.721</v>
      </c>
      <c r="I246" s="21" t="n">
        <v>1</v>
      </c>
      <c r="J246" s="22" t="n">
        <v>0.617</v>
      </c>
      <c r="K246" s="9">
        <f>ROUND(H246*I246*J246, 2)</f>
        <v/>
      </c>
      <c r="L246" s="23">
        <f>ROUND(K246/1000, 3)</f>
        <v/>
      </c>
      <c r="M246" s="8" t="n"/>
      <c r="N246" s="6" t="n"/>
      <c r="O246" s="24">
        <f>IF(AND(E246&lt;=10, F246&lt;&gt;"ASTM A416", INT(P246/20)&gt;INT(P245/20)), "TN Ø10 (Lần " &amp; INT(P246/20) &amp; ")", IF(AND(E246=12, INT(Q246/20)&gt;INT(Q245/20)), "TN Ø12 (Lần " &amp; INT(Q246/20) &amp; ")", IF(AND(E246=14, INT(R246/20)&gt;INT(R245/20)), "TN Ø14 (Lần " &amp; INT(R246/20) &amp; ")", IF(AND(E246=16, INT(S246/20)&gt;INT(S245/20)), "TN Ø16 (Lần " &amp; INT(S246/20) &amp; ")", IF(AND(E246=18, INT(T246/20)&gt;INT(T245/20)), "TN Ø18 (Lần " &amp; INT(T246/20) &amp; ")", IF(AND(E246=20, INT(U246/20)&gt;INT(U245/20)), "TN Ø20 (Lần " &amp; INT(U246/20) &amp; ")", IF(AND(E246=22, INT(V246/20)&gt;INT(V245/20)), "TN Ø22 (Lần " &amp; INT(V246/20) &amp; ")", IF(AND(E246=25, INT(W246/20)&gt;INT(W245/20)), "TN Ø25 (Lần " &amp; INT(W246/20) &amp; ")", IF(AND(E246=28, INT(X246/20)&gt;INT(X245/20)), "TN Ø28 (Lần " &amp; INT(X246/20) &amp; ")", IF(AND(E246=32, INT(Y246/20)&gt;INT(Y245/20)), "TN Ø32 (Lần " &amp; INT(Y246/20) &amp; ")", IF(AND(F246="ASTM A416", INT(Z246/20)&gt;INT(Z245/20)), "TN Cáp 15.2 (Lần " &amp; INT(Z246/20) &amp; ")", "")))))))))))</f>
        <v/>
      </c>
      <c r="P246" s="20">
        <f>ROUND(P245 + IF(AND(E246&lt;=10, F246&lt;&gt;"ASTM A416"), L246, 0), 3)</f>
        <v/>
      </c>
      <c r="Q246" s="20">
        <f>ROUND(Q245 + IF(AND(E246=12, F246&lt;&gt;"ASTM A416"), L246, 0), 3)</f>
        <v/>
      </c>
      <c r="R246" s="20">
        <f>ROUND(R245 + IF(AND(E246=14, F246&lt;&gt;"ASTM A416"), L246, 0), 3)</f>
        <v/>
      </c>
      <c r="S246" s="20">
        <f>ROUND(S245 + IF(AND(E246=16, F246&lt;&gt;"ASTM A416"), L246, 0), 3)</f>
        <v/>
      </c>
      <c r="T246" s="20">
        <f>ROUND(T245 + IF(AND(E246=18, F246&lt;&gt;"ASTM A416"), L246, 0), 3)</f>
        <v/>
      </c>
      <c r="U246" s="20">
        <f>ROUND(U245 + IF(AND(E246=20, F246&lt;&gt;"ASTM A416"), L246, 0), 3)</f>
        <v/>
      </c>
      <c r="V246" s="20">
        <f>ROUND(V245 + IF(AND(E246=22, F246&lt;&gt;"ASTM A416"), L246, 0), 3)</f>
        <v/>
      </c>
      <c r="W246" s="20">
        <f>ROUND(W245 + IF(AND(E246=25, F246&lt;&gt;"ASTM A416"), L246, 0), 3)</f>
        <v/>
      </c>
      <c r="X246" s="20">
        <f>ROUND(X245 + IF(AND(E246=28, F246&lt;&gt;"ASTM A416"), L246, 0), 3)</f>
        <v/>
      </c>
      <c r="Y246" s="20">
        <f>ROUND(Y245 + IF(AND(E246=32, F246&lt;&gt;"ASTM A416"), L246, 0), 3)</f>
        <v/>
      </c>
      <c r="Z246" s="20">
        <f>ROUND(Z245 + IF(F246="ASTM A416", L246, 0), 3)</f>
        <v/>
      </c>
      <c r="AA246" s="11">
        <f>IF(INT(P246/20)&gt;INT(P245/20), "Lần " &amp; INT(P246/20), "")</f>
        <v/>
      </c>
      <c r="AB246" s="11">
        <f>IF(INT(Q246/20)&gt;INT(Q245/20), "Lần " &amp; INT(Q246/20), "")</f>
        <v/>
      </c>
      <c r="AC246" s="11">
        <f>IF(INT(R246/20)&gt;INT(R245/20), "Lần " &amp; INT(R246/20), "")</f>
        <v/>
      </c>
      <c r="AD246" s="11">
        <f>IF(INT(S246/20)&gt;INT(S245/20), "Lần " &amp; INT(S246/20), "")</f>
        <v/>
      </c>
      <c r="AE246" s="11">
        <f>IF(INT(T246/20)&gt;INT(T245/20), "Lần " &amp; INT(T246/20), "")</f>
        <v/>
      </c>
      <c r="AF246" s="11">
        <f>IF(INT(U246/20)&gt;INT(U245/20), "Lần " &amp; INT(U246/20), "")</f>
        <v/>
      </c>
      <c r="AG246" s="11">
        <f>IF(INT(V246/20)&gt;INT(V245/20), "Lần " &amp; INT(V246/20), "")</f>
        <v/>
      </c>
      <c r="AH246" s="11">
        <f>IF(INT(W246/20)&gt;INT(W245/20), "Lần " &amp; INT(W246/20), "")</f>
        <v/>
      </c>
      <c r="AI246" s="11">
        <f>IF(INT(X246/20)&gt;INT(X245/20), "Lần " &amp; INT(X246/20), "")</f>
        <v/>
      </c>
      <c r="AJ246" s="11">
        <f>IF(INT(Y246/20)&gt;INT(Y245/20), "Lần " &amp; INT(Y246/20), "")</f>
        <v/>
      </c>
      <c r="AK246" s="11">
        <f>IF(INT(Z246/20)&gt;INT(Z245/20), "Lần " &amp; INT(Z246/20), "")</f>
        <v/>
      </c>
      <c r="AL246" s="6" t="inlineStr">
        <is>
          <t>ĐẠT TCVN 1651:2018</t>
        </is>
      </c>
    </row>
    <row r="247" ht="19" customHeight="1">
      <c r="A247" s="6" t="n">
        <v>228</v>
      </c>
      <c r="B247" s="7" t="inlineStr">
        <is>
          <t>Cọc khoan nhồi C5 Trụ T2 (D1.2m, L=30.0m)</t>
        </is>
      </c>
      <c r="C247" s="7" t="inlineStr">
        <is>
          <t>Cốt thép chủ chịu lực cọc</t>
        </is>
      </c>
      <c r="D247" s="18" t="inlineStr">
        <is>
          <t>P2B</t>
        </is>
      </c>
      <c r="E247" s="19" t="n">
        <v>25</v>
      </c>
      <c r="F247" s="6" t="inlineStr">
        <is>
          <t>CB400-V</t>
        </is>
      </c>
      <c r="G247" s="7" t="inlineStr">
        <is>
          <t>Thanh thẳng nối ren/hàn</t>
        </is>
      </c>
      <c r="H247" s="20" t="n">
        <v>2.985</v>
      </c>
      <c r="I247" s="21" t="n">
        <v>12</v>
      </c>
      <c r="J247" s="22" t="n">
        <v>3.85</v>
      </c>
      <c r="K247" s="9">
        <f>ROUND(H247*I247*J247, 2)</f>
        <v/>
      </c>
      <c r="L247" s="23">
        <f>ROUND(K247/1000, 3)</f>
        <v/>
      </c>
      <c r="M247" s="8" t="n"/>
      <c r="N247" s="6" t="n"/>
      <c r="O247" s="24">
        <f>IF(AND(E247&lt;=10, F247&lt;&gt;"ASTM A416", INT(P247/20)&gt;INT(P246/20)), "TN Ø10 (Lần " &amp; INT(P247/20) &amp; ")", IF(AND(E247=12, INT(Q247/20)&gt;INT(Q246/20)), "TN Ø12 (Lần " &amp; INT(Q247/20) &amp; ")", IF(AND(E247=14, INT(R247/20)&gt;INT(R246/20)), "TN Ø14 (Lần " &amp; INT(R247/20) &amp; ")", IF(AND(E247=16, INT(S247/20)&gt;INT(S246/20)), "TN Ø16 (Lần " &amp; INT(S247/20) &amp; ")", IF(AND(E247=18, INT(T247/20)&gt;INT(T246/20)), "TN Ø18 (Lần " &amp; INT(T247/20) &amp; ")", IF(AND(E247=20, INT(U247/20)&gt;INT(U246/20)), "TN Ø20 (Lần " &amp; INT(U247/20) &amp; ")", IF(AND(E247=22, INT(V247/20)&gt;INT(V246/20)), "TN Ø22 (Lần " &amp; INT(V247/20) &amp; ")", IF(AND(E247=25, INT(W247/20)&gt;INT(W246/20)), "TN Ø25 (Lần " &amp; INT(W247/20) &amp; ")", IF(AND(E247=28, INT(X247/20)&gt;INT(X246/20)), "TN Ø28 (Lần " &amp; INT(X247/20) &amp; ")", IF(AND(E247=32, INT(Y247/20)&gt;INT(Y246/20)), "TN Ø32 (Lần " &amp; INT(Y247/20) &amp; ")", IF(AND(F247="ASTM A416", INT(Z247/20)&gt;INT(Z246/20)), "TN Cáp 15.2 (Lần " &amp; INT(Z247/20) &amp; ")", "")))))))))))</f>
        <v/>
      </c>
      <c r="P247" s="20">
        <f>ROUND(P246 + IF(AND(E247&lt;=10, F247&lt;&gt;"ASTM A416"), L247, 0), 3)</f>
        <v/>
      </c>
      <c r="Q247" s="20">
        <f>ROUND(Q246 + IF(AND(E247=12, F247&lt;&gt;"ASTM A416"), L247, 0), 3)</f>
        <v/>
      </c>
      <c r="R247" s="20">
        <f>ROUND(R246 + IF(AND(E247=14, F247&lt;&gt;"ASTM A416"), L247, 0), 3)</f>
        <v/>
      </c>
      <c r="S247" s="20">
        <f>ROUND(S246 + IF(AND(E247=16, F247&lt;&gt;"ASTM A416"), L247, 0), 3)</f>
        <v/>
      </c>
      <c r="T247" s="20">
        <f>ROUND(T246 + IF(AND(E247=18, F247&lt;&gt;"ASTM A416"), L247, 0), 3)</f>
        <v/>
      </c>
      <c r="U247" s="20">
        <f>ROUND(U246 + IF(AND(E247=20, F247&lt;&gt;"ASTM A416"), L247, 0), 3)</f>
        <v/>
      </c>
      <c r="V247" s="20">
        <f>ROUND(V246 + IF(AND(E247=22, F247&lt;&gt;"ASTM A416"), L247, 0), 3)</f>
        <v/>
      </c>
      <c r="W247" s="20">
        <f>ROUND(W246 + IF(AND(E247=25, F247&lt;&gt;"ASTM A416"), L247, 0), 3)</f>
        <v/>
      </c>
      <c r="X247" s="20">
        <f>ROUND(X246 + IF(AND(E247=28, F247&lt;&gt;"ASTM A416"), L247, 0), 3)</f>
        <v/>
      </c>
      <c r="Y247" s="20">
        <f>ROUND(Y246 + IF(AND(E247=32, F247&lt;&gt;"ASTM A416"), L247, 0), 3)</f>
        <v/>
      </c>
      <c r="Z247" s="20">
        <f>ROUND(Z246 + IF(F247="ASTM A416", L247, 0), 3)</f>
        <v/>
      </c>
      <c r="AA247" s="11">
        <f>IF(INT(P247/20)&gt;INT(P246/20), "Lần " &amp; INT(P247/20), "")</f>
        <v/>
      </c>
      <c r="AB247" s="11">
        <f>IF(INT(Q247/20)&gt;INT(Q246/20), "Lần " &amp; INT(Q247/20), "")</f>
        <v/>
      </c>
      <c r="AC247" s="11">
        <f>IF(INT(R247/20)&gt;INT(R246/20), "Lần " &amp; INT(R247/20), "")</f>
        <v/>
      </c>
      <c r="AD247" s="11">
        <f>IF(INT(S247/20)&gt;INT(S246/20), "Lần " &amp; INT(S247/20), "")</f>
        <v/>
      </c>
      <c r="AE247" s="11">
        <f>IF(INT(T247/20)&gt;INT(T246/20), "Lần " &amp; INT(T247/20), "")</f>
        <v/>
      </c>
      <c r="AF247" s="11">
        <f>IF(INT(U247/20)&gt;INT(U246/20), "Lần " &amp; INT(U247/20), "")</f>
        <v/>
      </c>
      <c r="AG247" s="11">
        <f>IF(INT(V247/20)&gt;INT(V246/20), "Lần " &amp; INT(V247/20), "")</f>
        <v/>
      </c>
      <c r="AH247" s="11">
        <f>IF(INT(W247/20)&gt;INT(W246/20), "Lần " &amp; INT(W247/20), "")</f>
        <v/>
      </c>
      <c r="AI247" s="11">
        <f>IF(INT(X247/20)&gt;INT(X246/20), "Lần " &amp; INT(X247/20), "")</f>
        <v/>
      </c>
      <c r="AJ247" s="11">
        <f>IF(INT(Y247/20)&gt;INT(Y246/20), "Lần " &amp; INT(Y247/20), "")</f>
        <v/>
      </c>
      <c r="AK247" s="11">
        <f>IF(INT(Z247/20)&gt;INT(Z246/20), "Lần " &amp; INT(Z247/20), "")</f>
        <v/>
      </c>
      <c r="AL247" s="6" t="inlineStr">
        <is>
          <t>ĐẠT TCVN 1651:2018</t>
        </is>
      </c>
    </row>
    <row r="248" ht="19" customHeight="1">
      <c r="A248" s="6" t="n">
        <v>229</v>
      </c>
      <c r="B248" s="7" t="inlineStr">
        <is>
          <t>Cọc khoan nhồi C5 Trụ T2 (D1.2m, L=30.0m)</t>
        </is>
      </c>
      <c r="C248" s="7" t="inlineStr">
        <is>
          <t>Cốt thép chủ chịu lực cọc</t>
        </is>
      </c>
      <c r="D248" s="18" t="inlineStr">
        <is>
          <t>P3</t>
        </is>
      </c>
      <c r="E248" s="19" t="n">
        <v>25</v>
      </c>
      <c r="F248" s="6" t="inlineStr">
        <is>
          <t>CB400-V</t>
        </is>
      </c>
      <c r="G248" s="7" t="inlineStr">
        <is>
          <t>Thanh thẳng nối ren/hàn</t>
        </is>
      </c>
      <c r="H248" s="20" t="n">
        <v>10.7</v>
      </c>
      <c r="I248" s="21" t="n">
        <v>12</v>
      </c>
      <c r="J248" s="22" t="n">
        <v>3.85</v>
      </c>
      <c r="K248" s="9">
        <f>ROUND(H248*I248*J248, 2)</f>
        <v/>
      </c>
      <c r="L248" s="23">
        <f>ROUND(K248/1000, 3)</f>
        <v/>
      </c>
      <c r="M248" s="8" t="n"/>
      <c r="N248" s="6" t="n"/>
      <c r="O248" s="24">
        <f>IF(AND(E248&lt;=10, F248&lt;&gt;"ASTM A416", INT(P248/20)&gt;INT(P247/20)), "TN Ø10 (Lần " &amp; INT(P248/20) &amp; ")", IF(AND(E248=12, INT(Q248/20)&gt;INT(Q247/20)), "TN Ø12 (Lần " &amp; INT(Q248/20) &amp; ")", IF(AND(E248=14, INT(R248/20)&gt;INT(R247/20)), "TN Ø14 (Lần " &amp; INT(R248/20) &amp; ")", IF(AND(E248=16, INT(S248/20)&gt;INT(S247/20)), "TN Ø16 (Lần " &amp; INT(S248/20) &amp; ")", IF(AND(E248=18, INT(T248/20)&gt;INT(T247/20)), "TN Ø18 (Lần " &amp; INT(T248/20) &amp; ")", IF(AND(E248=20, INT(U248/20)&gt;INT(U247/20)), "TN Ø20 (Lần " &amp; INT(U248/20) &amp; ")", IF(AND(E248=22, INT(V248/20)&gt;INT(V247/20)), "TN Ø22 (Lần " &amp; INT(V248/20) &amp; ")", IF(AND(E248=25, INT(W248/20)&gt;INT(W247/20)), "TN Ø25 (Lần " &amp; INT(W248/20) &amp; ")", IF(AND(E248=28, INT(X248/20)&gt;INT(X247/20)), "TN Ø28 (Lần " &amp; INT(X248/20) &amp; ")", IF(AND(E248=32, INT(Y248/20)&gt;INT(Y247/20)), "TN Ø32 (Lần " &amp; INT(Y248/20) &amp; ")", IF(AND(F248="ASTM A416", INT(Z248/20)&gt;INT(Z247/20)), "TN Cáp 15.2 (Lần " &amp; INT(Z248/20) &amp; ")", "")))))))))))</f>
        <v/>
      </c>
      <c r="P248" s="20">
        <f>ROUND(P247 + IF(AND(E248&lt;=10, F248&lt;&gt;"ASTM A416"), L248, 0), 3)</f>
        <v/>
      </c>
      <c r="Q248" s="20">
        <f>ROUND(Q247 + IF(AND(E248=12, F248&lt;&gt;"ASTM A416"), L248, 0), 3)</f>
        <v/>
      </c>
      <c r="R248" s="20">
        <f>ROUND(R247 + IF(AND(E248=14, F248&lt;&gt;"ASTM A416"), L248, 0), 3)</f>
        <v/>
      </c>
      <c r="S248" s="20">
        <f>ROUND(S247 + IF(AND(E248=16, F248&lt;&gt;"ASTM A416"), L248, 0), 3)</f>
        <v/>
      </c>
      <c r="T248" s="20">
        <f>ROUND(T247 + IF(AND(E248=18, F248&lt;&gt;"ASTM A416"), L248, 0), 3)</f>
        <v/>
      </c>
      <c r="U248" s="20">
        <f>ROUND(U247 + IF(AND(E248=20, F248&lt;&gt;"ASTM A416"), L248, 0), 3)</f>
        <v/>
      </c>
      <c r="V248" s="20">
        <f>ROUND(V247 + IF(AND(E248=22, F248&lt;&gt;"ASTM A416"), L248, 0), 3)</f>
        <v/>
      </c>
      <c r="W248" s="20">
        <f>ROUND(W247 + IF(AND(E248=25, F248&lt;&gt;"ASTM A416"), L248, 0), 3)</f>
        <v/>
      </c>
      <c r="X248" s="20">
        <f>ROUND(X247 + IF(AND(E248=28, F248&lt;&gt;"ASTM A416"), L248, 0), 3)</f>
        <v/>
      </c>
      <c r="Y248" s="20">
        <f>ROUND(Y247 + IF(AND(E248=32, F248&lt;&gt;"ASTM A416"), L248, 0), 3)</f>
        <v/>
      </c>
      <c r="Z248" s="20">
        <f>ROUND(Z247 + IF(F248="ASTM A416", L248, 0), 3)</f>
        <v/>
      </c>
      <c r="AA248" s="11">
        <f>IF(INT(P248/20)&gt;INT(P247/20), "Lần " &amp; INT(P248/20), "")</f>
        <v/>
      </c>
      <c r="AB248" s="11">
        <f>IF(INT(Q248/20)&gt;INT(Q247/20), "Lần " &amp; INT(Q248/20), "")</f>
        <v/>
      </c>
      <c r="AC248" s="11">
        <f>IF(INT(R248/20)&gt;INT(R247/20), "Lần " &amp; INT(R248/20), "")</f>
        <v/>
      </c>
      <c r="AD248" s="11">
        <f>IF(INT(S248/20)&gt;INT(S247/20), "Lần " &amp; INT(S248/20), "")</f>
        <v/>
      </c>
      <c r="AE248" s="11">
        <f>IF(INT(T248/20)&gt;INT(T247/20), "Lần " &amp; INT(T248/20), "")</f>
        <v/>
      </c>
      <c r="AF248" s="11">
        <f>IF(INT(U248/20)&gt;INT(U247/20), "Lần " &amp; INT(U248/20), "")</f>
        <v/>
      </c>
      <c r="AG248" s="11">
        <f>IF(INT(V248/20)&gt;INT(V247/20), "Lần " &amp; INT(V248/20), "")</f>
        <v/>
      </c>
      <c r="AH248" s="11">
        <f>IF(INT(W248/20)&gt;INT(W247/20), "Lần " &amp; INT(W248/20), "")</f>
        <v/>
      </c>
      <c r="AI248" s="11">
        <f>IF(INT(X248/20)&gt;INT(X247/20), "Lần " &amp; INT(X248/20), "")</f>
        <v/>
      </c>
      <c r="AJ248" s="11">
        <f>IF(INT(Y248/20)&gt;INT(Y247/20), "Lần " &amp; INT(Y248/20), "")</f>
        <v/>
      </c>
      <c r="AK248" s="11">
        <f>IF(INT(Z248/20)&gt;INT(Z247/20), "Lần " &amp; INT(Z248/20), "")</f>
        <v/>
      </c>
      <c r="AL248" s="6" t="inlineStr">
        <is>
          <t>ĐẠT TCVN 1651:2018</t>
        </is>
      </c>
    </row>
    <row r="249" ht="19" customHeight="1">
      <c r="A249" s="6" t="n">
        <v>230</v>
      </c>
      <c r="B249" s="7" t="inlineStr">
        <is>
          <t>Cọc khoan nhồi C5 Trụ T2 (D1.2m, L=30.0m)</t>
        </is>
      </c>
      <c r="C249" s="7" t="inlineStr">
        <is>
          <t>Cốt thép chủ chịu lực cọc</t>
        </is>
      </c>
      <c r="D249" s="18" t="inlineStr">
        <is>
          <t>P4</t>
        </is>
      </c>
      <c r="E249" s="19" t="n">
        <v>25</v>
      </c>
      <c r="F249" s="6" t="inlineStr">
        <is>
          <t>CB400-V</t>
        </is>
      </c>
      <c r="G249" s="7" t="inlineStr">
        <is>
          <t>Thanh thẳng nối ren/hàn</t>
        </is>
      </c>
      <c r="H249" s="20" t="n">
        <v>11.7</v>
      </c>
      <c r="I249" s="21" t="n">
        <v>36</v>
      </c>
      <c r="J249" s="22" t="n">
        <v>3.85</v>
      </c>
      <c r="K249" s="9">
        <f>ROUND(H249*I249*J249, 2)</f>
        <v/>
      </c>
      <c r="L249" s="23">
        <f>ROUND(K249/1000, 3)</f>
        <v/>
      </c>
      <c r="M249" s="8" t="n"/>
      <c r="N249" s="6" t="n"/>
      <c r="O249" s="24">
        <f>IF(AND(E249&lt;=10, F249&lt;&gt;"ASTM A416", INT(P249/20)&gt;INT(P248/20)), "TN Ø10 (Lần " &amp; INT(P249/20) &amp; ")", IF(AND(E249=12, INT(Q249/20)&gt;INT(Q248/20)), "TN Ø12 (Lần " &amp; INT(Q249/20) &amp; ")", IF(AND(E249=14, INT(R249/20)&gt;INT(R248/20)), "TN Ø14 (Lần " &amp; INT(R249/20) &amp; ")", IF(AND(E249=16, INT(S249/20)&gt;INT(S248/20)), "TN Ø16 (Lần " &amp; INT(S249/20) &amp; ")", IF(AND(E249=18, INT(T249/20)&gt;INT(T248/20)), "TN Ø18 (Lần " &amp; INT(T249/20) &amp; ")", IF(AND(E249=20, INT(U249/20)&gt;INT(U248/20)), "TN Ø20 (Lần " &amp; INT(U249/20) &amp; ")", IF(AND(E249=22, INT(V249/20)&gt;INT(V248/20)), "TN Ø22 (Lần " &amp; INT(V249/20) &amp; ")", IF(AND(E249=25, INT(W249/20)&gt;INT(W248/20)), "TN Ø25 (Lần " &amp; INT(W249/20) &amp; ")", IF(AND(E249=28, INT(X249/20)&gt;INT(X248/20)), "TN Ø28 (Lần " &amp; INT(X249/20) &amp; ")", IF(AND(E249=32, INT(Y249/20)&gt;INT(Y248/20)), "TN Ø32 (Lần " &amp; INT(Y249/20) &amp; ")", IF(AND(F249="ASTM A416", INT(Z249/20)&gt;INT(Z248/20)), "TN Cáp 15.2 (Lần " &amp; INT(Z249/20) &amp; ")", "")))))))))))</f>
        <v/>
      </c>
      <c r="P249" s="20">
        <f>ROUND(P248 + IF(AND(E249&lt;=10, F249&lt;&gt;"ASTM A416"), L249, 0), 3)</f>
        <v/>
      </c>
      <c r="Q249" s="20">
        <f>ROUND(Q248 + IF(AND(E249=12, F249&lt;&gt;"ASTM A416"), L249, 0), 3)</f>
        <v/>
      </c>
      <c r="R249" s="20">
        <f>ROUND(R248 + IF(AND(E249=14, F249&lt;&gt;"ASTM A416"), L249, 0), 3)</f>
        <v/>
      </c>
      <c r="S249" s="20">
        <f>ROUND(S248 + IF(AND(E249=16, F249&lt;&gt;"ASTM A416"), L249, 0), 3)</f>
        <v/>
      </c>
      <c r="T249" s="20">
        <f>ROUND(T248 + IF(AND(E249=18, F249&lt;&gt;"ASTM A416"), L249, 0), 3)</f>
        <v/>
      </c>
      <c r="U249" s="20">
        <f>ROUND(U248 + IF(AND(E249=20, F249&lt;&gt;"ASTM A416"), L249, 0), 3)</f>
        <v/>
      </c>
      <c r="V249" s="20">
        <f>ROUND(V248 + IF(AND(E249=22, F249&lt;&gt;"ASTM A416"), L249, 0), 3)</f>
        <v/>
      </c>
      <c r="W249" s="20">
        <f>ROUND(W248 + IF(AND(E249=25, F249&lt;&gt;"ASTM A416"), L249, 0), 3)</f>
        <v/>
      </c>
      <c r="X249" s="20">
        <f>ROUND(X248 + IF(AND(E249=28, F249&lt;&gt;"ASTM A416"), L249, 0), 3)</f>
        <v/>
      </c>
      <c r="Y249" s="20">
        <f>ROUND(Y248 + IF(AND(E249=32, F249&lt;&gt;"ASTM A416"), L249, 0), 3)</f>
        <v/>
      </c>
      <c r="Z249" s="20">
        <f>ROUND(Z248 + IF(F249="ASTM A416", L249, 0), 3)</f>
        <v/>
      </c>
      <c r="AA249" s="11">
        <f>IF(INT(P249/20)&gt;INT(P248/20), "Lần " &amp; INT(P249/20), "")</f>
        <v/>
      </c>
      <c r="AB249" s="11">
        <f>IF(INT(Q249/20)&gt;INT(Q248/20), "Lần " &amp; INT(Q249/20), "")</f>
        <v/>
      </c>
      <c r="AC249" s="11">
        <f>IF(INT(R249/20)&gt;INT(R248/20), "Lần " &amp; INT(R249/20), "")</f>
        <v/>
      </c>
      <c r="AD249" s="11">
        <f>IF(INT(S249/20)&gt;INT(S248/20), "Lần " &amp; INT(S249/20), "")</f>
        <v/>
      </c>
      <c r="AE249" s="11">
        <f>IF(INT(T249/20)&gt;INT(T248/20), "Lần " &amp; INT(T249/20), "")</f>
        <v/>
      </c>
      <c r="AF249" s="11">
        <f>IF(INT(U249/20)&gt;INT(U248/20), "Lần " &amp; INT(U249/20), "")</f>
        <v/>
      </c>
      <c r="AG249" s="11">
        <f>IF(INT(V249/20)&gt;INT(V248/20), "Lần " &amp; INT(V249/20), "")</f>
        <v/>
      </c>
      <c r="AH249" s="11">
        <f>IF(INT(W249/20)&gt;INT(W248/20), "Lần " &amp; INT(W249/20), "")</f>
        <v/>
      </c>
      <c r="AI249" s="11">
        <f>IF(INT(X249/20)&gt;INT(X248/20), "Lần " &amp; INT(X249/20), "")</f>
        <v/>
      </c>
      <c r="AJ249" s="11">
        <f>IF(INT(Y249/20)&gt;INT(Y248/20), "Lần " &amp; INT(Y249/20), "")</f>
        <v/>
      </c>
      <c r="AK249" s="11">
        <f>IF(INT(Z249/20)&gt;INT(Z248/20), "Lần " &amp; INT(Z249/20), "")</f>
        <v/>
      </c>
      <c r="AL249" s="6" t="inlineStr">
        <is>
          <t>ĐẠT TCVN 1651:2018</t>
        </is>
      </c>
    </row>
    <row r="250" ht="19" customHeight="1">
      <c r="A250" s="6" t="n">
        <v>231</v>
      </c>
      <c r="B250" s="7" t="inlineStr">
        <is>
          <t>Cọc khoan nhồi C5 Trụ T2 (D1.2m, L=30.0m)</t>
        </is>
      </c>
      <c r="C250" s="7" t="inlineStr">
        <is>
          <t>Cốt thép chủ chịu lực cọc</t>
        </is>
      </c>
      <c r="D250" s="18" t="inlineStr">
        <is>
          <t>P6</t>
        </is>
      </c>
      <c r="E250" s="19" t="n">
        <v>25</v>
      </c>
      <c r="F250" s="6" t="inlineStr">
        <is>
          <t>CB400-V</t>
        </is>
      </c>
      <c r="G250" s="7" t="inlineStr">
        <is>
          <t>Thanh thẳng nối ren/hàn</t>
        </is>
      </c>
      <c r="H250" s="20" t="n">
        <v>9.733000000000001</v>
      </c>
      <c r="I250" s="21" t="n">
        <v>12</v>
      </c>
      <c r="J250" s="22" t="n">
        <v>3.85</v>
      </c>
      <c r="K250" s="9">
        <f>ROUND(H250*I250*J250, 2)</f>
        <v/>
      </c>
      <c r="L250" s="23">
        <f>ROUND(K250/1000, 3)</f>
        <v/>
      </c>
      <c r="M250" s="8" t="n"/>
      <c r="N250" s="6" t="n"/>
      <c r="O250" s="24">
        <f>IF(AND(E250&lt;=10, F250&lt;&gt;"ASTM A416", INT(P250/20)&gt;INT(P249/20)), "TN Ø10 (Lần " &amp; INT(P250/20) &amp; ")", IF(AND(E250=12, INT(Q250/20)&gt;INT(Q249/20)), "TN Ø12 (Lần " &amp; INT(Q250/20) &amp; ")", IF(AND(E250=14, INT(R250/20)&gt;INT(R249/20)), "TN Ø14 (Lần " &amp; INT(R250/20) &amp; ")", IF(AND(E250=16, INT(S250/20)&gt;INT(S249/20)), "TN Ø16 (Lần " &amp; INT(S250/20) &amp; ")", IF(AND(E250=18, INT(T250/20)&gt;INT(T249/20)), "TN Ø18 (Lần " &amp; INT(T250/20) &amp; ")", IF(AND(E250=20, INT(U250/20)&gt;INT(U249/20)), "TN Ø20 (Lần " &amp; INT(U250/20) &amp; ")", IF(AND(E250=22, INT(V250/20)&gt;INT(V249/20)), "TN Ø22 (Lần " &amp; INT(V250/20) &amp; ")", IF(AND(E250=25, INT(W250/20)&gt;INT(W249/20)), "TN Ø25 (Lần " &amp; INT(W250/20) &amp; ")", IF(AND(E250=28, INT(X250/20)&gt;INT(X249/20)), "TN Ø28 (Lần " &amp; INT(X250/20) &amp; ")", IF(AND(E250=32, INT(Y250/20)&gt;INT(Y249/20)), "TN Ø32 (Lần " &amp; INT(Y250/20) &amp; ")", IF(AND(F250="ASTM A416", INT(Z250/20)&gt;INT(Z249/20)), "TN Cáp 15.2 (Lần " &amp; INT(Z250/20) &amp; ")", "")))))))))))</f>
        <v/>
      </c>
      <c r="P250" s="20">
        <f>ROUND(P249 + IF(AND(E250&lt;=10, F250&lt;&gt;"ASTM A416"), L250, 0), 3)</f>
        <v/>
      </c>
      <c r="Q250" s="20">
        <f>ROUND(Q249 + IF(AND(E250=12, F250&lt;&gt;"ASTM A416"), L250, 0), 3)</f>
        <v/>
      </c>
      <c r="R250" s="20">
        <f>ROUND(R249 + IF(AND(E250=14, F250&lt;&gt;"ASTM A416"), L250, 0), 3)</f>
        <v/>
      </c>
      <c r="S250" s="20">
        <f>ROUND(S249 + IF(AND(E250=16, F250&lt;&gt;"ASTM A416"), L250, 0), 3)</f>
        <v/>
      </c>
      <c r="T250" s="20">
        <f>ROUND(T249 + IF(AND(E250=18, F250&lt;&gt;"ASTM A416"), L250, 0), 3)</f>
        <v/>
      </c>
      <c r="U250" s="20">
        <f>ROUND(U249 + IF(AND(E250=20, F250&lt;&gt;"ASTM A416"), L250, 0), 3)</f>
        <v/>
      </c>
      <c r="V250" s="20">
        <f>ROUND(V249 + IF(AND(E250=22, F250&lt;&gt;"ASTM A416"), L250, 0), 3)</f>
        <v/>
      </c>
      <c r="W250" s="20">
        <f>ROUND(W249 + IF(AND(E250=25, F250&lt;&gt;"ASTM A416"), L250, 0), 3)</f>
        <v/>
      </c>
      <c r="X250" s="20">
        <f>ROUND(X249 + IF(AND(E250=28, F250&lt;&gt;"ASTM A416"), L250, 0), 3)</f>
        <v/>
      </c>
      <c r="Y250" s="20">
        <f>ROUND(Y249 + IF(AND(E250=32, F250&lt;&gt;"ASTM A416"), L250, 0), 3)</f>
        <v/>
      </c>
      <c r="Z250" s="20">
        <f>ROUND(Z249 + IF(F250="ASTM A416", L250, 0), 3)</f>
        <v/>
      </c>
      <c r="AA250" s="11">
        <f>IF(INT(P250/20)&gt;INT(P249/20), "Lần " &amp; INT(P250/20), "")</f>
        <v/>
      </c>
      <c r="AB250" s="11">
        <f>IF(INT(Q250/20)&gt;INT(Q249/20), "Lần " &amp; INT(Q250/20), "")</f>
        <v/>
      </c>
      <c r="AC250" s="11">
        <f>IF(INT(R250/20)&gt;INT(R249/20), "Lần " &amp; INT(R250/20), "")</f>
        <v/>
      </c>
      <c r="AD250" s="11">
        <f>IF(INT(S250/20)&gt;INT(S249/20), "Lần " &amp; INT(S250/20), "")</f>
        <v/>
      </c>
      <c r="AE250" s="11">
        <f>IF(INT(T250/20)&gt;INT(T249/20), "Lần " &amp; INT(T250/20), "")</f>
        <v/>
      </c>
      <c r="AF250" s="11">
        <f>IF(INT(U250/20)&gt;INT(U249/20), "Lần " &amp; INT(U250/20), "")</f>
        <v/>
      </c>
      <c r="AG250" s="11">
        <f>IF(INT(V250/20)&gt;INT(V249/20), "Lần " &amp; INT(V250/20), "")</f>
        <v/>
      </c>
      <c r="AH250" s="11">
        <f>IF(INT(W250/20)&gt;INT(W249/20), "Lần " &amp; INT(W250/20), "")</f>
        <v/>
      </c>
      <c r="AI250" s="11">
        <f>IF(INT(X250/20)&gt;INT(X249/20), "Lần " &amp; INT(X250/20), "")</f>
        <v/>
      </c>
      <c r="AJ250" s="11">
        <f>IF(INT(Y250/20)&gt;INT(Y249/20), "Lần " &amp; INT(Y250/20), "")</f>
        <v/>
      </c>
      <c r="AK250" s="11">
        <f>IF(INT(Z250/20)&gt;INT(Z249/20), "Lần " &amp; INT(Z250/20), "")</f>
        <v/>
      </c>
      <c r="AL250" s="6" t="inlineStr">
        <is>
          <t>ĐẠT TCVN 1651:2018</t>
        </is>
      </c>
    </row>
    <row r="251" ht="19" customHeight="1">
      <c r="A251" s="6" t="n">
        <v>232</v>
      </c>
      <c r="B251" s="7" t="inlineStr">
        <is>
          <t>Cọc khoan nhồi C5 Trụ T2 (D1.2m, L=30.0m)</t>
        </is>
      </c>
      <c r="C251" s="7" t="inlineStr">
        <is>
          <t>Cốt thép chủ chịu lực cọc</t>
        </is>
      </c>
      <c r="D251" s="18" t="inlineStr">
        <is>
          <t>P7</t>
        </is>
      </c>
      <c r="E251" s="19" t="n">
        <v>25</v>
      </c>
      <c r="F251" s="6" t="inlineStr">
        <is>
          <t>CB400-V</t>
        </is>
      </c>
      <c r="G251" s="7" t="inlineStr">
        <is>
          <t>Thanh thẳng nối ren/hàn</t>
        </is>
      </c>
      <c r="H251" s="20" t="n">
        <v>10.733</v>
      </c>
      <c r="I251" s="21" t="n">
        <v>12</v>
      </c>
      <c r="J251" s="22" t="n">
        <v>3.85</v>
      </c>
      <c r="K251" s="9">
        <f>ROUND(H251*I251*J251, 2)</f>
        <v/>
      </c>
      <c r="L251" s="23">
        <f>ROUND(K251/1000, 3)</f>
        <v/>
      </c>
      <c r="M251" s="8" t="n"/>
      <c r="N251" s="6" t="n"/>
      <c r="O251" s="24">
        <f>IF(AND(E251&lt;=10, F251&lt;&gt;"ASTM A416", INT(P251/20)&gt;INT(P250/20)), "TN Ø10 (Lần " &amp; INT(P251/20) &amp; ")", IF(AND(E251=12, INT(Q251/20)&gt;INT(Q250/20)), "TN Ø12 (Lần " &amp; INT(Q251/20) &amp; ")", IF(AND(E251=14, INT(R251/20)&gt;INT(R250/20)), "TN Ø14 (Lần " &amp; INT(R251/20) &amp; ")", IF(AND(E251=16, INT(S251/20)&gt;INT(S250/20)), "TN Ø16 (Lần " &amp; INT(S251/20) &amp; ")", IF(AND(E251=18, INT(T251/20)&gt;INT(T250/20)), "TN Ø18 (Lần " &amp; INT(T251/20) &amp; ")", IF(AND(E251=20, INT(U251/20)&gt;INT(U250/20)), "TN Ø20 (Lần " &amp; INT(U251/20) &amp; ")", IF(AND(E251=22, INT(V251/20)&gt;INT(V250/20)), "TN Ø22 (Lần " &amp; INT(V251/20) &amp; ")", IF(AND(E251=25, INT(W251/20)&gt;INT(W250/20)), "TN Ø25 (Lần " &amp; INT(W251/20) &amp; ")", IF(AND(E251=28, INT(X251/20)&gt;INT(X250/20)), "TN Ø28 (Lần " &amp; INT(X251/20) &amp; ")", IF(AND(E251=32, INT(Y251/20)&gt;INT(Y250/20)), "TN Ø32 (Lần " &amp; INT(Y251/20) &amp; ")", IF(AND(F251="ASTM A416", INT(Z251/20)&gt;INT(Z250/20)), "TN Cáp 15.2 (Lần " &amp; INT(Z251/20) &amp; ")", "")))))))))))</f>
        <v/>
      </c>
      <c r="P251" s="20">
        <f>ROUND(P250 + IF(AND(E251&lt;=10, F251&lt;&gt;"ASTM A416"), L251, 0), 3)</f>
        <v/>
      </c>
      <c r="Q251" s="20">
        <f>ROUND(Q250 + IF(AND(E251=12, F251&lt;&gt;"ASTM A416"), L251, 0), 3)</f>
        <v/>
      </c>
      <c r="R251" s="20">
        <f>ROUND(R250 + IF(AND(E251=14, F251&lt;&gt;"ASTM A416"), L251, 0), 3)</f>
        <v/>
      </c>
      <c r="S251" s="20">
        <f>ROUND(S250 + IF(AND(E251=16, F251&lt;&gt;"ASTM A416"), L251, 0), 3)</f>
        <v/>
      </c>
      <c r="T251" s="20">
        <f>ROUND(T250 + IF(AND(E251=18, F251&lt;&gt;"ASTM A416"), L251, 0), 3)</f>
        <v/>
      </c>
      <c r="U251" s="20">
        <f>ROUND(U250 + IF(AND(E251=20, F251&lt;&gt;"ASTM A416"), L251, 0), 3)</f>
        <v/>
      </c>
      <c r="V251" s="20">
        <f>ROUND(V250 + IF(AND(E251=22, F251&lt;&gt;"ASTM A416"), L251, 0), 3)</f>
        <v/>
      </c>
      <c r="W251" s="20">
        <f>ROUND(W250 + IF(AND(E251=25, F251&lt;&gt;"ASTM A416"), L251, 0), 3)</f>
        <v/>
      </c>
      <c r="X251" s="20">
        <f>ROUND(X250 + IF(AND(E251=28, F251&lt;&gt;"ASTM A416"), L251, 0), 3)</f>
        <v/>
      </c>
      <c r="Y251" s="20">
        <f>ROUND(Y250 + IF(AND(E251=32, F251&lt;&gt;"ASTM A416"), L251, 0), 3)</f>
        <v/>
      </c>
      <c r="Z251" s="20">
        <f>ROUND(Z250 + IF(F251="ASTM A416", L251, 0), 3)</f>
        <v/>
      </c>
      <c r="AA251" s="11">
        <f>IF(INT(P251/20)&gt;INT(P250/20), "Lần " &amp; INT(P251/20), "")</f>
        <v/>
      </c>
      <c r="AB251" s="11">
        <f>IF(INT(Q251/20)&gt;INT(Q250/20), "Lần " &amp; INT(Q251/20), "")</f>
        <v/>
      </c>
      <c r="AC251" s="11">
        <f>IF(INT(R251/20)&gt;INT(R250/20), "Lần " &amp; INT(R251/20), "")</f>
        <v/>
      </c>
      <c r="AD251" s="11">
        <f>IF(INT(S251/20)&gt;INT(S250/20), "Lần " &amp; INT(S251/20), "")</f>
        <v/>
      </c>
      <c r="AE251" s="11">
        <f>IF(INT(T251/20)&gt;INT(T250/20), "Lần " &amp; INT(T251/20), "")</f>
        <v/>
      </c>
      <c r="AF251" s="11">
        <f>IF(INT(U251/20)&gt;INT(U250/20), "Lần " &amp; INT(U251/20), "")</f>
        <v/>
      </c>
      <c r="AG251" s="11">
        <f>IF(INT(V251/20)&gt;INT(V250/20), "Lần " &amp; INT(V251/20), "")</f>
        <v/>
      </c>
      <c r="AH251" s="11">
        <f>IF(INT(W251/20)&gt;INT(W250/20), "Lần " &amp; INT(W251/20), "")</f>
        <v/>
      </c>
      <c r="AI251" s="11">
        <f>IF(INT(X251/20)&gt;INT(X250/20), "Lần " &amp; INT(X251/20), "")</f>
        <v/>
      </c>
      <c r="AJ251" s="11">
        <f>IF(INT(Y251/20)&gt;INT(Y250/20), "Lần " &amp; INT(Y251/20), "")</f>
        <v/>
      </c>
      <c r="AK251" s="11">
        <f>IF(INT(Z251/20)&gt;INT(Z250/20), "Lần " &amp; INT(Z251/20), "")</f>
        <v/>
      </c>
      <c r="AL251" s="6" t="inlineStr">
        <is>
          <t>ĐẠT TCVN 1651:2018</t>
        </is>
      </c>
    </row>
    <row r="252" ht="19" customHeight="1">
      <c r="A252" s="6" t="n">
        <v>233</v>
      </c>
      <c r="B252" s="7" t="inlineStr">
        <is>
          <t>Cọc khoan nhồi C5 Trụ T2 (D1.2m, L=30.0m)</t>
        </is>
      </c>
      <c r="C252" s="7" t="inlineStr">
        <is>
          <t>Đai tăng cường / Con kê bảo vệ</t>
        </is>
      </c>
      <c r="D252" s="18" t="inlineStr">
        <is>
          <t>P8</t>
        </is>
      </c>
      <c r="E252" s="19" t="n">
        <v>12</v>
      </c>
      <c r="F252" s="6" t="inlineStr">
        <is>
          <t>CB400-V</t>
        </is>
      </c>
      <c r="G252" s="7" t="inlineStr">
        <is>
          <t>Móc neo / Vòng đai</t>
        </is>
      </c>
      <c r="H252" s="20" t="n">
        <v>0.647</v>
      </c>
      <c r="I252" s="21" t="n">
        <v>12</v>
      </c>
      <c r="J252" s="22" t="n">
        <v>0.888</v>
      </c>
      <c r="K252" s="9">
        <f>ROUND(H252*I252*J252, 2)</f>
        <v/>
      </c>
      <c r="L252" s="23">
        <f>ROUND(K252/1000, 3)</f>
        <v/>
      </c>
      <c r="M252" s="8" t="n"/>
      <c r="N252" s="6" t="n"/>
      <c r="O252" s="24">
        <f>IF(AND(E252&lt;=10, F252&lt;&gt;"ASTM A416", INT(P252/20)&gt;INT(P251/20)), "TN Ø10 (Lần " &amp; INT(P252/20) &amp; ")", IF(AND(E252=12, INT(Q252/20)&gt;INT(Q251/20)), "TN Ø12 (Lần " &amp; INT(Q252/20) &amp; ")", IF(AND(E252=14, INT(R252/20)&gt;INT(R251/20)), "TN Ø14 (Lần " &amp; INT(R252/20) &amp; ")", IF(AND(E252=16, INT(S252/20)&gt;INT(S251/20)), "TN Ø16 (Lần " &amp; INT(S252/20) &amp; ")", IF(AND(E252=18, INT(T252/20)&gt;INT(T251/20)), "TN Ø18 (Lần " &amp; INT(T252/20) &amp; ")", IF(AND(E252=20, INT(U252/20)&gt;INT(U251/20)), "TN Ø20 (Lần " &amp; INT(U252/20) &amp; ")", IF(AND(E252=22, INT(V252/20)&gt;INT(V251/20)), "TN Ø22 (Lần " &amp; INT(V252/20) &amp; ")", IF(AND(E252=25, INT(W252/20)&gt;INT(W251/20)), "TN Ø25 (Lần " &amp; INT(W252/20) &amp; ")", IF(AND(E252=28, INT(X252/20)&gt;INT(X251/20)), "TN Ø28 (Lần " &amp; INT(X252/20) &amp; ")", IF(AND(E252=32, INT(Y252/20)&gt;INT(Y251/20)), "TN Ø32 (Lần " &amp; INT(Y252/20) &amp; ")", IF(AND(F252="ASTM A416", INT(Z252/20)&gt;INT(Z251/20)), "TN Cáp 15.2 (Lần " &amp; INT(Z252/20) &amp; ")", "")))))))))))</f>
        <v/>
      </c>
      <c r="P252" s="20">
        <f>ROUND(P251 + IF(AND(E252&lt;=10, F252&lt;&gt;"ASTM A416"), L252, 0), 3)</f>
        <v/>
      </c>
      <c r="Q252" s="20">
        <f>ROUND(Q251 + IF(AND(E252=12, F252&lt;&gt;"ASTM A416"), L252, 0), 3)</f>
        <v/>
      </c>
      <c r="R252" s="20">
        <f>ROUND(R251 + IF(AND(E252=14, F252&lt;&gt;"ASTM A416"), L252, 0), 3)</f>
        <v/>
      </c>
      <c r="S252" s="20">
        <f>ROUND(S251 + IF(AND(E252=16, F252&lt;&gt;"ASTM A416"), L252, 0), 3)</f>
        <v/>
      </c>
      <c r="T252" s="20">
        <f>ROUND(T251 + IF(AND(E252=18, F252&lt;&gt;"ASTM A416"), L252, 0), 3)</f>
        <v/>
      </c>
      <c r="U252" s="20">
        <f>ROUND(U251 + IF(AND(E252=20, F252&lt;&gt;"ASTM A416"), L252, 0), 3)</f>
        <v/>
      </c>
      <c r="V252" s="20">
        <f>ROUND(V251 + IF(AND(E252=22, F252&lt;&gt;"ASTM A416"), L252, 0), 3)</f>
        <v/>
      </c>
      <c r="W252" s="20">
        <f>ROUND(W251 + IF(AND(E252=25, F252&lt;&gt;"ASTM A416"), L252, 0), 3)</f>
        <v/>
      </c>
      <c r="X252" s="20">
        <f>ROUND(X251 + IF(AND(E252=28, F252&lt;&gt;"ASTM A416"), L252, 0), 3)</f>
        <v/>
      </c>
      <c r="Y252" s="20">
        <f>ROUND(Y251 + IF(AND(E252=32, F252&lt;&gt;"ASTM A416"), L252, 0), 3)</f>
        <v/>
      </c>
      <c r="Z252" s="20">
        <f>ROUND(Z251 + IF(F252="ASTM A416", L252, 0), 3)</f>
        <v/>
      </c>
      <c r="AA252" s="11">
        <f>IF(INT(P252/20)&gt;INT(P251/20), "Lần " &amp; INT(P252/20), "")</f>
        <v/>
      </c>
      <c r="AB252" s="11">
        <f>IF(INT(Q252/20)&gt;INT(Q251/20), "Lần " &amp; INT(Q252/20), "")</f>
        <v/>
      </c>
      <c r="AC252" s="11">
        <f>IF(INT(R252/20)&gt;INT(R251/20), "Lần " &amp; INT(R252/20), "")</f>
        <v/>
      </c>
      <c r="AD252" s="11">
        <f>IF(INT(S252/20)&gt;INT(S251/20), "Lần " &amp; INT(S252/20), "")</f>
        <v/>
      </c>
      <c r="AE252" s="11">
        <f>IF(INT(T252/20)&gt;INT(T251/20), "Lần " &amp; INT(T252/20), "")</f>
        <v/>
      </c>
      <c r="AF252" s="11">
        <f>IF(INT(U252/20)&gt;INT(U251/20), "Lần " &amp; INT(U252/20), "")</f>
        <v/>
      </c>
      <c r="AG252" s="11">
        <f>IF(INT(V252/20)&gt;INT(V251/20), "Lần " &amp; INT(V252/20), "")</f>
        <v/>
      </c>
      <c r="AH252" s="11">
        <f>IF(INT(W252/20)&gt;INT(W251/20), "Lần " &amp; INT(W252/20), "")</f>
        <v/>
      </c>
      <c r="AI252" s="11">
        <f>IF(INT(X252/20)&gt;INT(X251/20), "Lần " &amp; INT(X252/20), "")</f>
        <v/>
      </c>
      <c r="AJ252" s="11">
        <f>IF(INT(Y252/20)&gt;INT(Y251/20), "Lần " &amp; INT(Y252/20), "")</f>
        <v/>
      </c>
      <c r="AK252" s="11">
        <f>IF(INT(Z252/20)&gt;INT(Z251/20), "Lần " &amp; INT(Z252/20), "")</f>
        <v/>
      </c>
      <c r="AL252" s="6" t="inlineStr">
        <is>
          <t>ĐẠT TCVN 1651:2018</t>
        </is>
      </c>
    </row>
    <row r="253" ht="19" customHeight="1">
      <c r="A253" s="6" t="n">
        <v>234</v>
      </c>
      <c r="B253" s="7" t="inlineStr">
        <is>
          <t>Cọc khoan nhồi C5 Trụ T2 (D1.2m, L=30.0m)</t>
        </is>
      </c>
      <c r="C253" s="7" t="inlineStr">
        <is>
          <t>Đai tăng cường / Con kê bảo vệ</t>
        </is>
      </c>
      <c r="D253" s="18" t="inlineStr">
        <is>
          <t>P9</t>
        </is>
      </c>
      <c r="E253" s="19" t="n">
        <v>12</v>
      </c>
      <c r="F253" s="6" t="inlineStr">
        <is>
          <t>CB400-V</t>
        </is>
      </c>
      <c r="G253" s="7" t="inlineStr">
        <is>
          <t>Móc neo / Vòng đai</t>
        </is>
      </c>
      <c r="H253" s="20" t="n">
        <v>0.379</v>
      </c>
      <c r="I253" s="21" t="n">
        <v>36</v>
      </c>
      <c r="J253" s="22" t="n">
        <v>0.888</v>
      </c>
      <c r="K253" s="9">
        <f>ROUND(H253*I253*J253, 2)</f>
        <v/>
      </c>
      <c r="L253" s="23">
        <f>ROUND(K253/1000, 3)</f>
        <v/>
      </c>
      <c r="M253" s="8" t="n"/>
      <c r="N253" s="6" t="n"/>
      <c r="O253" s="24">
        <f>IF(AND(E253&lt;=10, F253&lt;&gt;"ASTM A416", INT(P253/20)&gt;INT(P252/20)), "TN Ø10 (Lần " &amp; INT(P253/20) &amp; ")", IF(AND(E253=12, INT(Q253/20)&gt;INT(Q252/20)), "TN Ø12 (Lần " &amp; INT(Q253/20) &amp; ")", IF(AND(E253=14, INT(R253/20)&gt;INT(R252/20)), "TN Ø14 (Lần " &amp; INT(R253/20) &amp; ")", IF(AND(E253=16, INT(S253/20)&gt;INT(S252/20)), "TN Ø16 (Lần " &amp; INT(S253/20) &amp; ")", IF(AND(E253=18, INT(T253/20)&gt;INT(T252/20)), "TN Ø18 (Lần " &amp; INT(T253/20) &amp; ")", IF(AND(E253=20, INT(U253/20)&gt;INT(U252/20)), "TN Ø20 (Lần " &amp; INT(U253/20) &amp; ")", IF(AND(E253=22, INT(V253/20)&gt;INT(V252/20)), "TN Ø22 (Lần " &amp; INT(V253/20) &amp; ")", IF(AND(E253=25, INT(W253/20)&gt;INT(W252/20)), "TN Ø25 (Lần " &amp; INT(W253/20) &amp; ")", IF(AND(E253=28, INT(X253/20)&gt;INT(X252/20)), "TN Ø28 (Lần " &amp; INT(X253/20) &amp; ")", IF(AND(E253=32, INT(Y253/20)&gt;INT(Y252/20)), "TN Ø32 (Lần " &amp; INT(Y253/20) &amp; ")", IF(AND(F253="ASTM A416", INT(Z253/20)&gt;INT(Z252/20)), "TN Cáp 15.2 (Lần " &amp; INT(Z253/20) &amp; ")", "")))))))))))</f>
        <v/>
      </c>
      <c r="P253" s="20">
        <f>ROUND(P252 + IF(AND(E253&lt;=10, F253&lt;&gt;"ASTM A416"), L253, 0), 3)</f>
        <v/>
      </c>
      <c r="Q253" s="20">
        <f>ROUND(Q252 + IF(AND(E253=12, F253&lt;&gt;"ASTM A416"), L253, 0), 3)</f>
        <v/>
      </c>
      <c r="R253" s="20">
        <f>ROUND(R252 + IF(AND(E253=14, F253&lt;&gt;"ASTM A416"), L253, 0), 3)</f>
        <v/>
      </c>
      <c r="S253" s="20">
        <f>ROUND(S252 + IF(AND(E253=16, F253&lt;&gt;"ASTM A416"), L253, 0), 3)</f>
        <v/>
      </c>
      <c r="T253" s="20">
        <f>ROUND(T252 + IF(AND(E253=18, F253&lt;&gt;"ASTM A416"), L253, 0), 3)</f>
        <v/>
      </c>
      <c r="U253" s="20">
        <f>ROUND(U252 + IF(AND(E253=20, F253&lt;&gt;"ASTM A416"), L253, 0), 3)</f>
        <v/>
      </c>
      <c r="V253" s="20">
        <f>ROUND(V252 + IF(AND(E253=22, F253&lt;&gt;"ASTM A416"), L253, 0), 3)</f>
        <v/>
      </c>
      <c r="W253" s="20">
        <f>ROUND(W252 + IF(AND(E253=25, F253&lt;&gt;"ASTM A416"), L253, 0), 3)</f>
        <v/>
      </c>
      <c r="X253" s="20">
        <f>ROUND(X252 + IF(AND(E253=28, F253&lt;&gt;"ASTM A416"), L253, 0), 3)</f>
        <v/>
      </c>
      <c r="Y253" s="20">
        <f>ROUND(Y252 + IF(AND(E253=32, F253&lt;&gt;"ASTM A416"), L253, 0), 3)</f>
        <v/>
      </c>
      <c r="Z253" s="20">
        <f>ROUND(Z252 + IF(F253="ASTM A416", L253, 0), 3)</f>
        <v/>
      </c>
      <c r="AA253" s="11">
        <f>IF(INT(P253/20)&gt;INT(P252/20), "Lần " &amp; INT(P253/20), "")</f>
        <v/>
      </c>
      <c r="AB253" s="11">
        <f>IF(INT(Q253/20)&gt;INT(Q252/20), "Lần " &amp; INT(Q253/20), "")</f>
        <v/>
      </c>
      <c r="AC253" s="11">
        <f>IF(INT(R253/20)&gt;INT(R252/20), "Lần " &amp; INT(R253/20), "")</f>
        <v/>
      </c>
      <c r="AD253" s="11">
        <f>IF(INT(S253/20)&gt;INT(S252/20), "Lần " &amp; INT(S253/20), "")</f>
        <v/>
      </c>
      <c r="AE253" s="11">
        <f>IF(INT(T253/20)&gt;INT(T252/20), "Lần " &amp; INT(T253/20), "")</f>
        <v/>
      </c>
      <c r="AF253" s="11">
        <f>IF(INT(U253/20)&gt;INT(U252/20), "Lần " &amp; INT(U253/20), "")</f>
        <v/>
      </c>
      <c r="AG253" s="11">
        <f>IF(INT(V253/20)&gt;INT(V252/20), "Lần " &amp; INT(V253/20), "")</f>
        <v/>
      </c>
      <c r="AH253" s="11">
        <f>IF(INT(W253/20)&gt;INT(W252/20), "Lần " &amp; INT(W253/20), "")</f>
        <v/>
      </c>
      <c r="AI253" s="11">
        <f>IF(INT(X253/20)&gt;INT(X252/20), "Lần " &amp; INT(X253/20), "")</f>
        <v/>
      </c>
      <c r="AJ253" s="11">
        <f>IF(INT(Y253/20)&gt;INT(Y252/20), "Lần " &amp; INT(Y253/20), "")</f>
        <v/>
      </c>
      <c r="AK253" s="11">
        <f>IF(INT(Z253/20)&gt;INT(Z252/20), "Lần " &amp; INT(Z253/20), "")</f>
        <v/>
      </c>
      <c r="AL253" s="6" t="inlineStr">
        <is>
          <t>ĐẠT TCVN 1651:2018</t>
        </is>
      </c>
    </row>
    <row r="254" ht="19" customHeight="1">
      <c r="A254" s="6" t="n">
        <v>235</v>
      </c>
      <c r="B254" s="7" t="inlineStr">
        <is>
          <t>Cọc khoan nhồi C5 Trụ T2 (D1.2m, L=30.0m)</t>
        </is>
      </c>
      <c r="C254" s="7" t="inlineStr">
        <is>
          <t>Thép đai xoắn lồng cọc</t>
        </is>
      </c>
      <c r="D254" s="18" t="inlineStr">
        <is>
          <t>P10</t>
        </is>
      </c>
      <c r="E254" s="19" t="n">
        <v>20</v>
      </c>
      <c r="F254" s="6" t="inlineStr">
        <is>
          <t>CB400-V</t>
        </is>
      </c>
      <c r="G254" s="7" t="inlineStr">
        <is>
          <t>Đai xoắn tròn</t>
        </is>
      </c>
      <c r="H254" s="20" t="n">
        <v>2.057</v>
      </c>
      <c r="I254" s="21" t="n">
        <v>1</v>
      </c>
      <c r="J254" s="22" t="n">
        <v>2.47</v>
      </c>
      <c r="K254" s="9">
        <f>ROUND(H254*I254*J254, 2)</f>
        <v/>
      </c>
      <c r="L254" s="23">
        <f>ROUND(K254/1000, 3)</f>
        <v/>
      </c>
      <c r="M254" s="8" t="n"/>
      <c r="N254" s="6" t="n"/>
      <c r="O254" s="24">
        <f>IF(AND(E254&lt;=10, F254&lt;&gt;"ASTM A416", INT(P254/20)&gt;INT(P253/20)), "TN Ø10 (Lần " &amp; INT(P254/20) &amp; ")", IF(AND(E254=12, INT(Q254/20)&gt;INT(Q253/20)), "TN Ø12 (Lần " &amp; INT(Q254/20) &amp; ")", IF(AND(E254=14, INT(R254/20)&gt;INT(R253/20)), "TN Ø14 (Lần " &amp; INT(R254/20) &amp; ")", IF(AND(E254=16, INT(S254/20)&gt;INT(S253/20)), "TN Ø16 (Lần " &amp; INT(S254/20) &amp; ")", IF(AND(E254=18, INT(T254/20)&gt;INT(T253/20)), "TN Ø18 (Lần " &amp; INT(T254/20) &amp; ")", IF(AND(E254=20, INT(U254/20)&gt;INT(U253/20)), "TN Ø20 (Lần " &amp; INT(U254/20) &amp; ")", IF(AND(E254=22, INT(V254/20)&gt;INT(V253/20)), "TN Ø22 (Lần " &amp; INT(V254/20) &amp; ")", IF(AND(E254=25, INT(W254/20)&gt;INT(W253/20)), "TN Ø25 (Lần " &amp; INT(W254/20) &amp; ")", IF(AND(E254=28, INT(X254/20)&gt;INT(X253/20)), "TN Ø28 (Lần " &amp; INT(X254/20) &amp; ")", IF(AND(E254=32, INT(Y254/20)&gt;INT(Y253/20)), "TN Ø32 (Lần " &amp; INT(Y254/20) &amp; ")", IF(AND(F254="ASTM A416", INT(Z254/20)&gt;INT(Z253/20)), "TN Cáp 15.2 (Lần " &amp; INT(Z254/20) &amp; ")", "")))))))))))</f>
        <v/>
      </c>
      <c r="P254" s="20">
        <f>ROUND(P253 + IF(AND(E254&lt;=10, F254&lt;&gt;"ASTM A416"), L254, 0), 3)</f>
        <v/>
      </c>
      <c r="Q254" s="20">
        <f>ROUND(Q253 + IF(AND(E254=12, F254&lt;&gt;"ASTM A416"), L254, 0), 3)</f>
        <v/>
      </c>
      <c r="R254" s="20">
        <f>ROUND(R253 + IF(AND(E254=14, F254&lt;&gt;"ASTM A416"), L254, 0), 3)</f>
        <v/>
      </c>
      <c r="S254" s="20">
        <f>ROUND(S253 + IF(AND(E254=16, F254&lt;&gt;"ASTM A416"), L254, 0), 3)</f>
        <v/>
      </c>
      <c r="T254" s="20">
        <f>ROUND(T253 + IF(AND(E254=18, F254&lt;&gt;"ASTM A416"), L254, 0), 3)</f>
        <v/>
      </c>
      <c r="U254" s="20">
        <f>ROUND(U253 + IF(AND(E254=20, F254&lt;&gt;"ASTM A416"), L254, 0), 3)</f>
        <v/>
      </c>
      <c r="V254" s="20">
        <f>ROUND(V253 + IF(AND(E254=22, F254&lt;&gt;"ASTM A416"), L254, 0), 3)</f>
        <v/>
      </c>
      <c r="W254" s="20">
        <f>ROUND(W253 + IF(AND(E254=25, F254&lt;&gt;"ASTM A416"), L254, 0), 3)</f>
        <v/>
      </c>
      <c r="X254" s="20">
        <f>ROUND(X253 + IF(AND(E254=28, F254&lt;&gt;"ASTM A416"), L254, 0), 3)</f>
        <v/>
      </c>
      <c r="Y254" s="20">
        <f>ROUND(Y253 + IF(AND(E254=32, F254&lt;&gt;"ASTM A416"), L254, 0), 3)</f>
        <v/>
      </c>
      <c r="Z254" s="20">
        <f>ROUND(Z253 + IF(F254="ASTM A416", L254, 0), 3)</f>
        <v/>
      </c>
      <c r="AA254" s="11">
        <f>IF(INT(P254/20)&gt;INT(P253/20), "Lần " &amp; INT(P254/20), "")</f>
        <v/>
      </c>
      <c r="AB254" s="11">
        <f>IF(INT(Q254/20)&gt;INT(Q253/20), "Lần " &amp; INT(Q254/20), "")</f>
        <v/>
      </c>
      <c r="AC254" s="11">
        <f>IF(INT(R254/20)&gt;INT(R253/20), "Lần " &amp; INT(R254/20), "")</f>
        <v/>
      </c>
      <c r="AD254" s="11">
        <f>IF(INT(S254/20)&gt;INT(S253/20), "Lần " &amp; INT(S254/20), "")</f>
        <v/>
      </c>
      <c r="AE254" s="11">
        <f>IF(INT(T254/20)&gt;INT(T253/20), "Lần " &amp; INT(T254/20), "")</f>
        <v/>
      </c>
      <c r="AF254" s="11">
        <f>IF(INT(U254/20)&gt;INT(U253/20), "Lần " &amp; INT(U254/20), "")</f>
        <v/>
      </c>
      <c r="AG254" s="11">
        <f>IF(INT(V254/20)&gt;INT(V253/20), "Lần " &amp; INT(V254/20), "")</f>
        <v/>
      </c>
      <c r="AH254" s="11">
        <f>IF(INT(W254/20)&gt;INT(W253/20), "Lần " &amp; INT(W254/20), "")</f>
        <v/>
      </c>
      <c r="AI254" s="11">
        <f>IF(INT(X254/20)&gt;INT(X253/20), "Lần " &amp; INT(X254/20), "")</f>
        <v/>
      </c>
      <c r="AJ254" s="11">
        <f>IF(INT(Y254/20)&gt;INT(Y253/20), "Lần " &amp; INT(Y254/20), "")</f>
        <v/>
      </c>
      <c r="AK254" s="11">
        <f>IF(INT(Z254/20)&gt;INT(Z253/20), "Lần " &amp; INT(Z254/20), "")</f>
        <v/>
      </c>
      <c r="AL254" s="6" t="inlineStr">
        <is>
          <t>ĐẠT TCVN 1651:2018</t>
        </is>
      </c>
    </row>
    <row r="255" ht="19" customHeight="1">
      <c r="A255" s="6" t="n">
        <v>236</v>
      </c>
      <c r="B255" s="7" t="inlineStr">
        <is>
          <t>Cọc khoan nhồi C5 Trụ T2 (D1.2m, L=30.0m)</t>
        </is>
      </c>
      <c r="C255" s="7" t="inlineStr">
        <is>
          <t>Thanh thép treo lồng cọc</t>
        </is>
      </c>
      <c r="D255" s="18" t="inlineStr">
        <is>
          <t>P11</t>
        </is>
      </c>
      <c r="E255" s="19" t="n">
        <v>16</v>
      </c>
      <c r="F255" s="6" t="inlineStr">
        <is>
          <t>CB400-V</t>
        </is>
      </c>
      <c r="G255" s="7" t="inlineStr">
        <is>
          <t>Thanh treo lồng (bảng phụ tr.70)</t>
        </is>
      </c>
      <c r="H255" s="20" t="n">
        <v>2.604</v>
      </c>
      <c r="I255" s="21" t="n">
        <v>4</v>
      </c>
      <c r="J255" s="22" t="n">
        <v>1.58</v>
      </c>
      <c r="K255" s="9">
        <f>ROUND(H255*I255*J255, 2)</f>
        <v/>
      </c>
      <c r="L255" s="23">
        <f>ROUND(K255/1000, 3)</f>
        <v/>
      </c>
      <c r="M255" s="8" t="n"/>
      <c r="N255" s="6" t="n"/>
      <c r="O255" s="24">
        <f>IF(AND(E255&lt;=10, F255&lt;&gt;"ASTM A416", INT(P255/20)&gt;INT(P254/20)), "TN Ø10 (Lần " &amp; INT(P255/20) &amp; ")", IF(AND(E255=12, INT(Q255/20)&gt;INT(Q254/20)), "TN Ø12 (Lần " &amp; INT(Q255/20) &amp; ")", IF(AND(E255=14, INT(R255/20)&gt;INT(R254/20)), "TN Ø14 (Lần " &amp; INT(R255/20) &amp; ")", IF(AND(E255=16, INT(S255/20)&gt;INT(S254/20)), "TN Ø16 (Lần " &amp; INT(S255/20) &amp; ")", IF(AND(E255=18, INT(T255/20)&gt;INT(T254/20)), "TN Ø18 (Lần " &amp; INT(T255/20) &amp; ")", IF(AND(E255=20, INT(U255/20)&gt;INT(U254/20)), "TN Ø20 (Lần " &amp; INT(U255/20) &amp; ")", IF(AND(E255=22, INT(V255/20)&gt;INT(V254/20)), "TN Ø22 (Lần " &amp; INT(V255/20) &amp; ")", IF(AND(E255=25, INT(W255/20)&gt;INT(W254/20)), "TN Ø25 (Lần " &amp; INT(W255/20) &amp; ")", IF(AND(E255=28, INT(X255/20)&gt;INT(X254/20)), "TN Ø28 (Lần " &amp; INT(X255/20) &amp; ")", IF(AND(E255=32, INT(Y255/20)&gt;INT(Y254/20)), "TN Ø32 (Lần " &amp; INT(Y255/20) &amp; ")", IF(AND(F255="ASTM A416", INT(Z255/20)&gt;INT(Z254/20)), "TN Cáp 15.2 (Lần " &amp; INT(Z255/20) &amp; ")", "")))))))))))</f>
        <v/>
      </c>
      <c r="P255" s="20">
        <f>ROUND(P254 + IF(AND(E255&lt;=10, F255&lt;&gt;"ASTM A416"), L255, 0), 3)</f>
        <v/>
      </c>
      <c r="Q255" s="20">
        <f>ROUND(Q254 + IF(AND(E255=12, F255&lt;&gt;"ASTM A416"), L255, 0), 3)</f>
        <v/>
      </c>
      <c r="R255" s="20">
        <f>ROUND(R254 + IF(AND(E255=14, F255&lt;&gt;"ASTM A416"), L255, 0), 3)</f>
        <v/>
      </c>
      <c r="S255" s="20">
        <f>ROUND(S254 + IF(AND(E255=16, F255&lt;&gt;"ASTM A416"), L255, 0), 3)</f>
        <v/>
      </c>
      <c r="T255" s="20">
        <f>ROUND(T254 + IF(AND(E255=18, F255&lt;&gt;"ASTM A416"), L255, 0), 3)</f>
        <v/>
      </c>
      <c r="U255" s="20">
        <f>ROUND(U254 + IF(AND(E255=20, F255&lt;&gt;"ASTM A416"), L255, 0), 3)</f>
        <v/>
      </c>
      <c r="V255" s="20">
        <f>ROUND(V254 + IF(AND(E255=22, F255&lt;&gt;"ASTM A416"), L255, 0), 3)</f>
        <v/>
      </c>
      <c r="W255" s="20">
        <f>ROUND(W254 + IF(AND(E255=25, F255&lt;&gt;"ASTM A416"), L255, 0), 3)</f>
        <v/>
      </c>
      <c r="X255" s="20">
        <f>ROUND(X254 + IF(AND(E255=28, F255&lt;&gt;"ASTM A416"), L255, 0), 3)</f>
        <v/>
      </c>
      <c r="Y255" s="20">
        <f>ROUND(Y254 + IF(AND(E255=32, F255&lt;&gt;"ASTM A416"), L255, 0), 3)</f>
        <v/>
      </c>
      <c r="Z255" s="20">
        <f>ROUND(Z254 + IF(F255="ASTM A416", L255, 0), 3)</f>
        <v/>
      </c>
      <c r="AA255" s="11">
        <f>IF(INT(P255/20)&gt;INT(P254/20), "Lần " &amp; INT(P255/20), "")</f>
        <v/>
      </c>
      <c r="AB255" s="11">
        <f>IF(INT(Q255/20)&gt;INT(Q254/20), "Lần " &amp; INT(Q255/20), "")</f>
        <v/>
      </c>
      <c r="AC255" s="11">
        <f>IF(INT(R255/20)&gt;INT(R254/20), "Lần " &amp; INT(R255/20), "")</f>
        <v/>
      </c>
      <c r="AD255" s="11">
        <f>IF(INT(S255/20)&gt;INT(S254/20), "Lần " &amp; INT(S255/20), "")</f>
        <v/>
      </c>
      <c r="AE255" s="11">
        <f>IF(INT(T255/20)&gt;INT(T254/20), "Lần " &amp; INT(T255/20), "")</f>
        <v/>
      </c>
      <c r="AF255" s="11">
        <f>IF(INT(U255/20)&gt;INT(U254/20), "Lần " &amp; INT(U255/20), "")</f>
        <v/>
      </c>
      <c r="AG255" s="11">
        <f>IF(INT(V255/20)&gt;INT(V254/20), "Lần " &amp; INT(V255/20), "")</f>
        <v/>
      </c>
      <c r="AH255" s="11">
        <f>IF(INT(W255/20)&gt;INT(W254/20), "Lần " &amp; INT(W255/20), "")</f>
        <v/>
      </c>
      <c r="AI255" s="11">
        <f>IF(INT(X255/20)&gt;INT(X254/20), "Lần " &amp; INT(X255/20), "")</f>
        <v/>
      </c>
      <c r="AJ255" s="11">
        <f>IF(INT(Y255/20)&gt;INT(Y254/20), "Lần " &amp; INT(Y255/20), "")</f>
        <v/>
      </c>
      <c r="AK255" s="11">
        <f>IF(INT(Z255/20)&gt;INT(Z254/20), "Lần " &amp; INT(Z255/20), "")</f>
        <v/>
      </c>
      <c r="AL255" s="6" t="inlineStr">
        <is>
          <t>ĐẠT TCVN 1651:2018</t>
        </is>
      </c>
    </row>
    <row r="256" ht="19" customHeight="1">
      <c r="A256" s="6" t="n">
        <v>237</v>
      </c>
      <c r="B256" s="7" t="inlineStr">
        <is>
          <t>Cọc khoan nhồi C5 Trụ T2 (D1.2m, L=30.0m)</t>
        </is>
      </c>
      <c r="C256" s="7" t="inlineStr">
        <is>
          <t>Thép đai xoắn lồng cọc</t>
        </is>
      </c>
      <c r="D256" s="18" t="inlineStr">
        <is>
          <t>P12</t>
        </is>
      </c>
      <c r="E256" s="19" t="n">
        <v>20</v>
      </c>
      <c r="F256" s="6" t="inlineStr">
        <is>
          <t>CB400-V</t>
        </is>
      </c>
      <c r="G256" s="7" t="inlineStr">
        <is>
          <t>Đai xoắn tròn</t>
        </is>
      </c>
      <c r="H256" s="20" t="n">
        <v>0.583</v>
      </c>
      <c r="I256" s="21" t="n">
        <v>48</v>
      </c>
      <c r="J256" s="22" t="n">
        <v>2.47</v>
      </c>
      <c r="K256" s="9">
        <f>ROUND(H256*I256*J256, 2)</f>
        <v/>
      </c>
      <c r="L256" s="23">
        <f>ROUND(K256/1000, 3)</f>
        <v/>
      </c>
      <c r="M256" s="8" t="n"/>
      <c r="N256" s="6" t="n"/>
      <c r="O256" s="24">
        <f>IF(AND(E256&lt;=10, F256&lt;&gt;"ASTM A416", INT(P256/20)&gt;INT(P255/20)), "TN Ø10 (Lần " &amp; INT(P256/20) &amp; ")", IF(AND(E256=12, INT(Q256/20)&gt;INT(Q255/20)), "TN Ø12 (Lần " &amp; INT(Q256/20) &amp; ")", IF(AND(E256=14, INT(R256/20)&gt;INT(R255/20)), "TN Ø14 (Lần " &amp; INT(R256/20) &amp; ")", IF(AND(E256=16, INT(S256/20)&gt;INT(S255/20)), "TN Ø16 (Lần " &amp; INT(S256/20) &amp; ")", IF(AND(E256=18, INT(T256/20)&gt;INT(T255/20)), "TN Ø18 (Lần " &amp; INT(T256/20) &amp; ")", IF(AND(E256=20, INT(U256/20)&gt;INT(U255/20)), "TN Ø20 (Lần " &amp; INT(U256/20) &amp; ")", IF(AND(E256=22, INT(V256/20)&gt;INT(V255/20)), "TN Ø22 (Lần " &amp; INT(V256/20) &amp; ")", IF(AND(E256=25, INT(W256/20)&gt;INT(W255/20)), "TN Ø25 (Lần " &amp; INT(W256/20) &amp; ")", IF(AND(E256=28, INT(X256/20)&gt;INT(X255/20)), "TN Ø28 (Lần " &amp; INT(X256/20) &amp; ")", IF(AND(E256=32, INT(Y256/20)&gt;INT(Y255/20)), "TN Ø32 (Lần " &amp; INT(Y256/20) &amp; ")", IF(AND(F256="ASTM A416", INT(Z256/20)&gt;INT(Z255/20)), "TN Cáp 15.2 (Lần " &amp; INT(Z256/20) &amp; ")", "")))))))))))</f>
        <v/>
      </c>
      <c r="P256" s="20">
        <f>ROUND(P255 + IF(AND(E256&lt;=10, F256&lt;&gt;"ASTM A416"), L256, 0), 3)</f>
        <v/>
      </c>
      <c r="Q256" s="20">
        <f>ROUND(Q255 + IF(AND(E256=12, F256&lt;&gt;"ASTM A416"), L256, 0), 3)</f>
        <v/>
      </c>
      <c r="R256" s="20">
        <f>ROUND(R255 + IF(AND(E256=14, F256&lt;&gt;"ASTM A416"), L256, 0), 3)</f>
        <v/>
      </c>
      <c r="S256" s="20">
        <f>ROUND(S255 + IF(AND(E256=16, F256&lt;&gt;"ASTM A416"), L256, 0), 3)</f>
        <v/>
      </c>
      <c r="T256" s="20">
        <f>ROUND(T255 + IF(AND(E256=18, F256&lt;&gt;"ASTM A416"), L256, 0), 3)</f>
        <v/>
      </c>
      <c r="U256" s="20">
        <f>ROUND(U255 + IF(AND(E256=20, F256&lt;&gt;"ASTM A416"), L256, 0), 3)</f>
        <v/>
      </c>
      <c r="V256" s="20">
        <f>ROUND(V255 + IF(AND(E256=22, F256&lt;&gt;"ASTM A416"), L256, 0), 3)</f>
        <v/>
      </c>
      <c r="W256" s="20">
        <f>ROUND(W255 + IF(AND(E256=25, F256&lt;&gt;"ASTM A416"), L256, 0), 3)</f>
        <v/>
      </c>
      <c r="X256" s="20">
        <f>ROUND(X255 + IF(AND(E256=28, F256&lt;&gt;"ASTM A416"), L256, 0), 3)</f>
        <v/>
      </c>
      <c r="Y256" s="20">
        <f>ROUND(Y255 + IF(AND(E256=32, F256&lt;&gt;"ASTM A416"), L256, 0), 3)</f>
        <v/>
      </c>
      <c r="Z256" s="20">
        <f>ROUND(Z255 + IF(F256="ASTM A416", L256, 0), 3)</f>
        <v/>
      </c>
      <c r="AA256" s="11">
        <f>IF(INT(P256/20)&gt;INT(P255/20), "Lần " &amp; INT(P256/20), "")</f>
        <v/>
      </c>
      <c r="AB256" s="11">
        <f>IF(INT(Q256/20)&gt;INT(Q255/20), "Lần " &amp; INT(Q256/20), "")</f>
        <v/>
      </c>
      <c r="AC256" s="11">
        <f>IF(INT(R256/20)&gt;INT(R255/20), "Lần " &amp; INT(R256/20), "")</f>
        <v/>
      </c>
      <c r="AD256" s="11">
        <f>IF(INT(S256/20)&gt;INT(S255/20), "Lần " &amp; INT(S256/20), "")</f>
        <v/>
      </c>
      <c r="AE256" s="11">
        <f>IF(INT(T256/20)&gt;INT(T255/20), "Lần " &amp; INT(T256/20), "")</f>
        <v/>
      </c>
      <c r="AF256" s="11">
        <f>IF(INT(U256/20)&gt;INT(U255/20), "Lần " &amp; INT(U256/20), "")</f>
        <v/>
      </c>
      <c r="AG256" s="11">
        <f>IF(INT(V256/20)&gt;INT(V255/20), "Lần " &amp; INT(V256/20), "")</f>
        <v/>
      </c>
      <c r="AH256" s="11">
        <f>IF(INT(W256/20)&gt;INT(W255/20), "Lần " &amp; INT(W256/20), "")</f>
        <v/>
      </c>
      <c r="AI256" s="11">
        <f>IF(INT(X256/20)&gt;INT(X255/20), "Lần " &amp; INT(X256/20), "")</f>
        <v/>
      </c>
      <c r="AJ256" s="11">
        <f>IF(INT(Y256/20)&gt;INT(Y255/20), "Lần " &amp; INT(Y256/20), "")</f>
        <v/>
      </c>
      <c r="AK256" s="11">
        <f>IF(INT(Z256/20)&gt;INT(Z255/20), "Lần " &amp; INT(Z256/20), "")</f>
        <v/>
      </c>
      <c r="AL256" s="6" t="inlineStr">
        <is>
          <t>ĐẠT TCVN 1651:2018</t>
        </is>
      </c>
    </row>
    <row r="257" ht="20" customHeight="1">
      <c r="A257" s="17" t="inlineStr">
        <is>
          <t>--- CỌC KHOAN NHỒI C6 TRỤ T2 (D1.2M, L=30.0M) ---</t>
        </is>
      </c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  <c r="AI257" s="5" t="n"/>
      <c r="AJ257" s="5" t="n"/>
      <c r="AK257" s="5" t="n"/>
      <c r="AL257" s="5" t="n"/>
    </row>
    <row r="258" ht="19" customHeight="1">
      <c r="A258" s="6" t="n">
        <v>238</v>
      </c>
      <c r="B258" s="7" t="inlineStr">
        <is>
          <t>Cọc khoan nhồi C6 Trụ T2 (D1.2m, L=30.0m)</t>
        </is>
      </c>
      <c r="C258" s="7" t="inlineStr">
        <is>
          <t>Thép đai xoắn lồng cọc</t>
        </is>
      </c>
      <c r="D258" s="18" t="inlineStr">
        <is>
          <t>P1</t>
        </is>
      </c>
      <c r="E258" s="19" t="n">
        <v>10</v>
      </c>
      <c r="F258" s="6" t="inlineStr">
        <is>
          <t>CB240-T</t>
        </is>
      </c>
      <c r="G258" s="7" t="inlineStr">
        <is>
          <t>Đai xoắn tròn</t>
        </is>
      </c>
      <c r="H258" s="20" t="n">
        <v>96.604</v>
      </c>
      <c r="I258" s="21" t="n">
        <v>1</v>
      </c>
      <c r="J258" s="22" t="n">
        <v>0.617</v>
      </c>
      <c r="K258" s="9">
        <f>ROUND(H258*I258*J258, 2)</f>
        <v/>
      </c>
      <c r="L258" s="23">
        <f>ROUND(K258/1000, 3)</f>
        <v/>
      </c>
      <c r="M258" s="8" t="n"/>
      <c r="N258" s="6" t="n"/>
      <c r="O258" s="24">
        <f>IF(AND(E258&lt;=10, F258&lt;&gt;"ASTM A416", INT(P258/20)&gt;INT(P256/20)), "TN Ø10 (Lần " &amp; INT(P258/20) &amp; ")", IF(AND(E258=12, INT(Q258/20)&gt;INT(Q256/20)), "TN Ø12 (Lần " &amp; INT(Q258/20) &amp; ")", IF(AND(E258=14, INT(R258/20)&gt;INT(R256/20)), "TN Ø14 (Lần " &amp; INT(R258/20) &amp; ")", IF(AND(E258=16, INT(S258/20)&gt;INT(S256/20)), "TN Ø16 (Lần " &amp; INT(S258/20) &amp; ")", IF(AND(E258=18, INT(T258/20)&gt;INT(T256/20)), "TN Ø18 (Lần " &amp; INT(T258/20) &amp; ")", IF(AND(E258=20, INT(U258/20)&gt;INT(U256/20)), "TN Ø20 (Lần " &amp; INT(U258/20) &amp; ")", IF(AND(E258=22, INT(V258/20)&gt;INT(V256/20)), "TN Ø22 (Lần " &amp; INT(V258/20) &amp; ")", IF(AND(E258=25, INT(W258/20)&gt;INT(W256/20)), "TN Ø25 (Lần " &amp; INT(W258/20) &amp; ")", IF(AND(E258=28, INT(X258/20)&gt;INT(X256/20)), "TN Ø28 (Lần " &amp; INT(X258/20) &amp; ")", IF(AND(E258=32, INT(Y258/20)&gt;INT(Y256/20)), "TN Ø32 (Lần " &amp; INT(Y258/20) &amp; ")", IF(AND(F258="ASTM A416", INT(Z258/20)&gt;INT(Z256/20)), "TN Cáp 15.2 (Lần " &amp; INT(Z258/20) &amp; ")", "")))))))))))</f>
        <v/>
      </c>
      <c r="P258" s="20">
        <f>ROUND(P256 + IF(AND(E258&lt;=10, F258&lt;&gt;"ASTM A416"), L258, 0), 3)</f>
        <v/>
      </c>
      <c r="Q258" s="20">
        <f>ROUND(Q256 + IF(AND(E258=12, F258&lt;&gt;"ASTM A416"), L258, 0), 3)</f>
        <v/>
      </c>
      <c r="R258" s="20">
        <f>ROUND(R256 + IF(AND(E258=14, F258&lt;&gt;"ASTM A416"), L258, 0), 3)</f>
        <v/>
      </c>
      <c r="S258" s="20">
        <f>ROUND(S256 + IF(AND(E258=16, F258&lt;&gt;"ASTM A416"), L258, 0), 3)</f>
        <v/>
      </c>
      <c r="T258" s="20">
        <f>ROUND(T256 + IF(AND(E258=18, F258&lt;&gt;"ASTM A416"), L258, 0), 3)</f>
        <v/>
      </c>
      <c r="U258" s="20">
        <f>ROUND(U256 + IF(AND(E258=20, F258&lt;&gt;"ASTM A416"), L258, 0), 3)</f>
        <v/>
      </c>
      <c r="V258" s="20">
        <f>ROUND(V256 + IF(AND(E258=22, F258&lt;&gt;"ASTM A416"), L258, 0), 3)</f>
        <v/>
      </c>
      <c r="W258" s="20">
        <f>ROUND(W256 + IF(AND(E258=25, F258&lt;&gt;"ASTM A416"), L258, 0), 3)</f>
        <v/>
      </c>
      <c r="X258" s="20">
        <f>ROUND(X256 + IF(AND(E258=28, F258&lt;&gt;"ASTM A416"), L258, 0), 3)</f>
        <v/>
      </c>
      <c r="Y258" s="20">
        <f>ROUND(Y256 + IF(AND(E258=32, F258&lt;&gt;"ASTM A416"), L258, 0), 3)</f>
        <v/>
      </c>
      <c r="Z258" s="20">
        <f>ROUND(Z256 + IF(F258="ASTM A416", L258, 0), 3)</f>
        <v/>
      </c>
      <c r="AA258" s="11">
        <f>IF(INT(P258/20)&gt;INT(P256/20), "Lần " &amp; INT(P258/20), "")</f>
        <v/>
      </c>
      <c r="AB258" s="11">
        <f>IF(INT(Q258/20)&gt;INT(Q256/20), "Lần " &amp; INT(Q258/20), "")</f>
        <v/>
      </c>
      <c r="AC258" s="11">
        <f>IF(INT(R258/20)&gt;INT(R256/20), "Lần " &amp; INT(R258/20), "")</f>
        <v/>
      </c>
      <c r="AD258" s="11">
        <f>IF(INT(S258/20)&gt;INT(S256/20), "Lần " &amp; INT(S258/20), "")</f>
        <v/>
      </c>
      <c r="AE258" s="11">
        <f>IF(INT(T258/20)&gt;INT(T256/20), "Lần " &amp; INT(T258/20), "")</f>
        <v/>
      </c>
      <c r="AF258" s="11">
        <f>IF(INT(U258/20)&gt;INT(U256/20), "Lần " &amp; INT(U258/20), "")</f>
        <v/>
      </c>
      <c r="AG258" s="11">
        <f>IF(INT(V258/20)&gt;INT(V256/20), "Lần " &amp; INT(V258/20), "")</f>
        <v/>
      </c>
      <c r="AH258" s="11">
        <f>IF(INT(W258/20)&gt;INT(W256/20), "Lần " &amp; INT(W258/20), "")</f>
        <v/>
      </c>
      <c r="AI258" s="11">
        <f>IF(INT(X258/20)&gt;INT(X256/20), "Lần " &amp; INT(X258/20), "")</f>
        <v/>
      </c>
      <c r="AJ258" s="11">
        <f>IF(INT(Y258/20)&gt;INT(Y256/20), "Lần " &amp; INT(Y258/20), "")</f>
        <v/>
      </c>
      <c r="AK258" s="11">
        <f>IF(INT(Z258/20)&gt;INT(Z256/20), "Lần " &amp; INT(Z258/20), "")</f>
        <v/>
      </c>
      <c r="AL258" s="6" t="inlineStr">
        <is>
          <t>ĐẠT TCVN 1651:2018</t>
        </is>
      </c>
    </row>
    <row r="259" ht="19" customHeight="1">
      <c r="A259" s="6" t="n">
        <v>239</v>
      </c>
      <c r="B259" s="7" t="inlineStr">
        <is>
          <t>Cọc khoan nhồi C6 Trụ T2 (D1.2m, L=30.0m)</t>
        </is>
      </c>
      <c r="C259" s="7" t="inlineStr">
        <is>
          <t>Thép đai xoắn lồng cọc</t>
        </is>
      </c>
      <c r="D259" s="18" t="inlineStr">
        <is>
          <t>P1A</t>
        </is>
      </c>
      <c r="E259" s="19" t="n">
        <v>10</v>
      </c>
      <c r="F259" s="6" t="inlineStr">
        <is>
          <t>CB240-T</t>
        </is>
      </c>
      <c r="G259" s="7" t="inlineStr">
        <is>
          <t>Đai xoắn tròn</t>
        </is>
      </c>
      <c r="H259" s="20" t="n">
        <v>389.636</v>
      </c>
      <c r="I259" s="21" t="n">
        <v>1</v>
      </c>
      <c r="J259" s="22" t="n">
        <v>0.617</v>
      </c>
      <c r="K259" s="9">
        <f>ROUND(H259*I259*J259, 2)</f>
        <v/>
      </c>
      <c r="L259" s="23">
        <f>ROUND(K259/1000, 3)</f>
        <v/>
      </c>
      <c r="M259" s="8" t="n"/>
      <c r="N259" s="6" t="n"/>
      <c r="O259" s="24">
        <f>IF(AND(E259&lt;=10, F259&lt;&gt;"ASTM A416", INT(P259/20)&gt;INT(P258/20)), "TN Ø10 (Lần " &amp; INT(P259/20) &amp; ")", IF(AND(E259=12, INT(Q259/20)&gt;INT(Q258/20)), "TN Ø12 (Lần " &amp; INT(Q259/20) &amp; ")", IF(AND(E259=14, INT(R259/20)&gt;INT(R258/20)), "TN Ø14 (Lần " &amp; INT(R259/20) &amp; ")", IF(AND(E259=16, INT(S259/20)&gt;INT(S258/20)), "TN Ø16 (Lần " &amp; INT(S259/20) &amp; ")", IF(AND(E259=18, INT(T259/20)&gt;INT(T258/20)), "TN Ø18 (Lần " &amp; INT(T259/20) &amp; ")", IF(AND(E259=20, INT(U259/20)&gt;INT(U258/20)), "TN Ø20 (Lần " &amp; INT(U259/20) &amp; ")", IF(AND(E259=22, INT(V259/20)&gt;INT(V258/20)), "TN Ø22 (Lần " &amp; INT(V259/20) &amp; ")", IF(AND(E259=25, INT(W259/20)&gt;INT(W258/20)), "TN Ø25 (Lần " &amp; INT(W259/20) &amp; ")", IF(AND(E259=28, INT(X259/20)&gt;INT(X258/20)), "TN Ø28 (Lần " &amp; INT(X259/20) &amp; ")", IF(AND(E259=32, INT(Y259/20)&gt;INT(Y258/20)), "TN Ø32 (Lần " &amp; INT(Y259/20) &amp; ")", IF(AND(F259="ASTM A416", INT(Z259/20)&gt;INT(Z258/20)), "TN Cáp 15.2 (Lần " &amp; INT(Z259/20) &amp; ")", "")))))))))))</f>
        <v/>
      </c>
      <c r="P259" s="20">
        <f>ROUND(P258 + IF(AND(E259&lt;=10, F259&lt;&gt;"ASTM A416"), L259, 0), 3)</f>
        <v/>
      </c>
      <c r="Q259" s="20">
        <f>ROUND(Q258 + IF(AND(E259=12, F259&lt;&gt;"ASTM A416"), L259, 0), 3)</f>
        <v/>
      </c>
      <c r="R259" s="20">
        <f>ROUND(R258 + IF(AND(E259=14, F259&lt;&gt;"ASTM A416"), L259, 0), 3)</f>
        <v/>
      </c>
      <c r="S259" s="20">
        <f>ROUND(S258 + IF(AND(E259=16, F259&lt;&gt;"ASTM A416"), L259, 0), 3)</f>
        <v/>
      </c>
      <c r="T259" s="20">
        <f>ROUND(T258 + IF(AND(E259=18, F259&lt;&gt;"ASTM A416"), L259, 0), 3)</f>
        <v/>
      </c>
      <c r="U259" s="20">
        <f>ROUND(U258 + IF(AND(E259=20, F259&lt;&gt;"ASTM A416"), L259, 0), 3)</f>
        <v/>
      </c>
      <c r="V259" s="20">
        <f>ROUND(V258 + IF(AND(E259=22, F259&lt;&gt;"ASTM A416"), L259, 0), 3)</f>
        <v/>
      </c>
      <c r="W259" s="20">
        <f>ROUND(W258 + IF(AND(E259=25, F259&lt;&gt;"ASTM A416"), L259, 0), 3)</f>
        <v/>
      </c>
      <c r="X259" s="20">
        <f>ROUND(X258 + IF(AND(E259=28, F259&lt;&gt;"ASTM A416"), L259, 0), 3)</f>
        <v/>
      </c>
      <c r="Y259" s="20">
        <f>ROUND(Y258 + IF(AND(E259=32, F259&lt;&gt;"ASTM A416"), L259, 0), 3)</f>
        <v/>
      </c>
      <c r="Z259" s="20">
        <f>ROUND(Z258 + IF(F259="ASTM A416", L259, 0), 3)</f>
        <v/>
      </c>
      <c r="AA259" s="11">
        <f>IF(INT(P259/20)&gt;INT(P258/20), "Lần " &amp; INT(P259/20), "")</f>
        <v/>
      </c>
      <c r="AB259" s="11">
        <f>IF(INT(Q259/20)&gt;INT(Q258/20), "Lần " &amp; INT(Q259/20), "")</f>
        <v/>
      </c>
      <c r="AC259" s="11">
        <f>IF(INT(R259/20)&gt;INT(R258/20), "Lần " &amp; INT(R259/20), "")</f>
        <v/>
      </c>
      <c r="AD259" s="11">
        <f>IF(INT(S259/20)&gt;INT(S258/20), "Lần " &amp; INT(S259/20), "")</f>
        <v/>
      </c>
      <c r="AE259" s="11">
        <f>IF(INT(T259/20)&gt;INT(T258/20), "Lần " &amp; INT(T259/20), "")</f>
        <v/>
      </c>
      <c r="AF259" s="11">
        <f>IF(INT(U259/20)&gt;INT(U258/20), "Lần " &amp; INT(U259/20), "")</f>
        <v/>
      </c>
      <c r="AG259" s="11">
        <f>IF(INT(V259/20)&gt;INT(V258/20), "Lần " &amp; INT(V259/20), "")</f>
        <v/>
      </c>
      <c r="AH259" s="11">
        <f>IF(INT(W259/20)&gt;INT(W258/20), "Lần " &amp; INT(W259/20), "")</f>
        <v/>
      </c>
      <c r="AI259" s="11">
        <f>IF(INT(X259/20)&gt;INT(X258/20), "Lần " &amp; INT(X259/20), "")</f>
        <v/>
      </c>
      <c r="AJ259" s="11">
        <f>IF(INT(Y259/20)&gt;INT(Y258/20), "Lần " &amp; INT(Y259/20), "")</f>
        <v/>
      </c>
      <c r="AK259" s="11">
        <f>IF(INT(Z259/20)&gt;INT(Z258/20), "Lần " &amp; INT(Z259/20), "")</f>
        <v/>
      </c>
      <c r="AL259" s="6" t="inlineStr">
        <is>
          <t>ĐẠT TCVN 1651:2018</t>
        </is>
      </c>
    </row>
    <row r="260" ht="19" customHeight="1">
      <c r="A260" s="6" t="n">
        <v>240</v>
      </c>
      <c r="B260" s="7" t="inlineStr">
        <is>
          <t>Cọc khoan nhồi C6 Trụ T2 (D1.2m, L=30.0m)</t>
        </is>
      </c>
      <c r="C260" s="7" t="inlineStr">
        <is>
          <t>Thép đai xoắn lồng cọc</t>
        </is>
      </c>
      <c r="D260" s="18" t="inlineStr">
        <is>
          <t>P1B</t>
        </is>
      </c>
      <c r="E260" s="19" t="n">
        <v>10</v>
      </c>
      <c r="F260" s="6" t="inlineStr">
        <is>
          <t>CB240-T</t>
        </is>
      </c>
      <c r="G260" s="7" t="inlineStr">
        <is>
          <t>Đai xoắn tròn</t>
        </is>
      </c>
      <c r="H260" s="20" t="n">
        <v>100.256</v>
      </c>
      <c r="I260" s="21" t="n">
        <v>1</v>
      </c>
      <c r="J260" s="22" t="n">
        <v>0.617</v>
      </c>
      <c r="K260" s="9">
        <f>ROUND(H260*I260*J260, 2)</f>
        <v/>
      </c>
      <c r="L260" s="23">
        <f>ROUND(K260/1000, 3)</f>
        <v/>
      </c>
      <c r="M260" s="8" t="n"/>
      <c r="N260" s="6" t="n"/>
      <c r="O260" s="24">
        <f>IF(AND(E260&lt;=10, F260&lt;&gt;"ASTM A416", INT(P260/20)&gt;INT(P259/20)), "TN Ø10 (Lần " &amp; INT(P260/20) &amp; ")", IF(AND(E260=12, INT(Q260/20)&gt;INT(Q259/20)), "TN Ø12 (Lần " &amp; INT(Q260/20) &amp; ")", IF(AND(E260=14, INT(R260/20)&gt;INT(R259/20)), "TN Ø14 (Lần " &amp; INT(R260/20) &amp; ")", IF(AND(E260=16, INT(S260/20)&gt;INT(S259/20)), "TN Ø16 (Lần " &amp; INT(S260/20) &amp; ")", IF(AND(E260=18, INT(T260/20)&gt;INT(T259/20)), "TN Ø18 (Lần " &amp; INT(T260/20) &amp; ")", IF(AND(E260=20, INT(U260/20)&gt;INT(U259/20)), "TN Ø20 (Lần " &amp; INT(U260/20) &amp; ")", IF(AND(E260=22, INT(V260/20)&gt;INT(V259/20)), "TN Ø22 (Lần " &amp; INT(V260/20) &amp; ")", IF(AND(E260=25, INT(W260/20)&gt;INT(W259/20)), "TN Ø25 (Lần " &amp; INT(W260/20) &amp; ")", IF(AND(E260=28, INT(X260/20)&gt;INT(X259/20)), "TN Ø28 (Lần " &amp; INT(X260/20) &amp; ")", IF(AND(E260=32, INT(Y260/20)&gt;INT(Y259/20)), "TN Ø32 (Lần " &amp; INT(Y260/20) &amp; ")", IF(AND(F260="ASTM A416", INT(Z260/20)&gt;INT(Z259/20)), "TN Cáp 15.2 (Lần " &amp; INT(Z260/20) &amp; ")", "")))))))))))</f>
        <v/>
      </c>
      <c r="P260" s="20">
        <f>ROUND(P259 + IF(AND(E260&lt;=10, F260&lt;&gt;"ASTM A416"), L260, 0), 3)</f>
        <v/>
      </c>
      <c r="Q260" s="20">
        <f>ROUND(Q259 + IF(AND(E260=12, F260&lt;&gt;"ASTM A416"), L260, 0), 3)</f>
        <v/>
      </c>
      <c r="R260" s="20">
        <f>ROUND(R259 + IF(AND(E260=14, F260&lt;&gt;"ASTM A416"), L260, 0), 3)</f>
        <v/>
      </c>
      <c r="S260" s="20">
        <f>ROUND(S259 + IF(AND(E260=16, F260&lt;&gt;"ASTM A416"), L260, 0), 3)</f>
        <v/>
      </c>
      <c r="T260" s="20">
        <f>ROUND(T259 + IF(AND(E260=18, F260&lt;&gt;"ASTM A416"), L260, 0), 3)</f>
        <v/>
      </c>
      <c r="U260" s="20">
        <f>ROUND(U259 + IF(AND(E260=20, F260&lt;&gt;"ASTM A416"), L260, 0), 3)</f>
        <v/>
      </c>
      <c r="V260" s="20">
        <f>ROUND(V259 + IF(AND(E260=22, F260&lt;&gt;"ASTM A416"), L260, 0), 3)</f>
        <v/>
      </c>
      <c r="W260" s="20">
        <f>ROUND(W259 + IF(AND(E260=25, F260&lt;&gt;"ASTM A416"), L260, 0), 3)</f>
        <v/>
      </c>
      <c r="X260" s="20">
        <f>ROUND(X259 + IF(AND(E260=28, F260&lt;&gt;"ASTM A416"), L260, 0), 3)</f>
        <v/>
      </c>
      <c r="Y260" s="20">
        <f>ROUND(Y259 + IF(AND(E260=32, F260&lt;&gt;"ASTM A416"), L260, 0), 3)</f>
        <v/>
      </c>
      <c r="Z260" s="20">
        <f>ROUND(Z259 + IF(F260="ASTM A416", L260, 0), 3)</f>
        <v/>
      </c>
      <c r="AA260" s="11">
        <f>IF(INT(P260/20)&gt;INT(P259/20), "Lần " &amp; INT(P260/20), "")</f>
        <v/>
      </c>
      <c r="AB260" s="11">
        <f>IF(INT(Q260/20)&gt;INT(Q259/20), "Lần " &amp; INT(Q260/20), "")</f>
        <v/>
      </c>
      <c r="AC260" s="11">
        <f>IF(INT(R260/20)&gt;INT(R259/20), "Lần " &amp; INT(R260/20), "")</f>
        <v/>
      </c>
      <c r="AD260" s="11">
        <f>IF(INT(S260/20)&gt;INT(S259/20), "Lần " &amp; INT(S260/20), "")</f>
        <v/>
      </c>
      <c r="AE260" s="11">
        <f>IF(INT(T260/20)&gt;INT(T259/20), "Lần " &amp; INT(T260/20), "")</f>
        <v/>
      </c>
      <c r="AF260" s="11">
        <f>IF(INT(U260/20)&gt;INT(U259/20), "Lần " &amp; INT(U260/20), "")</f>
        <v/>
      </c>
      <c r="AG260" s="11">
        <f>IF(INT(V260/20)&gt;INT(V259/20), "Lần " &amp; INT(V260/20), "")</f>
        <v/>
      </c>
      <c r="AH260" s="11">
        <f>IF(INT(W260/20)&gt;INT(W259/20), "Lần " &amp; INT(W260/20), "")</f>
        <v/>
      </c>
      <c r="AI260" s="11">
        <f>IF(INT(X260/20)&gt;INT(X259/20), "Lần " &amp; INT(X260/20), "")</f>
        <v/>
      </c>
      <c r="AJ260" s="11">
        <f>IF(INT(Y260/20)&gt;INT(Y259/20), "Lần " &amp; INT(Y260/20), "")</f>
        <v/>
      </c>
      <c r="AK260" s="11">
        <f>IF(INT(Z260/20)&gt;INT(Z259/20), "Lần " &amp; INT(Z260/20), "")</f>
        <v/>
      </c>
      <c r="AL260" s="6" t="inlineStr">
        <is>
          <t>ĐẠT TCVN 1651:2018</t>
        </is>
      </c>
    </row>
    <row r="261" ht="19" customHeight="1">
      <c r="A261" s="6" t="n">
        <v>241</v>
      </c>
      <c r="B261" s="7" t="inlineStr">
        <is>
          <t>Cọc khoan nhồi C6 Trụ T2 (D1.2m, L=30.0m)</t>
        </is>
      </c>
      <c r="C261" s="7" t="inlineStr">
        <is>
          <t>Thép đai xoắn lồng cọc</t>
        </is>
      </c>
      <c r="D261" s="18" t="inlineStr">
        <is>
          <t>P1C</t>
        </is>
      </c>
      <c r="E261" s="19" t="n">
        <v>10</v>
      </c>
      <c r="F261" s="6" t="inlineStr">
        <is>
          <t>CB240-T</t>
        </is>
      </c>
      <c r="G261" s="7" t="inlineStr">
        <is>
          <t>Đai xoắn tròn</t>
        </is>
      </c>
      <c r="H261" s="20" t="n">
        <v>3.592</v>
      </c>
      <c r="I261" s="21" t="n">
        <v>2</v>
      </c>
      <c r="J261" s="22" t="n">
        <v>0.617</v>
      </c>
      <c r="K261" s="9">
        <f>ROUND(H261*I261*J261, 2)</f>
        <v/>
      </c>
      <c r="L261" s="23">
        <f>ROUND(K261/1000, 3)</f>
        <v/>
      </c>
      <c r="M261" s="8" t="n"/>
      <c r="N261" s="6" t="n"/>
      <c r="O261" s="24">
        <f>IF(AND(E261&lt;=10, F261&lt;&gt;"ASTM A416", INT(P261/20)&gt;INT(P260/20)), "TN Ø10 (Lần " &amp; INT(P261/20) &amp; ")", IF(AND(E261=12, INT(Q261/20)&gt;INT(Q260/20)), "TN Ø12 (Lần " &amp; INT(Q261/20) &amp; ")", IF(AND(E261=14, INT(R261/20)&gt;INT(R260/20)), "TN Ø14 (Lần " &amp; INT(R261/20) &amp; ")", IF(AND(E261=16, INT(S261/20)&gt;INT(S260/20)), "TN Ø16 (Lần " &amp; INT(S261/20) &amp; ")", IF(AND(E261=18, INT(T261/20)&gt;INT(T260/20)), "TN Ø18 (Lần " &amp; INT(T261/20) &amp; ")", IF(AND(E261=20, INT(U261/20)&gt;INT(U260/20)), "TN Ø20 (Lần " &amp; INT(U261/20) &amp; ")", IF(AND(E261=22, INT(V261/20)&gt;INT(V260/20)), "TN Ø22 (Lần " &amp; INT(V261/20) &amp; ")", IF(AND(E261=25, INT(W261/20)&gt;INT(W260/20)), "TN Ø25 (Lần " &amp; INT(W261/20) &amp; ")", IF(AND(E261=28, INT(X261/20)&gt;INT(X260/20)), "TN Ø28 (Lần " &amp; INT(X261/20) &amp; ")", IF(AND(E261=32, INT(Y261/20)&gt;INT(Y260/20)), "TN Ø32 (Lần " &amp; INT(Y261/20) &amp; ")", IF(AND(F261="ASTM A416", INT(Z261/20)&gt;INT(Z260/20)), "TN Cáp 15.2 (Lần " &amp; INT(Z261/20) &amp; ")", "")))))))))))</f>
        <v/>
      </c>
      <c r="P261" s="20">
        <f>ROUND(P260 + IF(AND(E261&lt;=10, F261&lt;&gt;"ASTM A416"), L261, 0), 3)</f>
        <v/>
      </c>
      <c r="Q261" s="20">
        <f>ROUND(Q260 + IF(AND(E261=12, F261&lt;&gt;"ASTM A416"), L261, 0), 3)</f>
        <v/>
      </c>
      <c r="R261" s="20">
        <f>ROUND(R260 + IF(AND(E261=14, F261&lt;&gt;"ASTM A416"), L261, 0), 3)</f>
        <v/>
      </c>
      <c r="S261" s="20">
        <f>ROUND(S260 + IF(AND(E261=16, F261&lt;&gt;"ASTM A416"), L261, 0), 3)</f>
        <v/>
      </c>
      <c r="T261" s="20">
        <f>ROUND(T260 + IF(AND(E261=18, F261&lt;&gt;"ASTM A416"), L261, 0), 3)</f>
        <v/>
      </c>
      <c r="U261" s="20">
        <f>ROUND(U260 + IF(AND(E261=20, F261&lt;&gt;"ASTM A416"), L261, 0), 3)</f>
        <v/>
      </c>
      <c r="V261" s="20">
        <f>ROUND(V260 + IF(AND(E261=22, F261&lt;&gt;"ASTM A416"), L261, 0), 3)</f>
        <v/>
      </c>
      <c r="W261" s="20">
        <f>ROUND(W260 + IF(AND(E261=25, F261&lt;&gt;"ASTM A416"), L261, 0), 3)</f>
        <v/>
      </c>
      <c r="X261" s="20">
        <f>ROUND(X260 + IF(AND(E261=28, F261&lt;&gt;"ASTM A416"), L261, 0), 3)</f>
        <v/>
      </c>
      <c r="Y261" s="20">
        <f>ROUND(Y260 + IF(AND(E261=32, F261&lt;&gt;"ASTM A416"), L261, 0), 3)</f>
        <v/>
      </c>
      <c r="Z261" s="20">
        <f>ROUND(Z260 + IF(F261="ASTM A416", L261, 0), 3)</f>
        <v/>
      </c>
      <c r="AA261" s="11">
        <f>IF(INT(P261/20)&gt;INT(P260/20), "Lần " &amp; INT(P261/20), "")</f>
        <v/>
      </c>
      <c r="AB261" s="11">
        <f>IF(INT(Q261/20)&gt;INT(Q260/20), "Lần " &amp; INT(Q261/20), "")</f>
        <v/>
      </c>
      <c r="AC261" s="11">
        <f>IF(INT(R261/20)&gt;INT(R260/20), "Lần " &amp; INT(R261/20), "")</f>
        <v/>
      </c>
      <c r="AD261" s="11">
        <f>IF(INT(S261/20)&gt;INT(S260/20), "Lần " &amp; INT(S261/20), "")</f>
        <v/>
      </c>
      <c r="AE261" s="11">
        <f>IF(INT(T261/20)&gt;INT(T260/20), "Lần " &amp; INT(T261/20), "")</f>
        <v/>
      </c>
      <c r="AF261" s="11">
        <f>IF(INT(U261/20)&gt;INT(U260/20), "Lần " &amp; INT(U261/20), "")</f>
        <v/>
      </c>
      <c r="AG261" s="11">
        <f>IF(INT(V261/20)&gt;INT(V260/20), "Lần " &amp; INT(V261/20), "")</f>
        <v/>
      </c>
      <c r="AH261" s="11">
        <f>IF(INT(W261/20)&gt;INT(W260/20), "Lần " &amp; INT(W261/20), "")</f>
        <v/>
      </c>
      <c r="AI261" s="11">
        <f>IF(INT(X261/20)&gt;INT(X260/20), "Lần " &amp; INT(X261/20), "")</f>
        <v/>
      </c>
      <c r="AJ261" s="11">
        <f>IF(INT(Y261/20)&gt;INT(Y260/20), "Lần " &amp; INT(Y261/20), "")</f>
        <v/>
      </c>
      <c r="AK261" s="11">
        <f>IF(INT(Z261/20)&gt;INT(Z260/20), "Lần " &amp; INT(Z261/20), "")</f>
        <v/>
      </c>
      <c r="AL261" s="6" t="inlineStr">
        <is>
          <t>ĐẠT TCVN 1651:2018</t>
        </is>
      </c>
    </row>
    <row r="262" ht="19" customHeight="1">
      <c r="A262" s="6" t="n">
        <v>242</v>
      </c>
      <c r="B262" s="7" t="inlineStr">
        <is>
          <t>Cọc khoan nhồi C6 Trụ T2 (D1.2m, L=30.0m)</t>
        </is>
      </c>
      <c r="C262" s="7" t="inlineStr">
        <is>
          <t>Thép đai xoắn lồng cọc</t>
        </is>
      </c>
      <c r="D262" s="18" t="inlineStr">
        <is>
          <t>P1D</t>
        </is>
      </c>
      <c r="E262" s="19" t="n">
        <v>10</v>
      </c>
      <c r="F262" s="6" t="inlineStr">
        <is>
          <t>CB240-T</t>
        </is>
      </c>
      <c r="G262" s="7" t="inlineStr">
        <is>
          <t>Đai xoắn tròn</t>
        </is>
      </c>
      <c r="H262" s="20" t="n">
        <v>19.721</v>
      </c>
      <c r="I262" s="21" t="n">
        <v>1</v>
      </c>
      <c r="J262" s="22" t="n">
        <v>0.617</v>
      </c>
      <c r="K262" s="9">
        <f>ROUND(H262*I262*J262, 2)</f>
        <v/>
      </c>
      <c r="L262" s="23">
        <f>ROUND(K262/1000, 3)</f>
        <v/>
      </c>
      <c r="M262" s="8" t="n"/>
      <c r="N262" s="6" t="n"/>
      <c r="O262" s="24">
        <f>IF(AND(E262&lt;=10, F262&lt;&gt;"ASTM A416", INT(P262/20)&gt;INT(P261/20)), "TN Ø10 (Lần " &amp; INT(P262/20) &amp; ")", IF(AND(E262=12, INT(Q262/20)&gt;INT(Q261/20)), "TN Ø12 (Lần " &amp; INT(Q262/20) &amp; ")", IF(AND(E262=14, INT(R262/20)&gt;INT(R261/20)), "TN Ø14 (Lần " &amp; INT(R262/20) &amp; ")", IF(AND(E262=16, INT(S262/20)&gt;INT(S261/20)), "TN Ø16 (Lần " &amp; INT(S262/20) &amp; ")", IF(AND(E262=18, INT(T262/20)&gt;INT(T261/20)), "TN Ø18 (Lần " &amp; INT(T262/20) &amp; ")", IF(AND(E262=20, INT(U262/20)&gt;INT(U261/20)), "TN Ø20 (Lần " &amp; INT(U262/20) &amp; ")", IF(AND(E262=22, INT(V262/20)&gt;INT(V261/20)), "TN Ø22 (Lần " &amp; INT(V262/20) &amp; ")", IF(AND(E262=25, INT(W262/20)&gt;INT(W261/20)), "TN Ø25 (Lần " &amp; INT(W262/20) &amp; ")", IF(AND(E262=28, INT(X262/20)&gt;INT(X261/20)), "TN Ø28 (Lần " &amp; INT(X262/20) &amp; ")", IF(AND(E262=32, INT(Y262/20)&gt;INT(Y261/20)), "TN Ø32 (Lần " &amp; INT(Y262/20) &amp; ")", IF(AND(F262="ASTM A416", INT(Z262/20)&gt;INT(Z261/20)), "TN Cáp 15.2 (Lần " &amp; INT(Z262/20) &amp; ")", "")))))))))))</f>
        <v/>
      </c>
      <c r="P262" s="20">
        <f>ROUND(P261 + IF(AND(E262&lt;=10, F262&lt;&gt;"ASTM A416"), L262, 0), 3)</f>
        <v/>
      </c>
      <c r="Q262" s="20">
        <f>ROUND(Q261 + IF(AND(E262=12, F262&lt;&gt;"ASTM A416"), L262, 0), 3)</f>
        <v/>
      </c>
      <c r="R262" s="20">
        <f>ROUND(R261 + IF(AND(E262=14, F262&lt;&gt;"ASTM A416"), L262, 0), 3)</f>
        <v/>
      </c>
      <c r="S262" s="20">
        <f>ROUND(S261 + IF(AND(E262=16, F262&lt;&gt;"ASTM A416"), L262, 0), 3)</f>
        <v/>
      </c>
      <c r="T262" s="20">
        <f>ROUND(T261 + IF(AND(E262=18, F262&lt;&gt;"ASTM A416"), L262, 0), 3)</f>
        <v/>
      </c>
      <c r="U262" s="20">
        <f>ROUND(U261 + IF(AND(E262=20, F262&lt;&gt;"ASTM A416"), L262, 0), 3)</f>
        <v/>
      </c>
      <c r="V262" s="20">
        <f>ROUND(V261 + IF(AND(E262=22, F262&lt;&gt;"ASTM A416"), L262, 0), 3)</f>
        <v/>
      </c>
      <c r="W262" s="20">
        <f>ROUND(W261 + IF(AND(E262=25, F262&lt;&gt;"ASTM A416"), L262, 0), 3)</f>
        <v/>
      </c>
      <c r="X262" s="20">
        <f>ROUND(X261 + IF(AND(E262=28, F262&lt;&gt;"ASTM A416"), L262, 0), 3)</f>
        <v/>
      </c>
      <c r="Y262" s="20">
        <f>ROUND(Y261 + IF(AND(E262=32, F262&lt;&gt;"ASTM A416"), L262, 0), 3)</f>
        <v/>
      </c>
      <c r="Z262" s="20">
        <f>ROUND(Z261 + IF(F262="ASTM A416", L262, 0), 3)</f>
        <v/>
      </c>
      <c r="AA262" s="11">
        <f>IF(INT(P262/20)&gt;INT(P261/20), "Lần " &amp; INT(P262/20), "")</f>
        <v/>
      </c>
      <c r="AB262" s="11">
        <f>IF(INT(Q262/20)&gt;INT(Q261/20), "Lần " &amp; INT(Q262/20), "")</f>
        <v/>
      </c>
      <c r="AC262" s="11">
        <f>IF(INT(R262/20)&gt;INT(R261/20), "Lần " &amp; INT(R262/20), "")</f>
        <v/>
      </c>
      <c r="AD262" s="11">
        <f>IF(INT(S262/20)&gt;INT(S261/20), "Lần " &amp; INT(S262/20), "")</f>
        <v/>
      </c>
      <c r="AE262" s="11">
        <f>IF(INT(T262/20)&gt;INT(T261/20), "Lần " &amp; INT(T262/20), "")</f>
        <v/>
      </c>
      <c r="AF262" s="11">
        <f>IF(INT(U262/20)&gt;INT(U261/20), "Lần " &amp; INT(U262/20), "")</f>
        <v/>
      </c>
      <c r="AG262" s="11">
        <f>IF(INT(V262/20)&gt;INT(V261/20), "Lần " &amp; INT(V262/20), "")</f>
        <v/>
      </c>
      <c r="AH262" s="11">
        <f>IF(INT(W262/20)&gt;INT(W261/20), "Lần " &amp; INT(W262/20), "")</f>
        <v/>
      </c>
      <c r="AI262" s="11">
        <f>IF(INT(X262/20)&gt;INT(X261/20), "Lần " &amp; INT(X262/20), "")</f>
        <v/>
      </c>
      <c r="AJ262" s="11">
        <f>IF(INT(Y262/20)&gt;INT(Y261/20), "Lần " &amp; INT(Y262/20), "")</f>
        <v/>
      </c>
      <c r="AK262" s="11">
        <f>IF(INT(Z262/20)&gt;INT(Z261/20), "Lần " &amp; INT(Z262/20), "")</f>
        <v/>
      </c>
      <c r="AL262" s="6" t="inlineStr">
        <is>
          <t>ĐẠT TCVN 1651:2018</t>
        </is>
      </c>
    </row>
    <row r="263" ht="19" customHeight="1">
      <c r="A263" s="6" t="n">
        <v>243</v>
      </c>
      <c r="B263" s="7" t="inlineStr">
        <is>
          <t>Cọc khoan nhồi C6 Trụ T2 (D1.2m, L=30.0m)</t>
        </is>
      </c>
      <c r="C263" s="7" t="inlineStr">
        <is>
          <t>Cốt thép chủ chịu lực cọc</t>
        </is>
      </c>
      <c r="D263" s="18" t="inlineStr">
        <is>
          <t>P2B</t>
        </is>
      </c>
      <c r="E263" s="19" t="n">
        <v>25</v>
      </c>
      <c r="F263" s="6" t="inlineStr">
        <is>
          <t>CB400-V</t>
        </is>
      </c>
      <c r="G263" s="7" t="inlineStr">
        <is>
          <t>Thanh thẳng nối ren/hàn</t>
        </is>
      </c>
      <c r="H263" s="20" t="n">
        <v>2.985</v>
      </c>
      <c r="I263" s="21" t="n">
        <v>12</v>
      </c>
      <c r="J263" s="22" t="n">
        <v>3.85</v>
      </c>
      <c r="K263" s="9">
        <f>ROUND(H263*I263*J263, 2)</f>
        <v/>
      </c>
      <c r="L263" s="23">
        <f>ROUND(K263/1000, 3)</f>
        <v/>
      </c>
      <c r="M263" s="8" t="n"/>
      <c r="N263" s="6" t="n"/>
      <c r="O263" s="24">
        <f>IF(AND(E263&lt;=10, F263&lt;&gt;"ASTM A416", INT(P263/20)&gt;INT(P262/20)), "TN Ø10 (Lần " &amp; INT(P263/20) &amp; ")", IF(AND(E263=12, INT(Q263/20)&gt;INT(Q262/20)), "TN Ø12 (Lần " &amp; INT(Q263/20) &amp; ")", IF(AND(E263=14, INT(R263/20)&gt;INT(R262/20)), "TN Ø14 (Lần " &amp; INT(R263/20) &amp; ")", IF(AND(E263=16, INT(S263/20)&gt;INT(S262/20)), "TN Ø16 (Lần " &amp; INT(S263/20) &amp; ")", IF(AND(E263=18, INT(T263/20)&gt;INT(T262/20)), "TN Ø18 (Lần " &amp; INT(T263/20) &amp; ")", IF(AND(E263=20, INT(U263/20)&gt;INT(U262/20)), "TN Ø20 (Lần " &amp; INT(U263/20) &amp; ")", IF(AND(E263=22, INT(V263/20)&gt;INT(V262/20)), "TN Ø22 (Lần " &amp; INT(V263/20) &amp; ")", IF(AND(E263=25, INT(W263/20)&gt;INT(W262/20)), "TN Ø25 (Lần " &amp; INT(W263/20) &amp; ")", IF(AND(E263=28, INT(X263/20)&gt;INT(X262/20)), "TN Ø28 (Lần " &amp; INT(X263/20) &amp; ")", IF(AND(E263=32, INT(Y263/20)&gt;INT(Y262/20)), "TN Ø32 (Lần " &amp; INT(Y263/20) &amp; ")", IF(AND(F263="ASTM A416", INT(Z263/20)&gt;INT(Z262/20)), "TN Cáp 15.2 (Lần " &amp; INT(Z263/20) &amp; ")", "")))))))))))</f>
        <v/>
      </c>
      <c r="P263" s="20">
        <f>ROUND(P262 + IF(AND(E263&lt;=10, F263&lt;&gt;"ASTM A416"), L263, 0), 3)</f>
        <v/>
      </c>
      <c r="Q263" s="20">
        <f>ROUND(Q262 + IF(AND(E263=12, F263&lt;&gt;"ASTM A416"), L263, 0), 3)</f>
        <v/>
      </c>
      <c r="R263" s="20">
        <f>ROUND(R262 + IF(AND(E263=14, F263&lt;&gt;"ASTM A416"), L263, 0), 3)</f>
        <v/>
      </c>
      <c r="S263" s="20">
        <f>ROUND(S262 + IF(AND(E263=16, F263&lt;&gt;"ASTM A416"), L263, 0), 3)</f>
        <v/>
      </c>
      <c r="T263" s="20">
        <f>ROUND(T262 + IF(AND(E263=18, F263&lt;&gt;"ASTM A416"), L263, 0), 3)</f>
        <v/>
      </c>
      <c r="U263" s="20">
        <f>ROUND(U262 + IF(AND(E263=20, F263&lt;&gt;"ASTM A416"), L263, 0), 3)</f>
        <v/>
      </c>
      <c r="V263" s="20">
        <f>ROUND(V262 + IF(AND(E263=22, F263&lt;&gt;"ASTM A416"), L263, 0), 3)</f>
        <v/>
      </c>
      <c r="W263" s="20">
        <f>ROUND(W262 + IF(AND(E263=25, F263&lt;&gt;"ASTM A416"), L263, 0), 3)</f>
        <v/>
      </c>
      <c r="X263" s="20">
        <f>ROUND(X262 + IF(AND(E263=28, F263&lt;&gt;"ASTM A416"), L263, 0), 3)</f>
        <v/>
      </c>
      <c r="Y263" s="20">
        <f>ROUND(Y262 + IF(AND(E263=32, F263&lt;&gt;"ASTM A416"), L263, 0), 3)</f>
        <v/>
      </c>
      <c r="Z263" s="20">
        <f>ROUND(Z262 + IF(F263="ASTM A416", L263, 0), 3)</f>
        <v/>
      </c>
      <c r="AA263" s="11">
        <f>IF(INT(P263/20)&gt;INT(P262/20), "Lần " &amp; INT(P263/20), "")</f>
        <v/>
      </c>
      <c r="AB263" s="11">
        <f>IF(INT(Q263/20)&gt;INT(Q262/20), "Lần " &amp; INT(Q263/20), "")</f>
        <v/>
      </c>
      <c r="AC263" s="11">
        <f>IF(INT(R263/20)&gt;INT(R262/20), "Lần " &amp; INT(R263/20), "")</f>
        <v/>
      </c>
      <c r="AD263" s="11">
        <f>IF(INT(S263/20)&gt;INT(S262/20), "Lần " &amp; INT(S263/20), "")</f>
        <v/>
      </c>
      <c r="AE263" s="11">
        <f>IF(INT(T263/20)&gt;INT(T262/20), "Lần " &amp; INT(T263/20), "")</f>
        <v/>
      </c>
      <c r="AF263" s="11">
        <f>IF(INT(U263/20)&gt;INT(U262/20), "Lần " &amp; INT(U263/20), "")</f>
        <v/>
      </c>
      <c r="AG263" s="11">
        <f>IF(INT(V263/20)&gt;INT(V262/20), "Lần " &amp; INT(V263/20), "")</f>
        <v/>
      </c>
      <c r="AH263" s="11">
        <f>IF(INT(W263/20)&gt;INT(W262/20), "Lần " &amp; INT(W263/20), "")</f>
        <v/>
      </c>
      <c r="AI263" s="11">
        <f>IF(INT(X263/20)&gt;INT(X262/20), "Lần " &amp; INT(X263/20), "")</f>
        <v/>
      </c>
      <c r="AJ263" s="11">
        <f>IF(INT(Y263/20)&gt;INT(Y262/20), "Lần " &amp; INT(Y263/20), "")</f>
        <v/>
      </c>
      <c r="AK263" s="11">
        <f>IF(INT(Z263/20)&gt;INT(Z262/20), "Lần " &amp; INT(Z263/20), "")</f>
        <v/>
      </c>
      <c r="AL263" s="6" t="inlineStr">
        <is>
          <t>ĐẠT TCVN 1651:2018</t>
        </is>
      </c>
    </row>
    <row r="264" ht="19" customHeight="1">
      <c r="A264" s="6" t="n">
        <v>244</v>
      </c>
      <c r="B264" s="7" t="inlineStr">
        <is>
          <t>Cọc khoan nhồi C6 Trụ T2 (D1.2m, L=30.0m)</t>
        </is>
      </c>
      <c r="C264" s="7" t="inlineStr">
        <is>
          <t>Cốt thép chủ chịu lực cọc</t>
        </is>
      </c>
      <c r="D264" s="18" t="inlineStr">
        <is>
          <t>P3</t>
        </is>
      </c>
      <c r="E264" s="19" t="n">
        <v>25</v>
      </c>
      <c r="F264" s="6" t="inlineStr">
        <is>
          <t>CB400-V</t>
        </is>
      </c>
      <c r="G264" s="7" t="inlineStr">
        <is>
          <t>Thanh thẳng nối ren/hàn</t>
        </is>
      </c>
      <c r="H264" s="20" t="n">
        <v>10.7</v>
      </c>
      <c r="I264" s="21" t="n">
        <v>12</v>
      </c>
      <c r="J264" s="22" t="n">
        <v>3.85</v>
      </c>
      <c r="K264" s="9">
        <f>ROUND(H264*I264*J264, 2)</f>
        <v/>
      </c>
      <c r="L264" s="23">
        <f>ROUND(K264/1000, 3)</f>
        <v/>
      </c>
      <c r="M264" s="8" t="n"/>
      <c r="N264" s="6" t="n"/>
      <c r="O264" s="24">
        <f>IF(AND(E264&lt;=10, F264&lt;&gt;"ASTM A416", INT(P264/20)&gt;INT(P263/20)), "TN Ø10 (Lần " &amp; INT(P264/20) &amp; ")", IF(AND(E264=12, INT(Q264/20)&gt;INT(Q263/20)), "TN Ø12 (Lần " &amp; INT(Q264/20) &amp; ")", IF(AND(E264=14, INT(R264/20)&gt;INT(R263/20)), "TN Ø14 (Lần " &amp; INT(R264/20) &amp; ")", IF(AND(E264=16, INT(S264/20)&gt;INT(S263/20)), "TN Ø16 (Lần " &amp; INT(S264/20) &amp; ")", IF(AND(E264=18, INT(T264/20)&gt;INT(T263/20)), "TN Ø18 (Lần " &amp; INT(T264/20) &amp; ")", IF(AND(E264=20, INT(U264/20)&gt;INT(U263/20)), "TN Ø20 (Lần " &amp; INT(U264/20) &amp; ")", IF(AND(E264=22, INT(V264/20)&gt;INT(V263/20)), "TN Ø22 (Lần " &amp; INT(V264/20) &amp; ")", IF(AND(E264=25, INT(W264/20)&gt;INT(W263/20)), "TN Ø25 (Lần " &amp; INT(W264/20) &amp; ")", IF(AND(E264=28, INT(X264/20)&gt;INT(X263/20)), "TN Ø28 (Lần " &amp; INT(X264/20) &amp; ")", IF(AND(E264=32, INT(Y264/20)&gt;INT(Y263/20)), "TN Ø32 (Lần " &amp; INT(Y264/20) &amp; ")", IF(AND(F264="ASTM A416", INT(Z264/20)&gt;INT(Z263/20)), "TN Cáp 15.2 (Lần " &amp; INT(Z264/20) &amp; ")", "")))))))))))</f>
        <v/>
      </c>
      <c r="P264" s="20">
        <f>ROUND(P263 + IF(AND(E264&lt;=10, F264&lt;&gt;"ASTM A416"), L264, 0), 3)</f>
        <v/>
      </c>
      <c r="Q264" s="20">
        <f>ROUND(Q263 + IF(AND(E264=12, F264&lt;&gt;"ASTM A416"), L264, 0), 3)</f>
        <v/>
      </c>
      <c r="R264" s="20">
        <f>ROUND(R263 + IF(AND(E264=14, F264&lt;&gt;"ASTM A416"), L264, 0), 3)</f>
        <v/>
      </c>
      <c r="S264" s="20">
        <f>ROUND(S263 + IF(AND(E264=16, F264&lt;&gt;"ASTM A416"), L264, 0), 3)</f>
        <v/>
      </c>
      <c r="T264" s="20">
        <f>ROUND(T263 + IF(AND(E264=18, F264&lt;&gt;"ASTM A416"), L264, 0), 3)</f>
        <v/>
      </c>
      <c r="U264" s="20">
        <f>ROUND(U263 + IF(AND(E264=20, F264&lt;&gt;"ASTM A416"), L264, 0), 3)</f>
        <v/>
      </c>
      <c r="V264" s="20">
        <f>ROUND(V263 + IF(AND(E264=22, F264&lt;&gt;"ASTM A416"), L264, 0), 3)</f>
        <v/>
      </c>
      <c r="W264" s="20">
        <f>ROUND(W263 + IF(AND(E264=25, F264&lt;&gt;"ASTM A416"), L264, 0), 3)</f>
        <v/>
      </c>
      <c r="X264" s="20">
        <f>ROUND(X263 + IF(AND(E264=28, F264&lt;&gt;"ASTM A416"), L264, 0), 3)</f>
        <v/>
      </c>
      <c r="Y264" s="20">
        <f>ROUND(Y263 + IF(AND(E264=32, F264&lt;&gt;"ASTM A416"), L264, 0), 3)</f>
        <v/>
      </c>
      <c r="Z264" s="20">
        <f>ROUND(Z263 + IF(F264="ASTM A416", L264, 0), 3)</f>
        <v/>
      </c>
      <c r="AA264" s="11">
        <f>IF(INT(P264/20)&gt;INT(P263/20), "Lần " &amp; INT(P264/20), "")</f>
        <v/>
      </c>
      <c r="AB264" s="11">
        <f>IF(INT(Q264/20)&gt;INT(Q263/20), "Lần " &amp; INT(Q264/20), "")</f>
        <v/>
      </c>
      <c r="AC264" s="11">
        <f>IF(INT(R264/20)&gt;INT(R263/20), "Lần " &amp; INT(R264/20), "")</f>
        <v/>
      </c>
      <c r="AD264" s="11">
        <f>IF(INT(S264/20)&gt;INT(S263/20), "Lần " &amp; INT(S264/20), "")</f>
        <v/>
      </c>
      <c r="AE264" s="11">
        <f>IF(INT(T264/20)&gt;INT(T263/20), "Lần " &amp; INT(T264/20), "")</f>
        <v/>
      </c>
      <c r="AF264" s="11">
        <f>IF(INT(U264/20)&gt;INT(U263/20), "Lần " &amp; INT(U264/20), "")</f>
        <v/>
      </c>
      <c r="AG264" s="11">
        <f>IF(INT(V264/20)&gt;INT(V263/20), "Lần " &amp; INT(V264/20), "")</f>
        <v/>
      </c>
      <c r="AH264" s="11">
        <f>IF(INT(W264/20)&gt;INT(W263/20), "Lần " &amp; INT(W264/20), "")</f>
        <v/>
      </c>
      <c r="AI264" s="11">
        <f>IF(INT(X264/20)&gt;INT(X263/20), "Lần " &amp; INT(X264/20), "")</f>
        <v/>
      </c>
      <c r="AJ264" s="11">
        <f>IF(INT(Y264/20)&gt;INT(Y263/20), "Lần " &amp; INT(Y264/20), "")</f>
        <v/>
      </c>
      <c r="AK264" s="11">
        <f>IF(INT(Z264/20)&gt;INT(Z263/20), "Lần " &amp; INT(Z264/20), "")</f>
        <v/>
      </c>
      <c r="AL264" s="6" t="inlineStr">
        <is>
          <t>ĐẠT TCVN 1651:2018</t>
        </is>
      </c>
    </row>
    <row r="265" ht="19" customHeight="1">
      <c r="A265" s="6" t="n">
        <v>245</v>
      </c>
      <c r="B265" s="7" t="inlineStr">
        <is>
          <t>Cọc khoan nhồi C6 Trụ T2 (D1.2m, L=30.0m)</t>
        </is>
      </c>
      <c r="C265" s="7" t="inlineStr">
        <is>
          <t>Cốt thép chủ chịu lực cọc</t>
        </is>
      </c>
      <c r="D265" s="18" t="inlineStr">
        <is>
          <t>P4</t>
        </is>
      </c>
      <c r="E265" s="19" t="n">
        <v>25</v>
      </c>
      <c r="F265" s="6" t="inlineStr">
        <is>
          <t>CB400-V</t>
        </is>
      </c>
      <c r="G265" s="7" t="inlineStr">
        <is>
          <t>Thanh thẳng nối ren/hàn</t>
        </is>
      </c>
      <c r="H265" s="20" t="n">
        <v>11.7</v>
      </c>
      <c r="I265" s="21" t="n">
        <v>36</v>
      </c>
      <c r="J265" s="22" t="n">
        <v>3.85</v>
      </c>
      <c r="K265" s="9">
        <f>ROUND(H265*I265*J265, 2)</f>
        <v/>
      </c>
      <c r="L265" s="23">
        <f>ROUND(K265/1000, 3)</f>
        <v/>
      </c>
      <c r="M265" s="8" t="n"/>
      <c r="N265" s="6" t="n"/>
      <c r="O265" s="24">
        <f>IF(AND(E265&lt;=10, F265&lt;&gt;"ASTM A416", INT(P265/20)&gt;INT(P264/20)), "TN Ø10 (Lần " &amp; INT(P265/20) &amp; ")", IF(AND(E265=12, INT(Q265/20)&gt;INT(Q264/20)), "TN Ø12 (Lần " &amp; INT(Q265/20) &amp; ")", IF(AND(E265=14, INT(R265/20)&gt;INT(R264/20)), "TN Ø14 (Lần " &amp; INT(R265/20) &amp; ")", IF(AND(E265=16, INT(S265/20)&gt;INT(S264/20)), "TN Ø16 (Lần " &amp; INT(S265/20) &amp; ")", IF(AND(E265=18, INT(T265/20)&gt;INT(T264/20)), "TN Ø18 (Lần " &amp; INT(T265/20) &amp; ")", IF(AND(E265=20, INT(U265/20)&gt;INT(U264/20)), "TN Ø20 (Lần " &amp; INT(U265/20) &amp; ")", IF(AND(E265=22, INT(V265/20)&gt;INT(V264/20)), "TN Ø22 (Lần " &amp; INT(V265/20) &amp; ")", IF(AND(E265=25, INT(W265/20)&gt;INT(W264/20)), "TN Ø25 (Lần " &amp; INT(W265/20) &amp; ")", IF(AND(E265=28, INT(X265/20)&gt;INT(X264/20)), "TN Ø28 (Lần " &amp; INT(X265/20) &amp; ")", IF(AND(E265=32, INT(Y265/20)&gt;INT(Y264/20)), "TN Ø32 (Lần " &amp; INT(Y265/20) &amp; ")", IF(AND(F265="ASTM A416", INT(Z265/20)&gt;INT(Z264/20)), "TN Cáp 15.2 (Lần " &amp; INT(Z265/20) &amp; ")", "")))))))))))</f>
        <v/>
      </c>
      <c r="P265" s="20">
        <f>ROUND(P264 + IF(AND(E265&lt;=10, F265&lt;&gt;"ASTM A416"), L265, 0), 3)</f>
        <v/>
      </c>
      <c r="Q265" s="20">
        <f>ROUND(Q264 + IF(AND(E265=12, F265&lt;&gt;"ASTM A416"), L265, 0), 3)</f>
        <v/>
      </c>
      <c r="R265" s="20">
        <f>ROUND(R264 + IF(AND(E265=14, F265&lt;&gt;"ASTM A416"), L265, 0), 3)</f>
        <v/>
      </c>
      <c r="S265" s="20">
        <f>ROUND(S264 + IF(AND(E265=16, F265&lt;&gt;"ASTM A416"), L265, 0), 3)</f>
        <v/>
      </c>
      <c r="T265" s="20">
        <f>ROUND(T264 + IF(AND(E265=18, F265&lt;&gt;"ASTM A416"), L265, 0), 3)</f>
        <v/>
      </c>
      <c r="U265" s="20">
        <f>ROUND(U264 + IF(AND(E265=20, F265&lt;&gt;"ASTM A416"), L265, 0), 3)</f>
        <v/>
      </c>
      <c r="V265" s="20">
        <f>ROUND(V264 + IF(AND(E265=22, F265&lt;&gt;"ASTM A416"), L265, 0), 3)</f>
        <v/>
      </c>
      <c r="W265" s="20">
        <f>ROUND(W264 + IF(AND(E265=25, F265&lt;&gt;"ASTM A416"), L265, 0), 3)</f>
        <v/>
      </c>
      <c r="X265" s="20">
        <f>ROUND(X264 + IF(AND(E265=28, F265&lt;&gt;"ASTM A416"), L265, 0), 3)</f>
        <v/>
      </c>
      <c r="Y265" s="20">
        <f>ROUND(Y264 + IF(AND(E265=32, F265&lt;&gt;"ASTM A416"), L265, 0), 3)</f>
        <v/>
      </c>
      <c r="Z265" s="20">
        <f>ROUND(Z264 + IF(F265="ASTM A416", L265, 0), 3)</f>
        <v/>
      </c>
      <c r="AA265" s="11">
        <f>IF(INT(P265/20)&gt;INT(P264/20), "Lần " &amp; INT(P265/20), "")</f>
        <v/>
      </c>
      <c r="AB265" s="11">
        <f>IF(INT(Q265/20)&gt;INT(Q264/20), "Lần " &amp; INT(Q265/20), "")</f>
        <v/>
      </c>
      <c r="AC265" s="11">
        <f>IF(INT(R265/20)&gt;INT(R264/20), "Lần " &amp; INT(R265/20), "")</f>
        <v/>
      </c>
      <c r="AD265" s="11">
        <f>IF(INT(S265/20)&gt;INT(S264/20), "Lần " &amp; INT(S265/20), "")</f>
        <v/>
      </c>
      <c r="AE265" s="11">
        <f>IF(INT(T265/20)&gt;INT(T264/20), "Lần " &amp; INT(T265/20), "")</f>
        <v/>
      </c>
      <c r="AF265" s="11">
        <f>IF(INT(U265/20)&gt;INT(U264/20), "Lần " &amp; INT(U265/20), "")</f>
        <v/>
      </c>
      <c r="AG265" s="11">
        <f>IF(INT(V265/20)&gt;INT(V264/20), "Lần " &amp; INT(V265/20), "")</f>
        <v/>
      </c>
      <c r="AH265" s="11">
        <f>IF(INT(W265/20)&gt;INT(W264/20), "Lần " &amp; INT(W265/20), "")</f>
        <v/>
      </c>
      <c r="AI265" s="11">
        <f>IF(INT(X265/20)&gt;INT(X264/20), "Lần " &amp; INT(X265/20), "")</f>
        <v/>
      </c>
      <c r="AJ265" s="11">
        <f>IF(INT(Y265/20)&gt;INT(Y264/20), "Lần " &amp; INT(Y265/20), "")</f>
        <v/>
      </c>
      <c r="AK265" s="11">
        <f>IF(INT(Z265/20)&gt;INT(Z264/20), "Lần " &amp; INT(Z265/20), "")</f>
        <v/>
      </c>
      <c r="AL265" s="6" t="inlineStr">
        <is>
          <t>ĐẠT TCVN 1651:2018</t>
        </is>
      </c>
    </row>
    <row r="266" ht="19" customHeight="1">
      <c r="A266" s="6" t="n">
        <v>246</v>
      </c>
      <c r="B266" s="7" t="inlineStr">
        <is>
          <t>Cọc khoan nhồi C6 Trụ T2 (D1.2m, L=30.0m)</t>
        </is>
      </c>
      <c r="C266" s="7" t="inlineStr">
        <is>
          <t>Cốt thép chủ chịu lực cọc</t>
        </is>
      </c>
      <c r="D266" s="18" t="inlineStr">
        <is>
          <t>P6</t>
        </is>
      </c>
      <c r="E266" s="19" t="n">
        <v>25</v>
      </c>
      <c r="F266" s="6" t="inlineStr">
        <is>
          <t>CB400-V</t>
        </is>
      </c>
      <c r="G266" s="7" t="inlineStr">
        <is>
          <t>Thanh thẳng nối ren/hàn</t>
        </is>
      </c>
      <c r="H266" s="20" t="n">
        <v>9.733000000000001</v>
      </c>
      <c r="I266" s="21" t="n">
        <v>12</v>
      </c>
      <c r="J266" s="22" t="n">
        <v>3.85</v>
      </c>
      <c r="K266" s="9">
        <f>ROUND(H266*I266*J266, 2)</f>
        <v/>
      </c>
      <c r="L266" s="23">
        <f>ROUND(K266/1000, 3)</f>
        <v/>
      </c>
      <c r="M266" s="8" t="n"/>
      <c r="N266" s="6" t="n"/>
      <c r="O266" s="24">
        <f>IF(AND(E266&lt;=10, F266&lt;&gt;"ASTM A416", INT(P266/20)&gt;INT(P265/20)), "TN Ø10 (Lần " &amp; INT(P266/20) &amp; ")", IF(AND(E266=12, INT(Q266/20)&gt;INT(Q265/20)), "TN Ø12 (Lần " &amp; INT(Q266/20) &amp; ")", IF(AND(E266=14, INT(R266/20)&gt;INT(R265/20)), "TN Ø14 (Lần " &amp; INT(R266/20) &amp; ")", IF(AND(E266=16, INT(S266/20)&gt;INT(S265/20)), "TN Ø16 (Lần " &amp; INT(S266/20) &amp; ")", IF(AND(E266=18, INT(T266/20)&gt;INT(T265/20)), "TN Ø18 (Lần " &amp; INT(T266/20) &amp; ")", IF(AND(E266=20, INT(U266/20)&gt;INT(U265/20)), "TN Ø20 (Lần " &amp; INT(U266/20) &amp; ")", IF(AND(E266=22, INT(V266/20)&gt;INT(V265/20)), "TN Ø22 (Lần " &amp; INT(V266/20) &amp; ")", IF(AND(E266=25, INT(W266/20)&gt;INT(W265/20)), "TN Ø25 (Lần " &amp; INT(W266/20) &amp; ")", IF(AND(E266=28, INT(X266/20)&gt;INT(X265/20)), "TN Ø28 (Lần " &amp; INT(X266/20) &amp; ")", IF(AND(E266=32, INT(Y266/20)&gt;INT(Y265/20)), "TN Ø32 (Lần " &amp; INT(Y266/20) &amp; ")", IF(AND(F266="ASTM A416", INT(Z266/20)&gt;INT(Z265/20)), "TN Cáp 15.2 (Lần " &amp; INT(Z266/20) &amp; ")", "")))))))))))</f>
        <v/>
      </c>
      <c r="P266" s="20">
        <f>ROUND(P265 + IF(AND(E266&lt;=10, F266&lt;&gt;"ASTM A416"), L266, 0), 3)</f>
        <v/>
      </c>
      <c r="Q266" s="20">
        <f>ROUND(Q265 + IF(AND(E266=12, F266&lt;&gt;"ASTM A416"), L266, 0), 3)</f>
        <v/>
      </c>
      <c r="R266" s="20">
        <f>ROUND(R265 + IF(AND(E266=14, F266&lt;&gt;"ASTM A416"), L266, 0), 3)</f>
        <v/>
      </c>
      <c r="S266" s="20">
        <f>ROUND(S265 + IF(AND(E266=16, F266&lt;&gt;"ASTM A416"), L266, 0), 3)</f>
        <v/>
      </c>
      <c r="T266" s="20">
        <f>ROUND(T265 + IF(AND(E266=18, F266&lt;&gt;"ASTM A416"), L266, 0), 3)</f>
        <v/>
      </c>
      <c r="U266" s="20">
        <f>ROUND(U265 + IF(AND(E266=20, F266&lt;&gt;"ASTM A416"), L266, 0), 3)</f>
        <v/>
      </c>
      <c r="V266" s="20">
        <f>ROUND(V265 + IF(AND(E266=22, F266&lt;&gt;"ASTM A416"), L266, 0), 3)</f>
        <v/>
      </c>
      <c r="W266" s="20">
        <f>ROUND(W265 + IF(AND(E266=25, F266&lt;&gt;"ASTM A416"), L266, 0), 3)</f>
        <v/>
      </c>
      <c r="X266" s="20">
        <f>ROUND(X265 + IF(AND(E266=28, F266&lt;&gt;"ASTM A416"), L266, 0), 3)</f>
        <v/>
      </c>
      <c r="Y266" s="20">
        <f>ROUND(Y265 + IF(AND(E266=32, F266&lt;&gt;"ASTM A416"), L266, 0), 3)</f>
        <v/>
      </c>
      <c r="Z266" s="20">
        <f>ROUND(Z265 + IF(F266="ASTM A416", L266, 0), 3)</f>
        <v/>
      </c>
      <c r="AA266" s="11">
        <f>IF(INT(P266/20)&gt;INT(P265/20), "Lần " &amp; INT(P266/20), "")</f>
        <v/>
      </c>
      <c r="AB266" s="11">
        <f>IF(INT(Q266/20)&gt;INT(Q265/20), "Lần " &amp; INT(Q266/20), "")</f>
        <v/>
      </c>
      <c r="AC266" s="11">
        <f>IF(INT(R266/20)&gt;INT(R265/20), "Lần " &amp; INT(R266/20), "")</f>
        <v/>
      </c>
      <c r="AD266" s="11">
        <f>IF(INT(S266/20)&gt;INT(S265/20), "Lần " &amp; INT(S266/20), "")</f>
        <v/>
      </c>
      <c r="AE266" s="11">
        <f>IF(INT(T266/20)&gt;INT(T265/20), "Lần " &amp; INT(T266/20), "")</f>
        <v/>
      </c>
      <c r="AF266" s="11">
        <f>IF(INT(U266/20)&gt;INT(U265/20), "Lần " &amp; INT(U266/20), "")</f>
        <v/>
      </c>
      <c r="AG266" s="11">
        <f>IF(INT(V266/20)&gt;INT(V265/20), "Lần " &amp; INT(V266/20), "")</f>
        <v/>
      </c>
      <c r="AH266" s="11">
        <f>IF(INT(W266/20)&gt;INT(W265/20), "Lần " &amp; INT(W266/20), "")</f>
        <v/>
      </c>
      <c r="AI266" s="11">
        <f>IF(INT(X266/20)&gt;INT(X265/20), "Lần " &amp; INT(X266/20), "")</f>
        <v/>
      </c>
      <c r="AJ266" s="11">
        <f>IF(INT(Y266/20)&gt;INT(Y265/20), "Lần " &amp; INT(Y266/20), "")</f>
        <v/>
      </c>
      <c r="AK266" s="11">
        <f>IF(INT(Z266/20)&gt;INT(Z265/20), "Lần " &amp; INT(Z266/20), "")</f>
        <v/>
      </c>
      <c r="AL266" s="6" t="inlineStr">
        <is>
          <t>ĐẠT TCVN 1651:2018</t>
        </is>
      </c>
    </row>
    <row r="267" ht="19" customHeight="1">
      <c r="A267" s="6" t="n">
        <v>247</v>
      </c>
      <c r="B267" s="7" t="inlineStr">
        <is>
          <t>Cọc khoan nhồi C6 Trụ T2 (D1.2m, L=30.0m)</t>
        </is>
      </c>
      <c r="C267" s="7" t="inlineStr">
        <is>
          <t>Cốt thép chủ chịu lực cọc</t>
        </is>
      </c>
      <c r="D267" s="18" t="inlineStr">
        <is>
          <t>P7</t>
        </is>
      </c>
      <c r="E267" s="19" t="n">
        <v>25</v>
      </c>
      <c r="F267" s="6" t="inlineStr">
        <is>
          <t>CB400-V</t>
        </is>
      </c>
      <c r="G267" s="7" t="inlineStr">
        <is>
          <t>Thanh thẳng nối ren/hàn</t>
        </is>
      </c>
      <c r="H267" s="20" t="n">
        <v>10.733</v>
      </c>
      <c r="I267" s="21" t="n">
        <v>12</v>
      </c>
      <c r="J267" s="22" t="n">
        <v>3.85</v>
      </c>
      <c r="K267" s="9">
        <f>ROUND(H267*I267*J267, 2)</f>
        <v/>
      </c>
      <c r="L267" s="23">
        <f>ROUND(K267/1000, 3)</f>
        <v/>
      </c>
      <c r="M267" s="8" t="n"/>
      <c r="N267" s="6" t="n"/>
      <c r="O267" s="24">
        <f>IF(AND(E267&lt;=10, F267&lt;&gt;"ASTM A416", INT(P267/20)&gt;INT(P266/20)), "TN Ø10 (Lần " &amp; INT(P267/20) &amp; ")", IF(AND(E267=12, INT(Q267/20)&gt;INT(Q266/20)), "TN Ø12 (Lần " &amp; INT(Q267/20) &amp; ")", IF(AND(E267=14, INT(R267/20)&gt;INT(R266/20)), "TN Ø14 (Lần " &amp; INT(R267/20) &amp; ")", IF(AND(E267=16, INT(S267/20)&gt;INT(S266/20)), "TN Ø16 (Lần " &amp; INT(S267/20) &amp; ")", IF(AND(E267=18, INT(T267/20)&gt;INT(T266/20)), "TN Ø18 (Lần " &amp; INT(T267/20) &amp; ")", IF(AND(E267=20, INT(U267/20)&gt;INT(U266/20)), "TN Ø20 (Lần " &amp; INT(U267/20) &amp; ")", IF(AND(E267=22, INT(V267/20)&gt;INT(V266/20)), "TN Ø22 (Lần " &amp; INT(V267/20) &amp; ")", IF(AND(E267=25, INT(W267/20)&gt;INT(W266/20)), "TN Ø25 (Lần " &amp; INT(W267/20) &amp; ")", IF(AND(E267=28, INT(X267/20)&gt;INT(X266/20)), "TN Ø28 (Lần " &amp; INT(X267/20) &amp; ")", IF(AND(E267=32, INT(Y267/20)&gt;INT(Y266/20)), "TN Ø32 (Lần " &amp; INT(Y267/20) &amp; ")", IF(AND(F267="ASTM A416", INT(Z267/20)&gt;INT(Z266/20)), "TN Cáp 15.2 (Lần " &amp; INT(Z267/20) &amp; ")", "")))))))))))</f>
        <v/>
      </c>
      <c r="P267" s="20">
        <f>ROUND(P266 + IF(AND(E267&lt;=10, F267&lt;&gt;"ASTM A416"), L267, 0), 3)</f>
        <v/>
      </c>
      <c r="Q267" s="20">
        <f>ROUND(Q266 + IF(AND(E267=12, F267&lt;&gt;"ASTM A416"), L267, 0), 3)</f>
        <v/>
      </c>
      <c r="R267" s="20">
        <f>ROUND(R266 + IF(AND(E267=14, F267&lt;&gt;"ASTM A416"), L267, 0), 3)</f>
        <v/>
      </c>
      <c r="S267" s="20">
        <f>ROUND(S266 + IF(AND(E267=16, F267&lt;&gt;"ASTM A416"), L267, 0), 3)</f>
        <v/>
      </c>
      <c r="T267" s="20">
        <f>ROUND(T266 + IF(AND(E267=18, F267&lt;&gt;"ASTM A416"), L267, 0), 3)</f>
        <v/>
      </c>
      <c r="U267" s="20">
        <f>ROUND(U266 + IF(AND(E267=20, F267&lt;&gt;"ASTM A416"), L267, 0), 3)</f>
        <v/>
      </c>
      <c r="V267" s="20">
        <f>ROUND(V266 + IF(AND(E267=22, F267&lt;&gt;"ASTM A416"), L267, 0), 3)</f>
        <v/>
      </c>
      <c r="W267" s="20">
        <f>ROUND(W266 + IF(AND(E267=25, F267&lt;&gt;"ASTM A416"), L267, 0), 3)</f>
        <v/>
      </c>
      <c r="X267" s="20">
        <f>ROUND(X266 + IF(AND(E267=28, F267&lt;&gt;"ASTM A416"), L267, 0), 3)</f>
        <v/>
      </c>
      <c r="Y267" s="20">
        <f>ROUND(Y266 + IF(AND(E267=32, F267&lt;&gt;"ASTM A416"), L267, 0), 3)</f>
        <v/>
      </c>
      <c r="Z267" s="20">
        <f>ROUND(Z266 + IF(F267="ASTM A416", L267, 0), 3)</f>
        <v/>
      </c>
      <c r="AA267" s="11">
        <f>IF(INT(P267/20)&gt;INT(P266/20), "Lần " &amp; INT(P267/20), "")</f>
        <v/>
      </c>
      <c r="AB267" s="11">
        <f>IF(INT(Q267/20)&gt;INT(Q266/20), "Lần " &amp; INT(Q267/20), "")</f>
        <v/>
      </c>
      <c r="AC267" s="11">
        <f>IF(INT(R267/20)&gt;INT(R266/20), "Lần " &amp; INT(R267/20), "")</f>
        <v/>
      </c>
      <c r="AD267" s="11">
        <f>IF(INT(S267/20)&gt;INT(S266/20), "Lần " &amp; INT(S267/20), "")</f>
        <v/>
      </c>
      <c r="AE267" s="11">
        <f>IF(INT(T267/20)&gt;INT(T266/20), "Lần " &amp; INT(T267/20), "")</f>
        <v/>
      </c>
      <c r="AF267" s="11">
        <f>IF(INT(U267/20)&gt;INT(U266/20), "Lần " &amp; INT(U267/20), "")</f>
        <v/>
      </c>
      <c r="AG267" s="11">
        <f>IF(INT(V267/20)&gt;INT(V266/20), "Lần " &amp; INT(V267/20), "")</f>
        <v/>
      </c>
      <c r="AH267" s="11">
        <f>IF(INT(W267/20)&gt;INT(W266/20), "Lần " &amp; INT(W267/20), "")</f>
        <v/>
      </c>
      <c r="AI267" s="11">
        <f>IF(INT(X267/20)&gt;INT(X266/20), "Lần " &amp; INT(X267/20), "")</f>
        <v/>
      </c>
      <c r="AJ267" s="11">
        <f>IF(INT(Y267/20)&gt;INT(Y266/20), "Lần " &amp; INT(Y267/20), "")</f>
        <v/>
      </c>
      <c r="AK267" s="11">
        <f>IF(INT(Z267/20)&gt;INT(Z266/20), "Lần " &amp; INT(Z267/20), "")</f>
        <v/>
      </c>
      <c r="AL267" s="6" t="inlineStr">
        <is>
          <t>ĐẠT TCVN 1651:2018</t>
        </is>
      </c>
    </row>
    <row r="268" ht="19" customHeight="1">
      <c r="A268" s="6" t="n">
        <v>248</v>
      </c>
      <c r="B268" s="7" t="inlineStr">
        <is>
          <t>Cọc khoan nhồi C6 Trụ T2 (D1.2m, L=30.0m)</t>
        </is>
      </c>
      <c r="C268" s="7" t="inlineStr">
        <is>
          <t>Đai tăng cường / Con kê bảo vệ</t>
        </is>
      </c>
      <c r="D268" s="18" t="inlineStr">
        <is>
          <t>P8</t>
        </is>
      </c>
      <c r="E268" s="19" t="n">
        <v>12</v>
      </c>
      <c r="F268" s="6" t="inlineStr">
        <is>
          <t>CB400-V</t>
        </is>
      </c>
      <c r="G268" s="7" t="inlineStr">
        <is>
          <t>Móc neo / Vòng đai</t>
        </is>
      </c>
      <c r="H268" s="20" t="n">
        <v>0.647</v>
      </c>
      <c r="I268" s="21" t="n">
        <v>12</v>
      </c>
      <c r="J268" s="22" t="n">
        <v>0.888</v>
      </c>
      <c r="K268" s="9">
        <f>ROUND(H268*I268*J268, 2)</f>
        <v/>
      </c>
      <c r="L268" s="23">
        <f>ROUND(K268/1000, 3)</f>
        <v/>
      </c>
      <c r="M268" s="8" t="n"/>
      <c r="N268" s="6" t="n"/>
      <c r="O268" s="24">
        <f>IF(AND(E268&lt;=10, F268&lt;&gt;"ASTM A416", INT(P268/20)&gt;INT(P267/20)), "TN Ø10 (Lần " &amp; INT(P268/20) &amp; ")", IF(AND(E268=12, INT(Q268/20)&gt;INT(Q267/20)), "TN Ø12 (Lần " &amp; INT(Q268/20) &amp; ")", IF(AND(E268=14, INT(R268/20)&gt;INT(R267/20)), "TN Ø14 (Lần " &amp; INT(R268/20) &amp; ")", IF(AND(E268=16, INT(S268/20)&gt;INT(S267/20)), "TN Ø16 (Lần " &amp; INT(S268/20) &amp; ")", IF(AND(E268=18, INT(T268/20)&gt;INT(T267/20)), "TN Ø18 (Lần " &amp; INT(T268/20) &amp; ")", IF(AND(E268=20, INT(U268/20)&gt;INT(U267/20)), "TN Ø20 (Lần " &amp; INT(U268/20) &amp; ")", IF(AND(E268=22, INT(V268/20)&gt;INT(V267/20)), "TN Ø22 (Lần " &amp; INT(V268/20) &amp; ")", IF(AND(E268=25, INT(W268/20)&gt;INT(W267/20)), "TN Ø25 (Lần " &amp; INT(W268/20) &amp; ")", IF(AND(E268=28, INT(X268/20)&gt;INT(X267/20)), "TN Ø28 (Lần " &amp; INT(X268/20) &amp; ")", IF(AND(E268=32, INT(Y268/20)&gt;INT(Y267/20)), "TN Ø32 (Lần " &amp; INT(Y268/20) &amp; ")", IF(AND(F268="ASTM A416", INT(Z268/20)&gt;INT(Z267/20)), "TN Cáp 15.2 (Lần " &amp; INT(Z268/20) &amp; ")", "")))))))))))</f>
        <v/>
      </c>
      <c r="P268" s="20">
        <f>ROUND(P267 + IF(AND(E268&lt;=10, F268&lt;&gt;"ASTM A416"), L268, 0), 3)</f>
        <v/>
      </c>
      <c r="Q268" s="20">
        <f>ROUND(Q267 + IF(AND(E268=12, F268&lt;&gt;"ASTM A416"), L268, 0), 3)</f>
        <v/>
      </c>
      <c r="R268" s="20">
        <f>ROUND(R267 + IF(AND(E268=14, F268&lt;&gt;"ASTM A416"), L268, 0), 3)</f>
        <v/>
      </c>
      <c r="S268" s="20">
        <f>ROUND(S267 + IF(AND(E268=16, F268&lt;&gt;"ASTM A416"), L268, 0), 3)</f>
        <v/>
      </c>
      <c r="T268" s="20">
        <f>ROUND(T267 + IF(AND(E268=18, F268&lt;&gt;"ASTM A416"), L268, 0), 3)</f>
        <v/>
      </c>
      <c r="U268" s="20">
        <f>ROUND(U267 + IF(AND(E268=20, F268&lt;&gt;"ASTM A416"), L268, 0), 3)</f>
        <v/>
      </c>
      <c r="V268" s="20">
        <f>ROUND(V267 + IF(AND(E268=22, F268&lt;&gt;"ASTM A416"), L268, 0), 3)</f>
        <v/>
      </c>
      <c r="W268" s="20">
        <f>ROUND(W267 + IF(AND(E268=25, F268&lt;&gt;"ASTM A416"), L268, 0), 3)</f>
        <v/>
      </c>
      <c r="X268" s="20">
        <f>ROUND(X267 + IF(AND(E268=28, F268&lt;&gt;"ASTM A416"), L268, 0), 3)</f>
        <v/>
      </c>
      <c r="Y268" s="20">
        <f>ROUND(Y267 + IF(AND(E268=32, F268&lt;&gt;"ASTM A416"), L268, 0), 3)</f>
        <v/>
      </c>
      <c r="Z268" s="20">
        <f>ROUND(Z267 + IF(F268="ASTM A416", L268, 0), 3)</f>
        <v/>
      </c>
      <c r="AA268" s="11">
        <f>IF(INT(P268/20)&gt;INT(P267/20), "Lần " &amp; INT(P268/20), "")</f>
        <v/>
      </c>
      <c r="AB268" s="11">
        <f>IF(INT(Q268/20)&gt;INT(Q267/20), "Lần " &amp; INT(Q268/20), "")</f>
        <v/>
      </c>
      <c r="AC268" s="11">
        <f>IF(INT(R268/20)&gt;INT(R267/20), "Lần " &amp; INT(R268/20), "")</f>
        <v/>
      </c>
      <c r="AD268" s="11">
        <f>IF(INT(S268/20)&gt;INT(S267/20), "Lần " &amp; INT(S268/20), "")</f>
        <v/>
      </c>
      <c r="AE268" s="11">
        <f>IF(INT(T268/20)&gt;INT(T267/20), "Lần " &amp; INT(T268/20), "")</f>
        <v/>
      </c>
      <c r="AF268" s="11">
        <f>IF(INT(U268/20)&gt;INT(U267/20), "Lần " &amp; INT(U268/20), "")</f>
        <v/>
      </c>
      <c r="AG268" s="11">
        <f>IF(INT(V268/20)&gt;INT(V267/20), "Lần " &amp; INT(V268/20), "")</f>
        <v/>
      </c>
      <c r="AH268" s="11">
        <f>IF(INT(W268/20)&gt;INT(W267/20), "Lần " &amp; INT(W268/20), "")</f>
        <v/>
      </c>
      <c r="AI268" s="11">
        <f>IF(INT(X268/20)&gt;INT(X267/20), "Lần " &amp; INT(X268/20), "")</f>
        <v/>
      </c>
      <c r="AJ268" s="11">
        <f>IF(INT(Y268/20)&gt;INT(Y267/20), "Lần " &amp; INT(Y268/20), "")</f>
        <v/>
      </c>
      <c r="AK268" s="11">
        <f>IF(INT(Z268/20)&gt;INT(Z267/20), "Lần " &amp; INT(Z268/20), "")</f>
        <v/>
      </c>
      <c r="AL268" s="6" t="inlineStr">
        <is>
          <t>ĐẠT TCVN 1651:2018</t>
        </is>
      </c>
    </row>
    <row r="269" ht="19" customHeight="1">
      <c r="A269" s="6" t="n">
        <v>249</v>
      </c>
      <c r="B269" s="7" t="inlineStr">
        <is>
          <t>Cọc khoan nhồi C6 Trụ T2 (D1.2m, L=30.0m)</t>
        </is>
      </c>
      <c r="C269" s="7" t="inlineStr">
        <is>
          <t>Đai tăng cường / Con kê bảo vệ</t>
        </is>
      </c>
      <c r="D269" s="18" t="inlineStr">
        <is>
          <t>P9</t>
        </is>
      </c>
      <c r="E269" s="19" t="n">
        <v>12</v>
      </c>
      <c r="F269" s="6" t="inlineStr">
        <is>
          <t>CB400-V</t>
        </is>
      </c>
      <c r="G269" s="7" t="inlineStr">
        <is>
          <t>Móc neo / Vòng đai</t>
        </is>
      </c>
      <c r="H269" s="20" t="n">
        <v>0.379</v>
      </c>
      <c r="I269" s="21" t="n">
        <v>36</v>
      </c>
      <c r="J269" s="22" t="n">
        <v>0.888</v>
      </c>
      <c r="K269" s="9">
        <f>ROUND(H269*I269*J269, 2)</f>
        <v/>
      </c>
      <c r="L269" s="23">
        <f>ROUND(K269/1000, 3)</f>
        <v/>
      </c>
      <c r="M269" s="8" t="n"/>
      <c r="N269" s="6" t="n"/>
      <c r="O269" s="24">
        <f>IF(AND(E269&lt;=10, F269&lt;&gt;"ASTM A416", INT(P269/20)&gt;INT(P268/20)), "TN Ø10 (Lần " &amp; INT(P269/20) &amp; ")", IF(AND(E269=12, INT(Q269/20)&gt;INT(Q268/20)), "TN Ø12 (Lần " &amp; INT(Q269/20) &amp; ")", IF(AND(E269=14, INT(R269/20)&gt;INT(R268/20)), "TN Ø14 (Lần " &amp; INT(R269/20) &amp; ")", IF(AND(E269=16, INT(S269/20)&gt;INT(S268/20)), "TN Ø16 (Lần " &amp; INT(S269/20) &amp; ")", IF(AND(E269=18, INT(T269/20)&gt;INT(T268/20)), "TN Ø18 (Lần " &amp; INT(T269/20) &amp; ")", IF(AND(E269=20, INT(U269/20)&gt;INT(U268/20)), "TN Ø20 (Lần " &amp; INT(U269/20) &amp; ")", IF(AND(E269=22, INT(V269/20)&gt;INT(V268/20)), "TN Ø22 (Lần " &amp; INT(V269/20) &amp; ")", IF(AND(E269=25, INT(W269/20)&gt;INT(W268/20)), "TN Ø25 (Lần " &amp; INT(W269/20) &amp; ")", IF(AND(E269=28, INT(X269/20)&gt;INT(X268/20)), "TN Ø28 (Lần " &amp; INT(X269/20) &amp; ")", IF(AND(E269=32, INT(Y269/20)&gt;INT(Y268/20)), "TN Ø32 (Lần " &amp; INT(Y269/20) &amp; ")", IF(AND(F269="ASTM A416", INT(Z269/20)&gt;INT(Z268/20)), "TN Cáp 15.2 (Lần " &amp; INT(Z269/20) &amp; ")", "")))))))))))</f>
        <v/>
      </c>
      <c r="P269" s="20">
        <f>ROUND(P268 + IF(AND(E269&lt;=10, F269&lt;&gt;"ASTM A416"), L269, 0), 3)</f>
        <v/>
      </c>
      <c r="Q269" s="20">
        <f>ROUND(Q268 + IF(AND(E269=12, F269&lt;&gt;"ASTM A416"), L269, 0), 3)</f>
        <v/>
      </c>
      <c r="R269" s="20">
        <f>ROUND(R268 + IF(AND(E269=14, F269&lt;&gt;"ASTM A416"), L269, 0), 3)</f>
        <v/>
      </c>
      <c r="S269" s="20">
        <f>ROUND(S268 + IF(AND(E269=16, F269&lt;&gt;"ASTM A416"), L269, 0), 3)</f>
        <v/>
      </c>
      <c r="T269" s="20">
        <f>ROUND(T268 + IF(AND(E269=18, F269&lt;&gt;"ASTM A416"), L269, 0), 3)</f>
        <v/>
      </c>
      <c r="U269" s="20">
        <f>ROUND(U268 + IF(AND(E269=20, F269&lt;&gt;"ASTM A416"), L269, 0), 3)</f>
        <v/>
      </c>
      <c r="V269" s="20">
        <f>ROUND(V268 + IF(AND(E269=22, F269&lt;&gt;"ASTM A416"), L269, 0), 3)</f>
        <v/>
      </c>
      <c r="W269" s="20">
        <f>ROUND(W268 + IF(AND(E269=25, F269&lt;&gt;"ASTM A416"), L269, 0), 3)</f>
        <v/>
      </c>
      <c r="X269" s="20">
        <f>ROUND(X268 + IF(AND(E269=28, F269&lt;&gt;"ASTM A416"), L269, 0), 3)</f>
        <v/>
      </c>
      <c r="Y269" s="20">
        <f>ROUND(Y268 + IF(AND(E269=32, F269&lt;&gt;"ASTM A416"), L269, 0), 3)</f>
        <v/>
      </c>
      <c r="Z269" s="20">
        <f>ROUND(Z268 + IF(F269="ASTM A416", L269, 0), 3)</f>
        <v/>
      </c>
      <c r="AA269" s="11">
        <f>IF(INT(P269/20)&gt;INT(P268/20), "Lần " &amp; INT(P269/20), "")</f>
        <v/>
      </c>
      <c r="AB269" s="11">
        <f>IF(INT(Q269/20)&gt;INT(Q268/20), "Lần " &amp; INT(Q269/20), "")</f>
        <v/>
      </c>
      <c r="AC269" s="11">
        <f>IF(INT(R269/20)&gt;INT(R268/20), "Lần " &amp; INT(R269/20), "")</f>
        <v/>
      </c>
      <c r="AD269" s="11">
        <f>IF(INT(S269/20)&gt;INT(S268/20), "Lần " &amp; INT(S269/20), "")</f>
        <v/>
      </c>
      <c r="AE269" s="11">
        <f>IF(INT(T269/20)&gt;INT(T268/20), "Lần " &amp; INT(T269/20), "")</f>
        <v/>
      </c>
      <c r="AF269" s="11">
        <f>IF(INT(U269/20)&gt;INT(U268/20), "Lần " &amp; INT(U269/20), "")</f>
        <v/>
      </c>
      <c r="AG269" s="11">
        <f>IF(INT(V269/20)&gt;INT(V268/20), "Lần " &amp; INT(V269/20), "")</f>
        <v/>
      </c>
      <c r="AH269" s="11">
        <f>IF(INT(W269/20)&gt;INT(W268/20), "Lần " &amp; INT(W269/20), "")</f>
        <v/>
      </c>
      <c r="AI269" s="11">
        <f>IF(INT(X269/20)&gt;INT(X268/20), "Lần " &amp; INT(X269/20), "")</f>
        <v/>
      </c>
      <c r="AJ269" s="11">
        <f>IF(INT(Y269/20)&gt;INT(Y268/20), "Lần " &amp; INT(Y269/20), "")</f>
        <v/>
      </c>
      <c r="AK269" s="11">
        <f>IF(INT(Z269/20)&gt;INT(Z268/20), "Lần " &amp; INT(Z269/20), "")</f>
        <v/>
      </c>
      <c r="AL269" s="6" t="inlineStr">
        <is>
          <t>ĐẠT TCVN 1651:2018</t>
        </is>
      </c>
    </row>
    <row r="270" ht="19" customHeight="1">
      <c r="A270" s="6" t="n">
        <v>250</v>
      </c>
      <c r="B270" s="7" t="inlineStr">
        <is>
          <t>Cọc khoan nhồi C6 Trụ T2 (D1.2m, L=30.0m)</t>
        </is>
      </c>
      <c r="C270" s="7" t="inlineStr">
        <is>
          <t>Thép đai xoắn lồng cọc</t>
        </is>
      </c>
      <c r="D270" s="18" t="inlineStr">
        <is>
          <t>P10</t>
        </is>
      </c>
      <c r="E270" s="19" t="n">
        <v>20</v>
      </c>
      <c r="F270" s="6" t="inlineStr">
        <is>
          <t>CB400-V</t>
        </is>
      </c>
      <c r="G270" s="7" t="inlineStr">
        <is>
          <t>Đai xoắn tròn</t>
        </is>
      </c>
      <c r="H270" s="20" t="n">
        <v>2.057</v>
      </c>
      <c r="I270" s="21" t="n">
        <v>1</v>
      </c>
      <c r="J270" s="22" t="n">
        <v>2.47</v>
      </c>
      <c r="K270" s="9">
        <f>ROUND(H270*I270*J270, 2)</f>
        <v/>
      </c>
      <c r="L270" s="23">
        <f>ROUND(K270/1000, 3)</f>
        <v/>
      </c>
      <c r="M270" s="8" t="n"/>
      <c r="N270" s="6" t="n"/>
      <c r="O270" s="24">
        <f>IF(AND(E270&lt;=10, F270&lt;&gt;"ASTM A416", INT(P270/20)&gt;INT(P269/20)), "TN Ø10 (Lần " &amp; INT(P270/20) &amp; ")", IF(AND(E270=12, INT(Q270/20)&gt;INT(Q269/20)), "TN Ø12 (Lần " &amp; INT(Q270/20) &amp; ")", IF(AND(E270=14, INT(R270/20)&gt;INT(R269/20)), "TN Ø14 (Lần " &amp; INT(R270/20) &amp; ")", IF(AND(E270=16, INT(S270/20)&gt;INT(S269/20)), "TN Ø16 (Lần " &amp; INT(S270/20) &amp; ")", IF(AND(E270=18, INT(T270/20)&gt;INT(T269/20)), "TN Ø18 (Lần " &amp; INT(T270/20) &amp; ")", IF(AND(E270=20, INT(U270/20)&gt;INT(U269/20)), "TN Ø20 (Lần " &amp; INT(U270/20) &amp; ")", IF(AND(E270=22, INT(V270/20)&gt;INT(V269/20)), "TN Ø22 (Lần " &amp; INT(V270/20) &amp; ")", IF(AND(E270=25, INT(W270/20)&gt;INT(W269/20)), "TN Ø25 (Lần " &amp; INT(W270/20) &amp; ")", IF(AND(E270=28, INT(X270/20)&gt;INT(X269/20)), "TN Ø28 (Lần " &amp; INT(X270/20) &amp; ")", IF(AND(E270=32, INT(Y270/20)&gt;INT(Y269/20)), "TN Ø32 (Lần " &amp; INT(Y270/20) &amp; ")", IF(AND(F270="ASTM A416", INT(Z270/20)&gt;INT(Z269/20)), "TN Cáp 15.2 (Lần " &amp; INT(Z270/20) &amp; ")", "")))))))))))</f>
        <v/>
      </c>
      <c r="P270" s="20">
        <f>ROUND(P269 + IF(AND(E270&lt;=10, F270&lt;&gt;"ASTM A416"), L270, 0), 3)</f>
        <v/>
      </c>
      <c r="Q270" s="20">
        <f>ROUND(Q269 + IF(AND(E270=12, F270&lt;&gt;"ASTM A416"), L270, 0), 3)</f>
        <v/>
      </c>
      <c r="R270" s="20">
        <f>ROUND(R269 + IF(AND(E270=14, F270&lt;&gt;"ASTM A416"), L270, 0), 3)</f>
        <v/>
      </c>
      <c r="S270" s="20">
        <f>ROUND(S269 + IF(AND(E270=16, F270&lt;&gt;"ASTM A416"), L270, 0), 3)</f>
        <v/>
      </c>
      <c r="T270" s="20">
        <f>ROUND(T269 + IF(AND(E270=18, F270&lt;&gt;"ASTM A416"), L270, 0), 3)</f>
        <v/>
      </c>
      <c r="U270" s="20">
        <f>ROUND(U269 + IF(AND(E270=20, F270&lt;&gt;"ASTM A416"), L270, 0), 3)</f>
        <v/>
      </c>
      <c r="V270" s="20">
        <f>ROUND(V269 + IF(AND(E270=22, F270&lt;&gt;"ASTM A416"), L270, 0), 3)</f>
        <v/>
      </c>
      <c r="W270" s="20">
        <f>ROUND(W269 + IF(AND(E270=25, F270&lt;&gt;"ASTM A416"), L270, 0), 3)</f>
        <v/>
      </c>
      <c r="X270" s="20">
        <f>ROUND(X269 + IF(AND(E270=28, F270&lt;&gt;"ASTM A416"), L270, 0), 3)</f>
        <v/>
      </c>
      <c r="Y270" s="20">
        <f>ROUND(Y269 + IF(AND(E270=32, F270&lt;&gt;"ASTM A416"), L270, 0), 3)</f>
        <v/>
      </c>
      <c r="Z270" s="20">
        <f>ROUND(Z269 + IF(F270="ASTM A416", L270, 0), 3)</f>
        <v/>
      </c>
      <c r="AA270" s="11">
        <f>IF(INT(P270/20)&gt;INT(P269/20), "Lần " &amp; INT(P270/20), "")</f>
        <v/>
      </c>
      <c r="AB270" s="11">
        <f>IF(INT(Q270/20)&gt;INT(Q269/20), "Lần " &amp; INT(Q270/20), "")</f>
        <v/>
      </c>
      <c r="AC270" s="11">
        <f>IF(INT(R270/20)&gt;INT(R269/20), "Lần " &amp; INT(R270/20), "")</f>
        <v/>
      </c>
      <c r="AD270" s="11">
        <f>IF(INT(S270/20)&gt;INT(S269/20), "Lần " &amp; INT(S270/20), "")</f>
        <v/>
      </c>
      <c r="AE270" s="11">
        <f>IF(INT(T270/20)&gt;INT(T269/20), "Lần " &amp; INT(T270/20), "")</f>
        <v/>
      </c>
      <c r="AF270" s="11">
        <f>IF(INT(U270/20)&gt;INT(U269/20), "Lần " &amp; INT(U270/20), "")</f>
        <v/>
      </c>
      <c r="AG270" s="11">
        <f>IF(INT(V270/20)&gt;INT(V269/20), "Lần " &amp; INT(V270/20), "")</f>
        <v/>
      </c>
      <c r="AH270" s="11">
        <f>IF(INT(W270/20)&gt;INT(W269/20), "Lần " &amp; INT(W270/20), "")</f>
        <v/>
      </c>
      <c r="AI270" s="11">
        <f>IF(INT(X270/20)&gt;INT(X269/20), "Lần " &amp; INT(X270/20), "")</f>
        <v/>
      </c>
      <c r="AJ270" s="11">
        <f>IF(INT(Y270/20)&gt;INT(Y269/20), "Lần " &amp; INT(Y270/20), "")</f>
        <v/>
      </c>
      <c r="AK270" s="11">
        <f>IF(INT(Z270/20)&gt;INT(Z269/20), "Lần " &amp; INT(Z270/20), "")</f>
        <v/>
      </c>
      <c r="AL270" s="6" t="inlineStr">
        <is>
          <t>ĐẠT TCVN 1651:2018</t>
        </is>
      </c>
    </row>
    <row r="271" ht="19" customHeight="1">
      <c r="A271" s="6" t="n">
        <v>251</v>
      </c>
      <c r="B271" s="7" t="inlineStr">
        <is>
          <t>Cọc khoan nhồi C6 Trụ T2 (D1.2m, L=30.0m)</t>
        </is>
      </c>
      <c r="C271" s="7" t="inlineStr">
        <is>
          <t>Thanh thép treo lồng cọc</t>
        </is>
      </c>
      <c r="D271" s="18" t="inlineStr">
        <is>
          <t>P11</t>
        </is>
      </c>
      <c r="E271" s="19" t="n">
        <v>16</v>
      </c>
      <c r="F271" s="6" t="inlineStr">
        <is>
          <t>CB400-V</t>
        </is>
      </c>
      <c r="G271" s="7" t="inlineStr">
        <is>
          <t>Thanh treo lồng (bảng phụ tr.70)</t>
        </is>
      </c>
      <c r="H271" s="20" t="n">
        <v>2.604</v>
      </c>
      <c r="I271" s="21" t="n">
        <v>4</v>
      </c>
      <c r="J271" s="22" t="n">
        <v>1.58</v>
      </c>
      <c r="K271" s="9">
        <f>ROUND(H271*I271*J271, 2)</f>
        <v/>
      </c>
      <c r="L271" s="23">
        <f>ROUND(K271/1000, 3)</f>
        <v/>
      </c>
      <c r="M271" s="8" t="n"/>
      <c r="N271" s="6" t="n"/>
      <c r="O271" s="24">
        <f>IF(AND(E271&lt;=10, F271&lt;&gt;"ASTM A416", INT(P271/20)&gt;INT(P270/20)), "TN Ø10 (Lần " &amp; INT(P271/20) &amp; ")", IF(AND(E271=12, INT(Q271/20)&gt;INT(Q270/20)), "TN Ø12 (Lần " &amp; INT(Q271/20) &amp; ")", IF(AND(E271=14, INT(R271/20)&gt;INT(R270/20)), "TN Ø14 (Lần " &amp; INT(R271/20) &amp; ")", IF(AND(E271=16, INT(S271/20)&gt;INT(S270/20)), "TN Ø16 (Lần " &amp; INT(S271/20) &amp; ")", IF(AND(E271=18, INT(T271/20)&gt;INT(T270/20)), "TN Ø18 (Lần " &amp; INT(T271/20) &amp; ")", IF(AND(E271=20, INT(U271/20)&gt;INT(U270/20)), "TN Ø20 (Lần " &amp; INT(U271/20) &amp; ")", IF(AND(E271=22, INT(V271/20)&gt;INT(V270/20)), "TN Ø22 (Lần " &amp; INT(V271/20) &amp; ")", IF(AND(E271=25, INT(W271/20)&gt;INT(W270/20)), "TN Ø25 (Lần " &amp; INT(W271/20) &amp; ")", IF(AND(E271=28, INT(X271/20)&gt;INT(X270/20)), "TN Ø28 (Lần " &amp; INT(X271/20) &amp; ")", IF(AND(E271=32, INT(Y271/20)&gt;INT(Y270/20)), "TN Ø32 (Lần " &amp; INT(Y271/20) &amp; ")", IF(AND(F271="ASTM A416", INT(Z271/20)&gt;INT(Z270/20)), "TN Cáp 15.2 (Lần " &amp; INT(Z271/20) &amp; ")", "")))))))))))</f>
        <v/>
      </c>
      <c r="P271" s="20">
        <f>ROUND(P270 + IF(AND(E271&lt;=10, F271&lt;&gt;"ASTM A416"), L271, 0), 3)</f>
        <v/>
      </c>
      <c r="Q271" s="20">
        <f>ROUND(Q270 + IF(AND(E271=12, F271&lt;&gt;"ASTM A416"), L271, 0), 3)</f>
        <v/>
      </c>
      <c r="R271" s="20">
        <f>ROUND(R270 + IF(AND(E271=14, F271&lt;&gt;"ASTM A416"), L271, 0), 3)</f>
        <v/>
      </c>
      <c r="S271" s="20">
        <f>ROUND(S270 + IF(AND(E271=16, F271&lt;&gt;"ASTM A416"), L271, 0), 3)</f>
        <v/>
      </c>
      <c r="T271" s="20">
        <f>ROUND(T270 + IF(AND(E271=18, F271&lt;&gt;"ASTM A416"), L271, 0), 3)</f>
        <v/>
      </c>
      <c r="U271" s="20">
        <f>ROUND(U270 + IF(AND(E271=20, F271&lt;&gt;"ASTM A416"), L271, 0), 3)</f>
        <v/>
      </c>
      <c r="V271" s="20">
        <f>ROUND(V270 + IF(AND(E271=22, F271&lt;&gt;"ASTM A416"), L271, 0), 3)</f>
        <v/>
      </c>
      <c r="W271" s="20">
        <f>ROUND(W270 + IF(AND(E271=25, F271&lt;&gt;"ASTM A416"), L271, 0), 3)</f>
        <v/>
      </c>
      <c r="X271" s="20">
        <f>ROUND(X270 + IF(AND(E271=28, F271&lt;&gt;"ASTM A416"), L271, 0), 3)</f>
        <v/>
      </c>
      <c r="Y271" s="20">
        <f>ROUND(Y270 + IF(AND(E271=32, F271&lt;&gt;"ASTM A416"), L271, 0), 3)</f>
        <v/>
      </c>
      <c r="Z271" s="20">
        <f>ROUND(Z270 + IF(F271="ASTM A416", L271, 0), 3)</f>
        <v/>
      </c>
      <c r="AA271" s="11">
        <f>IF(INT(P271/20)&gt;INT(P270/20), "Lần " &amp; INT(P271/20), "")</f>
        <v/>
      </c>
      <c r="AB271" s="11">
        <f>IF(INT(Q271/20)&gt;INT(Q270/20), "Lần " &amp; INT(Q271/20), "")</f>
        <v/>
      </c>
      <c r="AC271" s="11">
        <f>IF(INT(R271/20)&gt;INT(R270/20), "Lần " &amp; INT(R271/20), "")</f>
        <v/>
      </c>
      <c r="AD271" s="11">
        <f>IF(INT(S271/20)&gt;INT(S270/20), "Lần " &amp; INT(S271/20), "")</f>
        <v/>
      </c>
      <c r="AE271" s="11">
        <f>IF(INT(T271/20)&gt;INT(T270/20), "Lần " &amp; INT(T271/20), "")</f>
        <v/>
      </c>
      <c r="AF271" s="11">
        <f>IF(INT(U271/20)&gt;INT(U270/20), "Lần " &amp; INT(U271/20), "")</f>
        <v/>
      </c>
      <c r="AG271" s="11">
        <f>IF(INT(V271/20)&gt;INT(V270/20), "Lần " &amp; INT(V271/20), "")</f>
        <v/>
      </c>
      <c r="AH271" s="11">
        <f>IF(INT(W271/20)&gt;INT(W270/20), "Lần " &amp; INT(W271/20), "")</f>
        <v/>
      </c>
      <c r="AI271" s="11">
        <f>IF(INT(X271/20)&gt;INT(X270/20), "Lần " &amp; INT(X271/20), "")</f>
        <v/>
      </c>
      <c r="AJ271" s="11">
        <f>IF(INT(Y271/20)&gt;INT(Y270/20), "Lần " &amp; INT(Y271/20), "")</f>
        <v/>
      </c>
      <c r="AK271" s="11">
        <f>IF(INT(Z271/20)&gt;INT(Z270/20), "Lần " &amp; INT(Z271/20), "")</f>
        <v/>
      </c>
      <c r="AL271" s="6" t="inlineStr">
        <is>
          <t>ĐẠT TCVN 1651:2018</t>
        </is>
      </c>
    </row>
    <row r="272" ht="19" customHeight="1">
      <c r="A272" s="6" t="n">
        <v>252</v>
      </c>
      <c r="B272" s="7" t="inlineStr">
        <is>
          <t>Cọc khoan nhồi C6 Trụ T2 (D1.2m, L=30.0m)</t>
        </is>
      </c>
      <c r="C272" s="7" t="inlineStr">
        <is>
          <t>Thép đai xoắn lồng cọc</t>
        </is>
      </c>
      <c r="D272" s="18" t="inlineStr">
        <is>
          <t>P12</t>
        </is>
      </c>
      <c r="E272" s="19" t="n">
        <v>20</v>
      </c>
      <c r="F272" s="6" t="inlineStr">
        <is>
          <t>CB400-V</t>
        </is>
      </c>
      <c r="G272" s="7" t="inlineStr">
        <is>
          <t>Đai xoắn tròn</t>
        </is>
      </c>
      <c r="H272" s="20" t="n">
        <v>0.583</v>
      </c>
      <c r="I272" s="21" t="n">
        <v>48</v>
      </c>
      <c r="J272" s="22" t="n">
        <v>2.47</v>
      </c>
      <c r="K272" s="9">
        <f>ROUND(H272*I272*J272, 2)</f>
        <v/>
      </c>
      <c r="L272" s="23">
        <f>ROUND(K272/1000, 3)</f>
        <v/>
      </c>
      <c r="M272" s="8" t="n"/>
      <c r="N272" s="6" t="n"/>
      <c r="O272" s="24">
        <f>IF(AND(E272&lt;=10, F272&lt;&gt;"ASTM A416", INT(P272/20)&gt;INT(P271/20)), "TN Ø10 (Lần " &amp; INT(P272/20) &amp; ")", IF(AND(E272=12, INT(Q272/20)&gt;INT(Q271/20)), "TN Ø12 (Lần " &amp; INT(Q272/20) &amp; ")", IF(AND(E272=14, INT(R272/20)&gt;INT(R271/20)), "TN Ø14 (Lần " &amp; INT(R272/20) &amp; ")", IF(AND(E272=16, INT(S272/20)&gt;INT(S271/20)), "TN Ø16 (Lần " &amp; INT(S272/20) &amp; ")", IF(AND(E272=18, INT(T272/20)&gt;INT(T271/20)), "TN Ø18 (Lần " &amp; INT(T272/20) &amp; ")", IF(AND(E272=20, INT(U272/20)&gt;INT(U271/20)), "TN Ø20 (Lần " &amp; INT(U272/20) &amp; ")", IF(AND(E272=22, INT(V272/20)&gt;INT(V271/20)), "TN Ø22 (Lần " &amp; INT(V272/20) &amp; ")", IF(AND(E272=25, INT(W272/20)&gt;INT(W271/20)), "TN Ø25 (Lần " &amp; INT(W272/20) &amp; ")", IF(AND(E272=28, INT(X272/20)&gt;INT(X271/20)), "TN Ø28 (Lần " &amp; INT(X272/20) &amp; ")", IF(AND(E272=32, INT(Y272/20)&gt;INT(Y271/20)), "TN Ø32 (Lần " &amp; INT(Y272/20) &amp; ")", IF(AND(F272="ASTM A416", INT(Z272/20)&gt;INT(Z271/20)), "TN Cáp 15.2 (Lần " &amp; INT(Z272/20) &amp; ")", "")))))))))))</f>
        <v/>
      </c>
      <c r="P272" s="20">
        <f>ROUND(P271 + IF(AND(E272&lt;=10, F272&lt;&gt;"ASTM A416"), L272, 0), 3)</f>
        <v/>
      </c>
      <c r="Q272" s="20">
        <f>ROUND(Q271 + IF(AND(E272=12, F272&lt;&gt;"ASTM A416"), L272, 0), 3)</f>
        <v/>
      </c>
      <c r="R272" s="20">
        <f>ROUND(R271 + IF(AND(E272=14, F272&lt;&gt;"ASTM A416"), L272, 0), 3)</f>
        <v/>
      </c>
      <c r="S272" s="20">
        <f>ROUND(S271 + IF(AND(E272=16, F272&lt;&gt;"ASTM A416"), L272, 0), 3)</f>
        <v/>
      </c>
      <c r="T272" s="20">
        <f>ROUND(T271 + IF(AND(E272=18, F272&lt;&gt;"ASTM A416"), L272, 0), 3)</f>
        <v/>
      </c>
      <c r="U272" s="20">
        <f>ROUND(U271 + IF(AND(E272=20, F272&lt;&gt;"ASTM A416"), L272, 0), 3)</f>
        <v/>
      </c>
      <c r="V272" s="20">
        <f>ROUND(V271 + IF(AND(E272=22, F272&lt;&gt;"ASTM A416"), L272, 0), 3)</f>
        <v/>
      </c>
      <c r="W272" s="20">
        <f>ROUND(W271 + IF(AND(E272=25, F272&lt;&gt;"ASTM A416"), L272, 0), 3)</f>
        <v/>
      </c>
      <c r="X272" s="20">
        <f>ROUND(X271 + IF(AND(E272=28, F272&lt;&gt;"ASTM A416"), L272, 0), 3)</f>
        <v/>
      </c>
      <c r="Y272" s="20">
        <f>ROUND(Y271 + IF(AND(E272=32, F272&lt;&gt;"ASTM A416"), L272, 0), 3)</f>
        <v/>
      </c>
      <c r="Z272" s="20">
        <f>ROUND(Z271 + IF(F272="ASTM A416", L272, 0), 3)</f>
        <v/>
      </c>
      <c r="AA272" s="11">
        <f>IF(INT(P272/20)&gt;INT(P271/20), "Lần " &amp; INT(P272/20), "")</f>
        <v/>
      </c>
      <c r="AB272" s="11">
        <f>IF(INT(Q272/20)&gt;INT(Q271/20), "Lần " &amp; INT(Q272/20), "")</f>
        <v/>
      </c>
      <c r="AC272" s="11">
        <f>IF(INT(R272/20)&gt;INT(R271/20), "Lần " &amp; INT(R272/20), "")</f>
        <v/>
      </c>
      <c r="AD272" s="11">
        <f>IF(INT(S272/20)&gt;INT(S271/20), "Lần " &amp; INT(S272/20), "")</f>
        <v/>
      </c>
      <c r="AE272" s="11">
        <f>IF(INT(T272/20)&gt;INT(T271/20), "Lần " &amp; INT(T272/20), "")</f>
        <v/>
      </c>
      <c r="AF272" s="11">
        <f>IF(INT(U272/20)&gt;INT(U271/20), "Lần " &amp; INT(U272/20), "")</f>
        <v/>
      </c>
      <c r="AG272" s="11">
        <f>IF(INT(V272/20)&gt;INT(V271/20), "Lần " &amp; INT(V272/20), "")</f>
        <v/>
      </c>
      <c r="AH272" s="11">
        <f>IF(INT(W272/20)&gt;INT(W271/20), "Lần " &amp; INT(W272/20), "")</f>
        <v/>
      </c>
      <c r="AI272" s="11">
        <f>IF(INT(X272/20)&gt;INT(X271/20), "Lần " &amp; INT(X272/20), "")</f>
        <v/>
      </c>
      <c r="AJ272" s="11">
        <f>IF(INT(Y272/20)&gt;INT(Y271/20), "Lần " &amp; INT(Y272/20), "")</f>
        <v/>
      </c>
      <c r="AK272" s="11">
        <f>IF(INT(Z272/20)&gt;INT(Z271/20), "Lần " &amp; INT(Z272/20), "")</f>
        <v/>
      </c>
      <c r="AL272" s="6" t="inlineStr">
        <is>
          <t>ĐẠT TCVN 1651:2018</t>
        </is>
      </c>
    </row>
    <row r="273" ht="20" customHeight="1">
      <c r="A273" s="17" t="inlineStr">
        <is>
          <t>--- CỌC KHOAN NHỒI C7 TRỤ T2 (D1.2M, L=30.0M) ---</t>
        </is>
      </c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5" t="n"/>
      <c r="AI273" s="5" t="n"/>
      <c r="AJ273" s="5" t="n"/>
      <c r="AK273" s="5" t="n"/>
      <c r="AL273" s="5" t="n"/>
    </row>
    <row r="274" ht="19" customHeight="1">
      <c r="A274" s="6" t="n">
        <v>253</v>
      </c>
      <c r="B274" s="7" t="inlineStr">
        <is>
          <t>Cọc khoan nhồi C7 Trụ T2 (D1.2m, L=30.0m)</t>
        </is>
      </c>
      <c r="C274" s="7" t="inlineStr">
        <is>
          <t>Thép đai xoắn lồng cọc</t>
        </is>
      </c>
      <c r="D274" s="18" t="inlineStr">
        <is>
          <t>P1</t>
        </is>
      </c>
      <c r="E274" s="19" t="n">
        <v>10</v>
      </c>
      <c r="F274" s="6" t="inlineStr">
        <is>
          <t>CB240-T</t>
        </is>
      </c>
      <c r="G274" s="7" t="inlineStr">
        <is>
          <t>Đai xoắn tròn</t>
        </is>
      </c>
      <c r="H274" s="20" t="n">
        <v>96.604</v>
      </c>
      <c r="I274" s="21" t="n">
        <v>1</v>
      </c>
      <c r="J274" s="22" t="n">
        <v>0.617</v>
      </c>
      <c r="K274" s="9">
        <f>ROUND(H274*I274*J274, 2)</f>
        <v/>
      </c>
      <c r="L274" s="23">
        <f>ROUND(K274/1000, 3)</f>
        <v/>
      </c>
      <c r="M274" s="8" t="n"/>
      <c r="N274" s="6" t="n"/>
      <c r="O274" s="24">
        <f>IF(AND(E274&lt;=10, F274&lt;&gt;"ASTM A416", INT(P274/20)&gt;INT(P272/20)), "TN Ø10 (Lần " &amp; INT(P274/20) &amp; ")", IF(AND(E274=12, INT(Q274/20)&gt;INT(Q272/20)), "TN Ø12 (Lần " &amp; INT(Q274/20) &amp; ")", IF(AND(E274=14, INT(R274/20)&gt;INT(R272/20)), "TN Ø14 (Lần " &amp; INT(R274/20) &amp; ")", IF(AND(E274=16, INT(S274/20)&gt;INT(S272/20)), "TN Ø16 (Lần " &amp; INT(S274/20) &amp; ")", IF(AND(E274=18, INT(T274/20)&gt;INT(T272/20)), "TN Ø18 (Lần " &amp; INT(T274/20) &amp; ")", IF(AND(E274=20, INT(U274/20)&gt;INT(U272/20)), "TN Ø20 (Lần " &amp; INT(U274/20) &amp; ")", IF(AND(E274=22, INT(V274/20)&gt;INT(V272/20)), "TN Ø22 (Lần " &amp; INT(V274/20) &amp; ")", IF(AND(E274=25, INT(W274/20)&gt;INT(W272/20)), "TN Ø25 (Lần " &amp; INT(W274/20) &amp; ")", IF(AND(E274=28, INT(X274/20)&gt;INT(X272/20)), "TN Ø28 (Lần " &amp; INT(X274/20) &amp; ")", IF(AND(E274=32, INT(Y274/20)&gt;INT(Y272/20)), "TN Ø32 (Lần " &amp; INT(Y274/20) &amp; ")", IF(AND(F274="ASTM A416", INT(Z274/20)&gt;INT(Z272/20)), "TN Cáp 15.2 (Lần " &amp; INT(Z274/20) &amp; ")", "")))))))))))</f>
        <v/>
      </c>
      <c r="P274" s="20">
        <f>ROUND(P272 + IF(AND(E274&lt;=10, F274&lt;&gt;"ASTM A416"), L274, 0), 3)</f>
        <v/>
      </c>
      <c r="Q274" s="20">
        <f>ROUND(Q272 + IF(AND(E274=12, F274&lt;&gt;"ASTM A416"), L274, 0), 3)</f>
        <v/>
      </c>
      <c r="R274" s="20">
        <f>ROUND(R272 + IF(AND(E274=14, F274&lt;&gt;"ASTM A416"), L274, 0), 3)</f>
        <v/>
      </c>
      <c r="S274" s="20">
        <f>ROUND(S272 + IF(AND(E274=16, F274&lt;&gt;"ASTM A416"), L274, 0), 3)</f>
        <v/>
      </c>
      <c r="T274" s="20">
        <f>ROUND(T272 + IF(AND(E274=18, F274&lt;&gt;"ASTM A416"), L274, 0), 3)</f>
        <v/>
      </c>
      <c r="U274" s="20">
        <f>ROUND(U272 + IF(AND(E274=20, F274&lt;&gt;"ASTM A416"), L274, 0), 3)</f>
        <v/>
      </c>
      <c r="V274" s="20">
        <f>ROUND(V272 + IF(AND(E274=22, F274&lt;&gt;"ASTM A416"), L274, 0), 3)</f>
        <v/>
      </c>
      <c r="W274" s="20">
        <f>ROUND(W272 + IF(AND(E274=25, F274&lt;&gt;"ASTM A416"), L274, 0), 3)</f>
        <v/>
      </c>
      <c r="X274" s="20">
        <f>ROUND(X272 + IF(AND(E274=28, F274&lt;&gt;"ASTM A416"), L274, 0), 3)</f>
        <v/>
      </c>
      <c r="Y274" s="20">
        <f>ROUND(Y272 + IF(AND(E274=32, F274&lt;&gt;"ASTM A416"), L274, 0), 3)</f>
        <v/>
      </c>
      <c r="Z274" s="20">
        <f>ROUND(Z272 + IF(F274="ASTM A416", L274, 0), 3)</f>
        <v/>
      </c>
      <c r="AA274" s="11">
        <f>IF(INT(P274/20)&gt;INT(P272/20), "Lần " &amp; INT(P274/20), "")</f>
        <v/>
      </c>
      <c r="AB274" s="11">
        <f>IF(INT(Q274/20)&gt;INT(Q272/20), "Lần " &amp; INT(Q274/20), "")</f>
        <v/>
      </c>
      <c r="AC274" s="11">
        <f>IF(INT(R274/20)&gt;INT(R272/20), "Lần " &amp; INT(R274/20), "")</f>
        <v/>
      </c>
      <c r="AD274" s="11">
        <f>IF(INT(S274/20)&gt;INT(S272/20), "Lần " &amp; INT(S274/20), "")</f>
        <v/>
      </c>
      <c r="AE274" s="11">
        <f>IF(INT(T274/20)&gt;INT(T272/20), "Lần " &amp; INT(T274/20), "")</f>
        <v/>
      </c>
      <c r="AF274" s="11">
        <f>IF(INT(U274/20)&gt;INT(U272/20), "Lần " &amp; INT(U274/20), "")</f>
        <v/>
      </c>
      <c r="AG274" s="11">
        <f>IF(INT(V274/20)&gt;INT(V272/20), "Lần " &amp; INT(V274/20), "")</f>
        <v/>
      </c>
      <c r="AH274" s="11">
        <f>IF(INT(W274/20)&gt;INT(W272/20), "Lần " &amp; INT(W274/20), "")</f>
        <v/>
      </c>
      <c r="AI274" s="11">
        <f>IF(INT(X274/20)&gt;INT(X272/20), "Lần " &amp; INT(X274/20), "")</f>
        <v/>
      </c>
      <c r="AJ274" s="11">
        <f>IF(INT(Y274/20)&gt;INT(Y272/20), "Lần " &amp; INT(Y274/20), "")</f>
        <v/>
      </c>
      <c r="AK274" s="11">
        <f>IF(INT(Z274/20)&gt;INT(Z272/20), "Lần " &amp; INT(Z274/20), "")</f>
        <v/>
      </c>
      <c r="AL274" s="6" t="inlineStr">
        <is>
          <t>ĐẠT TCVN 1651:2018</t>
        </is>
      </c>
    </row>
    <row r="275" ht="19" customHeight="1">
      <c r="A275" s="6" t="n">
        <v>254</v>
      </c>
      <c r="B275" s="7" t="inlineStr">
        <is>
          <t>Cọc khoan nhồi C7 Trụ T2 (D1.2m, L=30.0m)</t>
        </is>
      </c>
      <c r="C275" s="7" t="inlineStr">
        <is>
          <t>Thép đai xoắn lồng cọc</t>
        </is>
      </c>
      <c r="D275" s="18" t="inlineStr">
        <is>
          <t>P1A</t>
        </is>
      </c>
      <c r="E275" s="19" t="n">
        <v>10</v>
      </c>
      <c r="F275" s="6" t="inlineStr">
        <is>
          <t>CB240-T</t>
        </is>
      </c>
      <c r="G275" s="7" t="inlineStr">
        <is>
          <t>Đai xoắn tròn</t>
        </is>
      </c>
      <c r="H275" s="20" t="n">
        <v>389.636</v>
      </c>
      <c r="I275" s="21" t="n">
        <v>1</v>
      </c>
      <c r="J275" s="22" t="n">
        <v>0.617</v>
      </c>
      <c r="K275" s="9">
        <f>ROUND(H275*I275*J275, 2)</f>
        <v/>
      </c>
      <c r="L275" s="23">
        <f>ROUND(K275/1000, 3)</f>
        <v/>
      </c>
      <c r="M275" s="8" t="n"/>
      <c r="N275" s="6" t="n"/>
      <c r="O275" s="24">
        <f>IF(AND(E275&lt;=10, F275&lt;&gt;"ASTM A416", INT(P275/20)&gt;INT(P274/20)), "TN Ø10 (Lần " &amp; INT(P275/20) &amp; ")", IF(AND(E275=12, INT(Q275/20)&gt;INT(Q274/20)), "TN Ø12 (Lần " &amp; INT(Q275/20) &amp; ")", IF(AND(E275=14, INT(R275/20)&gt;INT(R274/20)), "TN Ø14 (Lần " &amp; INT(R275/20) &amp; ")", IF(AND(E275=16, INT(S275/20)&gt;INT(S274/20)), "TN Ø16 (Lần " &amp; INT(S275/20) &amp; ")", IF(AND(E275=18, INT(T275/20)&gt;INT(T274/20)), "TN Ø18 (Lần " &amp; INT(T275/20) &amp; ")", IF(AND(E275=20, INT(U275/20)&gt;INT(U274/20)), "TN Ø20 (Lần " &amp; INT(U275/20) &amp; ")", IF(AND(E275=22, INT(V275/20)&gt;INT(V274/20)), "TN Ø22 (Lần " &amp; INT(V275/20) &amp; ")", IF(AND(E275=25, INT(W275/20)&gt;INT(W274/20)), "TN Ø25 (Lần " &amp; INT(W275/20) &amp; ")", IF(AND(E275=28, INT(X275/20)&gt;INT(X274/20)), "TN Ø28 (Lần " &amp; INT(X275/20) &amp; ")", IF(AND(E275=32, INT(Y275/20)&gt;INT(Y274/20)), "TN Ø32 (Lần " &amp; INT(Y275/20) &amp; ")", IF(AND(F275="ASTM A416", INT(Z275/20)&gt;INT(Z274/20)), "TN Cáp 15.2 (Lần " &amp; INT(Z275/20) &amp; ")", "")))))))))))</f>
        <v/>
      </c>
      <c r="P275" s="20">
        <f>ROUND(P274 + IF(AND(E275&lt;=10, F275&lt;&gt;"ASTM A416"), L275, 0), 3)</f>
        <v/>
      </c>
      <c r="Q275" s="20">
        <f>ROUND(Q274 + IF(AND(E275=12, F275&lt;&gt;"ASTM A416"), L275, 0), 3)</f>
        <v/>
      </c>
      <c r="R275" s="20">
        <f>ROUND(R274 + IF(AND(E275=14, F275&lt;&gt;"ASTM A416"), L275, 0), 3)</f>
        <v/>
      </c>
      <c r="S275" s="20">
        <f>ROUND(S274 + IF(AND(E275=16, F275&lt;&gt;"ASTM A416"), L275, 0), 3)</f>
        <v/>
      </c>
      <c r="T275" s="20">
        <f>ROUND(T274 + IF(AND(E275=18, F275&lt;&gt;"ASTM A416"), L275, 0), 3)</f>
        <v/>
      </c>
      <c r="U275" s="20">
        <f>ROUND(U274 + IF(AND(E275=20, F275&lt;&gt;"ASTM A416"), L275, 0), 3)</f>
        <v/>
      </c>
      <c r="V275" s="20">
        <f>ROUND(V274 + IF(AND(E275=22, F275&lt;&gt;"ASTM A416"), L275, 0), 3)</f>
        <v/>
      </c>
      <c r="W275" s="20">
        <f>ROUND(W274 + IF(AND(E275=25, F275&lt;&gt;"ASTM A416"), L275, 0), 3)</f>
        <v/>
      </c>
      <c r="X275" s="20">
        <f>ROUND(X274 + IF(AND(E275=28, F275&lt;&gt;"ASTM A416"), L275, 0), 3)</f>
        <v/>
      </c>
      <c r="Y275" s="20">
        <f>ROUND(Y274 + IF(AND(E275=32, F275&lt;&gt;"ASTM A416"), L275, 0), 3)</f>
        <v/>
      </c>
      <c r="Z275" s="20">
        <f>ROUND(Z274 + IF(F275="ASTM A416", L275, 0), 3)</f>
        <v/>
      </c>
      <c r="AA275" s="11">
        <f>IF(INT(P275/20)&gt;INT(P274/20), "Lần " &amp; INT(P275/20), "")</f>
        <v/>
      </c>
      <c r="AB275" s="11">
        <f>IF(INT(Q275/20)&gt;INT(Q274/20), "Lần " &amp; INT(Q275/20), "")</f>
        <v/>
      </c>
      <c r="AC275" s="11">
        <f>IF(INT(R275/20)&gt;INT(R274/20), "Lần " &amp; INT(R275/20), "")</f>
        <v/>
      </c>
      <c r="AD275" s="11">
        <f>IF(INT(S275/20)&gt;INT(S274/20), "Lần " &amp; INT(S275/20), "")</f>
        <v/>
      </c>
      <c r="AE275" s="11">
        <f>IF(INT(T275/20)&gt;INT(T274/20), "Lần " &amp; INT(T275/20), "")</f>
        <v/>
      </c>
      <c r="AF275" s="11">
        <f>IF(INT(U275/20)&gt;INT(U274/20), "Lần " &amp; INT(U275/20), "")</f>
        <v/>
      </c>
      <c r="AG275" s="11">
        <f>IF(INT(V275/20)&gt;INT(V274/20), "Lần " &amp; INT(V275/20), "")</f>
        <v/>
      </c>
      <c r="AH275" s="11">
        <f>IF(INT(W275/20)&gt;INT(W274/20), "Lần " &amp; INT(W275/20), "")</f>
        <v/>
      </c>
      <c r="AI275" s="11">
        <f>IF(INT(X275/20)&gt;INT(X274/20), "Lần " &amp; INT(X275/20), "")</f>
        <v/>
      </c>
      <c r="AJ275" s="11">
        <f>IF(INT(Y275/20)&gt;INT(Y274/20), "Lần " &amp; INT(Y275/20), "")</f>
        <v/>
      </c>
      <c r="AK275" s="11">
        <f>IF(INT(Z275/20)&gt;INT(Z274/20), "Lần " &amp; INT(Z275/20), "")</f>
        <v/>
      </c>
      <c r="AL275" s="6" t="inlineStr">
        <is>
          <t>ĐẠT TCVN 1651:2018</t>
        </is>
      </c>
    </row>
    <row r="276" ht="19" customHeight="1">
      <c r="A276" s="6" t="n">
        <v>255</v>
      </c>
      <c r="B276" s="7" t="inlineStr">
        <is>
          <t>Cọc khoan nhồi C7 Trụ T2 (D1.2m, L=30.0m)</t>
        </is>
      </c>
      <c r="C276" s="7" t="inlineStr">
        <is>
          <t>Thép đai xoắn lồng cọc</t>
        </is>
      </c>
      <c r="D276" s="18" t="inlineStr">
        <is>
          <t>P1B</t>
        </is>
      </c>
      <c r="E276" s="19" t="n">
        <v>10</v>
      </c>
      <c r="F276" s="6" t="inlineStr">
        <is>
          <t>CB240-T</t>
        </is>
      </c>
      <c r="G276" s="7" t="inlineStr">
        <is>
          <t>Đai xoắn tròn</t>
        </is>
      </c>
      <c r="H276" s="20" t="n">
        <v>100.256</v>
      </c>
      <c r="I276" s="21" t="n">
        <v>1</v>
      </c>
      <c r="J276" s="22" t="n">
        <v>0.617</v>
      </c>
      <c r="K276" s="9">
        <f>ROUND(H276*I276*J276, 2)</f>
        <v/>
      </c>
      <c r="L276" s="23">
        <f>ROUND(K276/1000, 3)</f>
        <v/>
      </c>
      <c r="M276" s="8" t="n"/>
      <c r="N276" s="6" t="n"/>
      <c r="O276" s="24">
        <f>IF(AND(E276&lt;=10, F276&lt;&gt;"ASTM A416", INT(P276/20)&gt;INT(P275/20)), "TN Ø10 (Lần " &amp; INT(P276/20) &amp; ")", IF(AND(E276=12, INT(Q276/20)&gt;INT(Q275/20)), "TN Ø12 (Lần " &amp; INT(Q276/20) &amp; ")", IF(AND(E276=14, INT(R276/20)&gt;INT(R275/20)), "TN Ø14 (Lần " &amp; INT(R276/20) &amp; ")", IF(AND(E276=16, INT(S276/20)&gt;INT(S275/20)), "TN Ø16 (Lần " &amp; INT(S276/20) &amp; ")", IF(AND(E276=18, INT(T276/20)&gt;INT(T275/20)), "TN Ø18 (Lần " &amp; INT(T276/20) &amp; ")", IF(AND(E276=20, INT(U276/20)&gt;INT(U275/20)), "TN Ø20 (Lần " &amp; INT(U276/20) &amp; ")", IF(AND(E276=22, INT(V276/20)&gt;INT(V275/20)), "TN Ø22 (Lần " &amp; INT(V276/20) &amp; ")", IF(AND(E276=25, INT(W276/20)&gt;INT(W275/20)), "TN Ø25 (Lần " &amp; INT(W276/20) &amp; ")", IF(AND(E276=28, INT(X276/20)&gt;INT(X275/20)), "TN Ø28 (Lần " &amp; INT(X276/20) &amp; ")", IF(AND(E276=32, INT(Y276/20)&gt;INT(Y275/20)), "TN Ø32 (Lần " &amp; INT(Y276/20) &amp; ")", IF(AND(F276="ASTM A416", INT(Z276/20)&gt;INT(Z275/20)), "TN Cáp 15.2 (Lần " &amp; INT(Z276/20) &amp; ")", "")))))))))))</f>
        <v/>
      </c>
      <c r="P276" s="20">
        <f>ROUND(P275 + IF(AND(E276&lt;=10, F276&lt;&gt;"ASTM A416"), L276, 0), 3)</f>
        <v/>
      </c>
      <c r="Q276" s="20">
        <f>ROUND(Q275 + IF(AND(E276=12, F276&lt;&gt;"ASTM A416"), L276, 0), 3)</f>
        <v/>
      </c>
      <c r="R276" s="20">
        <f>ROUND(R275 + IF(AND(E276=14, F276&lt;&gt;"ASTM A416"), L276, 0), 3)</f>
        <v/>
      </c>
      <c r="S276" s="20">
        <f>ROUND(S275 + IF(AND(E276=16, F276&lt;&gt;"ASTM A416"), L276, 0), 3)</f>
        <v/>
      </c>
      <c r="T276" s="20">
        <f>ROUND(T275 + IF(AND(E276=18, F276&lt;&gt;"ASTM A416"), L276, 0), 3)</f>
        <v/>
      </c>
      <c r="U276" s="20">
        <f>ROUND(U275 + IF(AND(E276=20, F276&lt;&gt;"ASTM A416"), L276, 0), 3)</f>
        <v/>
      </c>
      <c r="V276" s="20">
        <f>ROUND(V275 + IF(AND(E276=22, F276&lt;&gt;"ASTM A416"), L276, 0), 3)</f>
        <v/>
      </c>
      <c r="W276" s="20">
        <f>ROUND(W275 + IF(AND(E276=25, F276&lt;&gt;"ASTM A416"), L276, 0), 3)</f>
        <v/>
      </c>
      <c r="X276" s="20">
        <f>ROUND(X275 + IF(AND(E276=28, F276&lt;&gt;"ASTM A416"), L276, 0), 3)</f>
        <v/>
      </c>
      <c r="Y276" s="20">
        <f>ROUND(Y275 + IF(AND(E276=32, F276&lt;&gt;"ASTM A416"), L276, 0), 3)</f>
        <v/>
      </c>
      <c r="Z276" s="20">
        <f>ROUND(Z275 + IF(F276="ASTM A416", L276, 0), 3)</f>
        <v/>
      </c>
      <c r="AA276" s="11">
        <f>IF(INT(P276/20)&gt;INT(P275/20), "Lần " &amp; INT(P276/20), "")</f>
        <v/>
      </c>
      <c r="AB276" s="11">
        <f>IF(INT(Q276/20)&gt;INT(Q275/20), "Lần " &amp; INT(Q276/20), "")</f>
        <v/>
      </c>
      <c r="AC276" s="11">
        <f>IF(INT(R276/20)&gt;INT(R275/20), "Lần " &amp; INT(R276/20), "")</f>
        <v/>
      </c>
      <c r="AD276" s="11">
        <f>IF(INT(S276/20)&gt;INT(S275/20), "Lần " &amp; INT(S276/20), "")</f>
        <v/>
      </c>
      <c r="AE276" s="11">
        <f>IF(INT(T276/20)&gt;INT(T275/20), "Lần " &amp; INT(T276/20), "")</f>
        <v/>
      </c>
      <c r="AF276" s="11">
        <f>IF(INT(U276/20)&gt;INT(U275/20), "Lần " &amp; INT(U276/20), "")</f>
        <v/>
      </c>
      <c r="AG276" s="11">
        <f>IF(INT(V276/20)&gt;INT(V275/20), "Lần " &amp; INT(V276/20), "")</f>
        <v/>
      </c>
      <c r="AH276" s="11">
        <f>IF(INT(W276/20)&gt;INT(W275/20), "Lần " &amp; INT(W276/20), "")</f>
        <v/>
      </c>
      <c r="AI276" s="11">
        <f>IF(INT(X276/20)&gt;INT(X275/20), "Lần " &amp; INT(X276/20), "")</f>
        <v/>
      </c>
      <c r="AJ276" s="11">
        <f>IF(INT(Y276/20)&gt;INT(Y275/20), "Lần " &amp; INT(Y276/20), "")</f>
        <v/>
      </c>
      <c r="AK276" s="11">
        <f>IF(INT(Z276/20)&gt;INT(Z275/20), "Lần " &amp; INT(Z276/20), "")</f>
        <v/>
      </c>
      <c r="AL276" s="6" t="inlineStr">
        <is>
          <t>ĐẠT TCVN 1651:2018</t>
        </is>
      </c>
    </row>
    <row r="277" ht="19" customHeight="1">
      <c r="A277" s="6" t="n">
        <v>256</v>
      </c>
      <c r="B277" s="7" t="inlineStr">
        <is>
          <t>Cọc khoan nhồi C7 Trụ T2 (D1.2m, L=30.0m)</t>
        </is>
      </c>
      <c r="C277" s="7" t="inlineStr">
        <is>
          <t>Thép đai xoắn lồng cọc</t>
        </is>
      </c>
      <c r="D277" s="18" t="inlineStr">
        <is>
          <t>P1C</t>
        </is>
      </c>
      <c r="E277" s="19" t="n">
        <v>10</v>
      </c>
      <c r="F277" s="6" t="inlineStr">
        <is>
          <t>CB240-T</t>
        </is>
      </c>
      <c r="G277" s="7" t="inlineStr">
        <is>
          <t>Đai xoắn tròn</t>
        </is>
      </c>
      <c r="H277" s="20" t="n">
        <v>3.592</v>
      </c>
      <c r="I277" s="21" t="n">
        <v>2</v>
      </c>
      <c r="J277" s="22" t="n">
        <v>0.617</v>
      </c>
      <c r="K277" s="9">
        <f>ROUND(H277*I277*J277, 2)</f>
        <v/>
      </c>
      <c r="L277" s="23">
        <f>ROUND(K277/1000, 3)</f>
        <v/>
      </c>
      <c r="M277" s="8" t="n"/>
      <c r="N277" s="6" t="n"/>
      <c r="O277" s="24">
        <f>IF(AND(E277&lt;=10, F277&lt;&gt;"ASTM A416", INT(P277/20)&gt;INT(P276/20)), "TN Ø10 (Lần " &amp; INT(P277/20) &amp; ")", IF(AND(E277=12, INT(Q277/20)&gt;INT(Q276/20)), "TN Ø12 (Lần " &amp; INT(Q277/20) &amp; ")", IF(AND(E277=14, INT(R277/20)&gt;INT(R276/20)), "TN Ø14 (Lần " &amp; INT(R277/20) &amp; ")", IF(AND(E277=16, INT(S277/20)&gt;INT(S276/20)), "TN Ø16 (Lần " &amp; INT(S277/20) &amp; ")", IF(AND(E277=18, INT(T277/20)&gt;INT(T276/20)), "TN Ø18 (Lần " &amp; INT(T277/20) &amp; ")", IF(AND(E277=20, INT(U277/20)&gt;INT(U276/20)), "TN Ø20 (Lần " &amp; INT(U277/20) &amp; ")", IF(AND(E277=22, INT(V277/20)&gt;INT(V276/20)), "TN Ø22 (Lần " &amp; INT(V277/20) &amp; ")", IF(AND(E277=25, INT(W277/20)&gt;INT(W276/20)), "TN Ø25 (Lần " &amp; INT(W277/20) &amp; ")", IF(AND(E277=28, INT(X277/20)&gt;INT(X276/20)), "TN Ø28 (Lần " &amp; INT(X277/20) &amp; ")", IF(AND(E277=32, INT(Y277/20)&gt;INT(Y276/20)), "TN Ø32 (Lần " &amp; INT(Y277/20) &amp; ")", IF(AND(F277="ASTM A416", INT(Z277/20)&gt;INT(Z276/20)), "TN Cáp 15.2 (Lần " &amp; INT(Z277/20) &amp; ")", "")))))))))))</f>
        <v/>
      </c>
      <c r="P277" s="20">
        <f>ROUND(P276 + IF(AND(E277&lt;=10, F277&lt;&gt;"ASTM A416"), L277, 0), 3)</f>
        <v/>
      </c>
      <c r="Q277" s="20">
        <f>ROUND(Q276 + IF(AND(E277=12, F277&lt;&gt;"ASTM A416"), L277, 0), 3)</f>
        <v/>
      </c>
      <c r="R277" s="20">
        <f>ROUND(R276 + IF(AND(E277=14, F277&lt;&gt;"ASTM A416"), L277, 0), 3)</f>
        <v/>
      </c>
      <c r="S277" s="20">
        <f>ROUND(S276 + IF(AND(E277=16, F277&lt;&gt;"ASTM A416"), L277, 0), 3)</f>
        <v/>
      </c>
      <c r="T277" s="20">
        <f>ROUND(T276 + IF(AND(E277=18, F277&lt;&gt;"ASTM A416"), L277, 0), 3)</f>
        <v/>
      </c>
      <c r="U277" s="20">
        <f>ROUND(U276 + IF(AND(E277=20, F277&lt;&gt;"ASTM A416"), L277, 0), 3)</f>
        <v/>
      </c>
      <c r="V277" s="20">
        <f>ROUND(V276 + IF(AND(E277=22, F277&lt;&gt;"ASTM A416"), L277, 0), 3)</f>
        <v/>
      </c>
      <c r="W277" s="20">
        <f>ROUND(W276 + IF(AND(E277=25, F277&lt;&gt;"ASTM A416"), L277, 0), 3)</f>
        <v/>
      </c>
      <c r="X277" s="20">
        <f>ROUND(X276 + IF(AND(E277=28, F277&lt;&gt;"ASTM A416"), L277, 0), 3)</f>
        <v/>
      </c>
      <c r="Y277" s="20">
        <f>ROUND(Y276 + IF(AND(E277=32, F277&lt;&gt;"ASTM A416"), L277, 0), 3)</f>
        <v/>
      </c>
      <c r="Z277" s="20">
        <f>ROUND(Z276 + IF(F277="ASTM A416", L277, 0), 3)</f>
        <v/>
      </c>
      <c r="AA277" s="11">
        <f>IF(INT(P277/20)&gt;INT(P276/20), "Lần " &amp; INT(P277/20), "")</f>
        <v/>
      </c>
      <c r="AB277" s="11">
        <f>IF(INT(Q277/20)&gt;INT(Q276/20), "Lần " &amp; INT(Q277/20), "")</f>
        <v/>
      </c>
      <c r="AC277" s="11">
        <f>IF(INT(R277/20)&gt;INT(R276/20), "Lần " &amp; INT(R277/20), "")</f>
        <v/>
      </c>
      <c r="AD277" s="11">
        <f>IF(INT(S277/20)&gt;INT(S276/20), "Lần " &amp; INT(S277/20), "")</f>
        <v/>
      </c>
      <c r="AE277" s="11">
        <f>IF(INT(T277/20)&gt;INT(T276/20), "Lần " &amp; INT(T277/20), "")</f>
        <v/>
      </c>
      <c r="AF277" s="11">
        <f>IF(INT(U277/20)&gt;INT(U276/20), "Lần " &amp; INT(U277/20), "")</f>
        <v/>
      </c>
      <c r="AG277" s="11">
        <f>IF(INT(V277/20)&gt;INT(V276/20), "Lần " &amp; INT(V277/20), "")</f>
        <v/>
      </c>
      <c r="AH277" s="11">
        <f>IF(INT(W277/20)&gt;INT(W276/20), "Lần " &amp; INT(W277/20), "")</f>
        <v/>
      </c>
      <c r="AI277" s="11">
        <f>IF(INT(X277/20)&gt;INT(X276/20), "Lần " &amp; INT(X277/20), "")</f>
        <v/>
      </c>
      <c r="AJ277" s="11">
        <f>IF(INT(Y277/20)&gt;INT(Y276/20), "Lần " &amp; INT(Y277/20), "")</f>
        <v/>
      </c>
      <c r="AK277" s="11">
        <f>IF(INT(Z277/20)&gt;INT(Z276/20), "Lần " &amp; INT(Z277/20), "")</f>
        <v/>
      </c>
      <c r="AL277" s="6" t="inlineStr">
        <is>
          <t>ĐẠT TCVN 1651:2018</t>
        </is>
      </c>
    </row>
    <row r="278" ht="19" customHeight="1">
      <c r="A278" s="6" t="n">
        <v>257</v>
      </c>
      <c r="B278" s="7" t="inlineStr">
        <is>
          <t>Cọc khoan nhồi C7 Trụ T2 (D1.2m, L=30.0m)</t>
        </is>
      </c>
      <c r="C278" s="7" t="inlineStr">
        <is>
          <t>Thép đai xoắn lồng cọc</t>
        </is>
      </c>
      <c r="D278" s="18" t="inlineStr">
        <is>
          <t>P1D</t>
        </is>
      </c>
      <c r="E278" s="19" t="n">
        <v>10</v>
      </c>
      <c r="F278" s="6" t="inlineStr">
        <is>
          <t>CB240-T</t>
        </is>
      </c>
      <c r="G278" s="7" t="inlineStr">
        <is>
          <t>Đai xoắn tròn</t>
        </is>
      </c>
      <c r="H278" s="20" t="n">
        <v>19.721</v>
      </c>
      <c r="I278" s="21" t="n">
        <v>1</v>
      </c>
      <c r="J278" s="22" t="n">
        <v>0.617</v>
      </c>
      <c r="K278" s="9">
        <f>ROUND(H278*I278*J278, 2)</f>
        <v/>
      </c>
      <c r="L278" s="23">
        <f>ROUND(K278/1000, 3)</f>
        <v/>
      </c>
      <c r="M278" s="8" t="n"/>
      <c r="N278" s="6" t="n"/>
      <c r="O278" s="24">
        <f>IF(AND(E278&lt;=10, F278&lt;&gt;"ASTM A416", INT(P278/20)&gt;INT(P277/20)), "TN Ø10 (Lần " &amp; INT(P278/20) &amp; ")", IF(AND(E278=12, INT(Q278/20)&gt;INT(Q277/20)), "TN Ø12 (Lần " &amp; INT(Q278/20) &amp; ")", IF(AND(E278=14, INT(R278/20)&gt;INT(R277/20)), "TN Ø14 (Lần " &amp; INT(R278/20) &amp; ")", IF(AND(E278=16, INT(S278/20)&gt;INT(S277/20)), "TN Ø16 (Lần " &amp; INT(S278/20) &amp; ")", IF(AND(E278=18, INT(T278/20)&gt;INT(T277/20)), "TN Ø18 (Lần " &amp; INT(T278/20) &amp; ")", IF(AND(E278=20, INT(U278/20)&gt;INT(U277/20)), "TN Ø20 (Lần " &amp; INT(U278/20) &amp; ")", IF(AND(E278=22, INT(V278/20)&gt;INT(V277/20)), "TN Ø22 (Lần " &amp; INT(V278/20) &amp; ")", IF(AND(E278=25, INT(W278/20)&gt;INT(W277/20)), "TN Ø25 (Lần " &amp; INT(W278/20) &amp; ")", IF(AND(E278=28, INT(X278/20)&gt;INT(X277/20)), "TN Ø28 (Lần " &amp; INT(X278/20) &amp; ")", IF(AND(E278=32, INT(Y278/20)&gt;INT(Y277/20)), "TN Ø32 (Lần " &amp; INT(Y278/20) &amp; ")", IF(AND(F278="ASTM A416", INT(Z278/20)&gt;INT(Z277/20)), "TN Cáp 15.2 (Lần " &amp; INT(Z278/20) &amp; ")", "")))))))))))</f>
        <v/>
      </c>
      <c r="P278" s="20">
        <f>ROUND(P277 + IF(AND(E278&lt;=10, F278&lt;&gt;"ASTM A416"), L278, 0), 3)</f>
        <v/>
      </c>
      <c r="Q278" s="20">
        <f>ROUND(Q277 + IF(AND(E278=12, F278&lt;&gt;"ASTM A416"), L278, 0), 3)</f>
        <v/>
      </c>
      <c r="R278" s="20">
        <f>ROUND(R277 + IF(AND(E278=14, F278&lt;&gt;"ASTM A416"), L278, 0), 3)</f>
        <v/>
      </c>
      <c r="S278" s="20">
        <f>ROUND(S277 + IF(AND(E278=16, F278&lt;&gt;"ASTM A416"), L278, 0), 3)</f>
        <v/>
      </c>
      <c r="T278" s="20">
        <f>ROUND(T277 + IF(AND(E278=18, F278&lt;&gt;"ASTM A416"), L278, 0), 3)</f>
        <v/>
      </c>
      <c r="U278" s="20">
        <f>ROUND(U277 + IF(AND(E278=20, F278&lt;&gt;"ASTM A416"), L278, 0), 3)</f>
        <v/>
      </c>
      <c r="V278" s="20">
        <f>ROUND(V277 + IF(AND(E278=22, F278&lt;&gt;"ASTM A416"), L278, 0), 3)</f>
        <v/>
      </c>
      <c r="W278" s="20">
        <f>ROUND(W277 + IF(AND(E278=25, F278&lt;&gt;"ASTM A416"), L278, 0), 3)</f>
        <v/>
      </c>
      <c r="X278" s="20">
        <f>ROUND(X277 + IF(AND(E278=28, F278&lt;&gt;"ASTM A416"), L278, 0), 3)</f>
        <v/>
      </c>
      <c r="Y278" s="20">
        <f>ROUND(Y277 + IF(AND(E278=32, F278&lt;&gt;"ASTM A416"), L278, 0), 3)</f>
        <v/>
      </c>
      <c r="Z278" s="20">
        <f>ROUND(Z277 + IF(F278="ASTM A416", L278, 0), 3)</f>
        <v/>
      </c>
      <c r="AA278" s="11">
        <f>IF(INT(P278/20)&gt;INT(P277/20), "Lần " &amp; INT(P278/20), "")</f>
        <v/>
      </c>
      <c r="AB278" s="11">
        <f>IF(INT(Q278/20)&gt;INT(Q277/20), "Lần " &amp; INT(Q278/20), "")</f>
        <v/>
      </c>
      <c r="AC278" s="11">
        <f>IF(INT(R278/20)&gt;INT(R277/20), "Lần " &amp; INT(R278/20), "")</f>
        <v/>
      </c>
      <c r="AD278" s="11">
        <f>IF(INT(S278/20)&gt;INT(S277/20), "Lần " &amp; INT(S278/20), "")</f>
        <v/>
      </c>
      <c r="AE278" s="11">
        <f>IF(INT(T278/20)&gt;INT(T277/20), "Lần " &amp; INT(T278/20), "")</f>
        <v/>
      </c>
      <c r="AF278" s="11">
        <f>IF(INT(U278/20)&gt;INT(U277/20), "Lần " &amp; INT(U278/20), "")</f>
        <v/>
      </c>
      <c r="AG278" s="11">
        <f>IF(INT(V278/20)&gt;INT(V277/20), "Lần " &amp; INT(V278/20), "")</f>
        <v/>
      </c>
      <c r="AH278" s="11">
        <f>IF(INT(W278/20)&gt;INT(W277/20), "Lần " &amp; INT(W278/20), "")</f>
        <v/>
      </c>
      <c r="AI278" s="11">
        <f>IF(INT(X278/20)&gt;INT(X277/20), "Lần " &amp; INT(X278/20), "")</f>
        <v/>
      </c>
      <c r="AJ278" s="11">
        <f>IF(INT(Y278/20)&gt;INT(Y277/20), "Lần " &amp; INT(Y278/20), "")</f>
        <v/>
      </c>
      <c r="AK278" s="11">
        <f>IF(INT(Z278/20)&gt;INT(Z277/20), "Lần " &amp; INT(Z278/20), "")</f>
        <v/>
      </c>
      <c r="AL278" s="6" t="inlineStr">
        <is>
          <t>ĐẠT TCVN 1651:2018</t>
        </is>
      </c>
    </row>
    <row r="279" ht="19" customHeight="1">
      <c r="A279" s="6" t="n">
        <v>258</v>
      </c>
      <c r="B279" s="7" t="inlineStr">
        <is>
          <t>Cọc khoan nhồi C7 Trụ T2 (D1.2m, L=30.0m)</t>
        </is>
      </c>
      <c r="C279" s="7" t="inlineStr">
        <is>
          <t>Cốt thép chủ chịu lực cọc</t>
        </is>
      </c>
      <c r="D279" s="18" t="inlineStr">
        <is>
          <t>P2B</t>
        </is>
      </c>
      <c r="E279" s="19" t="n">
        <v>25</v>
      </c>
      <c r="F279" s="6" t="inlineStr">
        <is>
          <t>CB400-V</t>
        </is>
      </c>
      <c r="G279" s="7" t="inlineStr">
        <is>
          <t>Thanh thẳng nối ren/hàn</t>
        </is>
      </c>
      <c r="H279" s="20" t="n">
        <v>2.985</v>
      </c>
      <c r="I279" s="21" t="n">
        <v>12</v>
      </c>
      <c r="J279" s="22" t="n">
        <v>3.85</v>
      </c>
      <c r="K279" s="9">
        <f>ROUND(H279*I279*J279, 2)</f>
        <v/>
      </c>
      <c r="L279" s="23">
        <f>ROUND(K279/1000, 3)</f>
        <v/>
      </c>
      <c r="M279" s="8" t="n"/>
      <c r="N279" s="6" t="n"/>
      <c r="O279" s="24">
        <f>IF(AND(E279&lt;=10, F279&lt;&gt;"ASTM A416", INT(P279/20)&gt;INT(P278/20)), "TN Ø10 (Lần " &amp; INT(P279/20) &amp; ")", IF(AND(E279=12, INT(Q279/20)&gt;INT(Q278/20)), "TN Ø12 (Lần " &amp; INT(Q279/20) &amp; ")", IF(AND(E279=14, INT(R279/20)&gt;INT(R278/20)), "TN Ø14 (Lần " &amp; INT(R279/20) &amp; ")", IF(AND(E279=16, INT(S279/20)&gt;INT(S278/20)), "TN Ø16 (Lần " &amp; INT(S279/20) &amp; ")", IF(AND(E279=18, INT(T279/20)&gt;INT(T278/20)), "TN Ø18 (Lần " &amp; INT(T279/20) &amp; ")", IF(AND(E279=20, INT(U279/20)&gt;INT(U278/20)), "TN Ø20 (Lần " &amp; INT(U279/20) &amp; ")", IF(AND(E279=22, INT(V279/20)&gt;INT(V278/20)), "TN Ø22 (Lần " &amp; INT(V279/20) &amp; ")", IF(AND(E279=25, INT(W279/20)&gt;INT(W278/20)), "TN Ø25 (Lần " &amp; INT(W279/20) &amp; ")", IF(AND(E279=28, INT(X279/20)&gt;INT(X278/20)), "TN Ø28 (Lần " &amp; INT(X279/20) &amp; ")", IF(AND(E279=32, INT(Y279/20)&gt;INT(Y278/20)), "TN Ø32 (Lần " &amp; INT(Y279/20) &amp; ")", IF(AND(F279="ASTM A416", INT(Z279/20)&gt;INT(Z278/20)), "TN Cáp 15.2 (Lần " &amp; INT(Z279/20) &amp; ")", "")))))))))))</f>
        <v/>
      </c>
      <c r="P279" s="20">
        <f>ROUND(P278 + IF(AND(E279&lt;=10, F279&lt;&gt;"ASTM A416"), L279, 0), 3)</f>
        <v/>
      </c>
      <c r="Q279" s="20">
        <f>ROUND(Q278 + IF(AND(E279=12, F279&lt;&gt;"ASTM A416"), L279, 0), 3)</f>
        <v/>
      </c>
      <c r="R279" s="20">
        <f>ROUND(R278 + IF(AND(E279=14, F279&lt;&gt;"ASTM A416"), L279, 0), 3)</f>
        <v/>
      </c>
      <c r="S279" s="20">
        <f>ROUND(S278 + IF(AND(E279=16, F279&lt;&gt;"ASTM A416"), L279, 0), 3)</f>
        <v/>
      </c>
      <c r="T279" s="20">
        <f>ROUND(T278 + IF(AND(E279=18, F279&lt;&gt;"ASTM A416"), L279, 0), 3)</f>
        <v/>
      </c>
      <c r="U279" s="20">
        <f>ROUND(U278 + IF(AND(E279=20, F279&lt;&gt;"ASTM A416"), L279, 0), 3)</f>
        <v/>
      </c>
      <c r="V279" s="20">
        <f>ROUND(V278 + IF(AND(E279=22, F279&lt;&gt;"ASTM A416"), L279, 0), 3)</f>
        <v/>
      </c>
      <c r="W279" s="20">
        <f>ROUND(W278 + IF(AND(E279=25, F279&lt;&gt;"ASTM A416"), L279, 0), 3)</f>
        <v/>
      </c>
      <c r="X279" s="20">
        <f>ROUND(X278 + IF(AND(E279=28, F279&lt;&gt;"ASTM A416"), L279, 0), 3)</f>
        <v/>
      </c>
      <c r="Y279" s="20">
        <f>ROUND(Y278 + IF(AND(E279=32, F279&lt;&gt;"ASTM A416"), L279, 0), 3)</f>
        <v/>
      </c>
      <c r="Z279" s="20">
        <f>ROUND(Z278 + IF(F279="ASTM A416", L279, 0), 3)</f>
        <v/>
      </c>
      <c r="AA279" s="11">
        <f>IF(INT(P279/20)&gt;INT(P278/20), "Lần " &amp; INT(P279/20), "")</f>
        <v/>
      </c>
      <c r="AB279" s="11">
        <f>IF(INT(Q279/20)&gt;INT(Q278/20), "Lần " &amp; INT(Q279/20), "")</f>
        <v/>
      </c>
      <c r="AC279" s="11">
        <f>IF(INT(R279/20)&gt;INT(R278/20), "Lần " &amp; INT(R279/20), "")</f>
        <v/>
      </c>
      <c r="AD279" s="11">
        <f>IF(INT(S279/20)&gt;INT(S278/20), "Lần " &amp; INT(S279/20), "")</f>
        <v/>
      </c>
      <c r="AE279" s="11">
        <f>IF(INT(T279/20)&gt;INT(T278/20), "Lần " &amp; INT(T279/20), "")</f>
        <v/>
      </c>
      <c r="AF279" s="11">
        <f>IF(INT(U279/20)&gt;INT(U278/20), "Lần " &amp; INT(U279/20), "")</f>
        <v/>
      </c>
      <c r="AG279" s="11">
        <f>IF(INT(V279/20)&gt;INT(V278/20), "Lần " &amp; INT(V279/20), "")</f>
        <v/>
      </c>
      <c r="AH279" s="11">
        <f>IF(INT(W279/20)&gt;INT(W278/20), "Lần " &amp; INT(W279/20), "")</f>
        <v/>
      </c>
      <c r="AI279" s="11">
        <f>IF(INT(X279/20)&gt;INT(X278/20), "Lần " &amp; INT(X279/20), "")</f>
        <v/>
      </c>
      <c r="AJ279" s="11">
        <f>IF(INT(Y279/20)&gt;INT(Y278/20), "Lần " &amp; INT(Y279/20), "")</f>
        <v/>
      </c>
      <c r="AK279" s="11">
        <f>IF(INT(Z279/20)&gt;INT(Z278/20), "Lần " &amp; INT(Z279/20), "")</f>
        <v/>
      </c>
      <c r="AL279" s="6" t="inlineStr">
        <is>
          <t>ĐẠT TCVN 1651:2018</t>
        </is>
      </c>
    </row>
    <row r="280" ht="19" customHeight="1">
      <c r="A280" s="6" t="n">
        <v>259</v>
      </c>
      <c r="B280" s="7" t="inlineStr">
        <is>
          <t>Cọc khoan nhồi C7 Trụ T2 (D1.2m, L=30.0m)</t>
        </is>
      </c>
      <c r="C280" s="7" t="inlineStr">
        <is>
          <t>Cốt thép chủ chịu lực cọc</t>
        </is>
      </c>
      <c r="D280" s="18" t="inlineStr">
        <is>
          <t>P3</t>
        </is>
      </c>
      <c r="E280" s="19" t="n">
        <v>25</v>
      </c>
      <c r="F280" s="6" t="inlineStr">
        <is>
          <t>CB400-V</t>
        </is>
      </c>
      <c r="G280" s="7" t="inlineStr">
        <is>
          <t>Thanh thẳng nối ren/hàn</t>
        </is>
      </c>
      <c r="H280" s="20" t="n">
        <v>10.7</v>
      </c>
      <c r="I280" s="21" t="n">
        <v>12</v>
      </c>
      <c r="J280" s="22" t="n">
        <v>3.85</v>
      </c>
      <c r="K280" s="9">
        <f>ROUND(H280*I280*J280, 2)</f>
        <v/>
      </c>
      <c r="L280" s="23">
        <f>ROUND(K280/1000, 3)</f>
        <v/>
      </c>
      <c r="M280" s="8" t="n"/>
      <c r="N280" s="6" t="n"/>
      <c r="O280" s="24">
        <f>IF(AND(E280&lt;=10, F280&lt;&gt;"ASTM A416", INT(P280/20)&gt;INT(P279/20)), "TN Ø10 (Lần " &amp; INT(P280/20) &amp; ")", IF(AND(E280=12, INT(Q280/20)&gt;INT(Q279/20)), "TN Ø12 (Lần " &amp; INT(Q280/20) &amp; ")", IF(AND(E280=14, INT(R280/20)&gt;INT(R279/20)), "TN Ø14 (Lần " &amp; INT(R280/20) &amp; ")", IF(AND(E280=16, INT(S280/20)&gt;INT(S279/20)), "TN Ø16 (Lần " &amp; INT(S280/20) &amp; ")", IF(AND(E280=18, INT(T280/20)&gt;INT(T279/20)), "TN Ø18 (Lần " &amp; INT(T280/20) &amp; ")", IF(AND(E280=20, INT(U280/20)&gt;INT(U279/20)), "TN Ø20 (Lần " &amp; INT(U280/20) &amp; ")", IF(AND(E280=22, INT(V280/20)&gt;INT(V279/20)), "TN Ø22 (Lần " &amp; INT(V280/20) &amp; ")", IF(AND(E280=25, INT(W280/20)&gt;INT(W279/20)), "TN Ø25 (Lần " &amp; INT(W280/20) &amp; ")", IF(AND(E280=28, INT(X280/20)&gt;INT(X279/20)), "TN Ø28 (Lần " &amp; INT(X280/20) &amp; ")", IF(AND(E280=32, INT(Y280/20)&gt;INT(Y279/20)), "TN Ø32 (Lần " &amp; INT(Y280/20) &amp; ")", IF(AND(F280="ASTM A416", INT(Z280/20)&gt;INT(Z279/20)), "TN Cáp 15.2 (Lần " &amp; INT(Z280/20) &amp; ")", "")))))))))))</f>
        <v/>
      </c>
      <c r="P280" s="20">
        <f>ROUND(P279 + IF(AND(E280&lt;=10, F280&lt;&gt;"ASTM A416"), L280, 0), 3)</f>
        <v/>
      </c>
      <c r="Q280" s="20">
        <f>ROUND(Q279 + IF(AND(E280=12, F280&lt;&gt;"ASTM A416"), L280, 0), 3)</f>
        <v/>
      </c>
      <c r="R280" s="20">
        <f>ROUND(R279 + IF(AND(E280=14, F280&lt;&gt;"ASTM A416"), L280, 0), 3)</f>
        <v/>
      </c>
      <c r="S280" s="20">
        <f>ROUND(S279 + IF(AND(E280=16, F280&lt;&gt;"ASTM A416"), L280, 0), 3)</f>
        <v/>
      </c>
      <c r="T280" s="20">
        <f>ROUND(T279 + IF(AND(E280=18, F280&lt;&gt;"ASTM A416"), L280, 0), 3)</f>
        <v/>
      </c>
      <c r="U280" s="20">
        <f>ROUND(U279 + IF(AND(E280=20, F280&lt;&gt;"ASTM A416"), L280, 0), 3)</f>
        <v/>
      </c>
      <c r="V280" s="20">
        <f>ROUND(V279 + IF(AND(E280=22, F280&lt;&gt;"ASTM A416"), L280, 0), 3)</f>
        <v/>
      </c>
      <c r="W280" s="20">
        <f>ROUND(W279 + IF(AND(E280=25, F280&lt;&gt;"ASTM A416"), L280, 0), 3)</f>
        <v/>
      </c>
      <c r="X280" s="20">
        <f>ROUND(X279 + IF(AND(E280=28, F280&lt;&gt;"ASTM A416"), L280, 0), 3)</f>
        <v/>
      </c>
      <c r="Y280" s="20">
        <f>ROUND(Y279 + IF(AND(E280=32, F280&lt;&gt;"ASTM A416"), L280, 0), 3)</f>
        <v/>
      </c>
      <c r="Z280" s="20">
        <f>ROUND(Z279 + IF(F280="ASTM A416", L280, 0), 3)</f>
        <v/>
      </c>
      <c r="AA280" s="11">
        <f>IF(INT(P280/20)&gt;INT(P279/20), "Lần " &amp; INT(P280/20), "")</f>
        <v/>
      </c>
      <c r="AB280" s="11">
        <f>IF(INT(Q280/20)&gt;INT(Q279/20), "Lần " &amp; INT(Q280/20), "")</f>
        <v/>
      </c>
      <c r="AC280" s="11">
        <f>IF(INT(R280/20)&gt;INT(R279/20), "Lần " &amp; INT(R280/20), "")</f>
        <v/>
      </c>
      <c r="AD280" s="11">
        <f>IF(INT(S280/20)&gt;INT(S279/20), "Lần " &amp; INT(S280/20), "")</f>
        <v/>
      </c>
      <c r="AE280" s="11">
        <f>IF(INT(T280/20)&gt;INT(T279/20), "Lần " &amp; INT(T280/20), "")</f>
        <v/>
      </c>
      <c r="AF280" s="11">
        <f>IF(INT(U280/20)&gt;INT(U279/20), "Lần " &amp; INT(U280/20), "")</f>
        <v/>
      </c>
      <c r="AG280" s="11">
        <f>IF(INT(V280/20)&gt;INT(V279/20), "Lần " &amp; INT(V280/20), "")</f>
        <v/>
      </c>
      <c r="AH280" s="11">
        <f>IF(INT(W280/20)&gt;INT(W279/20), "Lần " &amp; INT(W280/20), "")</f>
        <v/>
      </c>
      <c r="AI280" s="11">
        <f>IF(INT(X280/20)&gt;INT(X279/20), "Lần " &amp; INT(X280/20), "")</f>
        <v/>
      </c>
      <c r="AJ280" s="11">
        <f>IF(INT(Y280/20)&gt;INT(Y279/20), "Lần " &amp; INT(Y280/20), "")</f>
        <v/>
      </c>
      <c r="AK280" s="11">
        <f>IF(INT(Z280/20)&gt;INT(Z279/20), "Lần " &amp; INT(Z280/20), "")</f>
        <v/>
      </c>
      <c r="AL280" s="6" t="inlineStr">
        <is>
          <t>ĐẠT TCVN 1651:2018</t>
        </is>
      </c>
    </row>
    <row r="281" ht="19" customHeight="1">
      <c r="A281" s="6" t="n">
        <v>260</v>
      </c>
      <c r="B281" s="7" t="inlineStr">
        <is>
          <t>Cọc khoan nhồi C7 Trụ T2 (D1.2m, L=30.0m)</t>
        </is>
      </c>
      <c r="C281" s="7" t="inlineStr">
        <is>
          <t>Cốt thép chủ chịu lực cọc</t>
        </is>
      </c>
      <c r="D281" s="18" t="inlineStr">
        <is>
          <t>P4</t>
        </is>
      </c>
      <c r="E281" s="19" t="n">
        <v>25</v>
      </c>
      <c r="F281" s="6" t="inlineStr">
        <is>
          <t>CB400-V</t>
        </is>
      </c>
      <c r="G281" s="7" t="inlineStr">
        <is>
          <t>Thanh thẳng nối ren/hàn</t>
        </is>
      </c>
      <c r="H281" s="20" t="n">
        <v>11.7</v>
      </c>
      <c r="I281" s="21" t="n">
        <v>36</v>
      </c>
      <c r="J281" s="22" t="n">
        <v>3.85</v>
      </c>
      <c r="K281" s="9">
        <f>ROUND(H281*I281*J281, 2)</f>
        <v/>
      </c>
      <c r="L281" s="23">
        <f>ROUND(K281/1000, 3)</f>
        <v/>
      </c>
      <c r="M281" s="8" t="n"/>
      <c r="N281" s="6" t="n"/>
      <c r="O281" s="24">
        <f>IF(AND(E281&lt;=10, F281&lt;&gt;"ASTM A416", INT(P281/20)&gt;INT(P280/20)), "TN Ø10 (Lần " &amp; INT(P281/20) &amp; ")", IF(AND(E281=12, INT(Q281/20)&gt;INT(Q280/20)), "TN Ø12 (Lần " &amp; INT(Q281/20) &amp; ")", IF(AND(E281=14, INT(R281/20)&gt;INT(R280/20)), "TN Ø14 (Lần " &amp; INT(R281/20) &amp; ")", IF(AND(E281=16, INT(S281/20)&gt;INT(S280/20)), "TN Ø16 (Lần " &amp; INT(S281/20) &amp; ")", IF(AND(E281=18, INT(T281/20)&gt;INT(T280/20)), "TN Ø18 (Lần " &amp; INT(T281/20) &amp; ")", IF(AND(E281=20, INT(U281/20)&gt;INT(U280/20)), "TN Ø20 (Lần " &amp; INT(U281/20) &amp; ")", IF(AND(E281=22, INT(V281/20)&gt;INT(V280/20)), "TN Ø22 (Lần " &amp; INT(V281/20) &amp; ")", IF(AND(E281=25, INT(W281/20)&gt;INT(W280/20)), "TN Ø25 (Lần " &amp; INT(W281/20) &amp; ")", IF(AND(E281=28, INT(X281/20)&gt;INT(X280/20)), "TN Ø28 (Lần " &amp; INT(X281/20) &amp; ")", IF(AND(E281=32, INT(Y281/20)&gt;INT(Y280/20)), "TN Ø32 (Lần " &amp; INT(Y281/20) &amp; ")", IF(AND(F281="ASTM A416", INT(Z281/20)&gt;INT(Z280/20)), "TN Cáp 15.2 (Lần " &amp; INT(Z281/20) &amp; ")", "")))))))))))</f>
        <v/>
      </c>
      <c r="P281" s="20">
        <f>ROUND(P280 + IF(AND(E281&lt;=10, F281&lt;&gt;"ASTM A416"), L281, 0), 3)</f>
        <v/>
      </c>
      <c r="Q281" s="20">
        <f>ROUND(Q280 + IF(AND(E281=12, F281&lt;&gt;"ASTM A416"), L281, 0), 3)</f>
        <v/>
      </c>
      <c r="R281" s="20">
        <f>ROUND(R280 + IF(AND(E281=14, F281&lt;&gt;"ASTM A416"), L281, 0), 3)</f>
        <v/>
      </c>
      <c r="S281" s="20">
        <f>ROUND(S280 + IF(AND(E281=16, F281&lt;&gt;"ASTM A416"), L281, 0), 3)</f>
        <v/>
      </c>
      <c r="T281" s="20">
        <f>ROUND(T280 + IF(AND(E281=18, F281&lt;&gt;"ASTM A416"), L281, 0), 3)</f>
        <v/>
      </c>
      <c r="U281" s="20">
        <f>ROUND(U280 + IF(AND(E281=20, F281&lt;&gt;"ASTM A416"), L281, 0), 3)</f>
        <v/>
      </c>
      <c r="V281" s="20">
        <f>ROUND(V280 + IF(AND(E281=22, F281&lt;&gt;"ASTM A416"), L281, 0), 3)</f>
        <v/>
      </c>
      <c r="W281" s="20">
        <f>ROUND(W280 + IF(AND(E281=25, F281&lt;&gt;"ASTM A416"), L281, 0), 3)</f>
        <v/>
      </c>
      <c r="X281" s="20">
        <f>ROUND(X280 + IF(AND(E281=28, F281&lt;&gt;"ASTM A416"), L281, 0), 3)</f>
        <v/>
      </c>
      <c r="Y281" s="20">
        <f>ROUND(Y280 + IF(AND(E281=32, F281&lt;&gt;"ASTM A416"), L281, 0), 3)</f>
        <v/>
      </c>
      <c r="Z281" s="20">
        <f>ROUND(Z280 + IF(F281="ASTM A416", L281, 0), 3)</f>
        <v/>
      </c>
      <c r="AA281" s="11">
        <f>IF(INT(P281/20)&gt;INT(P280/20), "Lần " &amp; INT(P281/20), "")</f>
        <v/>
      </c>
      <c r="AB281" s="11">
        <f>IF(INT(Q281/20)&gt;INT(Q280/20), "Lần " &amp; INT(Q281/20), "")</f>
        <v/>
      </c>
      <c r="AC281" s="11">
        <f>IF(INT(R281/20)&gt;INT(R280/20), "Lần " &amp; INT(R281/20), "")</f>
        <v/>
      </c>
      <c r="AD281" s="11">
        <f>IF(INT(S281/20)&gt;INT(S280/20), "Lần " &amp; INT(S281/20), "")</f>
        <v/>
      </c>
      <c r="AE281" s="11">
        <f>IF(INT(T281/20)&gt;INT(T280/20), "Lần " &amp; INT(T281/20), "")</f>
        <v/>
      </c>
      <c r="AF281" s="11">
        <f>IF(INT(U281/20)&gt;INT(U280/20), "Lần " &amp; INT(U281/20), "")</f>
        <v/>
      </c>
      <c r="AG281" s="11">
        <f>IF(INT(V281/20)&gt;INT(V280/20), "Lần " &amp; INT(V281/20), "")</f>
        <v/>
      </c>
      <c r="AH281" s="11">
        <f>IF(INT(W281/20)&gt;INT(W280/20), "Lần " &amp; INT(W281/20), "")</f>
        <v/>
      </c>
      <c r="AI281" s="11">
        <f>IF(INT(X281/20)&gt;INT(X280/20), "Lần " &amp; INT(X281/20), "")</f>
        <v/>
      </c>
      <c r="AJ281" s="11">
        <f>IF(INT(Y281/20)&gt;INT(Y280/20), "Lần " &amp; INT(Y281/20), "")</f>
        <v/>
      </c>
      <c r="AK281" s="11">
        <f>IF(INT(Z281/20)&gt;INT(Z280/20), "Lần " &amp; INT(Z281/20), "")</f>
        <v/>
      </c>
      <c r="AL281" s="6" t="inlineStr">
        <is>
          <t>ĐẠT TCVN 1651:2018</t>
        </is>
      </c>
    </row>
    <row r="282" ht="19" customHeight="1">
      <c r="A282" s="6" t="n">
        <v>261</v>
      </c>
      <c r="B282" s="7" t="inlineStr">
        <is>
          <t>Cọc khoan nhồi C7 Trụ T2 (D1.2m, L=30.0m)</t>
        </is>
      </c>
      <c r="C282" s="7" t="inlineStr">
        <is>
          <t>Cốt thép chủ chịu lực cọc</t>
        </is>
      </c>
      <c r="D282" s="18" t="inlineStr">
        <is>
          <t>P6</t>
        </is>
      </c>
      <c r="E282" s="19" t="n">
        <v>25</v>
      </c>
      <c r="F282" s="6" t="inlineStr">
        <is>
          <t>CB400-V</t>
        </is>
      </c>
      <c r="G282" s="7" t="inlineStr">
        <is>
          <t>Thanh thẳng nối ren/hàn</t>
        </is>
      </c>
      <c r="H282" s="20" t="n">
        <v>9.733000000000001</v>
      </c>
      <c r="I282" s="21" t="n">
        <v>12</v>
      </c>
      <c r="J282" s="22" t="n">
        <v>3.85</v>
      </c>
      <c r="K282" s="9">
        <f>ROUND(H282*I282*J282, 2)</f>
        <v/>
      </c>
      <c r="L282" s="23">
        <f>ROUND(K282/1000, 3)</f>
        <v/>
      </c>
      <c r="M282" s="8" t="n"/>
      <c r="N282" s="6" t="n"/>
      <c r="O282" s="24">
        <f>IF(AND(E282&lt;=10, F282&lt;&gt;"ASTM A416", INT(P282/20)&gt;INT(P281/20)), "TN Ø10 (Lần " &amp; INT(P282/20) &amp; ")", IF(AND(E282=12, INT(Q282/20)&gt;INT(Q281/20)), "TN Ø12 (Lần " &amp; INT(Q282/20) &amp; ")", IF(AND(E282=14, INT(R282/20)&gt;INT(R281/20)), "TN Ø14 (Lần " &amp; INT(R282/20) &amp; ")", IF(AND(E282=16, INT(S282/20)&gt;INT(S281/20)), "TN Ø16 (Lần " &amp; INT(S282/20) &amp; ")", IF(AND(E282=18, INT(T282/20)&gt;INT(T281/20)), "TN Ø18 (Lần " &amp; INT(T282/20) &amp; ")", IF(AND(E282=20, INT(U282/20)&gt;INT(U281/20)), "TN Ø20 (Lần " &amp; INT(U282/20) &amp; ")", IF(AND(E282=22, INT(V282/20)&gt;INT(V281/20)), "TN Ø22 (Lần " &amp; INT(V282/20) &amp; ")", IF(AND(E282=25, INT(W282/20)&gt;INT(W281/20)), "TN Ø25 (Lần " &amp; INT(W282/20) &amp; ")", IF(AND(E282=28, INT(X282/20)&gt;INT(X281/20)), "TN Ø28 (Lần " &amp; INT(X282/20) &amp; ")", IF(AND(E282=32, INT(Y282/20)&gt;INT(Y281/20)), "TN Ø32 (Lần " &amp; INT(Y282/20) &amp; ")", IF(AND(F282="ASTM A416", INT(Z282/20)&gt;INT(Z281/20)), "TN Cáp 15.2 (Lần " &amp; INT(Z282/20) &amp; ")", "")))))))))))</f>
        <v/>
      </c>
      <c r="P282" s="20">
        <f>ROUND(P281 + IF(AND(E282&lt;=10, F282&lt;&gt;"ASTM A416"), L282, 0), 3)</f>
        <v/>
      </c>
      <c r="Q282" s="20">
        <f>ROUND(Q281 + IF(AND(E282=12, F282&lt;&gt;"ASTM A416"), L282, 0), 3)</f>
        <v/>
      </c>
      <c r="R282" s="20">
        <f>ROUND(R281 + IF(AND(E282=14, F282&lt;&gt;"ASTM A416"), L282, 0), 3)</f>
        <v/>
      </c>
      <c r="S282" s="20">
        <f>ROUND(S281 + IF(AND(E282=16, F282&lt;&gt;"ASTM A416"), L282, 0), 3)</f>
        <v/>
      </c>
      <c r="T282" s="20">
        <f>ROUND(T281 + IF(AND(E282=18, F282&lt;&gt;"ASTM A416"), L282, 0), 3)</f>
        <v/>
      </c>
      <c r="U282" s="20">
        <f>ROUND(U281 + IF(AND(E282=20, F282&lt;&gt;"ASTM A416"), L282, 0), 3)</f>
        <v/>
      </c>
      <c r="V282" s="20">
        <f>ROUND(V281 + IF(AND(E282=22, F282&lt;&gt;"ASTM A416"), L282, 0), 3)</f>
        <v/>
      </c>
      <c r="W282" s="20">
        <f>ROUND(W281 + IF(AND(E282=25, F282&lt;&gt;"ASTM A416"), L282, 0), 3)</f>
        <v/>
      </c>
      <c r="X282" s="20">
        <f>ROUND(X281 + IF(AND(E282=28, F282&lt;&gt;"ASTM A416"), L282, 0), 3)</f>
        <v/>
      </c>
      <c r="Y282" s="20">
        <f>ROUND(Y281 + IF(AND(E282=32, F282&lt;&gt;"ASTM A416"), L282, 0), 3)</f>
        <v/>
      </c>
      <c r="Z282" s="20">
        <f>ROUND(Z281 + IF(F282="ASTM A416", L282, 0), 3)</f>
        <v/>
      </c>
      <c r="AA282" s="11">
        <f>IF(INT(P282/20)&gt;INT(P281/20), "Lần " &amp; INT(P282/20), "")</f>
        <v/>
      </c>
      <c r="AB282" s="11">
        <f>IF(INT(Q282/20)&gt;INT(Q281/20), "Lần " &amp; INT(Q282/20), "")</f>
        <v/>
      </c>
      <c r="AC282" s="11">
        <f>IF(INT(R282/20)&gt;INT(R281/20), "Lần " &amp; INT(R282/20), "")</f>
        <v/>
      </c>
      <c r="AD282" s="11">
        <f>IF(INT(S282/20)&gt;INT(S281/20), "Lần " &amp; INT(S282/20), "")</f>
        <v/>
      </c>
      <c r="AE282" s="11">
        <f>IF(INT(T282/20)&gt;INT(T281/20), "Lần " &amp; INT(T282/20), "")</f>
        <v/>
      </c>
      <c r="AF282" s="11">
        <f>IF(INT(U282/20)&gt;INT(U281/20), "Lần " &amp; INT(U282/20), "")</f>
        <v/>
      </c>
      <c r="AG282" s="11">
        <f>IF(INT(V282/20)&gt;INT(V281/20), "Lần " &amp; INT(V282/20), "")</f>
        <v/>
      </c>
      <c r="AH282" s="11">
        <f>IF(INT(W282/20)&gt;INT(W281/20), "Lần " &amp; INT(W282/20), "")</f>
        <v/>
      </c>
      <c r="AI282" s="11">
        <f>IF(INT(X282/20)&gt;INT(X281/20), "Lần " &amp; INT(X282/20), "")</f>
        <v/>
      </c>
      <c r="AJ282" s="11">
        <f>IF(INT(Y282/20)&gt;INT(Y281/20), "Lần " &amp; INT(Y282/20), "")</f>
        <v/>
      </c>
      <c r="AK282" s="11">
        <f>IF(INT(Z282/20)&gt;INT(Z281/20), "Lần " &amp; INT(Z282/20), "")</f>
        <v/>
      </c>
      <c r="AL282" s="6" t="inlineStr">
        <is>
          <t>ĐẠT TCVN 1651:2018</t>
        </is>
      </c>
    </row>
    <row r="283" ht="19" customHeight="1">
      <c r="A283" s="6" t="n">
        <v>262</v>
      </c>
      <c r="B283" s="7" t="inlineStr">
        <is>
          <t>Cọc khoan nhồi C7 Trụ T2 (D1.2m, L=30.0m)</t>
        </is>
      </c>
      <c r="C283" s="7" t="inlineStr">
        <is>
          <t>Cốt thép chủ chịu lực cọc</t>
        </is>
      </c>
      <c r="D283" s="18" t="inlineStr">
        <is>
          <t>P7</t>
        </is>
      </c>
      <c r="E283" s="19" t="n">
        <v>25</v>
      </c>
      <c r="F283" s="6" t="inlineStr">
        <is>
          <t>CB400-V</t>
        </is>
      </c>
      <c r="G283" s="7" t="inlineStr">
        <is>
          <t>Thanh thẳng nối ren/hàn</t>
        </is>
      </c>
      <c r="H283" s="20" t="n">
        <v>10.733</v>
      </c>
      <c r="I283" s="21" t="n">
        <v>12</v>
      </c>
      <c r="J283" s="22" t="n">
        <v>3.85</v>
      </c>
      <c r="K283" s="9">
        <f>ROUND(H283*I283*J283, 2)</f>
        <v/>
      </c>
      <c r="L283" s="23">
        <f>ROUND(K283/1000, 3)</f>
        <v/>
      </c>
      <c r="M283" s="8" t="n"/>
      <c r="N283" s="6" t="n"/>
      <c r="O283" s="24">
        <f>IF(AND(E283&lt;=10, F283&lt;&gt;"ASTM A416", INT(P283/20)&gt;INT(P282/20)), "TN Ø10 (Lần " &amp; INT(P283/20) &amp; ")", IF(AND(E283=12, INT(Q283/20)&gt;INT(Q282/20)), "TN Ø12 (Lần " &amp; INT(Q283/20) &amp; ")", IF(AND(E283=14, INT(R283/20)&gt;INT(R282/20)), "TN Ø14 (Lần " &amp; INT(R283/20) &amp; ")", IF(AND(E283=16, INT(S283/20)&gt;INT(S282/20)), "TN Ø16 (Lần " &amp; INT(S283/20) &amp; ")", IF(AND(E283=18, INT(T283/20)&gt;INT(T282/20)), "TN Ø18 (Lần " &amp; INT(T283/20) &amp; ")", IF(AND(E283=20, INT(U283/20)&gt;INT(U282/20)), "TN Ø20 (Lần " &amp; INT(U283/20) &amp; ")", IF(AND(E283=22, INT(V283/20)&gt;INT(V282/20)), "TN Ø22 (Lần " &amp; INT(V283/20) &amp; ")", IF(AND(E283=25, INT(W283/20)&gt;INT(W282/20)), "TN Ø25 (Lần " &amp; INT(W283/20) &amp; ")", IF(AND(E283=28, INT(X283/20)&gt;INT(X282/20)), "TN Ø28 (Lần " &amp; INT(X283/20) &amp; ")", IF(AND(E283=32, INT(Y283/20)&gt;INT(Y282/20)), "TN Ø32 (Lần " &amp; INT(Y283/20) &amp; ")", IF(AND(F283="ASTM A416", INT(Z283/20)&gt;INT(Z282/20)), "TN Cáp 15.2 (Lần " &amp; INT(Z283/20) &amp; ")", "")))))))))))</f>
        <v/>
      </c>
      <c r="P283" s="20">
        <f>ROUND(P282 + IF(AND(E283&lt;=10, F283&lt;&gt;"ASTM A416"), L283, 0), 3)</f>
        <v/>
      </c>
      <c r="Q283" s="20">
        <f>ROUND(Q282 + IF(AND(E283=12, F283&lt;&gt;"ASTM A416"), L283, 0), 3)</f>
        <v/>
      </c>
      <c r="R283" s="20">
        <f>ROUND(R282 + IF(AND(E283=14, F283&lt;&gt;"ASTM A416"), L283, 0), 3)</f>
        <v/>
      </c>
      <c r="S283" s="20">
        <f>ROUND(S282 + IF(AND(E283=16, F283&lt;&gt;"ASTM A416"), L283, 0), 3)</f>
        <v/>
      </c>
      <c r="T283" s="20">
        <f>ROUND(T282 + IF(AND(E283=18, F283&lt;&gt;"ASTM A416"), L283, 0), 3)</f>
        <v/>
      </c>
      <c r="U283" s="20">
        <f>ROUND(U282 + IF(AND(E283=20, F283&lt;&gt;"ASTM A416"), L283, 0), 3)</f>
        <v/>
      </c>
      <c r="V283" s="20">
        <f>ROUND(V282 + IF(AND(E283=22, F283&lt;&gt;"ASTM A416"), L283, 0), 3)</f>
        <v/>
      </c>
      <c r="W283" s="20">
        <f>ROUND(W282 + IF(AND(E283=25, F283&lt;&gt;"ASTM A416"), L283, 0), 3)</f>
        <v/>
      </c>
      <c r="X283" s="20">
        <f>ROUND(X282 + IF(AND(E283=28, F283&lt;&gt;"ASTM A416"), L283, 0), 3)</f>
        <v/>
      </c>
      <c r="Y283" s="20">
        <f>ROUND(Y282 + IF(AND(E283=32, F283&lt;&gt;"ASTM A416"), L283, 0), 3)</f>
        <v/>
      </c>
      <c r="Z283" s="20">
        <f>ROUND(Z282 + IF(F283="ASTM A416", L283, 0), 3)</f>
        <v/>
      </c>
      <c r="AA283" s="11">
        <f>IF(INT(P283/20)&gt;INT(P282/20), "Lần " &amp; INT(P283/20), "")</f>
        <v/>
      </c>
      <c r="AB283" s="11">
        <f>IF(INT(Q283/20)&gt;INT(Q282/20), "Lần " &amp; INT(Q283/20), "")</f>
        <v/>
      </c>
      <c r="AC283" s="11">
        <f>IF(INT(R283/20)&gt;INT(R282/20), "Lần " &amp; INT(R283/20), "")</f>
        <v/>
      </c>
      <c r="AD283" s="11">
        <f>IF(INT(S283/20)&gt;INT(S282/20), "Lần " &amp; INT(S283/20), "")</f>
        <v/>
      </c>
      <c r="AE283" s="11">
        <f>IF(INT(T283/20)&gt;INT(T282/20), "Lần " &amp; INT(T283/20), "")</f>
        <v/>
      </c>
      <c r="AF283" s="11">
        <f>IF(INT(U283/20)&gt;INT(U282/20), "Lần " &amp; INT(U283/20), "")</f>
        <v/>
      </c>
      <c r="AG283" s="11">
        <f>IF(INT(V283/20)&gt;INT(V282/20), "Lần " &amp; INT(V283/20), "")</f>
        <v/>
      </c>
      <c r="AH283" s="11">
        <f>IF(INT(W283/20)&gt;INT(W282/20), "Lần " &amp; INT(W283/20), "")</f>
        <v/>
      </c>
      <c r="AI283" s="11">
        <f>IF(INT(X283/20)&gt;INT(X282/20), "Lần " &amp; INT(X283/20), "")</f>
        <v/>
      </c>
      <c r="AJ283" s="11">
        <f>IF(INT(Y283/20)&gt;INT(Y282/20), "Lần " &amp; INT(Y283/20), "")</f>
        <v/>
      </c>
      <c r="AK283" s="11">
        <f>IF(INT(Z283/20)&gt;INT(Z282/20), "Lần " &amp; INT(Z283/20), "")</f>
        <v/>
      </c>
      <c r="AL283" s="6" t="inlineStr">
        <is>
          <t>ĐẠT TCVN 1651:2018</t>
        </is>
      </c>
    </row>
    <row r="284" ht="19" customHeight="1">
      <c r="A284" s="6" t="n">
        <v>263</v>
      </c>
      <c r="B284" s="7" t="inlineStr">
        <is>
          <t>Cọc khoan nhồi C7 Trụ T2 (D1.2m, L=30.0m)</t>
        </is>
      </c>
      <c r="C284" s="7" t="inlineStr">
        <is>
          <t>Đai tăng cường / Con kê bảo vệ</t>
        </is>
      </c>
      <c r="D284" s="18" t="inlineStr">
        <is>
          <t>P8</t>
        </is>
      </c>
      <c r="E284" s="19" t="n">
        <v>12</v>
      </c>
      <c r="F284" s="6" t="inlineStr">
        <is>
          <t>CB400-V</t>
        </is>
      </c>
      <c r="G284" s="7" t="inlineStr">
        <is>
          <t>Móc neo / Vòng đai</t>
        </is>
      </c>
      <c r="H284" s="20" t="n">
        <v>0.647</v>
      </c>
      <c r="I284" s="21" t="n">
        <v>12</v>
      </c>
      <c r="J284" s="22" t="n">
        <v>0.888</v>
      </c>
      <c r="K284" s="9">
        <f>ROUND(H284*I284*J284, 2)</f>
        <v/>
      </c>
      <c r="L284" s="23">
        <f>ROUND(K284/1000, 3)</f>
        <v/>
      </c>
      <c r="M284" s="8" t="n"/>
      <c r="N284" s="6" t="n"/>
      <c r="O284" s="24">
        <f>IF(AND(E284&lt;=10, F284&lt;&gt;"ASTM A416", INT(P284/20)&gt;INT(P283/20)), "TN Ø10 (Lần " &amp; INT(P284/20) &amp; ")", IF(AND(E284=12, INT(Q284/20)&gt;INT(Q283/20)), "TN Ø12 (Lần " &amp; INT(Q284/20) &amp; ")", IF(AND(E284=14, INT(R284/20)&gt;INT(R283/20)), "TN Ø14 (Lần " &amp; INT(R284/20) &amp; ")", IF(AND(E284=16, INT(S284/20)&gt;INT(S283/20)), "TN Ø16 (Lần " &amp; INT(S284/20) &amp; ")", IF(AND(E284=18, INT(T284/20)&gt;INT(T283/20)), "TN Ø18 (Lần " &amp; INT(T284/20) &amp; ")", IF(AND(E284=20, INT(U284/20)&gt;INT(U283/20)), "TN Ø20 (Lần " &amp; INT(U284/20) &amp; ")", IF(AND(E284=22, INT(V284/20)&gt;INT(V283/20)), "TN Ø22 (Lần " &amp; INT(V284/20) &amp; ")", IF(AND(E284=25, INT(W284/20)&gt;INT(W283/20)), "TN Ø25 (Lần " &amp; INT(W284/20) &amp; ")", IF(AND(E284=28, INT(X284/20)&gt;INT(X283/20)), "TN Ø28 (Lần " &amp; INT(X284/20) &amp; ")", IF(AND(E284=32, INT(Y284/20)&gt;INT(Y283/20)), "TN Ø32 (Lần " &amp; INT(Y284/20) &amp; ")", IF(AND(F284="ASTM A416", INT(Z284/20)&gt;INT(Z283/20)), "TN Cáp 15.2 (Lần " &amp; INT(Z284/20) &amp; ")", "")))))))))))</f>
        <v/>
      </c>
      <c r="P284" s="20">
        <f>ROUND(P283 + IF(AND(E284&lt;=10, F284&lt;&gt;"ASTM A416"), L284, 0), 3)</f>
        <v/>
      </c>
      <c r="Q284" s="20">
        <f>ROUND(Q283 + IF(AND(E284=12, F284&lt;&gt;"ASTM A416"), L284, 0), 3)</f>
        <v/>
      </c>
      <c r="R284" s="20">
        <f>ROUND(R283 + IF(AND(E284=14, F284&lt;&gt;"ASTM A416"), L284, 0), 3)</f>
        <v/>
      </c>
      <c r="S284" s="20">
        <f>ROUND(S283 + IF(AND(E284=16, F284&lt;&gt;"ASTM A416"), L284, 0), 3)</f>
        <v/>
      </c>
      <c r="T284" s="20">
        <f>ROUND(T283 + IF(AND(E284=18, F284&lt;&gt;"ASTM A416"), L284, 0), 3)</f>
        <v/>
      </c>
      <c r="U284" s="20">
        <f>ROUND(U283 + IF(AND(E284=20, F284&lt;&gt;"ASTM A416"), L284, 0), 3)</f>
        <v/>
      </c>
      <c r="V284" s="20">
        <f>ROUND(V283 + IF(AND(E284=22, F284&lt;&gt;"ASTM A416"), L284, 0), 3)</f>
        <v/>
      </c>
      <c r="W284" s="20">
        <f>ROUND(W283 + IF(AND(E284=25, F284&lt;&gt;"ASTM A416"), L284, 0), 3)</f>
        <v/>
      </c>
      <c r="X284" s="20">
        <f>ROUND(X283 + IF(AND(E284=28, F284&lt;&gt;"ASTM A416"), L284, 0), 3)</f>
        <v/>
      </c>
      <c r="Y284" s="20">
        <f>ROUND(Y283 + IF(AND(E284=32, F284&lt;&gt;"ASTM A416"), L284, 0), 3)</f>
        <v/>
      </c>
      <c r="Z284" s="20">
        <f>ROUND(Z283 + IF(F284="ASTM A416", L284, 0), 3)</f>
        <v/>
      </c>
      <c r="AA284" s="11">
        <f>IF(INT(P284/20)&gt;INT(P283/20), "Lần " &amp; INT(P284/20), "")</f>
        <v/>
      </c>
      <c r="AB284" s="11">
        <f>IF(INT(Q284/20)&gt;INT(Q283/20), "Lần " &amp; INT(Q284/20), "")</f>
        <v/>
      </c>
      <c r="AC284" s="11">
        <f>IF(INT(R284/20)&gt;INT(R283/20), "Lần " &amp; INT(R284/20), "")</f>
        <v/>
      </c>
      <c r="AD284" s="11">
        <f>IF(INT(S284/20)&gt;INT(S283/20), "Lần " &amp; INT(S284/20), "")</f>
        <v/>
      </c>
      <c r="AE284" s="11">
        <f>IF(INT(T284/20)&gt;INT(T283/20), "Lần " &amp; INT(T284/20), "")</f>
        <v/>
      </c>
      <c r="AF284" s="11">
        <f>IF(INT(U284/20)&gt;INT(U283/20), "Lần " &amp; INT(U284/20), "")</f>
        <v/>
      </c>
      <c r="AG284" s="11">
        <f>IF(INT(V284/20)&gt;INT(V283/20), "Lần " &amp; INT(V284/20), "")</f>
        <v/>
      </c>
      <c r="AH284" s="11">
        <f>IF(INT(W284/20)&gt;INT(W283/20), "Lần " &amp; INT(W284/20), "")</f>
        <v/>
      </c>
      <c r="AI284" s="11">
        <f>IF(INT(X284/20)&gt;INT(X283/20), "Lần " &amp; INT(X284/20), "")</f>
        <v/>
      </c>
      <c r="AJ284" s="11">
        <f>IF(INT(Y284/20)&gt;INT(Y283/20), "Lần " &amp; INT(Y284/20), "")</f>
        <v/>
      </c>
      <c r="AK284" s="11">
        <f>IF(INT(Z284/20)&gt;INT(Z283/20), "Lần " &amp; INT(Z284/20), "")</f>
        <v/>
      </c>
      <c r="AL284" s="6" t="inlineStr">
        <is>
          <t>ĐẠT TCVN 1651:2018</t>
        </is>
      </c>
    </row>
    <row r="285" ht="19" customHeight="1">
      <c r="A285" s="6" t="n">
        <v>264</v>
      </c>
      <c r="B285" s="7" t="inlineStr">
        <is>
          <t>Cọc khoan nhồi C7 Trụ T2 (D1.2m, L=30.0m)</t>
        </is>
      </c>
      <c r="C285" s="7" t="inlineStr">
        <is>
          <t>Đai tăng cường / Con kê bảo vệ</t>
        </is>
      </c>
      <c r="D285" s="18" t="inlineStr">
        <is>
          <t>P9</t>
        </is>
      </c>
      <c r="E285" s="19" t="n">
        <v>12</v>
      </c>
      <c r="F285" s="6" t="inlineStr">
        <is>
          <t>CB400-V</t>
        </is>
      </c>
      <c r="G285" s="7" t="inlineStr">
        <is>
          <t>Móc neo / Vòng đai</t>
        </is>
      </c>
      <c r="H285" s="20" t="n">
        <v>0.379</v>
      </c>
      <c r="I285" s="21" t="n">
        <v>36</v>
      </c>
      <c r="J285" s="22" t="n">
        <v>0.888</v>
      </c>
      <c r="K285" s="9">
        <f>ROUND(H285*I285*J285, 2)</f>
        <v/>
      </c>
      <c r="L285" s="23">
        <f>ROUND(K285/1000, 3)</f>
        <v/>
      </c>
      <c r="M285" s="8" t="n"/>
      <c r="N285" s="6" t="n"/>
      <c r="O285" s="24">
        <f>IF(AND(E285&lt;=10, F285&lt;&gt;"ASTM A416", INT(P285/20)&gt;INT(P284/20)), "TN Ø10 (Lần " &amp; INT(P285/20) &amp; ")", IF(AND(E285=12, INT(Q285/20)&gt;INT(Q284/20)), "TN Ø12 (Lần " &amp; INT(Q285/20) &amp; ")", IF(AND(E285=14, INT(R285/20)&gt;INT(R284/20)), "TN Ø14 (Lần " &amp; INT(R285/20) &amp; ")", IF(AND(E285=16, INT(S285/20)&gt;INT(S284/20)), "TN Ø16 (Lần " &amp; INT(S285/20) &amp; ")", IF(AND(E285=18, INT(T285/20)&gt;INT(T284/20)), "TN Ø18 (Lần " &amp; INT(T285/20) &amp; ")", IF(AND(E285=20, INT(U285/20)&gt;INT(U284/20)), "TN Ø20 (Lần " &amp; INT(U285/20) &amp; ")", IF(AND(E285=22, INT(V285/20)&gt;INT(V284/20)), "TN Ø22 (Lần " &amp; INT(V285/20) &amp; ")", IF(AND(E285=25, INT(W285/20)&gt;INT(W284/20)), "TN Ø25 (Lần " &amp; INT(W285/20) &amp; ")", IF(AND(E285=28, INT(X285/20)&gt;INT(X284/20)), "TN Ø28 (Lần " &amp; INT(X285/20) &amp; ")", IF(AND(E285=32, INT(Y285/20)&gt;INT(Y284/20)), "TN Ø32 (Lần " &amp; INT(Y285/20) &amp; ")", IF(AND(F285="ASTM A416", INT(Z285/20)&gt;INT(Z284/20)), "TN Cáp 15.2 (Lần " &amp; INT(Z285/20) &amp; ")", "")))))))))))</f>
        <v/>
      </c>
      <c r="P285" s="20">
        <f>ROUND(P284 + IF(AND(E285&lt;=10, F285&lt;&gt;"ASTM A416"), L285, 0), 3)</f>
        <v/>
      </c>
      <c r="Q285" s="20">
        <f>ROUND(Q284 + IF(AND(E285=12, F285&lt;&gt;"ASTM A416"), L285, 0), 3)</f>
        <v/>
      </c>
      <c r="R285" s="20">
        <f>ROUND(R284 + IF(AND(E285=14, F285&lt;&gt;"ASTM A416"), L285, 0), 3)</f>
        <v/>
      </c>
      <c r="S285" s="20">
        <f>ROUND(S284 + IF(AND(E285=16, F285&lt;&gt;"ASTM A416"), L285, 0), 3)</f>
        <v/>
      </c>
      <c r="T285" s="20">
        <f>ROUND(T284 + IF(AND(E285=18, F285&lt;&gt;"ASTM A416"), L285, 0), 3)</f>
        <v/>
      </c>
      <c r="U285" s="20">
        <f>ROUND(U284 + IF(AND(E285=20, F285&lt;&gt;"ASTM A416"), L285, 0), 3)</f>
        <v/>
      </c>
      <c r="V285" s="20">
        <f>ROUND(V284 + IF(AND(E285=22, F285&lt;&gt;"ASTM A416"), L285, 0), 3)</f>
        <v/>
      </c>
      <c r="W285" s="20">
        <f>ROUND(W284 + IF(AND(E285=25, F285&lt;&gt;"ASTM A416"), L285, 0), 3)</f>
        <v/>
      </c>
      <c r="X285" s="20">
        <f>ROUND(X284 + IF(AND(E285=28, F285&lt;&gt;"ASTM A416"), L285, 0), 3)</f>
        <v/>
      </c>
      <c r="Y285" s="20">
        <f>ROUND(Y284 + IF(AND(E285=32, F285&lt;&gt;"ASTM A416"), L285, 0), 3)</f>
        <v/>
      </c>
      <c r="Z285" s="20">
        <f>ROUND(Z284 + IF(F285="ASTM A416", L285, 0), 3)</f>
        <v/>
      </c>
      <c r="AA285" s="11">
        <f>IF(INT(P285/20)&gt;INT(P284/20), "Lần " &amp; INT(P285/20), "")</f>
        <v/>
      </c>
      <c r="AB285" s="11">
        <f>IF(INT(Q285/20)&gt;INT(Q284/20), "Lần " &amp; INT(Q285/20), "")</f>
        <v/>
      </c>
      <c r="AC285" s="11">
        <f>IF(INT(R285/20)&gt;INT(R284/20), "Lần " &amp; INT(R285/20), "")</f>
        <v/>
      </c>
      <c r="AD285" s="11">
        <f>IF(INT(S285/20)&gt;INT(S284/20), "Lần " &amp; INT(S285/20), "")</f>
        <v/>
      </c>
      <c r="AE285" s="11">
        <f>IF(INT(T285/20)&gt;INT(T284/20), "Lần " &amp; INT(T285/20), "")</f>
        <v/>
      </c>
      <c r="AF285" s="11">
        <f>IF(INT(U285/20)&gt;INT(U284/20), "Lần " &amp; INT(U285/20), "")</f>
        <v/>
      </c>
      <c r="AG285" s="11">
        <f>IF(INT(V285/20)&gt;INT(V284/20), "Lần " &amp; INT(V285/20), "")</f>
        <v/>
      </c>
      <c r="AH285" s="11">
        <f>IF(INT(W285/20)&gt;INT(W284/20), "Lần " &amp; INT(W285/20), "")</f>
        <v/>
      </c>
      <c r="AI285" s="11">
        <f>IF(INT(X285/20)&gt;INT(X284/20), "Lần " &amp; INT(X285/20), "")</f>
        <v/>
      </c>
      <c r="AJ285" s="11">
        <f>IF(INT(Y285/20)&gt;INT(Y284/20), "Lần " &amp; INT(Y285/20), "")</f>
        <v/>
      </c>
      <c r="AK285" s="11">
        <f>IF(INT(Z285/20)&gt;INT(Z284/20), "Lần " &amp; INT(Z285/20), "")</f>
        <v/>
      </c>
      <c r="AL285" s="6" t="inlineStr">
        <is>
          <t>ĐẠT TCVN 1651:2018</t>
        </is>
      </c>
    </row>
    <row r="286" ht="19" customHeight="1">
      <c r="A286" s="6" t="n">
        <v>265</v>
      </c>
      <c r="B286" s="7" t="inlineStr">
        <is>
          <t>Cọc khoan nhồi C7 Trụ T2 (D1.2m, L=30.0m)</t>
        </is>
      </c>
      <c r="C286" s="7" t="inlineStr">
        <is>
          <t>Thép đai xoắn lồng cọc</t>
        </is>
      </c>
      <c r="D286" s="18" t="inlineStr">
        <is>
          <t>P10</t>
        </is>
      </c>
      <c r="E286" s="19" t="n">
        <v>20</v>
      </c>
      <c r="F286" s="6" t="inlineStr">
        <is>
          <t>CB400-V</t>
        </is>
      </c>
      <c r="G286" s="7" t="inlineStr">
        <is>
          <t>Đai xoắn tròn</t>
        </is>
      </c>
      <c r="H286" s="20" t="n">
        <v>2.057</v>
      </c>
      <c r="I286" s="21" t="n">
        <v>1</v>
      </c>
      <c r="J286" s="22" t="n">
        <v>2.47</v>
      </c>
      <c r="K286" s="9">
        <f>ROUND(H286*I286*J286, 2)</f>
        <v/>
      </c>
      <c r="L286" s="23">
        <f>ROUND(K286/1000, 3)</f>
        <v/>
      </c>
      <c r="M286" s="8" t="n"/>
      <c r="N286" s="6" t="n"/>
      <c r="O286" s="24">
        <f>IF(AND(E286&lt;=10, F286&lt;&gt;"ASTM A416", INT(P286/20)&gt;INT(P285/20)), "TN Ø10 (Lần " &amp; INT(P286/20) &amp; ")", IF(AND(E286=12, INT(Q286/20)&gt;INT(Q285/20)), "TN Ø12 (Lần " &amp; INT(Q286/20) &amp; ")", IF(AND(E286=14, INT(R286/20)&gt;INT(R285/20)), "TN Ø14 (Lần " &amp; INT(R286/20) &amp; ")", IF(AND(E286=16, INT(S286/20)&gt;INT(S285/20)), "TN Ø16 (Lần " &amp; INT(S286/20) &amp; ")", IF(AND(E286=18, INT(T286/20)&gt;INT(T285/20)), "TN Ø18 (Lần " &amp; INT(T286/20) &amp; ")", IF(AND(E286=20, INT(U286/20)&gt;INT(U285/20)), "TN Ø20 (Lần " &amp; INT(U286/20) &amp; ")", IF(AND(E286=22, INT(V286/20)&gt;INT(V285/20)), "TN Ø22 (Lần " &amp; INT(V286/20) &amp; ")", IF(AND(E286=25, INT(W286/20)&gt;INT(W285/20)), "TN Ø25 (Lần " &amp; INT(W286/20) &amp; ")", IF(AND(E286=28, INT(X286/20)&gt;INT(X285/20)), "TN Ø28 (Lần " &amp; INT(X286/20) &amp; ")", IF(AND(E286=32, INT(Y286/20)&gt;INT(Y285/20)), "TN Ø32 (Lần " &amp; INT(Y286/20) &amp; ")", IF(AND(F286="ASTM A416", INT(Z286/20)&gt;INT(Z285/20)), "TN Cáp 15.2 (Lần " &amp; INT(Z286/20) &amp; ")", "")))))))))))</f>
        <v/>
      </c>
      <c r="P286" s="20">
        <f>ROUND(P285 + IF(AND(E286&lt;=10, F286&lt;&gt;"ASTM A416"), L286, 0), 3)</f>
        <v/>
      </c>
      <c r="Q286" s="20">
        <f>ROUND(Q285 + IF(AND(E286=12, F286&lt;&gt;"ASTM A416"), L286, 0), 3)</f>
        <v/>
      </c>
      <c r="R286" s="20">
        <f>ROUND(R285 + IF(AND(E286=14, F286&lt;&gt;"ASTM A416"), L286, 0), 3)</f>
        <v/>
      </c>
      <c r="S286" s="20">
        <f>ROUND(S285 + IF(AND(E286=16, F286&lt;&gt;"ASTM A416"), L286, 0), 3)</f>
        <v/>
      </c>
      <c r="T286" s="20">
        <f>ROUND(T285 + IF(AND(E286=18, F286&lt;&gt;"ASTM A416"), L286, 0), 3)</f>
        <v/>
      </c>
      <c r="U286" s="20">
        <f>ROUND(U285 + IF(AND(E286=20, F286&lt;&gt;"ASTM A416"), L286, 0), 3)</f>
        <v/>
      </c>
      <c r="V286" s="20">
        <f>ROUND(V285 + IF(AND(E286=22, F286&lt;&gt;"ASTM A416"), L286, 0), 3)</f>
        <v/>
      </c>
      <c r="W286" s="20">
        <f>ROUND(W285 + IF(AND(E286=25, F286&lt;&gt;"ASTM A416"), L286, 0), 3)</f>
        <v/>
      </c>
      <c r="X286" s="20">
        <f>ROUND(X285 + IF(AND(E286=28, F286&lt;&gt;"ASTM A416"), L286, 0), 3)</f>
        <v/>
      </c>
      <c r="Y286" s="20">
        <f>ROUND(Y285 + IF(AND(E286=32, F286&lt;&gt;"ASTM A416"), L286, 0), 3)</f>
        <v/>
      </c>
      <c r="Z286" s="20">
        <f>ROUND(Z285 + IF(F286="ASTM A416", L286, 0), 3)</f>
        <v/>
      </c>
      <c r="AA286" s="11">
        <f>IF(INT(P286/20)&gt;INT(P285/20), "Lần " &amp; INT(P286/20), "")</f>
        <v/>
      </c>
      <c r="AB286" s="11">
        <f>IF(INT(Q286/20)&gt;INT(Q285/20), "Lần " &amp; INT(Q286/20), "")</f>
        <v/>
      </c>
      <c r="AC286" s="11">
        <f>IF(INT(R286/20)&gt;INT(R285/20), "Lần " &amp; INT(R286/20), "")</f>
        <v/>
      </c>
      <c r="AD286" s="11">
        <f>IF(INT(S286/20)&gt;INT(S285/20), "Lần " &amp; INT(S286/20), "")</f>
        <v/>
      </c>
      <c r="AE286" s="11">
        <f>IF(INT(T286/20)&gt;INT(T285/20), "Lần " &amp; INT(T286/20), "")</f>
        <v/>
      </c>
      <c r="AF286" s="11">
        <f>IF(INT(U286/20)&gt;INT(U285/20), "Lần " &amp; INT(U286/20), "")</f>
        <v/>
      </c>
      <c r="AG286" s="11">
        <f>IF(INT(V286/20)&gt;INT(V285/20), "Lần " &amp; INT(V286/20), "")</f>
        <v/>
      </c>
      <c r="AH286" s="11">
        <f>IF(INT(W286/20)&gt;INT(W285/20), "Lần " &amp; INT(W286/20), "")</f>
        <v/>
      </c>
      <c r="AI286" s="11">
        <f>IF(INT(X286/20)&gt;INT(X285/20), "Lần " &amp; INT(X286/20), "")</f>
        <v/>
      </c>
      <c r="AJ286" s="11">
        <f>IF(INT(Y286/20)&gt;INT(Y285/20), "Lần " &amp; INT(Y286/20), "")</f>
        <v/>
      </c>
      <c r="AK286" s="11">
        <f>IF(INT(Z286/20)&gt;INT(Z285/20), "Lần " &amp; INT(Z286/20), "")</f>
        <v/>
      </c>
      <c r="AL286" s="6" t="inlineStr">
        <is>
          <t>ĐẠT TCVN 1651:2018</t>
        </is>
      </c>
    </row>
    <row r="287" ht="19" customHeight="1">
      <c r="A287" s="6" t="n">
        <v>266</v>
      </c>
      <c r="B287" s="7" t="inlineStr">
        <is>
          <t>Cọc khoan nhồi C7 Trụ T2 (D1.2m, L=30.0m)</t>
        </is>
      </c>
      <c r="C287" s="7" t="inlineStr">
        <is>
          <t>Thanh thép treo lồng cọc</t>
        </is>
      </c>
      <c r="D287" s="18" t="inlineStr">
        <is>
          <t>P11</t>
        </is>
      </c>
      <c r="E287" s="19" t="n">
        <v>16</v>
      </c>
      <c r="F287" s="6" t="inlineStr">
        <is>
          <t>CB400-V</t>
        </is>
      </c>
      <c r="G287" s="7" t="inlineStr">
        <is>
          <t>Thanh treo lồng (bảng phụ tr.70)</t>
        </is>
      </c>
      <c r="H287" s="20" t="n">
        <v>2.604</v>
      </c>
      <c r="I287" s="21" t="n">
        <v>4</v>
      </c>
      <c r="J287" s="22" t="n">
        <v>1.58</v>
      </c>
      <c r="K287" s="9">
        <f>ROUND(H287*I287*J287, 2)</f>
        <v/>
      </c>
      <c r="L287" s="23">
        <f>ROUND(K287/1000, 3)</f>
        <v/>
      </c>
      <c r="M287" s="8" t="n"/>
      <c r="N287" s="6" t="n"/>
      <c r="O287" s="24">
        <f>IF(AND(E287&lt;=10, F287&lt;&gt;"ASTM A416", INT(P287/20)&gt;INT(P286/20)), "TN Ø10 (Lần " &amp; INT(P287/20) &amp; ")", IF(AND(E287=12, INT(Q287/20)&gt;INT(Q286/20)), "TN Ø12 (Lần " &amp; INT(Q287/20) &amp; ")", IF(AND(E287=14, INT(R287/20)&gt;INT(R286/20)), "TN Ø14 (Lần " &amp; INT(R287/20) &amp; ")", IF(AND(E287=16, INT(S287/20)&gt;INT(S286/20)), "TN Ø16 (Lần " &amp; INT(S287/20) &amp; ")", IF(AND(E287=18, INT(T287/20)&gt;INT(T286/20)), "TN Ø18 (Lần " &amp; INT(T287/20) &amp; ")", IF(AND(E287=20, INT(U287/20)&gt;INT(U286/20)), "TN Ø20 (Lần " &amp; INT(U287/20) &amp; ")", IF(AND(E287=22, INT(V287/20)&gt;INT(V286/20)), "TN Ø22 (Lần " &amp; INT(V287/20) &amp; ")", IF(AND(E287=25, INT(W287/20)&gt;INT(W286/20)), "TN Ø25 (Lần " &amp; INT(W287/20) &amp; ")", IF(AND(E287=28, INT(X287/20)&gt;INT(X286/20)), "TN Ø28 (Lần " &amp; INT(X287/20) &amp; ")", IF(AND(E287=32, INT(Y287/20)&gt;INT(Y286/20)), "TN Ø32 (Lần " &amp; INT(Y287/20) &amp; ")", IF(AND(F287="ASTM A416", INT(Z287/20)&gt;INT(Z286/20)), "TN Cáp 15.2 (Lần " &amp; INT(Z287/20) &amp; ")", "")))))))))))</f>
        <v/>
      </c>
      <c r="P287" s="20">
        <f>ROUND(P286 + IF(AND(E287&lt;=10, F287&lt;&gt;"ASTM A416"), L287, 0), 3)</f>
        <v/>
      </c>
      <c r="Q287" s="20">
        <f>ROUND(Q286 + IF(AND(E287=12, F287&lt;&gt;"ASTM A416"), L287, 0), 3)</f>
        <v/>
      </c>
      <c r="R287" s="20">
        <f>ROUND(R286 + IF(AND(E287=14, F287&lt;&gt;"ASTM A416"), L287, 0), 3)</f>
        <v/>
      </c>
      <c r="S287" s="20">
        <f>ROUND(S286 + IF(AND(E287=16, F287&lt;&gt;"ASTM A416"), L287, 0), 3)</f>
        <v/>
      </c>
      <c r="T287" s="20">
        <f>ROUND(T286 + IF(AND(E287=18, F287&lt;&gt;"ASTM A416"), L287, 0), 3)</f>
        <v/>
      </c>
      <c r="U287" s="20">
        <f>ROUND(U286 + IF(AND(E287=20, F287&lt;&gt;"ASTM A416"), L287, 0), 3)</f>
        <v/>
      </c>
      <c r="V287" s="20">
        <f>ROUND(V286 + IF(AND(E287=22, F287&lt;&gt;"ASTM A416"), L287, 0), 3)</f>
        <v/>
      </c>
      <c r="W287" s="20">
        <f>ROUND(W286 + IF(AND(E287=25, F287&lt;&gt;"ASTM A416"), L287, 0), 3)</f>
        <v/>
      </c>
      <c r="X287" s="20">
        <f>ROUND(X286 + IF(AND(E287=28, F287&lt;&gt;"ASTM A416"), L287, 0), 3)</f>
        <v/>
      </c>
      <c r="Y287" s="20">
        <f>ROUND(Y286 + IF(AND(E287=32, F287&lt;&gt;"ASTM A416"), L287, 0), 3)</f>
        <v/>
      </c>
      <c r="Z287" s="20">
        <f>ROUND(Z286 + IF(F287="ASTM A416", L287, 0), 3)</f>
        <v/>
      </c>
      <c r="AA287" s="11">
        <f>IF(INT(P287/20)&gt;INT(P286/20), "Lần " &amp; INT(P287/20), "")</f>
        <v/>
      </c>
      <c r="AB287" s="11">
        <f>IF(INT(Q287/20)&gt;INT(Q286/20), "Lần " &amp; INT(Q287/20), "")</f>
        <v/>
      </c>
      <c r="AC287" s="11">
        <f>IF(INT(R287/20)&gt;INT(R286/20), "Lần " &amp; INT(R287/20), "")</f>
        <v/>
      </c>
      <c r="AD287" s="11">
        <f>IF(INT(S287/20)&gt;INT(S286/20), "Lần " &amp; INT(S287/20), "")</f>
        <v/>
      </c>
      <c r="AE287" s="11">
        <f>IF(INT(T287/20)&gt;INT(T286/20), "Lần " &amp; INT(T287/20), "")</f>
        <v/>
      </c>
      <c r="AF287" s="11">
        <f>IF(INT(U287/20)&gt;INT(U286/20), "Lần " &amp; INT(U287/20), "")</f>
        <v/>
      </c>
      <c r="AG287" s="11">
        <f>IF(INT(V287/20)&gt;INT(V286/20), "Lần " &amp; INT(V287/20), "")</f>
        <v/>
      </c>
      <c r="AH287" s="11">
        <f>IF(INT(W287/20)&gt;INT(W286/20), "Lần " &amp; INT(W287/20), "")</f>
        <v/>
      </c>
      <c r="AI287" s="11">
        <f>IF(INT(X287/20)&gt;INT(X286/20), "Lần " &amp; INT(X287/20), "")</f>
        <v/>
      </c>
      <c r="AJ287" s="11">
        <f>IF(INT(Y287/20)&gt;INT(Y286/20), "Lần " &amp; INT(Y287/20), "")</f>
        <v/>
      </c>
      <c r="AK287" s="11">
        <f>IF(INT(Z287/20)&gt;INT(Z286/20), "Lần " &amp; INT(Z287/20), "")</f>
        <v/>
      </c>
      <c r="AL287" s="6" t="inlineStr">
        <is>
          <t>ĐẠT TCVN 1651:2018</t>
        </is>
      </c>
    </row>
    <row r="288" ht="19" customHeight="1">
      <c r="A288" s="6" t="n">
        <v>267</v>
      </c>
      <c r="B288" s="7" t="inlineStr">
        <is>
          <t>Cọc khoan nhồi C7 Trụ T2 (D1.2m, L=30.0m)</t>
        </is>
      </c>
      <c r="C288" s="7" t="inlineStr">
        <is>
          <t>Thép đai xoắn lồng cọc</t>
        </is>
      </c>
      <c r="D288" s="18" t="inlineStr">
        <is>
          <t>P12</t>
        </is>
      </c>
      <c r="E288" s="19" t="n">
        <v>20</v>
      </c>
      <c r="F288" s="6" t="inlineStr">
        <is>
          <t>CB400-V</t>
        </is>
      </c>
      <c r="G288" s="7" t="inlineStr">
        <is>
          <t>Đai xoắn tròn</t>
        </is>
      </c>
      <c r="H288" s="20" t="n">
        <v>0.583</v>
      </c>
      <c r="I288" s="21" t="n">
        <v>48</v>
      </c>
      <c r="J288" s="22" t="n">
        <v>2.47</v>
      </c>
      <c r="K288" s="9">
        <f>ROUND(H288*I288*J288, 2)</f>
        <v/>
      </c>
      <c r="L288" s="23">
        <f>ROUND(K288/1000, 3)</f>
        <v/>
      </c>
      <c r="M288" s="8" t="n"/>
      <c r="N288" s="6" t="n"/>
      <c r="O288" s="24">
        <f>IF(AND(E288&lt;=10, F288&lt;&gt;"ASTM A416", INT(P288/20)&gt;INT(P287/20)), "TN Ø10 (Lần " &amp; INT(P288/20) &amp; ")", IF(AND(E288=12, INT(Q288/20)&gt;INT(Q287/20)), "TN Ø12 (Lần " &amp; INT(Q288/20) &amp; ")", IF(AND(E288=14, INT(R288/20)&gt;INT(R287/20)), "TN Ø14 (Lần " &amp; INT(R288/20) &amp; ")", IF(AND(E288=16, INT(S288/20)&gt;INT(S287/20)), "TN Ø16 (Lần " &amp; INT(S288/20) &amp; ")", IF(AND(E288=18, INT(T288/20)&gt;INT(T287/20)), "TN Ø18 (Lần " &amp; INT(T288/20) &amp; ")", IF(AND(E288=20, INT(U288/20)&gt;INT(U287/20)), "TN Ø20 (Lần " &amp; INT(U288/20) &amp; ")", IF(AND(E288=22, INT(V288/20)&gt;INT(V287/20)), "TN Ø22 (Lần " &amp; INT(V288/20) &amp; ")", IF(AND(E288=25, INT(W288/20)&gt;INT(W287/20)), "TN Ø25 (Lần " &amp; INT(W288/20) &amp; ")", IF(AND(E288=28, INT(X288/20)&gt;INT(X287/20)), "TN Ø28 (Lần " &amp; INT(X288/20) &amp; ")", IF(AND(E288=32, INT(Y288/20)&gt;INT(Y287/20)), "TN Ø32 (Lần " &amp; INT(Y288/20) &amp; ")", IF(AND(F288="ASTM A416", INT(Z288/20)&gt;INT(Z287/20)), "TN Cáp 15.2 (Lần " &amp; INT(Z288/20) &amp; ")", "")))))))))))</f>
        <v/>
      </c>
      <c r="P288" s="20">
        <f>ROUND(P287 + IF(AND(E288&lt;=10, F288&lt;&gt;"ASTM A416"), L288, 0), 3)</f>
        <v/>
      </c>
      <c r="Q288" s="20">
        <f>ROUND(Q287 + IF(AND(E288=12, F288&lt;&gt;"ASTM A416"), L288, 0), 3)</f>
        <v/>
      </c>
      <c r="R288" s="20">
        <f>ROUND(R287 + IF(AND(E288=14, F288&lt;&gt;"ASTM A416"), L288, 0), 3)</f>
        <v/>
      </c>
      <c r="S288" s="20">
        <f>ROUND(S287 + IF(AND(E288=16, F288&lt;&gt;"ASTM A416"), L288, 0), 3)</f>
        <v/>
      </c>
      <c r="T288" s="20">
        <f>ROUND(T287 + IF(AND(E288=18, F288&lt;&gt;"ASTM A416"), L288, 0), 3)</f>
        <v/>
      </c>
      <c r="U288" s="20">
        <f>ROUND(U287 + IF(AND(E288=20, F288&lt;&gt;"ASTM A416"), L288, 0), 3)</f>
        <v/>
      </c>
      <c r="V288" s="20">
        <f>ROUND(V287 + IF(AND(E288=22, F288&lt;&gt;"ASTM A416"), L288, 0), 3)</f>
        <v/>
      </c>
      <c r="W288" s="20">
        <f>ROUND(W287 + IF(AND(E288=25, F288&lt;&gt;"ASTM A416"), L288, 0), 3)</f>
        <v/>
      </c>
      <c r="X288" s="20">
        <f>ROUND(X287 + IF(AND(E288=28, F288&lt;&gt;"ASTM A416"), L288, 0), 3)</f>
        <v/>
      </c>
      <c r="Y288" s="20">
        <f>ROUND(Y287 + IF(AND(E288=32, F288&lt;&gt;"ASTM A416"), L288, 0), 3)</f>
        <v/>
      </c>
      <c r="Z288" s="20">
        <f>ROUND(Z287 + IF(F288="ASTM A416", L288, 0), 3)</f>
        <v/>
      </c>
      <c r="AA288" s="11">
        <f>IF(INT(P288/20)&gt;INT(P287/20), "Lần " &amp; INT(P288/20), "")</f>
        <v/>
      </c>
      <c r="AB288" s="11">
        <f>IF(INT(Q288/20)&gt;INT(Q287/20), "Lần " &amp; INT(Q288/20), "")</f>
        <v/>
      </c>
      <c r="AC288" s="11">
        <f>IF(INT(R288/20)&gt;INT(R287/20), "Lần " &amp; INT(R288/20), "")</f>
        <v/>
      </c>
      <c r="AD288" s="11">
        <f>IF(INT(S288/20)&gt;INT(S287/20), "Lần " &amp; INT(S288/20), "")</f>
        <v/>
      </c>
      <c r="AE288" s="11">
        <f>IF(INT(T288/20)&gt;INT(T287/20), "Lần " &amp; INT(T288/20), "")</f>
        <v/>
      </c>
      <c r="AF288" s="11">
        <f>IF(INT(U288/20)&gt;INT(U287/20), "Lần " &amp; INT(U288/20), "")</f>
        <v/>
      </c>
      <c r="AG288" s="11">
        <f>IF(INT(V288/20)&gt;INT(V287/20), "Lần " &amp; INT(V288/20), "")</f>
        <v/>
      </c>
      <c r="AH288" s="11">
        <f>IF(INT(W288/20)&gt;INT(W287/20), "Lần " &amp; INT(W288/20), "")</f>
        <v/>
      </c>
      <c r="AI288" s="11">
        <f>IF(INT(X288/20)&gt;INT(X287/20), "Lần " &amp; INT(X288/20), "")</f>
        <v/>
      </c>
      <c r="AJ288" s="11">
        <f>IF(INT(Y288/20)&gt;INT(Y287/20), "Lần " &amp; INT(Y288/20), "")</f>
        <v/>
      </c>
      <c r="AK288" s="11">
        <f>IF(INT(Z288/20)&gt;INT(Z287/20), "Lần " &amp; INT(Z288/20), "")</f>
        <v/>
      </c>
      <c r="AL288" s="6" t="inlineStr">
        <is>
          <t>ĐẠT TCVN 1651:2018</t>
        </is>
      </c>
    </row>
    <row r="289" ht="20" customHeight="1">
      <c r="A289" s="17" t="inlineStr">
        <is>
          <t>--- CỌC KHOAN NHỒI C8 TRỤ T2 (D1.2M, L=30.0M) ---</t>
        </is>
      </c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5" t="n"/>
      <c r="AI289" s="5" t="n"/>
      <c r="AJ289" s="5" t="n"/>
      <c r="AK289" s="5" t="n"/>
      <c r="AL289" s="5" t="n"/>
    </row>
    <row r="290" ht="19" customHeight="1">
      <c r="A290" s="6" t="n">
        <v>268</v>
      </c>
      <c r="B290" s="7" t="inlineStr">
        <is>
          <t>Cọc khoan nhồi C8 Trụ T2 (D1.2m, L=30.0m)</t>
        </is>
      </c>
      <c r="C290" s="7" t="inlineStr">
        <is>
          <t>Thép đai xoắn lồng cọc</t>
        </is>
      </c>
      <c r="D290" s="18" t="inlineStr">
        <is>
          <t>P1</t>
        </is>
      </c>
      <c r="E290" s="19" t="n">
        <v>10</v>
      </c>
      <c r="F290" s="6" t="inlineStr">
        <is>
          <t>CB240-T</t>
        </is>
      </c>
      <c r="G290" s="7" t="inlineStr">
        <is>
          <t>Đai xoắn tròn</t>
        </is>
      </c>
      <c r="H290" s="20" t="n">
        <v>96.604</v>
      </c>
      <c r="I290" s="21" t="n">
        <v>1</v>
      </c>
      <c r="J290" s="22" t="n">
        <v>0.617</v>
      </c>
      <c r="K290" s="9">
        <f>ROUND(H290*I290*J290, 2)</f>
        <v/>
      </c>
      <c r="L290" s="23">
        <f>ROUND(K290/1000, 3)</f>
        <v/>
      </c>
      <c r="M290" s="8" t="n"/>
      <c r="N290" s="6" t="n"/>
      <c r="O290" s="24">
        <f>IF(AND(E290&lt;=10, F290&lt;&gt;"ASTM A416", INT(P290/20)&gt;INT(P288/20)), "TN Ø10 (Lần " &amp; INT(P290/20) &amp; ")", IF(AND(E290=12, INT(Q290/20)&gt;INT(Q288/20)), "TN Ø12 (Lần " &amp; INT(Q290/20) &amp; ")", IF(AND(E290=14, INT(R290/20)&gt;INT(R288/20)), "TN Ø14 (Lần " &amp; INT(R290/20) &amp; ")", IF(AND(E290=16, INT(S290/20)&gt;INT(S288/20)), "TN Ø16 (Lần " &amp; INT(S290/20) &amp; ")", IF(AND(E290=18, INT(T290/20)&gt;INT(T288/20)), "TN Ø18 (Lần " &amp; INT(T290/20) &amp; ")", IF(AND(E290=20, INT(U290/20)&gt;INT(U288/20)), "TN Ø20 (Lần " &amp; INT(U290/20) &amp; ")", IF(AND(E290=22, INT(V290/20)&gt;INT(V288/20)), "TN Ø22 (Lần " &amp; INT(V290/20) &amp; ")", IF(AND(E290=25, INT(W290/20)&gt;INT(W288/20)), "TN Ø25 (Lần " &amp; INT(W290/20) &amp; ")", IF(AND(E290=28, INT(X290/20)&gt;INT(X288/20)), "TN Ø28 (Lần " &amp; INT(X290/20) &amp; ")", IF(AND(E290=32, INT(Y290/20)&gt;INT(Y288/20)), "TN Ø32 (Lần " &amp; INT(Y290/20) &amp; ")", IF(AND(F290="ASTM A416", INT(Z290/20)&gt;INT(Z288/20)), "TN Cáp 15.2 (Lần " &amp; INT(Z290/20) &amp; ")", "")))))))))))</f>
        <v/>
      </c>
      <c r="P290" s="20">
        <f>ROUND(P288 + IF(AND(E290&lt;=10, F290&lt;&gt;"ASTM A416"), L290, 0), 3)</f>
        <v/>
      </c>
      <c r="Q290" s="20">
        <f>ROUND(Q288 + IF(AND(E290=12, F290&lt;&gt;"ASTM A416"), L290, 0), 3)</f>
        <v/>
      </c>
      <c r="R290" s="20">
        <f>ROUND(R288 + IF(AND(E290=14, F290&lt;&gt;"ASTM A416"), L290, 0), 3)</f>
        <v/>
      </c>
      <c r="S290" s="20">
        <f>ROUND(S288 + IF(AND(E290=16, F290&lt;&gt;"ASTM A416"), L290, 0), 3)</f>
        <v/>
      </c>
      <c r="T290" s="20">
        <f>ROUND(T288 + IF(AND(E290=18, F290&lt;&gt;"ASTM A416"), L290, 0), 3)</f>
        <v/>
      </c>
      <c r="U290" s="20">
        <f>ROUND(U288 + IF(AND(E290=20, F290&lt;&gt;"ASTM A416"), L290, 0), 3)</f>
        <v/>
      </c>
      <c r="V290" s="20">
        <f>ROUND(V288 + IF(AND(E290=22, F290&lt;&gt;"ASTM A416"), L290, 0), 3)</f>
        <v/>
      </c>
      <c r="W290" s="20">
        <f>ROUND(W288 + IF(AND(E290=25, F290&lt;&gt;"ASTM A416"), L290, 0), 3)</f>
        <v/>
      </c>
      <c r="X290" s="20">
        <f>ROUND(X288 + IF(AND(E290=28, F290&lt;&gt;"ASTM A416"), L290, 0), 3)</f>
        <v/>
      </c>
      <c r="Y290" s="20">
        <f>ROUND(Y288 + IF(AND(E290=32, F290&lt;&gt;"ASTM A416"), L290, 0), 3)</f>
        <v/>
      </c>
      <c r="Z290" s="20">
        <f>ROUND(Z288 + IF(F290="ASTM A416", L290, 0), 3)</f>
        <v/>
      </c>
      <c r="AA290" s="11">
        <f>IF(INT(P290/20)&gt;INT(P288/20), "Lần " &amp; INT(P290/20), "")</f>
        <v/>
      </c>
      <c r="AB290" s="11">
        <f>IF(INT(Q290/20)&gt;INT(Q288/20), "Lần " &amp; INT(Q290/20), "")</f>
        <v/>
      </c>
      <c r="AC290" s="11">
        <f>IF(INT(R290/20)&gt;INT(R288/20), "Lần " &amp; INT(R290/20), "")</f>
        <v/>
      </c>
      <c r="AD290" s="11">
        <f>IF(INT(S290/20)&gt;INT(S288/20), "Lần " &amp; INT(S290/20), "")</f>
        <v/>
      </c>
      <c r="AE290" s="11">
        <f>IF(INT(T290/20)&gt;INT(T288/20), "Lần " &amp; INT(T290/20), "")</f>
        <v/>
      </c>
      <c r="AF290" s="11">
        <f>IF(INT(U290/20)&gt;INT(U288/20), "Lần " &amp; INT(U290/20), "")</f>
        <v/>
      </c>
      <c r="AG290" s="11">
        <f>IF(INT(V290/20)&gt;INT(V288/20), "Lần " &amp; INT(V290/20), "")</f>
        <v/>
      </c>
      <c r="AH290" s="11">
        <f>IF(INT(W290/20)&gt;INT(W288/20), "Lần " &amp; INT(W290/20), "")</f>
        <v/>
      </c>
      <c r="AI290" s="11">
        <f>IF(INT(X290/20)&gt;INT(X288/20), "Lần " &amp; INT(X290/20), "")</f>
        <v/>
      </c>
      <c r="AJ290" s="11">
        <f>IF(INT(Y290/20)&gt;INT(Y288/20), "Lần " &amp; INT(Y290/20), "")</f>
        <v/>
      </c>
      <c r="AK290" s="11">
        <f>IF(INT(Z290/20)&gt;INT(Z288/20), "Lần " &amp; INT(Z290/20), "")</f>
        <v/>
      </c>
      <c r="AL290" s="6" t="inlineStr">
        <is>
          <t>ĐẠT TCVN 1651:2018</t>
        </is>
      </c>
    </row>
    <row r="291" ht="19" customHeight="1">
      <c r="A291" s="6" t="n">
        <v>269</v>
      </c>
      <c r="B291" s="7" t="inlineStr">
        <is>
          <t>Cọc khoan nhồi C8 Trụ T2 (D1.2m, L=30.0m)</t>
        </is>
      </c>
      <c r="C291" s="7" t="inlineStr">
        <is>
          <t>Thép đai xoắn lồng cọc</t>
        </is>
      </c>
      <c r="D291" s="18" t="inlineStr">
        <is>
          <t>P1A</t>
        </is>
      </c>
      <c r="E291" s="19" t="n">
        <v>10</v>
      </c>
      <c r="F291" s="6" t="inlineStr">
        <is>
          <t>CB240-T</t>
        </is>
      </c>
      <c r="G291" s="7" t="inlineStr">
        <is>
          <t>Đai xoắn tròn</t>
        </is>
      </c>
      <c r="H291" s="20" t="n">
        <v>389.636</v>
      </c>
      <c r="I291" s="21" t="n">
        <v>1</v>
      </c>
      <c r="J291" s="22" t="n">
        <v>0.617</v>
      </c>
      <c r="K291" s="9">
        <f>ROUND(H291*I291*J291, 2)</f>
        <v/>
      </c>
      <c r="L291" s="23">
        <f>ROUND(K291/1000, 3)</f>
        <v/>
      </c>
      <c r="M291" s="8" t="n"/>
      <c r="N291" s="6" t="n"/>
      <c r="O291" s="24">
        <f>IF(AND(E291&lt;=10, F291&lt;&gt;"ASTM A416", INT(P291/20)&gt;INT(P290/20)), "TN Ø10 (Lần " &amp; INT(P291/20) &amp; ")", IF(AND(E291=12, INT(Q291/20)&gt;INT(Q290/20)), "TN Ø12 (Lần " &amp; INT(Q291/20) &amp; ")", IF(AND(E291=14, INT(R291/20)&gt;INT(R290/20)), "TN Ø14 (Lần " &amp; INT(R291/20) &amp; ")", IF(AND(E291=16, INT(S291/20)&gt;INT(S290/20)), "TN Ø16 (Lần " &amp; INT(S291/20) &amp; ")", IF(AND(E291=18, INT(T291/20)&gt;INT(T290/20)), "TN Ø18 (Lần " &amp; INT(T291/20) &amp; ")", IF(AND(E291=20, INT(U291/20)&gt;INT(U290/20)), "TN Ø20 (Lần " &amp; INT(U291/20) &amp; ")", IF(AND(E291=22, INT(V291/20)&gt;INT(V290/20)), "TN Ø22 (Lần " &amp; INT(V291/20) &amp; ")", IF(AND(E291=25, INT(W291/20)&gt;INT(W290/20)), "TN Ø25 (Lần " &amp; INT(W291/20) &amp; ")", IF(AND(E291=28, INT(X291/20)&gt;INT(X290/20)), "TN Ø28 (Lần " &amp; INT(X291/20) &amp; ")", IF(AND(E291=32, INT(Y291/20)&gt;INT(Y290/20)), "TN Ø32 (Lần " &amp; INT(Y291/20) &amp; ")", IF(AND(F291="ASTM A416", INT(Z291/20)&gt;INT(Z290/20)), "TN Cáp 15.2 (Lần " &amp; INT(Z291/20) &amp; ")", "")))))))))))</f>
        <v/>
      </c>
      <c r="P291" s="20">
        <f>ROUND(P290 + IF(AND(E291&lt;=10, F291&lt;&gt;"ASTM A416"), L291, 0), 3)</f>
        <v/>
      </c>
      <c r="Q291" s="20">
        <f>ROUND(Q290 + IF(AND(E291=12, F291&lt;&gt;"ASTM A416"), L291, 0), 3)</f>
        <v/>
      </c>
      <c r="R291" s="20">
        <f>ROUND(R290 + IF(AND(E291=14, F291&lt;&gt;"ASTM A416"), L291, 0), 3)</f>
        <v/>
      </c>
      <c r="S291" s="20">
        <f>ROUND(S290 + IF(AND(E291=16, F291&lt;&gt;"ASTM A416"), L291, 0), 3)</f>
        <v/>
      </c>
      <c r="T291" s="20">
        <f>ROUND(T290 + IF(AND(E291=18, F291&lt;&gt;"ASTM A416"), L291, 0), 3)</f>
        <v/>
      </c>
      <c r="U291" s="20">
        <f>ROUND(U290 + IF(AND(E291=20, F291&lt;&gt;"ASTM A416"), L291, 0), 3)</f>
        <v/>
      </c>
      <c r="V291" s="20">
        <f>ROUND(V290 + IF(AND(E291=22, F291&lt;&gt;"ASTM A416"), L291, 0), 3)</f>
        <v/>
      </c>
      <c r="W291" s="20">
        <f>ROUND(W290 + IF(AND(E291=25, F291&lt;&gt;"ASTM A416"), L291, 0), 3)</f>
        <v/>
      </c>
      <c r="X291" s="20">
        <f>ROUND(X290 + IF(AND(E291=28, F291&lt;&gt;"ASTM A416"), L291, 0), 3)</f>
        <v/>
      </c>
      <c r="Y291" s="20">
        <f>ROUND(Y290 + IF(AND(E291=32, F291&lt;&gt;"ASTM A416"), L291, 0), 3)</f>
        <v/>
      </c>
      <c r="Z291" s="20">
        <f>ROUND(Z290 + IF(F291="ASTM A416", L291, 0), 3)</f>
        <v/>
      </c>
      <c r="AA291" s="11">
        <f>IF(INT(P291/20)&gt;INT(P290/20), "Lần " &amp; INT(P291/20), "")</f>
        <v/>
      </c>
      <c r="AB291" s="11">
        <f>IF(INT(Q291/20)&gt;INT(Q290/20), "Lần " &amp; INT(Q291/20), "")</f>
        <v/>
      </c>
      <c r="AC291" s="11">
        <f>IF(INT(R291/20)&gt;INT(R290/20), "Lần " &amp; INT(R291/20), "")</f>
        <v/>
      </c>
      <c r="AD291" s="11">
        <f>IF(INT(S291/20)&gt;INT(S290/20), "Lần " &amp; INT(S291/20), "")</f>
        <v/>
      </c>
      <c r="AE291" s="11">
        <f>IF(INT(T291/20)&gt;INT(T290/20), "Lần " &amp; INT(T291/20), "")</f>
        <v/>
      </c>
      <c r="AF291" s="11">
        <f>IF(INT(U291/20)&gt;INT(U290/20), "Lần " &amp; INT(U291/20), "")</f>
        <v/>
      </c>
      <c r="AG291" s="11">
        <f>IF(INT(V291/20)&gt;INT(V290/20), "Lần " &amp; INT(V291/20), "")</f>
        <v/>
      </c>
      <c r="AH291" s="11">
        <f>IF(INT(W291/20)&gt;INT(W290/20), "Lần " &amp; INT(W291/20), "")</f>
        <v/>
      </c>
      <c r="AI291" s="11">
        <f>IF(INT(X291/20)&gt;INT(X290/20), "Lần " &amp; INT(X291/20), "")</f>
        <v/>
      </c>
      <c r="AJ291" s="11">
        <f>IF(INT(Y291/20)&gt;INT(Y290/20), "Lần " &amp; INT(Y291/20), "")</f>
        <v/>
      </c>
      <c r="AK291" s="11">
        <f>IF(INT(Z291/20)&gt;INT(Z290/20), "Lần " &amp; INT(Z291/20), "")</f>
        <v/>
      </c>
      <c r="AL291" s="6" t="inlineStr">
        <is>
          <t>ĐẠT TCVN 1651:2018</t>
        </is>
      </c>
    </row>
    <row r="292" ht="19" customHeight="1">
      <c r="A292" s="6" t="n">
        <v>270</v>
      </c>
      <c r="B292" s="7" t="inlineStr">
        <is>
          <t>Cọc khoan nhồi C8 Trụ T2 (D1.2m, L=30.0m)</t>
        </is>
      </c>
      <c r="C292" s="7" t="inlineStr">
        <is>
          <t>Thép đai xoắn lồng cọc</t>
        </is>
      </c>
      <c r="D292" s="18" t="inlineStr">
        <is>
          <t>P1B</t>
        </is>
      </c>
      <c r="E292" s="19" t="n">
        <v>10</v>
      </c>
      <c r="F292" s="6" t="inlineStr">
        <is>
          <t>CB240-T</t>
        </is>
      </c>
      <c r="G292" s="7" t="inlineStr">
        <is>
          <t>Đai xoắn tròn</t>
        </is>
      </c>
      <c r="H292" s="20" t="n">
        <v>100.256</v>
      </c>
      <c r="I292" s="21" t="n">
        <v>1</v>
      </c>
      <c r="J292" s="22" t="n">
        <v>0.617</v>
      </c>
      <c r="K292" s="9">
        <f>ROUND(H292*I292*J292, 2)</f>
        <v/>
      </c>
      <c r="L292" s="23">
        <f>ROUND(K292/1000, 3)</f>
        <v/>
      </c>
      <c r="M292" s="8" t="n"/>
      <c r="N292" s="6" t="n"/>
      <c r="O292" s="24">
        <f>IF(AND(E292&lt;=10, F292&lt;&gt;"ASTM A416", INT(P292/20)&gt;INT(P291/20)), "TN Ø10 (Lần " &amp; INT(P292/20) &amp; ")", IF(AND(E292=12, INT(Q292/20)&gt;INT(Q291/20)), "TN Ø12 (Lần " &amp; INT(Q292/20) &amp; ")", IF(AND(E292=14, INT(R292/20)&gt;INT(R291/20)), "TN Ø14 (Lần " &amp; INT(R292/20) &amp; ")", IF(AND(E292=16, INT(S292/20)&gt;INT(S291/20)), "TN Ø16 (Lần " &amp; INT(S292/20) &amp; ")", IF(AND(E292=18, INT(T292/20)&gt;INT(T291/20)), "TN Ø18 (Lần " &amp; INT(T292/20) &amp; ")", IF(AND(E292=20, INT(U292/20)&gt;INT(U291/20)), "TN Ø20 (Lần " &amp; INT(U292/20) &amp; ")", IF(AND(E292=22, INT(V292/20)&gt;INT(V291/20)), "TN Ø22 (Lần " &amp; INT(V292/20) &amp; ")", IF(AND(E292=25, INT(W292/20)&gt;INT(W291/20)), "TN Ø25 (Lần " &amp; INT(W292/20) &amp; ")", IF(AND(E292=28, INT(X292/20)&gt;INT(X291/20)), "TN Ø28 (Lần " &amp; INT(X292/20) &amp; ")", IF(AND(E292=32, INT(Y292/20)&gt;INT(Y291/20)), "TN Ø32 (Lần " &amp; INT(Y292/20) &amp; ")", IF(AND(F292="ASTM A416", INT(Z292/20)&gt;INT(Z291/20)), "TN Cáp 15.2 (Lần " &amp; INT(Z292/20) &amp; ")", "")))))))))))</f>
        <v/>
      </c>
      <c r="P292" s="20">
        <f>ROUND(P291 + IF(AND(E292&lt;=10, F292&lt;&gt;"ASTM A416"), L292, 0), 3)</f>
        <v/>
      </c>
      <c r="Q292" s="20">
        <f>ROUND(Q291 + IF(AND(E292=12, F292&lt;&gt;"ASTM A416"), L292, 0), 3)</f>
        <v/>
      </c>
      <c r="R292" s="20">
        <f>ROUND(R291 + IF(AND(E292=14, F292&lt;&gt;"ASTM A416"), L292, 0), 3)</f>
        <v/>
      </c>
      <c r="S292" s="20">
        <f>ROUND(S291 + IF(AND(E292=16, F292&lt;&gt;"ASTM A416"), L292, 0), 3)</f>
        <v/>
      </c>
      <c r="T292" s="20">
        <f>ROUND(T291 + IF(AND(E292=18, F292&lt;&gt;"ASTM A416"), L292, 0), 3)</f>
        <v/>
      </c>
      <c r="U292" s="20">
        <f>ROUND(U291 + IF(AND(E292=20, F292&lt;&gt;"ASTM A416"), L292, 0), 3)</f>
        <v/>
      </c>
      <c r="V292" s="20">
        <f>ROUND(V291 + IF(AND(E292=22, F292&lt;&gt;"ASTM A416"), L292, 0), 3)</f>
        <v/>
      </c>
      <c r="W292" s="20">
        <f>ROUND(W291 + IF(AND(E292=25, F292&lt;&gt;"ASTM A416"), L292, 0), 3)</f>
        <v/>
      </c>
      <c r="X292" s="20">
        <f>ROUND(X291 + IF(AND(E292=28, F292&lt;&gt;"ASTM A416"), L292, 0), 3)</f>
        <v/>
      </c>
      <c r="Y292" s="20">
        <f>ROUND(Y291 + IF(AND(E292=32, F292&lt;&gt;"ASTM A416"), L292, 0), 3)</f>
        <v/>
      </c>
      <c r="Z292" s="20">
        <f>ROUND(Z291 + IF(F292="ASTM A416", L292, 0), 3)</f>
        <v/>
      </c>
      <c r="AA292" s="11">
        <f>IF(INT(P292/20)&gt;INT(P291/20), "Lần " &amp; INT(P292/20), "")</f>
        <v/>
      </c>
      <c r="AB292" s="11">
        <f>IF(INT(Q292/20)&gt;INT(Q291/20), "Lần " &amp; INT(Q292/20), "")</f>
        <v/>
      </c>
      <c r="AC292" s="11">
        <f>IF(INT(R292/20)&gt;INT(R291/20), "Lần " &amp; INT(R292/20), "")</f>
        <v/>
      </c>
      <c r="AD292" s="11">
        <f>IF(INT(S292/20)&gt;INT(S291/20), "Lần " &amp; INT(S292/20), "")</f>
        <v/>
      </c>
      <c r="AE292" s="11">
        <f>IF(INT(T292/20)&gt;INT(T291/20), "Lần " &amp; INT(T292/20), "")</f>
        <v/>
      </c>
      <c r="AF292" s="11">
        <f>IF(INT(U292/20)&gt;INT(U291/20), "Lần " &amp; INT(U292/20), "")</f>
        <v/>
      </c>
      <c r="AG292" s="11">
        <f>IF(INT(V292/20)&gt;INT(V291/20), "Lần " &amp; INT(V292/20), "")</f>
        <v/>
      </c>
      <c r="AH292" s="11">
        <f>IF(INT(W292/20)&gt;INT(W291/20), "Lần " &amp; INT(W292/20), "")</f>
        <v/>
      </c>
      <c r="AI292" s="11">
        <f>IF(INT(X292/20)&gt;INT(X291/20), "Lần " &amp; INT(X292/20), "")</f>
        <v/>
      </c>
      <c r="AJ292" s="11">
        <f>IF(INT(Y292/20)&gt;INT(Y291/20), "Lần " &amp; INT(Y292/20), "")</f>
        <v/>
      </c>
      <c r="AK292" s="11">
        <f>IF(INT(Z292/20)&gt;INT(Z291/20), "Lần " &amp; INT(Z292/20), "")</f>
        <v/>
      </c>
      <c r="AL292" s="6" t="inlineStr">
        <is>
          <t>ĐẠT TCVN 1651:2018</t>
        </is>
      </c>
    </row>
    <row r="293" ht="19" customHeight="1">
      <c r="A293" s="6" t="n">
        <v>271</v>
      </c>
      <c r="B293" s="7" t="inlineStr">
        <is>
          <t>Cọc khoan nhồi C8 Trụ T2 (D1.2m, L=30.0m)</t>
        </is>
      </c>
      <c r="C293" s="7" t="inlineStr">
        <is>
          <t>Thép đai xoắn lồng cọc</t>
        </is>
      </c>
      <c r="D293" s="18" t="inlineStr">
        <is>
          <t>P1C</t>
        </is>
      </c>
      <c r="E293" s="19" t="n">
        <v>10</v>
      </c>
      <c r="F293" s="6" t="inlineStr">
        <is>
          <t>CB240-T</t>
        </is>
      </c>
      <c r="G293" s="7" t="inlineStr">
        <is>
          <t>Đai xoắn tròn</t>
        </is>
      </c>
      <c r="H293" s="20" t="n">
        <v>3.592</v>
      </c>
      <c r="I293" s="21" t="n">
        <v>2</v>
      </c>
      <c r="J293" s="22" t="n">
        <v>0.617</v>
      </c>
      <c r="K293" s="9">
        <f>ROUND(H293*I293*J293, 2)</f>
        <v/>
      </c>
      <c r="L293" s="23">
        <f>ROUND(K293/1000, 3)</f>
        <v/>
      </c>
      <c r="M293" s="8" t="n"/>
      <c r="N293" s="6" t="n"/>
      <c r="O293" s="24">
        <f>IF(AND(E293&lt;=10, F293&lt;&gt;"ASTM A416", INT(P293/20)&gt;INT(P292/20)), "TN Ø10 (Lần " &amp; INT(P293/20) &amp; ")", IF(AND(E293=12, INT(Q293/20)&gt;INT(Q292/20)), "TN Ø12 (Lần " &amp; INT(Q293/20) &amp; ")", IF(AND(E293=14, INT(R293/20)&gt;INT(R292/20)), "TN Ø14 (Lần " &amp; INT(R293/20) &amp; ")", IF(AND(E293=16, INT(S293/20)&gt;INT(S292/20)), "TN Ø16 (Lần " &amp; INT(S293/20) &amp; ")", IF(AND(E293=18, INT(T293/20)&gt;INT(T292/20)), "TN Ø18 (Lần " &amp; INT(T293/20) &amp; ")", IF(AND(E293=20, INT(U293/20)&gt;INT(U292/20)), "TN Ø20 (Lần " &amp; INT(U293/20) &amp; ")", IF(AND(E293=22, INT(V293/20)&gt;INT(V292/20)), "TN Ø22 (Lần " &amp; INT(V293/20) &amp; ")", IF(AND(E293=25, INT(W293/20)&gt;INT(W292/20)), "TN Ø25 (Lần " &amp; INT(W293/20) &amp; ")", IF(AND(E293=28, INT(X293/20)&gt;INT(X292/20)), "TN Ø28 (Lần " &amp; INT(X293/20) &amp; ")", IF(AND(E293=32, INT(Y293/20)&gt;INT(Y292/20)), "TN Ø32 (Lần " &amp; INT(Y293/20) &amp; ")", IF(AND(F293="ASTM A416", INT(Z293/20)&gt;INT(Z292/20)), "TN Cáp 15.2 (Lần " &amp; INT(Z293/20) &amp; ")", "")))))))))))</f>
        <v/>
      </c>
      <c r="P293" s="20">
        <f>ROUND(P292 + IF(AND(E293&lt;=10, F293&lt;&gt;"ASTM A416"), L293, 0), 3)</f>
        <v/>
      </c>
      <c r="Q293" s="20">
        <f>ROUND(Q292 + IF(AND(E293=12, F293&lt;&gt;"ASTM A416"), L293, 0), 3)</f>
        <v/>
      </c>
      <c r="R293" s="20">
        <f>ROUND(R292 + IF(AND(E293=14, F293&lt;&gt;"ASTM A416"), L293, 0), 3)</f>
        <v/>
      </c>
      <c r="S293" s="20">
        <f>ROUND(S292 + IF(AND(E293=16, F293&lt;&gt;"ASTM A416"), L293, 0), 3)</f>
        <v/>
      </c>
      <c r="T293" s="20">
        <f>ROUND(T292 + IF(AND(E293=18, F293&lt;&gt;"ASTM A416"), L293, 0), 3)</f>
        <v/>
      </c>
      <c r="U293" s="20">
        <f>ROUND(U292 + IF(AND(E293=20, F293&lt;&gt;"ASTM A416"), L293, 0), 3)</f>
        <v/>
      </c>
      <c r="V293" s="20">
        <f>ROUND(V292 + IF(AND(E293=22, F293&lt;&gt;"ASTM A416"), L293, 0), 3)</f>
        <v/>
      </c>
      <c r="W293" s="20">
        <f>ROUND(W292 + IF(AND(E293=25, F293&lt;&gt;"ASTM A416"), L293, 0), 3)</f>
        <v/>
      </c>
      <c r="X293" s="20">
        <f>ROUND(X292 + IF(AND(E293=28, F293&lt;&gt;"ASTM A416"), L293, 0), 3)</f>
        <v/>
      </c>
      <c r="Y293" s="20">
        <f>ROUND(Y292 + IF(AND(E293=32, F293&lt;&gt;"ASTM A416"), L293, 0), 3)</f>
        <v/>
      </c>
      <c r="Z293" s="20">
        <f>ROUND(Z292 + IF(F293="ASTM A416", L293, 0), 3)</f>
        <v/>
      </c>
      <c r="AA293" s="11">
        <f>IF(INT(P293/20)&gt;INT(P292/20), "Lần " &amp; INT(P293/20), "")</f>
        <v/>
      </c>
      <c r="AB293" s="11">
        <f>IF(INT(Q293/20)&gt;INT(Q292/20), "Lần " &amp; INT(Q293/20), "")</f>
        <v/>
      </c>
      <c r="AC293" s="11">
        <f>IF(INT(R293/20)&gt;INT(R292/20), "Lần " &amp; INT(R293/20), "")</f>
        <v/>
      </c>
      <c r="AD293" s="11">
        <f>IF(INT(S293/20)&gt;INT(S292/20), "Lần " &amp; INT(S293/20), "")</f>
        <v/>
      </c>
      <c r="AE293" s="11">
        <f>IF(INT(T293/20)&gt;INT(T292/20), "Lần " &amp; INT(T293/20), "")</f>
        <v/>
      </c>
      <c r="AF293" s="11">
        <f>IF(INT(U293/20)&gt;INT(U292/20), "Lần " &amp; INT(U293/20), "")</f>
        <v/>
      </c>
      <c r="AG293" s="11">
        <f>IF(INT(V293/20)&gt;INT(V292/20), "Lần " &amp; INT(V293/20), "")</f>
        <v/>
      </c>
      <c r="AH293" s="11">
        <f>IF(INT(W293/20)&gt;INT(W292/20), "Lần " &amp; INT(W293/20), "")</f>
        <v/>
      </c>
      <c r="AI293" s="11">
        <f>IF(INT(X293/20)&gt;INT(X292/20), "Lần " &amp; INT(X293/20), "")</f>
        <v/>
      </c>
      <c r="AJ293" s="11">
        <f>IF(INT(Y293/20)&gt;INT(Y292/20), "Lần " &amp; INT(Y293/20), "")</f>
        <v/>
      </c>
      <c r="AK293" s="11">
        <f>IF(INT(Z293/20)&gt;INT(Z292/20), "Lần " &amp; INT(Z293/20), "")</f>
        <v/>
      </c>
      <c r="AL293" s="6" t="inlineStr">
        <is>
          <t>ĐẠT TCVN 1651:2018</t>
        </is>
      </c>
    </row>
    <row r="294" ht="19" customHeight="1">
      <c r="A294" s="6" t="n">
        <v>272</v>
      </c>
      <c r="B294" s="7" t="inlineStr">
        <is>
          <t>Cọc khoan nhồi C8 Trụ T2 (D1.2m, L=30.0m)</t>
        </is>
      </c>
      <c r="C294" s="7" t="inlineStr">
        <is>
          <t>Thép đai xoắn lồng cọc</t>
        </is>
      </c>
      <c r="D294" s="18" t="inlineStr">
        <is>
          <t>P1D</t>
        </is>
      </c>
      <c r="E294" s="19" t="n">
        <v>10</v>
      </c>
      <c r="F294" s="6" t="inlineStr">
        <is>
          <t>CB240-T</t>
        </is>
      </c>
      <c r="G294" s="7" t="inlineStr">
        <is>
          <t>Đai xoắn tròn</t>
        </is>
      </c>
      <c r="H294" s="20" t="n">
        <v>19.721</v>
      </c>
      <c r="I294" s="21" t="n">
        <v>1</v>
      </c>
      <c r="J294" s="22" t="n">
        <v>0.617</v>
      </c>
      <c r="K294" s="9">
        <f>ROUND(H294*I294*J294, 2)</f>
        <v/>
      </c>
      <c r="L294" s="23">
        <f>ROUND(K294/1000, 3)</f>
        <v/>
      </c>
      <c r="M294" s="8" t="n"/>
      <c r="N294" s="6" t="n"/>
      <c r="O294" s="24">
        <f>IF(AND(E294&lt;=10, F294&lt;&gt;"ASTM A416", INT(P294/20)&gt;INT(P293/20)), "TN Ø10 (Lần " &amp; INT(P294/20) &amp; ")", IF(AND(E294=12, INT(Q294/20)&gt;INT(Q293/20)), "TN Ø12 (Lần " &amp; INT(Q294/20) &amp; ")", IF(AND(E294=14, INT(R294/20)&gt;INT(R293/20)), "TN Ø14 (Lần " &amp; INT(R294/20) &amp; ")", IF(AND(E294=16, INT(S294/20)&gt;INT(S293/20)), "TN Ø16 (Lần " &amp; INT(S294/20) &amp; ")", IF(AND(E294=18, INT(T294/20)&gt;INT(T293/20)), "TN Ø18 (Lần " &amp; INT(T294/20) &amp; ")", IF(AND(E294=20, INT(U294/20)&gt;INT(U293/20)), "TN Ø20 (Lần " &amp; INT(U294/20) &amp; ")", IF(AND(E294=22, INT(V294/20)&gt;INT(V293/20)), "TN Ø22 (Lần " &amp; INT(V294/20) &amp; ")", IF(AND(E294=25, INT(W294/20)&gt;INT(W293/20)), "TN Ø25 (Lần " &amp; INT(W294/20) &amp; ")", IF(AND(E294=28, INT(X294/20)&gt;INT(X293/20)), "TN Ø28 (Lần " &amp; INT(X294/20) &amp; ")", IF(AND(E294=32, INT(Y294/20)&gt;INT(Y293/20)), "TN Ø32 (Lần " &amp; INT(Y294/20) &amp; ")", IF(AND(F294="ASTM A416", INT(Z294/20)&gt;INT(Z293/20)), "TN Cáp 15.2 (Lần " &amp; INT(Z294/20) &amp; ")", "")))))))))))</f>
        <v/>
      </c>
      <c r="P294" s="20">
        <f>ROUND(P293 + IF(AND(E294&lt;=10, F294&lt;&gt;"ASTM A416"), L294, 0), 3)</f>
        <v/>
      </c>
      <c r="Q294" s="20">
        <f>ROUND(Q293 + IF(AND(E294=12, F294&lt;&gt;"ASTM A416"), L294, 0), 3)</f>
        <v/>
      </c>
      <c r="R294" s="20">
        <f>ROUND(R293 + IF(AND(E294=14, F294&lt;&gt;"ASTM A416"), L294, 0), 3)</f>
        <v/>
      </c>
      <c r="S294" s="20">
        <f>ROUND(S293 + IF(AND(E294=16, F294&lt;&gt;"ASTM A416"), L294, 0), 3)</f>
        <v/>
      </c>
      <c r="T294" s="20">
        <f>ROUND(T293 + IF(AND(E294=18, F294&lt;&gt;"ASTM A416"), L294, 0), 3)</f>
        <v/>
      </c>
      <c r="U294" s="20">
        <f>ROUND(U293 + IF(AND(E294=20, F294&lt;&gt;"ASTM A416"), L294, 0), 3)</f>
        <v/>
      </c>
      <c r="V294" s="20">
        <f>ROUND(V293 + IF(AND(E294=22, F294&lt;&gt;"ASTM A416"), L294, 0), 3)</f>
        <v/>
      </c>
      <c r="W294" s="20">
        <f>ROUND(W293 + IF(AND(E294=25, F294&lt;&gt;"ASTM A416"), L294, 0), 3)</f>
        <v/>
      </c>
      <c r="X294" s="20">
        <f>ROUND(X293 + IF(AND(E294=28, F294&lt;&gt;"ASTM A416"), L294, 0), 3)</f>
        <v/>
      </c>
      <c r="Y294" s="20">
        <f>ROUND(Y293 + IF(AND(E294=32, F294&lt;&gt;"ASTM A416"), L294, 0), 3)</f>
        <v/>
      </c>
      <c r="Z294" s="20">
        <f>ROUND(Z293 + IF(F294="ASTM A416", L294, 0), 3)</f>
        <v/>
      </c>
      <c r="AA294" s="11">
        <f>IF(INT(P294/20)&gt;INT(P293/20), "Lần " &amp; INT(P294/20), "")</f>
        <v/>
      </c>
      <c r="AB294" s="11">
        <f>IF(INT(Q294/20)&gt;INT(Q293/20), "Lần " &amp; INT(Q294/20), "")</f>
        <v/>
      </c>
      <c r="AC294" s="11">
        <f>IF(INT(R294/20)&gt;INT(R293/20), "Lần " &amp; INT(R294/20), "")</f>
        <v/>
      </c>
      <c r="AD294" s="11">
        <f>IF(INT(S294/20)&gt;INT(S293/20), "Lần " &amp; INT(S294/20), "")</f>
        <v/>
      </c>
      <c r="AE294" s="11">
        <f>IF(INT(T294/20)&gt;INT(T293/20), "Lần " &amp; INT(T294/20), "")</f>
        <v/>
      </c>
      <c r="AF294" s="11">
        <f>IF(INT(U294/20)&gt;INT(U293/20), "Lần " &amp; INT(U294/20), "")</f>
        <v/>
      </c>
      <c r="AG294" s="11">
        <f>IF(INT(V294/20)&gt;INT(V293/20), "Lần " &amp; INT(V294/20), "")</f>
        <v/>
      </c>
      <c r="AH294" s="11">
        <f>IF(INT(W294/20)&gt;INT(W293/20), "Lần " &amp; INT(W294/20), "")</f>
        <v/>
      </c>
      <c r="AI294" s="11">
        <f>IF(INT(X294/20)&gt;INT(X293/20), "Lần " &amp; INT(X294/20), "")</f>
        <v/>
      </c>
      <c r="AJ294" s="11">
        <f>IF(INT(Y294/20)&gt;INT(Y293/20), "Lần " &amp; INT(Y294/20), "")</f>
        <v/>
      </c>
      <c r="AK294" s="11">
        <f>IF(INT(Z294/20)&gt;INT(Z293/20), "Lần " &amp; INT(Z294/20), "")</f>
        <v/>
      </c>
      <c r="AL294" s="6" t="inlineStr">
        <is>
          <t>ĐẠT TCVN 1651:2018</t>
        </is>
      </c>
    </row>
    <row r="295" ht="19" customHeight="1">
      <c r="A295" s="6" t="n">
        <v>273</v>
      </c>
      <c r="B295" s="7" t="inlineStr">
        <is>
          <t>Cọc khoan nhồi C8 Trụ T2 (D1.2m, L=30.0m)</t>
        </is>
      </c>
      <c r="C295" s="7" t="inlineStr">
        <is>
          <t>Cốt thép chủ chịu lực cọc</t>
        </is>
      </c>
      <c r="D295" s="18" t="inlineStr">
        <is>
          <t>P2B</t>
        </is>
      </c>
      <c r="E295" s="19" t="n">
        <v>25</v>
      </c>
      <c r="F295" s="6" t="inlineStr">
        <is>
          <t>CB400-V</t>
        </is>
      </c>
      <c r="G295" s="7" t="inlineStr">
        <is>
          <t>Thanh thẳng nối ren/hàn</t>
        </is>
      </c>
      <c r="H295" s="20" t="n">
        <v>2.985</v>
      </c>
      <c r="I295" s="21" t="n">
        <v>12</v>
      </c>
      <c r="J295" s="22" t="n">
        <v>3.85</v>
      </c>
      <c r="K295" s="9">
        <f>ROUND(H295*I295*J295, 2)</f>
        <v/>
      </c>
      <c r="L295" s="23">
        <f>ROUND(K295/1000, 3)</f>
        <v/>
      </c>
      <c r="M295" s="8" t="n"/>
      <c r="N295" s="6" t="n"/>
      <c r="O295" s="24">
        <f>IF(AND(E295&lt;=10, F295&lt;&gt;"ASTM A416", INT(P295/20)&gt;INT(P294/20)), "TN Ø10 (Lần " &amp; INT(P295/20) &amp; ")", IF(AND(E295=12, INT(Q295/20)&gt;INT(Q294/20)), "TN Ø12 (Lần " &amp; INT(Q295/20) &amp; ")", IF(AND(E295=14, INT(R295/20)&gt;INT(R294/20)), "TN Ø14 (Lần " &amp; INT(R295/20) &amp; ")", IF(AND(E295=16, INT(S295/20)&gt;INT(S294/20)), "TN Ø16 (Lần " &amp; INT(S295/20) &amp; ")", IF(AND(E295=18, INT(T295/20)&gt;INT(T294/20)), "TN Ø18 (Lần " &amp; INT(T295/20) &amp; ")", IF(AND(E295=20, INT(U295/20)&gt;INT(U294/20)), "TN Ø20 (Lần " &amp; INT(U295/20) &amp; ")", IF(AND(E295=22, INT(V295/20)&gt;INT(V294/20)), "TN Ø22 (Lần " &amp; INT(V295/20) &amp; ")", IF(AND(E295=25, INT(W295/20)&gt;INT(W294/20)), "TN Ø25 (Lần " &amp; INT(W295/20) &amp; ")", IF(AND(E295=28, INT(X295/20)&gt;INT(X294/20)), "TN Ø28 (Lần " &amp; INT(X295/20) &amp; ")", IF(AND(E295=32, INT(Y295/20)&gt;INT(Y294/20)), "TN Ø32 (Lần " &amp; INT(Y295/20) &amp; ")", IF(AND(F295="ASTM A416", INT(Z295/20)&gt;INT(Z294/20)), "TN Cáp 15.2 (Lần " &amp; INT(Z295/20) &amp; ")", "")))))))))))</f>
        <v/>
      </c>
      <c r="P295" s="20">
        <f>ROUND(P294 + IF(AND(E295&lt;=10, F295&lt;&gt;"ASTM A416"), L295, 0), 3)</f>
        <v/>
      </c>
      <c r="Q295" s="20">
        <f>ROUND(Q294 + IF(AND(E295=12, F295&lt;&gt;"ASTM A416"), L295, 0), 3)</f>
        <v/>
      </c>
      <c r="R295" s="20">
        <f>ROUND(R294 + IF(AND(E295=14, F295&lt;&gt;"ASTM A416"), L295, 0), 3)</f>
        <v/>
      </c>
      <c r="S295" s="20">
        <f>ROUND(S294 + IF(AND(E295=16, F295&lt;&gt;"ASTM A416"), L295, 0), 3)</f>
        <v/>
      </c>
      <c r="T295" s="20">
        <f>ROUND(T294 + IF(AND(E295=18, F295&lt;&gt;"ASTM A416"), L295, 0), 3)</f>
        <v/>
      </c>
      <c r="U295" s="20">
        <f>ROUND(U294 + IF(AND(E295=20, F295&lt;&gt;"ASTM A416"), L295, 0), 3)</f>
        <v/>
      </c>
      <c r="V295" s="20">
        <f>ROUND(V294 + IF(AND(E295=22, F295&lt;&gt;"ASTM A416"), L295, 0), 3)</f>
        <v/>
      </c>
      <c r="W295" s="20">
        <f>ROUND(W294 + IF(AND(E295=25, F295&lt;&gt;"ASTM A416"), L295, 0), 3)</f>
        <v/>
      </c>
      <c r="X295" s="20">
        <f>ROUND(X294 + IF(AND(E295=28, F295&lt;&gt;"ASTM A416"), L295, 0), 3)</f>
        <v/>
      </c>
      <c r="Y295" s="20">
        <f>ROUND(Y294 + IF(AND(E295=32, F295&lt;&gt;"ASTM A416"), L295, 0), 3)</f>
        <v/>
      </c>
      <c r="Z295" s="20">
        <f>ROUND(Z294 + IF(F295="ASTM A416", L295, 0), 3)</f>
        <v/>
      </c>
      <c r="AA295" s="11">
        <f>IF(INT(P295/20)&gt;INT(P294/20), "Lần " &amp; INT(P295/20), "")</f>
        <v/>
      </c>
      <c r="AB295" s="11">
        <f>IF(INT(Q295/20)&gt;INT(Q294/20), "Lần " &amp; INT(Q295/20), "")</f>
        <v/>
      </c>
      <c r="AC295" s="11">
        <f>IF(INT(R295/20)&gt;INT(R294/20), "Lần " &amp; INT(R295/20), "")</f>
        <v/>
      </c>
      <c r="AD295" s="11">
        <f>IF(INT(S295/20)&gt;INT(S294/20), "Lần " &amp; INT(S295/20), "")</f>
        <v/>
      </c>
      <c r="AE295" s="11">
        <f>IF(INT(T295/20)&gt;INT(T294/20), "Lần " &amp; INT(T295/20), "")</f>
        <v/>
      </c>
      <c r="AF295" s="11">
        <f>IF(INT(U295/20)&gt;INT(U294/20), "Lần " &amp; INT(U295/20), "")</f>
        <v/>
      </c>
      <c r="AG295" s="11">
        <f>IF(INT(V295/20)&gt;INT(V294/20), "Lần " &amp; INT(V295/20), "")</f>
        <v/>
      </c>
      <c r="AH295" s="11">
        <f>IF(INT(W295/20)&gt;INT(W294/20), "Lần " &amp; INT(W295/20), "")</f>
        <v/>
      </c>
      <c r="AI295" s="11">
        <f>IF(INT(X295/20)&gt;INT(X294/20), "Lần " &amp; INT(X295/20), "")</f>
        <v/>
      </c>
      <c r="AJ295" s="11">
        <f>IF(INT(Y295/20)&gt;INT(Y294/20), "Lần " &amp; INT(Y295/20), "")</f>
        <v/>
      </c>
      <c r="AK295" s="11">
        <f>IF(INT(Z295/20)&gt;INT(Z294/20), "Lần " &amp; INT(Z295/20), "")</f>
        <v/>
      </c>
      <c r="AL295" s="6" t="inlineStr">
        <is>
          <t>ĐẠT TCVN 1651:2018</t>
        </is>
      </c>
    </row>
    <row r="296" ht="19" customHeight="1">
      <c r="A296" s="6" t="n">
        <v>274</v>
      </c>
      <c r="B296" s="7" t="inlineStr">
        <is>
          <t>Cọc khoan nhồi C8 Trụ T2 (D1.2m, L=30.0m)</t>
        </is>
      </c>
      <c r="C296" s="7" t="inlineStr">
        <is>
          <t>Cốt thép chủ chịu lực cọc</t>
        </is>
      </c>
      <c r="D296" s="18" t="inlineStr">
        <is>
          <t>P3</t>
        </is>
      </c>
      <c r="E296" s="19" t="n">
        <v>25</v>
      </c>
      <c r="F296" s="6" t="inlineStr">
        <is>
          <t>CB400-V</t>
        </is>
      </c>
      <c r="G296" s="7" t="inlineStr">
        <is>
          <t>Thanh thẳng nối ren/hàn</t>
        </is>
      </c>
      <c r="H296" s="20" t="n">
        <v>10.7</v>
      </c>
      <c r="I296" s="21" t="n">
        <v>12</v>
      </c>
      <c r="J296" s="22" t="n">
        <v>3.85</v>
      </c>
      <c r="K296" s="9">
        <f>ROUND(H296*I296*J296, 2)</f>
        <v/>
      </c>
      <c r="L296" s="23">
        <f>ROUND(K296/1000, 3)</f>
        <v/>
      </c>
      <c r="M296" s="8" t="n"/>
      <c r="N296" s="6" t="n"/>
      <c r="O296" s="24">
        <f>IF(AND(E296&lt;=10, F296&lt;&gt;"ASTM A416", INT(P296/20)&gt;INT(P295/20)), "TN Ø10 (Lần " &amp; INT(P296/20) &amp; ")", IF(AND(E296=12, INT(Q296/20)&gt;INT(Q295/20)), "TN Ø12 (Lần " &amp; INT(Q296/20) &amp; ")", IF(AND(E296=14, INT(R296/20)&gt;INT(R295/20)), "TN Ø14 (Lần " &amp; INT(R296/20) &amp; ")", IF(AND(E296=16, INT(S296/20)&gt;INT(S295/20)), "TN Ø16 (Lần " &amp; INT(S296/20) &amp; ")", IF(AND(E296=18, INT(T296/20)&gt;INT(T295/20)), "TN Ø18 (Lần " &amp; INT(T296/20) &amp; ")", IF(AND(E296=20, INT(U296/20)&gt;INT(U295/20)), "TN Ø20 (Lần " &amp; INT(U296/20) &amp; ")", IF(AND(E296=22, INT(V296/20)&gt;INT(V295/20)), "TN Ø22 (Lần " &amp; INT(V296/20) &amp; ")", IF(AND(E296=25, INT(W296/20)&gt;INT(W295/20)), "TN Ø25 (Lần " &amp; INT(W296/20) &amp; ")", IF(AND(E296=28, INT(X296/20)&gt;INT(X295/20)), "TN Ø28 (Lần " &amp; INT(X296/20) &amp; ")", IF(AND(E296=32, INT(Y296/20)&gt;INT(Y295/20)), "TN Ø32 (Lần " &amp; INT(Y296/20) &amp; ")", IF(AND(F296="ASTM A416", INT(Z296/20)&gt;INT(Z295/20)), "TN Cáp 15.2 (Lần " &amp; INT(Z296/20) &amp; ")", "")))))))))))</f>
        <v/>
      </c>
      <c r="P296" s="20">
        <f>ROUND(P295 + IF(AND(E296&lt;=10, F296&lt;&gt;"ASTM A416"), L296, 0), 3)</f>
        <v/>
      </c>
      <c r="Q296" s="20">
        <f>ROUND(Q295 + IF(AND(E296=12, F296&lt;&gt;"ASTM A416"), L296, 0), 3)</f>
        <v/>
      </c>
      <c r="R296" s="20">
        <f>ROUND(R295 + IF(AND(E296=14, F296&lt;&gt;"ASTM A416"), L296, 0), 3)</f>
        <v/>
      </c>
      <c r="S296" s="20">
        <f>ROUND(S295 + IF(AND(E296=16, F296&lt;&gt;"ASTM A416"), L296, 0), 3)</f>
        <v/>
      </c>
      <c r="T296" s="20">
        <f>ROUND(T295 + IF(AND(E296=18, F296&lt;&gt;"ASTM A416"), L296, 0), 3)</f>
        <v/>
      </c>
      <c r="U296" s="20">
        <f>ROUND(U295 + IF(AND(E296=20, F296&lt;&gt;"ASTM A416"), L296, 0), 3)</f>
        <v/>
      </c>
      <c r="V296" s="20">
        <f>ROUND(V295 + IF(AND(E296=22, F296&lt;&gt;"ASTM A416"), L296, 0), 3)</f>
        <v/>
      </c>
      <c r="W296" s="20">
        <f>ROUND(W295 + IF(AND(E296=25, F296&lt;&gt;"ASTM A416"), L296, 0), 3)</f>
        <v/>
      </c>
      <c r="X296" s="20">
        <f>ROUND(X295 + IF(AND(E296=28, F296&lt;&gt;"ASTM A416"), L296, 0), 3)</f>
        <v/>
      </c>
      <c r="Y296" s="20">
        <f>ROUND(Y295 + IF(AND(E296=32, F296&lt;&gt;"ASTM A416"), L296, 0), 3)</f>
        <v/>
      </c>
      <c r="Z296" s="20">
        <f>ROUND(Z295 + IF(F296="ASTM A416", L296, 0), 3)</f>
        <v/>
      </c>
      <c r="AA296" s="11">
        <f>IF(INT(P296/20)&gt;INT(P295/20), "Lần " &amp; INT(P296/20), "")</f>
        <v/>
      </c>
      <c r="AB296" s="11">
        <f>IF(INT(Q296/20)&gt;INT(Q295/20), "Lần " &amp; INT(Q296/20), "")</f>
        <v/>
      </c>
      <c r="AC296" s="11">
        <f>IF(INT(R296/20)&gt;INT(R295/20), "Lần " &amp; INT(R296/20), "")</f>
        <v/>
      </c>
      <c r="AD296" s="11">
        <f>IF(INT(S296/20)&gt;INT(S295/20), "Lần " &amp; INT(S296/20), "")</f>
        <v/>
      </c>
      <c r="AE296" s="11">
        <f>IF(INT(T296/20)&gt;INT(T295/20), "Lần " &amp; INT(T296/20), "")</f>
        <v/>
      </c>
      <c r="AF296" s="11">
        <f>IF(INT(U296/20)&gt;INT(U295/20), "Lần " &amp; INT(U296/20), "")</f>
        <v/>
      </c>
      <c r="AG296" s="11">
        <f>IF(INT(V296/20)&gt;INT(V295/20), "Lần " &amp; INT(V296/20), "")</f>
        <v/>
      </c>
      <c r="AH296" s="11">
        <f>IF(INT(W296/20)&gt;INT(W295/20), "Lần " &amp; INT(W296/20), "")</f>
        <v/>
      </c>
      <c r="AI296" s="11">
        <f>IF(INT(X296/20)&gt;INT(X295/20), "Lần " &amp; INT(X296/20), "")</f>
        <v/>
      </c>
      <c r="AJ296" s="11">
        <f>IF(INT(Y296/20)&gt;INT(Y295/20), "Lần " &amp; INT(Y296/20), "")</f>
        <v/>
      </c>
      <c r="AK296" s="11">
        <f>IF(INT(Z296/20)&gt;INT(Z295/20), "Lần " &amp; INT(Z296/20), "")</f>
        <v/>
      </c>
      <c r="AL296" s="6" t="inlineStr">
        <is>
          <t>ĐẠT TCVN 1651:2018</t>
        </is>
      </c>
    </row>
    <row r="297" ht="19" customHeight="1">
      <c r="A297" s="6" t="n">
        <v>275</v>
      </c>
      <c r="B297" s="7" t="inlineStr">
        <is>
          <t>Cọc khoan nhồi C8 Trụ T2 (D1.2m, L=30.0m)</t>
        </is>
      </c>
      <c r="C297" s="7" t="inlineStr">
        <is>
          <t>Cốt thép chủ chịu lực cọc</t>
        </is>
      </c>
      <c r="D297" s="18" t="inlineStr">
        <is>
          <t>P4</t>
        </is>
      </c>
      <c r="E297" s="19" t="n">
        <v>25</v>
      </c>
      <c r="F297" s="6" t="inlineStr">
        <is>
          <t>CB400-V</t>
        </is>
      </c>
      <c r="G297" s="7" t="inlineStr">
        <is>
          <t>Thanh thẳng nối ren/hàn</t>
        </is>
      </c>
      <c r="H297" s="20" t="n">
        <v>11.7</v>
      </c>
      <c r="I297" s="21" t="n">
        <v>36</v>
      </c>
      <c r="J297" s="22" t="n">
        <v>3.85</v>
      </c>
      <c r="K297" s="9">
        <f>ROUND(H297*I297*J297, 2)</f>
        <v/>
      </c>
      <c r="L297" s="23">
        <f>ROUND(K297/1000, 3)</f>
        <v/>
      </c>
      <c r="M297" s="8" t="n"/>
      <c r="N297" s="6" t="n"/>
      <c r="O297" s="24">
        <f>IF(AND(E297&lt;=10, F297&lt;&gt;"ASTM A416", INT(P297/20)&gt;INT(P296/20)), "TN Ø10 (Lần " &amp; INT(P297/20) &amp; ")", IF(AND(E297=12, INT(Q297/20)&gt;INT(Q296/20)), "TN Ø12 (Lần " &amp; INT(Q297/20) &amp; ")", IF(AND(E297=14, INT(R297/20)&gt;INT(R296/20)), "TN Ø14 (Lần " &amp; INT(R297/20) &amp; ")", IF(AND(E297=16, INT(S297/20)&gt;INT(S296/20)), "TN Ø16 (Lần " &amp; INT(S297/20) &amp; ")", IF(AND(E297=18, INT(T297/20)&gt;INT(T296/20)), "TN Ø18 (Lần " &amp; INT(T297/20) &amp; ")", IF(AND(E297=20, INT(U297/20)&gt;INT(U296/20)), "TN Ø20 (Lần " &amp; INT(U297/20) &amp; ")", IF(AND(E297=22, INT(V297/20)&gt;INT(V296/20)), "TN Ø22 (Lần " &amp; INT(V297/20) &amp; ")", IF(AND(E297=25, INT(W297/20)&gt;INT(W296/20)), "TN Ø25 (Lần " &amp; INT(W297/20) &amp; ")", IF(AND(E297=28, INT(X297/20)&gt;INT(X296/20)), "TN Ø28 (Lần " &amp; INT(X297/20) &amp; ")", IF(AND(E297=32, INT(Y297/20)&gt;INT(Y296/20)), "TN Ø32 (Lần " &amp; INT(Y297/20) &amp; ")", IF(AND(F297="ASTM A416", INT(Z297/20)&gt;INT(Z296/20)), "TN Cáp 15.2 (Lần " &amp; INT(Z297/20) &amp; ")", "")))))))))))</f>
        <v/>
      </c>
      <c r="P297" s="20">
        <f>ROUND(P296 + IF(AND(E297&lt;=10, F297&lt;&gt;"ASTM A416"), L297, 0), 3)</f>
        <v/>
      </c>
      <c r="Q297" s="20">
        <f>ROUND(Q296 + IF(AND(E297=12, F297&lt;&gt;"ASTM A416"), L297, 0), 3)</f>
        <v/>
      </c>
      <c r="R297" s="20">
        <f>ROUND(R296 + IF(AND(E297=14, F297&lt;&gt;"ASTM A416"), L297, 0), 3)</f>
        <v/>
      </c>
      <c r="S297" s="20">
        <f>ROUND(S296 + IF(AND(E297=16, F297&lt;&gt;"ASTM A416"), L297, 0), 3)</f>
        <v/>
      </c>
      <c r="T297" s="20">
        <f>ROUND(T296 + IF(AND(E297=18, F297&lt;&gt;"ASTM A416"), L297, 0), 3)</f>
        <v/>
      </c>
      <c r="U297" s="20">
        <f>ROUND(U296 + IF(AND(E297=20, F297&lt;&gt;"ASTM A416"), L297, 0), 3)</f>
        <v/>
      </c>
      <c r="V297" s="20">
        <f>ROUND(V296 + IF(AND(E297=22, F297&lt;&gt;"ASTM A416"), L297, 0), 3)</f>
        <v/>
      </c>
      <c r="W297" s="20">
        <f>ROUND(W296 + IF(AND(E297=25, F297&lt;&gt;"ASTM A416"), L297, 0), 3)</f>
        <v/>
      </c>
      <c r="X297" s="20">
        <f>ROUND(X296 + IF(AND(E297=28, F297&lt;&gt;"ASTM A416"), L297, 0), 3)</f>
        <v/>
      </c>
      <c r="Y297" s="20">
        <f>ROUND(Y296 + IF(AND(E297=32, F297&lt;&gt;"ASTM A416"), L297, 0), 3)</f>
        <v/>
      </c>
      <c r="Z297" s="20">
        <f>ROUND(Z296 + IF(F297="ASTM A416", L297, 0), 3)</f>
        <v/>
      </c>
      <c r="AA297" s="11">
        <f>IF(INT(P297/20)&gt;INT(P296/20), "Lần " &amp; INT(P297/20), "")</f>
        <v/>
      </c>
      <c r="AB297" s="11">
        <f>IF(INT(Q297/20)&gt;INT(Q296/20), "Lần " &amp; INT(Q297/20), "")</f>
        <v/>
      </c>
      <c r="AC297" s="11">
        <f>IF(INT(R297/20)&gt;INT(R296/20), "Lần " &amp; INT(R297/20), "")</f>
        <v/>
      </c>
      <c r="AD297" s="11">
        <f>IF(INT(S297/20)&gt;INT(S296/20), "Lần " &amp; INT(S297/20), "")</f>
        <v/>
      </c>
      <c r="AE297" s="11">
        <f>IF(INT(T297/20)&gt;INT(T296/20), "Lần " &amp; INT(T297/20), "")</f>
        <v/>
      </c>
      <c r="AF297" s="11">
        <f>IF(INT(U297/20)&gt;INT(U296/20), "Lần " &amp; INT(U297/20), "")</f>
        <v/>
      </c>
      <c r="AG297" s="11">
        <f>IF(INT(V297/20)&gt;INT(V296/20), "Lần " &amp; INT(V297/20), "")</f>
        <v/>
      </c>
      <c r="AH297" s="11">
        <f>IF(INT(W297/20)&gt;INT(W296/20), "Lần " &amp; INT(W297/20), "")</f>
        <v/>
      </c>
      <c r="AI297" s="11">
        <f>IF(INT(X297/20)&gt;INT(X296/20), "Lần " &amp; INT(X297/20), "")</f>
        <v/>
      </c>
      <c r="AJ297" s="11">
        <f>IF(INT(Y297/20)&gt;INT(Y296/20), "Lần " &amp; INT(Y297/20), "")</f>
        <v/>
      </c>
      <c r="AK297" s="11">
        <f>IF(INT(Z297/20)&gt;INT(Z296/20), "Lần " &amp; INT(Z297/20), "")</f>
        <v/>
      </c>
      <c r="AL297" s="6" t="inlineStr">
        <is>
          <t>ĐẠT TCVN 1651:2018</t>
        </is>
      </c>
    </row>
    <row r="298" ht="19" customHeight="1">
      <c r="A298" s="6" t="n">
        <v>276</v>
      </c>
      <c r="B298" s="7" t="inlineStr">
        <is>
          <t>Cọc khoan nhồi C8 Trụ T2 (D1.2m, L=30.0m)</t>
        </is>
      </c>
      <c r="C298" s="7" t="inlineStr">
        <is>
          <t>Cốt thép chủ chịu lực cọc</t>
        </is>
      </c>
      <c r="D298" s="18" t="inlineStr">
        <is>
          <t>P6</t>
        </is>
      </c>
      <c r="E298" s="19" t="n">
        <v>25</v>
      </c>
      <c r="F298" s="6" t="inlineStr">
        <is>
          <t>CB400-V</t>
        </is>
      </c>
      <c r="G298" s="7" t="inlineStr">
        <is>
          <t>Thanh thẳng nối ren/hàn</t>
        </is>
      </c>
      <c r="H298" s="20" t="n">
        <v>9.733000000000001</v>
      </c>
      <c r="I298" s="21" t="n">
        <v>12</v>
      </c>
      <c r="J298" s="22" t="n">
        <v>3.85</v>
      </c>
      <c r="K298" s="9">
        <f>ROUND(H298*I298*J298, 2)</f>
        <v/>
      </c>
      <c r="L298" s="23">
        <f>ROUND(K298/1000, 3)</f>
        <v/>
      </c>
      <c r="M298" s="8" t="n"/>
      <c r="N298" s="6" t="n"/>
      <c r="O298" s="24">
        <f>IF(AND(E298&lt;=10, F298&lt;&gt;"ASTM A416", INT(P298/20)&gt;INT(P297/20)), "TN Ø10 (Lần " &amp; INT(P298/20) &amp; ")", IF(AND(E298=12, INT(Q298/20)&gt;INT(Q297/20)), "TN Ø12 (Lần " &amp; INT(Q298/20) &amp; ")", IF(AND(E298=14, INT(R298/20)&gt;INT(R297/20)), "TN Ø14 (Lần " &amp; INT(R298/20) &amp; ")", IF(AND(E298=16, INT(S298/20)&gt;INT(S297/20)), "TN Ø16 (Lần " &amp; INT(S298/20) &amp; ")", IF(AND(E298=18, INT(T298/20)&gt;INT(T297/20)), "TN Ø18 (Lần " &amp; INT(T298/20) &amp; ")", IF(AND(E298=20, INT(U298/20)&gt;INT(U297/20)), "TN Ø20 (Lần " &amp; INT(U298/20) &amp; ")", IF(AND(E298=22, INT(V298/20)&gt;INT(V297/20)), "TN Ø22 (Lần " &amp; INT(V298/20) &amp; ")", IF(AND(E298=25, INT(W298/20)&gt;INT(W297/20)), "TN Ø25 (Lần " &amp; INT(W298/20) &amp; ")", IF(AND(E298=28, INT(X298/20)&gt;INT(X297/20)), "TN Ø28 (Lần " &amp; INT(X298/20) &amp; ")", IF(AND(E298=32, INT(Y298/20)&gt;INT(Y297/20)), "TN Ø32 (Lần " &amp; INT(Y298/20) &amp; ")", IF(AND(F298="ASTM A416", INT(Z298/20)&gt;INT(Z297/20)), "TN Cáp 15.2 (Lần " &amp; INT(Z298/20) &amp; ")", "")))))))))))</f>
        <v/>
      </c>
      <c r="P298" s="20">
        <f>ROUND(P297 + IF(AND(E298&lt;=10, F298&lt;&gt;"ASTM A416"), L298, 0), 3)</f>
        <v/>
      </c>
      <c r="Q298" s="20">
        <f>ROUND(Q297 + IF(AND(E298=12, F298&lt;&gt;"ASTM A416"), L298, 0), 3)</f>
        <v/>
      </c>
      <c r="R298" s="20">
        <f>ROUND(R297 + IF(AND(E298=14, F298&lt;&gt;"ASTM A416"), L298, 0), 3)</f>
        <v/>
      </c>
      <c r="S298" s="20">
        <f>ROUND(S297 + IF(AND(E298=16, F298&lt;&gt;"ASTM A416"), L298, 0), 3)</f>
        <v/>
      </c>
      <c r="T298" s="20">
        <f>ROUND(T297 + IF(AND(E298=18, F298&lt;&gt;"ASTM A416"), L298, 0), 3)</f>
        <v/>
      </c>
      <c r="U298" s="20">
        <f>ROUND(U297 + IF(AND(E298=20, F298&lt;&gt;"ASTM A416"), L298, 0), 3)</f>
        <v/>
      </c>
      <c r="V298" s="20">
        <f>ROUND(V297 + IF(AND(E298=22, F298&lt;&gt;"ASTM A416"), L298, 0), 3)</f>
        <v/>
      </c>
      <c r="W298" s="20">
        <f>ROUND(W297 + IF(AND(E298=25, F298&lt;&gt;"ASTM A416"), L298, 0), 3)</f>
        <v/>
      </c>
      <c r="X298" s="20">
        <f>ROUND(X297 + IF(AND(E298=28, F298&lt;&gt;"ASTM A416"), L298, 0), 3)</f>
        <v/>
      </c>
      <c r="Y298" s="20">
        <f>ROUND(Y297 + IF(AND(E298=32, F298&lt;&gt;"ASTM A416"), L298, 0), 3)</f>
        <v/>
      </c>
      <c r="Z298" s="20">
        <f>ROUND(Z297 + IF(F298="ASTM A416", L298, 0), 3)</f>
        <v/>
      </c>
      <c r="AA298" s="11">
        <f>IF(INT(P298/20)&gt;INT(P297/20), "Lần " &amp; INT(P298/20), "")</f>
        <v/>
      </c>
      <c r="AB298" s="11">
        <f>IF(INT(Q298/20)&gt;INT(Q297/20), "Lần " &amp; INT(Q298/20), "")</f>
        <v/>
      </c>
      <c r="AC298" s="11">
        <f>IF(INT(R298/20)&gt;INT(R297/20), "Lần " &amp; INT(R298/20), "")</f>
        <v/>
      </c>
      <c r="AD298" s="11">
        <f>IF(INT(S298/20)&gt;INT(S297/20), "Lần " &amp; INT(S298/20), "")</f>
        <v/>
      </c>
      <c r="AE298" s="11">
        <f>IF(INT(T298/20)&gt;INT(T297/20), "Lần " &amp; INT(T298/20), "")</f>
        <v/>
      </c>
      <c r="AF298" s="11">
        <f>IF(INT(U298/20)&gt;INT(U297/20), "Lần " &amp; INT(U298/20), "")</f>
        <v/>
      </c>
      <c r="AG298" s="11">
        <f>IF(INT(V298/20)&gt;INT(V297/20), "Lần " &amp; INT(V298/20), "")</f>
        <v/>
      </c>
      <c r="AH298" s="11">
        <f>IF(INT(W298/20)&gt;INT(W297/20), "Lần " &amp; INT(W298/20), "")</f>
        <v/>
      </c>
      <c r="AI298" s="11">
        <f>IF(INT(X298/20)&gt;INT(X297/20), "Lần " &amp; INT(X298/20), "")</f>
        <v/>
      </c>
      <c r="AJ298" s="11">
        <f>IF(INT(Y298/20)&gt;INT(Y297/20), "Lần " &amp; INT(Y298/20), "")</f>
        <v/>
      </c>
      <c r="AK298" s="11">
        <f>IF(INT(Z298/20)&gt;INT(Z297/20), "Lần " &amp; INT(Z298/20), "")</f>
        <v/>
      </c>
      <c r="AL298" s="6" t="inlineStr">
        <is>
          <t>ĐẠT TCVN 1651:2018</t>
        </is>
      </c>
    </row>
    <row r="299" ht="19" customHeight="1">
      <c r="A299" s="6" t="n">
        <v>277</v>
      </c>
      <c r="B299" s="7" t="inlineStr">
        <is>
          <t>Cọc khoan nhồi C8 Trụ T2 (D1.2m, L=30.0m)</t>
        </is>
      </c>
      <c r="C299" s="7" t="inlineStr">
        <is>
          <t>Cốt thép chủ chịu lực cọc</t>
        </is>
      </c>
      <c r="D299" s="18" t="inlineStr">
        <is>
          <t>P7</t>
        </is>
      </c>
      <c r="E299" s="19" t="n">
        <v>25</v>
      </c>
      <c r="F299" s="6" t="inlineStr">
        <is>
          <t>CB400-V</t>
        </is>
      </c>
      <c r="G299" s="7" t="inlineStr">
        <is>
          <t>Thanh thẳng nối ren/hàn</t>
        </is>
      </c>
      <c r="H299" s="20" t="n">
        <v>10.733</v>
      </c>
      <c r="I299" s="21" t="n">
        <v>12</v>
      </c>
      <c r="J299" s="22" t="n">
        <v>3.85</v>
      </c>
      <c r="K299" s="9">
        <f>ROUND(H299*I299*J299, 2)</f>
        <v/>
      </c>
      <c r="L299" s="23">
        <f>ROUND(K299/1000, 3)</f>
        <v/>
      </c>
      <c r="M299" s="8" t="n"/>
      <c r="N299" s="6" t="n"/>
      <c r="O299" s="24">
        <f>IF(AND(E299&lt;=10, F299&lt;&gt;"ASTM A416", INT(P299/20)&gt;INT(P298/20)), "TN Ø10 (Lần " &amp; INT(P299/20) &amp; ")", IF(AND(E299=12, INT(Q299/20)&gt;INT(Q298/20)), "TN Ø12 (Lần " &amp; INT(Q299/20) &amp; ")", IF(AND(E299=14, INT(R299/20)&gt;INT(R298/20)), "TN Ø14 (Lần " &amp; INT(R299/20) &amp; ")", IF(AND(E299=16, INT(S299/20)&gt;INT(S298/20)), "TN Ø16 (Lần " &amp; INT(S299/20) &amp; ")", IF(AND(E299=18, INT(T299/20)&gt;INT(T298/20)), "TN Ø18 (Lần " &amp; INT(T299/20) &amp; ")", IF(AND(E299=20, INT(U299/20)&gt;INT(U298/20)), "TN Ø20 (Lần " &amp; INT(U299/20) &amp; ")", IF(AND(E299=22, INT(V299/20)&gt;INT(V298/20)), "TN Ø22 (Lần " &amp; INT(V299/20) &amp; ")", IF(AND(E299=25, INT(W299/20)&gt;INT(W298/20)), "TN Ø25 (Lần " &amp; INT(W299/20) &amp; ")", IF(AND(E299=28, INT(X299/20)&gt;INT(X298/20)), "TN Ø28 (Lần " &amp; INT(X299/20) &amp; ")", IF(AND(E299=32, INT(Y299/20)&gt;INT(Y298/20)), "TN Ø32 (Lần " &amp; INT(Y299/20) &amp; ")", IF(AND(F299="ASTM A416", INT(Z299/20)&gt;INT(Z298/20)), "TN Cáp 15.2 (Lần " &amp; INT(Z299/20) &amp; ")", "")))))))))))</f>
        <v/>
      </c>
      <c r="P299" s="20">
        <f>ROUND(P298 + IF(AND(E299&lt;=10, F299&lt;&gt;"ASTM A416"), L299, 0), 3)</f>
        <v/>
      </c>
      <c r="Q299" s="20">
        <f>ROUND(Q298 + IF(AND(E299=12, F299&lt;&gt;"ASTM A416"), L299, 0), 3)</f>
        <v/>
      </c>
      <c r="R299" s="20">
        <f>ROUND(R298 + IF(AND(E299=14, F299&lt;&gt;"ASTM A416"), L299, 0), 3)</f>
        <v/>
      </c>
      <c r="S299" s="20">
        <f>ROUND(S298 + IF(AND(E299=16, F299&lt;&gt;"ASTM A416"), L299, 0), 3)</f>
        <v/>
      </c>
      <c r="T299" s="20">
        <f>ROUND(T298 + IF(AND(E299=18, F299&lt;&gt;"ASTM A416"), L299, 0), 3)</f>
        <v/>
      </c>
      <c r="U299" s="20">
        <f>ROUND(U298 + IF(AND(E299=20, F299&lt;&gt;"ASTM A416"), L299, 0), 3)</f>
        <v/>
      </c>
      <c r="V299" s="20">
        <f>ROUND(V298 + IF(AND(E299=22, F299&lt;&gt;"ASTM A416"), L299, 0), 3)</f>
        <v/>
      </c>
      <c r="W299" s="20">
        <f>ROUND(W298 + IF(AND(E299=25, F299&lt;&gt;"ASTM A416"), L299, 0), 3)</f>
        <v/>
      </c>
      <c r="X299" s="20">
        <f>ROUND(X298 + IF(AND(E299=28, F299&lt;&gt;"ASTM A416"), L299, 0), 3)</f>
        <v/>
      </c>
      <c r="Y299" s="20">
        <f>ROUND(Y298 + IF(AND(E299=32, F299&lt;&gt;"ASTM A416"), L299, 0), 3)</f>
        <v/>
      </c>
      <c r="Z299" s="20">
        <f>ROUND(Z298 + IF(F299="ASTM A416", L299, 0), 3)</f>
        <v/>
      </c>
      <c r="AA299" s="11">
        <f>IF(INT(P299/20)&gt;INT(P298/20), "Lần " &amp; INT(P299/20), "")</f>
        <v/>
      </c>
      <c r="AB299" s="11">
        <f>IF(INT(Q299/20)&gt;INT(Q298/20), "Lần " &amp; INT(Q299/20), "")</f>
        <v/>
      </c>
      <c r="AC299" s="11">
        <f>IF(INT(R299/20)&gt;INT(R298/20), "Lần " &amp; INT(R299/20), "")</f>
        <v/>
      </c>
      <c r="AD299" s="11">
        <f>IF(INT(S299/20)&gt;INT(S298/20), "Lần " &amp; INT(S299/20), "")</f>
        <v/>
      </c>
      <c r="AE299" s="11">
        <f>IF(INT(T299/20)&gt;INT(T298/20), "Lần " &amp; INT(T299/20), "")</f>
        <v/>
      </c>
      <c r="AF299" s="11">
        <f>IF(INT(U299/20)&gt;INT(U298/20), "Lần " &amp; INT(U299/20), "")</f>
        <v/>
      </c>
      <c r="AG299" s="11">
        <f>IF(INT(V299/20)&gt;INT(V298/20), "Lần " &amp; INT(V299/20), "")</f>
        <v/>
      </c>
      <c r="AH299" s="11">
        <f>IF(INT(W299/20)&gt;INT(W298/20), "Lần " &amp; INT(W299/20), "")</f>
        <v/>
      </c>
      <c r="AI299" s="11">
        <f>IF(INT(X299/20)&gt;INT(X298/20), "Lần " &amp; INT(X299/20), "")</f>
        <v/>
      </c>
      <c r="AJ299" s="11">
        <f>IF(INT(Y299/20)&gt;INT(Y298/20), "Lần " &amp; INT(Y299/20), "")</f>
        <v/>
      </c>
      <c r="AK299" s="11">
        <f>IF(INT(Z299/20)&gt;INT(Z298/20), "Lần " &amp; INT(Z299/20), "")</f>
        <v/>
      </c>
      <c r="AL299" s="6" t="inlineStr">
        <is>
          <t>ĐẠT TCVN 1651:2018</t>
        </is>
      </c>
    </row>
    <row r="300" ht="19" customHeight="1">
      <c r="A300" s="6" t="n">
        <v>278</v>
      </c>
      <c r="B300" s="7" t="inlineStr">
        <is>
          <t>Cọc khoan nhồi C8 Trụ T2 (D1.2m, L=30.0m)</t>
        </is>
      </c>
      <c r="C300" s="7" t="inlineStr">
        <is>
          <t>Đai tăng cường / Con kê bảo vệ</t>
        </is>
      </c>
      <c r="D300" s="18" t="inlineStr">
        <is>
          <t>P8</t>
        </is>
      </c>
      <c r="E300" s="19" t="n">
        <v>12</v>
      </c>
      <c r="F300" s="6" t="inlineStr">
        <is>
          <t>CB400-V</t>
        </is>
      </c>
      <c r="G300" s="7" t="inlineStr">
        <is>
          <t>Móc neo / Vòng đai</t>
        </is>
      </c>
      <c r="H300" s="20" t="n">
        <v>0.647</v>
      </c>
      <c r="I300" s="21" t="n">
        <v>12</v>
      </c>
      <c r="J300" s="22" t="n">
        <v>0.888</v>
      </c>
      <c r="K300" s="9">
        <f>ROUND(H300*I300*J300, 2)</f>
        <v/>
      </c>
      <c r="L300" s="23">
        <f>ROUND(K300/1000, 3)</f>
        <v/>
      </c>
      <c r="M300" s="8" t="n"/>
      <c r="N300" s="6" t="n"/>
      <c r="O300" s="24">
        <f>IF(AND(E300&lt;=10, F300&lt;&gt;"ASTM A416", INT(P300/20)&gt;INT(P299/20)), "TN Ø10 (Lần " &amp; INT(P300/20) &amp; ")", IF(AND(E300=12, INT(Q300/20)&gt;INT(Q299/20)), "TN Ø12 (Lần " &amp; INT(Q300/20) &amp; ")", IF(AND(E300=14, INT(R300/20)&gt;INT(R299/20)), "TN Ø14 (Lần " &amp; INT(R300/20) &amp; ")", IF(AND(E300=16, INT(S300/20)&gt;INT(S299/20)), "TN Ø16 (Lần " &amp; INT(S300/20) &amp; ")", IF(AND(E300=18, INT(T300/20)&gt;INT(T299/20)), "TN Ø18 (Lần " &amp; INT(T300/20) &amp; ")", IF(AND(E300=20, INT(U300/20)&gt;INT(U299/20)), "TN Ø20 (Lần " &amp; INT(U300/20) &amp; ")", IF(AND(E300=22, INT(V300/20)&gt;INT(V299/20)), "TN Ø22 (Lần " &amp; INT(V300/20) &amp; ")", IF(AND(E300=25, INT(W300/20)&gt;INT(W299/20)), "TN Ø25 (Lần " &amp; INT(W300/20) &amp; ")", IF(AND(E300=28, INT(X300/20)&gt;INT(X299/20)), "TN Ø28 (Lần " &amp; INT(X300/20) &amp; ")", IF(AND(E300=32, INT(Y300/20)&gt;INT(Y299/20)), "TN Ø32 (Lần " &amp; INT(Y300/20) &amp; ")", IF(AND(F300="ASTM A416", INT(Z300/20)&gt;INT(Z299/20)), "TN Cáp 15.2 (Lần " &amp; INT(Z300/20) &amp; ")", "")))))))))))</f>
        <v/>
      </c>
      <c r="P300" s="20">
        <f>ROUND(P299 + IF(AND(E300&lt;=10, F300&lt;&gt;"ASTM A416"), L300, 0), 3)</f>
        <v/>
      </c>
      <c r="Q300" s="20">
        <f>ROUND(Q299 + IF(AND(E300=12, F300&lt;&gt;"ASTM A416"), L300, 0), 3)</f>
        <v/>
      </c>
      <c r="R300" s="20">
        <f>ROUND(R299 + IF(AND(E300=14, F300&lt;&gt;"ASTM A416"), L300, 0), 3)</f>
        <v/>
      </c>
      <c r="S300" s="20">
        <f>ROUND(S299 + IF(AND(E300=16, F300&lt;&gt;"ASTM A416"), L300, 0), 3)</f>
        <v/>
      </c>
      <c r="T300" s="20">
        <f>ROUND(T299 + IF(AND(E300=18, F300&lt;&gt;"ASTM A416"), L300, 0), 3)</f>
        <v/>
      </c>
      <c r="U300" s="20">
        <f>ROUND(U299 + IF(AND(E300=20, F300&lt;&gt;"ASTM A416"), L300, 0), 3)</f>
        <v/>
      </c>
      <c r="V300" s="20">
        <f>ROUND(V299 + IF(AND(E300=22, F300&lt;&gt;"ASTM A416"), L300, 0), 3)</f>
        <v/>
      </c>
      <c r="W300" s="20">
        <f>ROUND(W299 + IF(AND(E300=25, F300&lt;&gt;"ASTM A416"), L300, 0), 3)</f>
        <v/>
      </c>
      <c r="X300" s="20">
        <f>ROUND(X299 + IF(AND(E300=28, F300&lt;&gt;"ASTM A416"), L300, 0), 3)</f>
        <v/>
      </c>
      <c r="Y300" s="20">
        <f>ROUND(Y299 + IF(AND(E300=32, F300&lt;&gt;"ASTM A416"), L300, 0), 3)</f>
        <v/>
      </c>
      <c r="Z300" s="20">
        <f>ROUND(Z299 + IF(F300="ASTM A416", L300, 0), 3)</f>
        <v/>
      </c>
      <c r="AA300" s="11">
        <f>IF(INT(P300/20)&gt;INT(P299/20), "Lần " &amp; INT(P300/20), "")</f>
        <v/>
      </c>
      <c r="AB300" s="11">
        <f>IF(INT(Q300/20)&gt;INT(Q299/20), "Lần " &amp; INT(Q300/20), "")</f>
        <v/>
      </c>
      <c r="AC300" s="11">
        <f>IF(INT(R300/20)&gt;INT(R299/20), "Lần " &amp; INT(R300/20), "")</f>
        <v/>
      </c>
      <c r="AD300" s="11">
        <f>IF(INT(S300/20)&gt;INT(S299/20), "Lần " &amp; INT(S300/20), "")</f>
        <v/>
      </c>
      <c r="AE300" s="11">
        <f>IF(INT(T300/20)&gt;INT(T299/20), "Lần " &amp; INT(T300/20), "")</f>
        <v/>
      </c>
      <c r="AF300" s="11">
        <f>IF(INT(U300/20)&gt;INT(U299/20), "Lần " &amp; INT(U300/20), "")</f>
        <v/>
      </c>
      <c r="AG300" s="11">
        <f>IF(INT(V300/20)&gt;INT(V299/20), "Lần " &amp; INT(V300/20), "")</f>
        <v/>
      </c>
      <c r="AH300" s="11">
        <f>IF(INT(W300/20)&gt;INT(W299/20), "Lần " &amp; INT(W300/20), "")</f>
        <v/>
      </c>
      <c r="AI300" s="11">
        <f>IF(INT(X300/20)&gt;INT(X299/20), "Lần " &amp; INT(X300/20), "")</f>
        <v/>
      </c>
      <c r="AJ300" s="11">
        <f>IF(INT(Y300/20)&gt;INT(Y299/20), "Lần " &amp; INT(Y300/20), "")</f>
        <v/>
      </c>
      <c r="AK300" s="11">
        <f>IF(INT(Z300/20)&gt;INT(Z299/20), "Lần " &amp; INT(Z300/20), "")</f>
        <v/>
      </c>
      <c r="AL300" s="6" t="inlineStr">
        <is>
          <t>ĐẠT TCVN 1651:2018</t>
        </is>
      </c>
    </row>
    <row r="301" ht="19" customHeight="1">
      <c r="A301" s="6" t="n">
        <v>279</v>
      </c>
      <c r="B301" s="7" t="inlineStr">
        <is>
          <t>Cọc khoan nhồi C8 Trụ T2 (D1.2m, L=30.0m)</t>
        </is>
      </c>
      <c r="C301" s="7" t="inlineStr">
        <is>
          <t>Đai tăng cường / Con kê bảo vệ</t>
        </is>
      </c>
      <c r="D301" s="18" t="inlineStr">
        <is>
          <t>P9</t>
        </is>
      </c>
      <c r="E301" s="19" t="n">
        <v>12</v>
      </c>
      <c r="F301" s="6" t="inlineStr">
        <is>
          <t>CB400-V</t>
        </is>
      </c>
      <c r="G301" s="7" t="inlineStr">
        <is>
          <t>Móc neo / Vòng đai</t>
        </is>
      </c>
      <c r="H301" s="20" t="n">
        <v>0.379</v>
      </c>
      <c r="I301" s="21" t="n">
        <v>36</v>
      </c>
      <c r="J301" s="22" t="n">
        <v>0.888</v>
      </c>
      <c r="K301" s="9">
        <f>ROUND(H301*I301*J301, 2)</f>
        <v/>
      </c>
      <c r="L301" s="23">
        <f>ROUND(K301/1000, 3)</f>
        <v/>
      </c>
      <c r="M301" s="8" t="n"/>
      <c r="N301" s="6" t="n"/>
      <c r="O301" s="24">
        <f>IF(AND(E301&lt;=10, F301&lt;&gt;"ASTM A416", INT(P301/20)&gt;INT(P300/20)), "TN Ø10 (Lần " &amp; INT(P301/20) &amp; ")", IF(AND(E301=12, INT(Q301/20)&gt;INT(Q300/20)), "TN Ø12 (Lần " &amp; INT(Q301/20) &amp; ")", IF(AND(E301=14, INT(R301/20)&gt;INT(R300/20)), "TN Ø14 (Lần " &amp; INT(R301/20) &amp; ")", IF(AND(E301=16, INT(S301/20)&gt;INT(S300/20)), "TN Ø16 (Lần " &amp; INT(S301/20) &amp; ")", IF(AND(E301=18, INT(T301/20)&gt;INT(T300/20)), "TN Ø18 (Lần " &amp; INT(T301/20) &amp; ")", IF(AND(E301=20, INT(U301/20)&gt;INT(U300/20)), "TN Ø20 (Lần " &amp; INT(U301/20) &amp; ")", IF(AND(E301=22, INT(V301/20)&gt;INT(V300/20)), "TN Ø22 (Lần " &amp; INT(V301/20) &amp; ")", IF(AND(E301=25, INT(W301/20)&gt;INT(W300/20)), "TN Ø25 (Lần " &amp; INT(W301/20) &amp; ")", IF(AND(E301=28, INT(X301/20)&gt;INT(X300/20)), "TN Ø28 (Lần " &amp; INT(X301/20) &amp; ")", IF(AND(E301=32, INT(Y301/20)&gt;INT(Y300/20)), "TN Ø32 (Lần " &amp; INT(Y301/20) &amp; ")", IF(AND(F301="ASTM A416", INT(Z301/20)&gt;INT(Z300/20)), "TN Cáp 15.2 (Lần " &amp; INT(Z301/20) &amp; ")", "")))))))))))</f>
        <v/>
      </c>
      <c r="P301" s="20">
        <f>ROUND(P300 + IF(AND(E301&lt;=10, F301&lt;&gt;"ASTM A416"), L301, 0), 3)</f>
        <v/>
      </c>
      <c r="Q301" s="20">
        <f>ROUND(Q300 + IF(AND(E301=12, F301&lt;&gt;"ASTM A416"), L301, 0), 3)</f>
        <v/>
      </c>
      <c r="R301" s="20">
        <f>ROUND(R300 + IF(AND(E301=14, F301&lt;&gt;"ASTM A416"), L301, 0), 3)</f>
        <v/>
      </c>
      <c r="S301" s="20">
        <f>ROUND(S300 + IF(AND(E301=16, F301&lt;&gt;"ASTM A416"), L301, 0), 3)</f>
        <v/>
      </c>
      <c r="T301" s="20">
        <f>ROUND(T300 + IF(AND(E301=18, F301&lt;&gt;"ASTM A416"), L301, 0), 3)</f>
        <v/>
      </c>
      <c r="U301" s="20">
        <f>ROUND(U300 + IF(AND(E301=20, F301&lt;&gt;"ASTM A416"), L301, 0), 3)</f>
        <v/>
      </c>
      <c r="V301" s="20">
        <f>ROUND(V300 + IF(AND(E301=22, F301&lt;&gt;"ASTM A416"), L301, 0), 3)</f>
        <v/>
      </c>
      <c r="W301" s="20">
        <f>ROUND(W300 + IF(AND(E301=25, F301&lt;&gt;"ASTM A416"), L301, 0), 3)</f>
        <v/>
      </c>
      <c r="X301" s="20">
        <f>ROUND(X300 + IF(AND(E301=28, F301&lt;&gt;"ASTM A416"), L301, 0), 3)</f>
        <v/>
      </c>
      <c r="Y301" s="20">
        <f>ROUND(Y300 + IF(AND(E301=32, F301&lt;&gt;"ASTM A416"), L301, 0), 3)</f>
        <v/>
      </c>
      <c r="Z301" s="20">
        <f>ROUND(Z300 + IF(F301="ASTM A416", L301, 0), 3)</f>
        <v/>
      </c>
      <c r="AA301" s="11">
        <f>IF(INT(P301/20)&gt;INT(P300/20), "Lần " &amp; INT(P301/20), "")</f>
        <v/>
      </c>
      <c r="AB301" s="11">
        <f>IF(INT(Q301/20)&gt;INT(Q300/20), "Lần " &amp; INT(Q301/20), "")</f>
        <v/>
      </c>
      <c r="AC301" s="11">
        <f>IF(INT(R301/20)&gt;INT(R300/20), "Lần " &amp; INT(R301/20), "")</f>
        <v/>
      </c>
      <c r="AD301" s="11">
        <f>IF(INT(S301/20)&gt;INT(S300/20), "Lần " &amp; INT(S301/20), "")</f>
        <v/>
      </c>
      <c r="AE301" s="11">
        <f>IF(INT(T301/20)&gt;INT(T300/20), "Lần " &amp; INT(T301/20), "")</f>
        <v/>
      </c>
      <c r="AF301" s="11">
        <f>IF(INT(U301/20)&gt;INT(U300/20), "Lần " &amp; INT(U301/20), "")</f>
        <v/>
      </c>
      <c r="AG301" s="11">
        <f>IF(INT(V301/20)&gt;INT(V300/20), "Lần " &amp; INT(V301/20), "")</f>
        <v/>
      </c>
      <c r="AH301" s="11">
        <f>IF(INT(W301/20)&gt;INT(W300/20), "Lần " &amp; INT(W301/20), "")</f>
        <v/>
      </c>
      <c r="AI301" s="11">
        <f>IF(INT(X301/20)&gt;INT(X300/20), "Lần " &amp; INT(X301/20), "")</f>
        <v/>
      </c>
      <c r="AJ301" s="11">
        <f>IF(INT(Y301/20)&gt;INT(Y300/20), "Lần " &amp; INT(Y301/20), "")</f>
        <v/>
      </c>
      <c r="AK301" s="11">
        <f>IF(INT(Z301/20)&gt;INT(Z300/20), "Lần " &amp; INT(Z301/20), "")</f>
        <v/>
      </c>
      <c r="AL301" s="6" t="inlineStr">
        <is>
          <t>ĐẠT TCVN 1651:2018</t>
        </is>
      </c>
    </row>
    <row r="302" ht="19" customHeight="1">
      <c r="A302" s="6" t="n">
        <v>280</v>
      </c>
      <c r="B302" s="7" t="inlineStr">
        <is>
          <t>Cọc khoan nhồi C8 Trụ T2 (D1.2m, L=30.0m)</t>
        </is>
      </c>
      <c r="C302" s="7" t="inlineStr">
        <is>
          <t>Thép đai xoắn lồng cọc</t>
        </is>
      </c>
      <c r="D302" s="18" t="inlineStr">
        <is>
          <t>P10</t>
        </is>
      </c>
      <c r="E302" s="19" t="n">
        <v>20</v>
      </c>
      <c r="F302" s="6" t="inlineStr">
        <is>
          <t>CB400-V</t>
        </is>
      </c>
      <c r="G302" s="7" t="inlineStr">
        <is>
          <t>Đai xoắn tròn</t>
        </is>
      </c>
      <c r="H302" s="20" t="n">
        <v>2.057</v>
      </c>
      <c r="I302" s="21" t="n">
        <v>1</v>
      </c>
      <c r="J302" s="22" t="n">
        <v>2.47</v>
      </c>
      <c r="K302" s="9">
        <f>ROUND(H302*I302*J302, 2)</f>
        <v/>
      </c>
      <c r="L302" s="23">
        <f>ROUND(K302/1000, 3)</f>
        <v/>
      </c>
      <c r="M302" s="8" t="n"/>
      <c r="N302" s="6" t="n"/>
      <c r="O302" s="24">
        <f>IF(AND(E302&lt;=10, F302&lt;&gt;"ASTM A416", INT(P302/20)&gt;INT(P301/20)), "TN Ø10 (Lần " &amp; INT(P302/20) &amp; ")", IF(AND(E302=12, INT(Q302/20)&gt;INT(Q301/20)), "TN Ø12 (Lần " &amp; INT(Q302/20) &amp; ")", IF(AND(E302=14, INT(R302/20)&gt;INT(R301/20)), "TN Ø14 (Lần " &amp; INT(R302/20) &amp; ")", IF(AND(E302=16, INT(S302/20)&gt;INT(S301/20)), "TN Ø16 (Lần " &amp; INT(S302/20) &amp; ")", IF(AND(E302=18, INT(T302/20)&gt;INT(T301/20)), "TN Ø18 (Lần " &amp; INT(T302/20) &amp; ")", IF(AND(E302=20, INT(U302/20)&gt;INT(U301/20)), "TN Ø20 (Lần " &amp; INT(U302/20) &amp; ")", IF(AND(E302=22, INT(V302/20)&gt;INT(V301/20)), "TN Ø22 (Lần " &amp; INT(V302/20) &amp; ")", IF(AND(E302=25, INT(W302/20)&gt;INT(W301/20)), "TN Ø25 (Lần " &amp; INT(W302/20) &amp; ")", IF(AND(E302=28, INT(X302/20)&gt;INT(X301/20)), "TN Ø28 (Lần " &amp; INT(X302/20) &amp; ")", IF(AND(E302=32, INT(Y302/20)&gt;INT(Y301/20)), "TN Ø32 (Lần " &amp; INT(Y302/20) &amp; ")", IF(AND(F302="ASTM A416", INT(Z302/20)&gt;INT(Z301/20)), "TN Cáp 15.2 (Lần " &amp; INT(Z302/20) &amp; ")", "")))))))))))</f>
        <v/>
      </c>
      <c r="P302" s="20">
        <f>ROUND(P301 + IF(AND(E302&lt;=10, F302&lt;&gt;"ASTM A416"), L302, 0), 3)</f>
        <v/>
      </c>
      <c r="Q302" s="20">
        <f>ROUND(Q301 + IF(AND(E302=12, F302&lt;&gt;"ASTM A416"), L302, 0), 3)</f>
        <v/>
      </c>
      <c r="R302" s="20">
        <f>ROUND(R301 + IF(AND(E302=14, F302&lt;&gt;"ASTM A416"), L302, 0), 3)</f>
        <v/>
      </c>
      <c r="S302" s="20">
        <f>ROUND(S301 + IF(AND(E302=16, F302&lt;&gt;"ASTM A416"), L302, 0), 3)</f>
        <v/>
      </c>
      <c r="T302" s="20">
        <f>ROUND(T301 + IF(AND(E302=18, F302&lt;&gt;"ASTM A416"), L302, 0), 3)</f>
        <v/>
      </c>
      <c r="U302" s="20">
        <f>ROUND(U301 + IF(AND(E302=20, F302&lt;&gt;"ASTM A416"), L302, 0), 3)</f>
        <v/>
      </c>
      <c r="V302" s="20">
        <f>ROUND(V301 + IF(AND(E302=22, F302&lt;&gt;"ASTM A416"), L302, 0), 3)</f>
        <v/>
      </c>
      <c r="W302" s="20">
        <f>ROUND(W301 + IF(AND(E302=25, F302&lt;&gt;"ASTM A416"), L302, 0), 3)</f>
        <v/>
      </c>
      <c r="X302" s="20">
        <f>ROUND(X301 + IF(AND(E302=28, F302&lt;&gt;"ASTM A416"), L302, 0), 3)</f>
        <v/>
      </c>
      <c r="Y302" s="20">
        <f>ROUND(Y301 + IF(AND(E302=32, F302&lt;&gt;"ASTM A416"), L302, 0), 3)</f>
        <v/>
      </c>
      <c r="Z302" s="20">
        <f>ROUND(Z301 + IF(F302="ASTM A416", L302, 0), 3)</f>
        <v/>
      </c>
      <c r="AA302" s="11">
        <f>IF(INT(P302/20)&gt;INT(P301/20), "Lần " &amp; INT(P302/20), "")</f>
        <v/>
      </c>
      <c r="AB302" s="11">
        <f>IF(INT(Q302/20)&gt;INT(Q301/20), "Lần " &amp; INT(Q302/20), "")</f>
        <v/>
      </c>
      <c r="AC302" s="11">
        <f>IF(INT(R302/20)&gt;INT(R301/20), "Lần " &amp; INT(R302/20), "")</f>
        <v/>
      </c>
      <c r="AD302" s="11">
        <f>IF(INT(S302/20)&gt;INT(S301/20), "Lần " &amp; INT(S302/20), "")</f>
        <v/>
      </c>
      <c r="AE302" s="11">
        <f>IF(INT(T302/20)&gt;INT(T301/20), "Lần " &amp; INT(T302/20), "")</f>
        <v/>
      </c>
      <c r="AF302" s="11">
        <f>IF(INT(U302/20)&gt;INT(U301/20), "Lần " &amp; INT(U302/20), "")</f>
        <v/>
      </c>
      <c r="AG302" s="11">
        <f>IF(INT(V302/20)&gt;INT(V301/20), "Lần " &amp; INT(V302/20), "")</f>
        <v/>
      </c>
      <c r="AH302" s="11">
        <f>IF(INT(W302/20)&gt;INT(W301/20), "Lần " &amp; INT(W302/20), "")</f>
        <v/>
      </c>
      <c r="AI302" s="11">
        <f>IF(INT(X302/20)&gt;INT(X301/20), "Lần " &amp; INT(X302/20), "")</f>
        <v/>
      </c>
      <c r="AJ302" s="11">
        <f>IF(INT(Y302/20)&gt;INT(Y301/20), "Lần " &amp; INT(Y302/20), "")</f>
        <v/>
      </c>
      <c r="AK302" s="11">
        <f>IF(INT(Z302/20)&gt;INT(Z301/20), "Lần " &amp; INT(Z302/20), "")</f>
        <v/>
      </c>
      <c r="AL302" s="6" t="inlineStr">
        <is>
          <t>ĐẠT TCVN 1651:2018</t>
        </is>
      </c>
    </row>
    <row r="303" ht="19" customHeight="1">
      <c r="A303" s="6" t="n">
        <v>281</v>
      </c>
      <c r="B303" s="7" t="inlineStr">
        <is>
          <t>Cọc khoan nhồi C8 Trụ T2 (D1.2m, L=30.0m)</t>
        </is>
      </c>
      <c r="C303" s="7" t="inlineStr">
        <is>
          <t>Thanh thép treo lồng cọc</t>
        </is>
      </c>
      <c r="D303" s="18" t="inlineStr">
        <is>
          <t>P11</t>
        </is>
      </c>
      <c r="E303" s="19" t="n">
        <v>16</v>
      </c>
      <c r="F303" s="6" t="inlineStr">
        <is>
          <t>CB400-V</t>
        </is>
      </c>
      <c r="G303" s="7" t="inlineStr">
        <is>
          <t>Thanh treo lồng (bảng phụ tr.70)</t>
        </is>
      </c>
      <c r="H303" s="20" t="n">
        <v>2.604</v>
      </c>
      <c r="I303" s="21" t="n">
        <v>4</v>
      </c>
      <c r="J303" s="22" t="n">
        <v>1.58</v>
      </c>
      <c r="K303" s="9">
        <f>ROUND(H303*I303*J303, 2)</f>
        <v/>
      </c>
      <c r="L303" s="23">
        <f>ROUND(K303/1000, 3)</f>
        <v/>
      </c>
      <c r="M303" s="8" t="n"/>
      <c r="N303" s="6" t="n"/>
      <c r="O303" s="24">
        <f>IF(AND(E303&lt;=10, F303&lt;&gt;"ASTM A416", INT(P303/20)&gt;INT(P302/20)), "TN Ø10 (Lần " &amp; INT(P303/20) &amp; ")", IF(AND(E303=12, INT(Q303/20)&gt;INT(Q302/20)), "TN Ø12 (Lần " &amp; INT(Q303/20) &amp; ")", IF(AND(E303=14, INT(R303/20)&gt;INT(R302/20)), "TN Ø14 (Lần " &amp; INT(R303/20) &amp; ")", IF(AND(E303=16, INT(S303/20)&gt;INT(S302/20)), "TN Ø16 (Lần " &amp; INT(S303/20) &amp; ")", IF(AND(E303=18, INT(T303/20)&gt;INT(T302/20)), "TN Ø18 (Lần " &amp; INT(T303/20) &amp; ")", IF(AND(E303=20, INT(U303/20)&gt;INT(U302/20)), "TN Ø20 (Lần " &amp; INT(U303/20) &amp; ")", IF(AND(E303=22, INT(V303/20)&gt;INT(V302/20)), "TN Ø22 (Lần " &amp; INT(V303/20) &amp; ")", IF(AND(E303=25, INT(W303/20)&gt;INT(W302/20)), "TN Ø25 (Lần " &amp; INT(W303/20) &amp; ")", IF(AND(E303=28, INT(X303/20)&gt;INT(X302/20)), "TN Ø28 (Lần " &amp; INT(X303/20) &amp; ")", IF(AND(E303=32, INT(Y303/20)&gt;INT(Y302/20)), "TN Ø32 (Lần " &amp; INT(Y303/20) &amp; ")", IF(AND(F303="ASTM A416", INT(Z303/20)&gt;INT(Z302/20)), "TN Cáp 15.2 (Lần " &amp; INT(Z303/20) &amp; ")", "")))))))))))</f>
        <v/>
      </c>
      <c r="P303" s="20">
        <f>ROUND(P302 + IF(AND(E303&lt;=10, F303&lt;&gt;"ASTM A416"), L303, 0), 3)</f>
        <v/>
      </c>
      <c r="Q303" s="20">
        <f>ROUND(Q302 + IF(AND(E303=12, F303&lt;&gt;"ASTM A416"), L303, 0), 3)</f>
        <v/>
      </c>
      <c r="R303" s="20">
        <f>ROUND(R302 + IF(AND(E303=14, F303&lt;&gt;"ASTM A416"), L303, 0), 3)</f>
        <v/>
      </c>
      <c r="S303" s="20">
        <f>ROUND(S302 + IF(AND(E303=16, F303&lt;&gt;"ASTM A416"), L303, 0), 3)</f>
        <v/>
      </c>
      <c r="T303" s="20">
        <f>ROUND(T302 + IF(AND(E303=18, F303&lt;&gt;"ASTM A416"), L303, 0), 3)</f>
        <v/>
      </c>
      <c r="U303" s="20">
        <f>ROUND(U302 + IF(AND(E303=20, F303&lt;&gt;"ASTM A416"), L303, 0), 3)</f>
        <v/>
      </c>
      <c r="V303" s="20">
        <f>ROUND(V302 + IF(AND(E303=22, F303&lt;&gt;"ASTM A416"), L303, 0), 3)</f>
        <v/>
      </c>
      <c r="W303" s="20">
        <f>ROUND(W302 + IF(AND(E303=25, F303&lt;&gt;"ASTM A416"), L303, 0), 3)</f>
        <v/>
      </c>
      <c r="X303" s="20">
        <f>ROUND(X302 + IF(AND(E303=28, F303&lt;&gt;"ASTM A416"), L303, 0), 3)</f>
        <v/>
      </c>
      <c r="Y303" s="20">
        <f>ROUND(Y302 + IF(AND(E303=32, F303&lt;&gt;"ASTM A416"), L303, 0), 3)</f>
        <v/>
      </c>
      <c r="Z303" s="20">
        <f>ROUND(Z302 + IF(F303="ASTM A416", L303, 0), 3)</f>
        <v/>
      </c>
      <c r="AA303" s="11">
        <f>IF(INT(P303/20)&gt;INT(P302/20), "Lần " &amp; INT(P303/20), "")</f>
        <v/>
      </c>
      <c r="AB303" s="11">
        <f>IF(INT(Q303/20)&gt;INT(Q302/20), "Lần " &amp; INT(Q303/20), "")</f>
        <v/>
      </c>
      <c r="AC303" s="11">
        <f>IF(INT(R303/20)&gt;INT(R302/20), "Lần " &amp; INT(R303/20), "")</f>
        <v/>
      </c>
      <c r="AD303" s="11">
        <f>IF(INT(S303/20)&gt;INT(S302/20), "Lần " &amp; INT(S303/20), "")</f>
        <v/>
      </c>
      <c r="AE303" s="11">
        <f>IF(INT(T303/20)&gt;INT(T302/20), "Lần " &amp; INT(T303/20), "")</f>
        <v/>
      </c>
      <c r="AF303" s="11">
        <f>IF(INT(U303/20)&gt;INT(U302/20), "Lần " &amp; INT(U303/20), "")</f>
        <v/>
      </c>
      <c r="AG303" s="11">
        <f>IF(INT(V303/20)&gt;INT(V302/20), "Lần " &amp; INT(V303/20), "")</f>
        <v/>
      </c>
      <c r="AH303" s="11">
        <f>IF(INT(W303/20)&gt;INT(W302/20), "Lần " &amp; INT(W303/20), "")</f>
        <v/>
      </c>
      <c r="AI303" s="11">
        <f>IF(INT(X303/20)&gt;INT(X302/20), "Lần " &amp; INT(X303/20), "")</f>
        <v/>
      </c>
      <c r="AJ303" s="11">
        <f>IF(INT(Y303/20)&gt;INT(Y302/20), "Lần " &amp; INT(Y303/20), "")</f>
        <v/>
      </c>
      <c r="AK303" s="11">
        <f>IF(INT(Z303/20)&gt;INT(Z302/20), "Lần " &amp; INT(Z303/20), "")</f>
        <v/>
      </c>
      <c r="AL303" s="6" t="inlineStr">
        <is>
          <t>ĐẠT TCVN 1651:2018</t>
        </is>
      </c>
    </row>
    <row r="304" ht="19" customHeight="1">
      <c r="A304" s="6" t="n">
        <v>282</v>
      </c>
      <c r="B304" s="7" t="inlineStr">
        <is>
          <t>Cọc khoan nhồi C8 Trụ T2 (D1.2m, L=30.0m)</t>
        </is>
      </c>
      <c r="C304" s="7" t="inlineStr">
        <is>
          <t>Thép đai xoắn lồng cọc</t>
        </is>
      </c>
      <c r="D304" s="18" t="inlineStr">
        <is>
          <t>P12</t>
        </is>
      </c>
      <c r="E304" s="19" t="n">
        <v>20</v>
      </c>
      <c r="F304" s="6" t="inlineStr">
        <is>
          <t>CB400-V</t>
        </is>
      </c>
      <c r="G304" s="7" t="inlineStr">
        <is>
          <t>Đai xoắn tròn</t>
        </is>
      </c>
      <c r="H304" s="20" t="n">
        <v>0.583</v>
      </c>
      <c r="I304" s="21" t="n">
        <v>48</v>
      </c>
      <c r="J304" s="22" t="n">
        <v>2.47</v>
      </c>
      <c r="K304" s="9">
        <f>ROUND(H304*I304*J304, 2)</f>
        <v/>
      </c>
      <c r="L304" s="23">
        <f>ROUND(K304/1000, 3)</f>
        <v/>
      </c>
      <c r="M304" s="8" t="n"/>
      <c r="N304" s="6" t="n"/>
      <c r="O304" s="24">
        <f>IF(AND(E304&lt;=10, F304&lt;&gt;"ASTM A416", INT(P304/20)&gt;INT(P303/20)), "TN Ø10 (Lần " &amp; INT(P304/20) &amp; ")", IF(AND(E304=12, INT(Q304/20)&gt;INT(Q303/20)), "TN Ø12 (Lần " &amp; INT(Q304/20) &amp; ")", IF(AND(E304=14, INT(R304/20)&gt;INT(R303/20)), "TN Ø14 (Lần " &amp; INT(R304/20) &amp; ")", IF(AND(E304=16, INT(S304/20)&gt;INT(S303/20)), "TN Ø16 (Lần " &amp; INT(S304/20) &amp; ")", IF(AND(E304=18, INT(T304/20)&gt;INT(T303/20)), "TN Ø18 (Lần " &amp; INT(T304/20) &amp; ")", IF(AND(E304=20, INT(U304/20)&gt;INT(U303/20)), "TN Ø20 (Lần " &amp; INT(U304/20) &amp; ")", IF(AND(E304=22, INT(V304/20)&gt;INT(V303/20)), "TN Ø22 (Lần " &amp; INT(V304/20) &amp; ")", IF(AND(E304=25, INT(W304/20)&gt;INT(W303/20)), "TN Ø25 (Lần " &amp; INT(W304/20) &amp; ")", IF(AND(E304=28, INT(X304/20)&gt;INT(X303/20)), "TN Ø28 (Lần " &amp; INT(X304/20) &amp; ")", IF(AND(E304=32, INT(Y304/20)&gt;INT(Y303/20)), "TN Ø32 (Lần " &amp; INT(Y304/20) &amp; ")", IF(AND(F304="ASTM A416", INT(Z304/20)&gt;INT(Z303/20)), "TN Cáp 15.2 (Lần " &amp; INT(Z304/20) &amp; ")", "")))))))))))</f>
        <v/>
      </c>
      <c r="P304" s="20">
        <f>ROUND(P303 + IF(AND(E304&lt;=10, F304&lt;&gt;"ASTM A416"), L304, 0), 3)</f>
        <v/>
      </c>
      <c r="Q304" s="20">
        <f>ROUND(Q303 + IF(AND(E304=12, F304&lt;&gt;"ASTM A416"), L304, 0), 3)</f>
        <v/>
      </c>
      <c r="R304" s="20">
        <f>ROUND(R303 + IF(AND(E304=14, F304&lt;&gt;"ASTM A416"), L304, 0), 3)</f>
        <v/>
      </c>
      <c r="S304" s="20">
        <f>ROUND(S303 + IF(AND(E304=16, F304&lt;&gt;"ASTM A416"), L304, 0), 3)</f>
        <v/>
      </c>
      <c r="T304" s="20">
        <f>ROUND(T303 + IF(AND(E304=18, F304&lt;&gt;"ASTM A416"), L304, 0), 3)</f>
        <v/>
      </c>
      <c r="U304" s="20">
        <f>ROUND(U303 + IF(AND(E304=20, F304&lt;&gt;"ASTM A416"), L304, 0), 3)</f>
        <v/>
      </c>
      <c r="V304" s="20">
        <f>ROUND(V303 + IF(AND(E304=22, F304&lt;&gt;"ASTM A416"), L304, 0), 3)</f>
        <v/>
      </c>
      <c r="W304" s="20">
        <f>ROUND(W303 + IF(AND(E304=25, F304&lt;&gt;"ASTM A416"), L304, 0), 3)</f>
        <v/>
      </c>
      <c r="X304" s="20">
        <f>ROUND(X303 + IF(AND(E304=28, F304&lt;&gt;"ASTM A416"), L304, 0), 3)</f>
        <v/>
      </c>
      <c r="Y304" s="20">
        <f>ROUND(Y303 + IF(AND(E304=32, F304&lt;&gt;"ASTM A416"), L304, 0), 3)</f>
        <v/>
      </c>
      <c r="Z304" s="20">
        <f>ROUND(Z303 + IF(F304="ASTM A416", L304, 0), 3)</f>
        <v/>
      </c>
      <c r="AA304" s="11">
        <f>IF(INT(P304/20)&gt;INT(P303/20), "Lần " &amp; INT(P304/20), "")</f>
        <v/>
      </c>
      <c r="AB304" s="11">
        <f>IF(INT(Q304/20)&gt;INT(Q303/20), "Lần " &amp; INT(Q304/20), "")</f>
        <v/>
      </c>
      <c r="AC304" s="11">
        <f>IF(INT(R304/20)&gt;INT(R303/20), "Lần " &amp; INT(R304/20), "")</f>
        <v/>
      </c>
      <c r="AD304" s="11">
        <f>IF(INT(S304/20)&gt;INT(S303/20), "Lần " &amp; INT(S304/20), "")</f>
        <v/>
      </c>
      <c r="AE304" s="11">
        <f>IF(INT(T304/20)&gt;INT(T303/20), "Lần " &amp; INT(T304/20), "")</f>
        <v/>
      </c>
      <c r="AF304" s="11">
        <f>IF(INT(U304/20)&gt;INT(U303/20), "Lần " &amp; INT(U304/20), "")</f>
        <v/>
      </c>
      <c r="AG304" s="11">
        <f>IF(INT(V304/20)&gt;INT(V303/20), "Lần " &amp; INT(V304/20), "")</f>
        <v/>
      </c>
      <c r="AH304" s="11">
        <f>IF(INT(W304/20)&gt;INT(W303/20), "Lần " &amp; INT(W304/20), "")</f>
        <v/>
      </c>
      <c r="AI304" s="11">
        <f>IF(INT(X304/20)&gt;INT(X303/20), "Lần " &amp; INT(X304/20), "")</f>
        <v/>
      </c>
      <c r="AJ304" s="11">
        <f>IF(INT(Y304/20)&gt;INT(Y303/20), "Lần " &amp; INT(Y304/20), "")</f>
        <v/>
      </c>
      <c r="AK304" s="11">
        <f>IF(INT(Z304/20)&gt;INT(Z303/20), "Lần " &amp; INT(Z304/20), "")</f>
        <v/>
      </c>
      <c r="AL304" s="6" t="inlineStr">
        <is>
          <t>ĐẠT TCVN 1651:2018</t>
        </is>
      </c>
    </row>
    <row r="305" ht="20" customHeight="1">
      <c r="A305" s="17" t="inlineStr">
        <is>
          <t>--- CỌC KHOAN NHỒI C1 MỐ M2 (D1.2M, L=36.0M) ---</t>
        </is>
      </c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5" t="n"/>
      <c r="AH305" s="5" t="n"/>
      <c r="AI305" s="5" t="n"/>
      <c r="AJ305" s="5" t="n"/>
      <c r="AK305" s="5" t="n"/>
      <c r="AL305" s="5" t="n"/>
    </row>
    <row r="306" ht="19" customHeight="1">
      <c r="A306" s="6" t="n">
        <v>283</v>
      </c>
      <c r="B306" s="7" t="inlineStr">
        <is>
          <t>Cọc khoan nhồi C1 Mố M2 (D1.2m, L=36.0m)</t>
        </is>
      </c>
      <c r="C306" s="7" t="inlineStr">
        <is>
          <t>Thép đai xoắn lồng cọc</t>
        </is>
      </c>
      <c r="D306" s="18" t="inlineStr">
        <is>
          <t>P1</t>
        </is>
      </c>
      <c r="E306" s="19" t="n">
        <v>10</v>
      </c>
      <c r="F306" s="6" t="inlineStr">
        <is>
          <t>CB240-T</t>
        </is>
      </c>
      <c r="G306" s="7" t="inlineStr">
        <is>
          <t>Đai xoắn tròn</t>
        </is>
      </c>
      <c r="H306" s="20" t="n">
        <v>96.887</v>
      </c>
      <c r="I306" s="21" t="n">
        <v>1</v>
      </c>
      <c r="J306" s="22" t="n">
        <v>0.617</v>
      </c>
      <c r="K306" s="9">
        <f>ROUND(H306*I306*J306, 2)</f>
        <v/>
      </c>
      <c r="L306" s="23">
        <f>ROUND(K306/1000, 3)</f>
        <v/>
      </c>
      <c r="M306" s="8" t="n"/>
      <c r="N306" s="6" t="n"/>
      <c r="O306" s="24">
        <f>IF(AND(E306&lt;=10, F306&lt;&gt;"ASTM A416", INT(P306/20)&gt;INT(P304/20)), "TN Ø10 (Lần " &amp; INT(P306/20) &amp; ")", IF(AND(E306=12, INT(Q306/20)&gt;INT(Q304/20)), "TN Ø12 (Lần " &amp; INT(Q306/20) &amp; ")", IF(AND(E306=14, INT(R306/20)&gt;INT(R304/20)), "TN Ø14 (Lần " &amp; INT(R306/20) &amp; ")", IF(AND(E306=16, INT(S306/20)&gt;INT(S304/20)), "TN Ø16 (Lần " &amp; INT(S306/20) &amp; ")", IF(AND(E306=18, INT(T306/20)&gt;INT(T304/20)), "TN Ø18 (Lần " &amp; INT(T306/20) &amp; ")", IF(AND(E306=20, INT(U306/20)&gt;INT(U304/20)), "TN Ø20 (Lần " &amp; INT(U306/20) &amp; ")", IF(AND(E306=22, INT(V306/20)&gt;INT(V304/20)), "TN Ø22 (Lần " &amp; INT(V306/20) &amp; ")", IF(AND(E306=25, INT(W306/20)&gt;INT(W304/20)), "TN Ø25 (Lần " &amp; INT(W306/20) &amp; ")", IF(AND(E306=28, INT(X306/20)&gt;INT(X304/20)), "TN Ø28 (Lần " &amp; INT(X306/20) &amp; ")", IF(AND(E306=32, INT(Y306/20)&gt;INT(Y304/20)), "TN Ø32 (Lần " &amp; INT(Y306/20) &amp; ")", IF(AND(F306="ASTM A416", INT(Z306/20)&gt;INT(Z304/20)), "TN Cáp 15.2 (Lần " &amp; INT(Z306/20) &amp; ")", "")))))))))))</f>
        <v/>
      </c>
      <c r="P306" s="20">
        <f>ROUND(P304 + IF(AND(E306&lt;=10, F306&lt;&gt;"ASTM A416"), L306, 0), 3)</f>
        <v/>
      </c>
      <c r="Q306" s="20">
        <f>ROUND(Q304 + IF(AND(E306=12, F306&lt;&gt;"ASTM A416"), L306, 0), 3)</f>
        <v/>
      </c>
      <c r="R306" s="20">
        <f>ROUND(R304 + IF(AND(E306=14, F306&lt;&gt;"ASTM A416"), L306, 0), 3)</f>
        <v/>
      </c>
      <c r="S306" s="20">
        <f>ROUND(S304 + IF(AND(E306=16, F306&lt;&gt;"ASTM A416"), L306, 0), 3)</f>
        <v/>
      </c>
      <c r="T306" s="20">
        <f>ROUND(T304 + IF(AND(E306=18, F306&lt;&gt;"ASTM A416"), L306, 0), 3)</f>
        <v/>
      </c>
      <c r="U306" s="20">
        <f>ROUND(U304 + IF(AND(E306=20, F306&lt;&gt;"ASTM A416"), L306, 0), 3)</f>
        <v/>
      </c>
      <c r="V306" s="20">
        <f>ROUND(V304 + IF(AND(E306=22, F306&lt;&gt;"ASTM A416"), L306, 0), 3)</f>
        <v/>
      </c>
      <c r="W306" s="20">
        <f>ROUND(W304 + IF(AND(E306=25, F306&lt;&gt;"ASTM A416"), L306, 0), 3)</f>
        <v/>
      </c>
      <c r="X306" s="20">
        <f>ROUND(X304 + IF(AND(E306=28, F306&lt;&gt;"ASTM A416"), L306, 0), 3)</f>
        <v/>
      </c>
      <c r="Y306" s="20">
        <f>ROUND(Y304 + IF(AND(E306=32, F306&lt;&gt;"ASTM A416"), L306, 0), 3)</f>
        <v/>
      </c>
      <c r="Z306" s="20">
        <f>ROUND(Z304 + IF(F306="ASTM A416", L306, 0), 3)</f>
        <v/>
      </c>
      <c r="AA306" s="11">
        <f>IF(INT(P306/20)&gt;INT(P304/20), "Lần " &amp; INT(P306/20), "")</f>
        <v/>
      </c>
      <c r="AB306" s="11">
        <f>IF(INT(Q306/20)&gt;INT(Q304/20), "Lần " &amp; INT(Q306/20), "")</f>
        <v/>
      </c>
      <c r="AC306" s="11">
        <f>IF(INT(R306/20)&gt;INT(R304/20), "Lần " &amp; INT(R306/20), "")</f>
        <v/>
      </c>
      <c r="AD306" s="11">
        <f>IF(INT(S306/20)&gt;INT(S304/20), "Lần " &amp; INT(S306/20), "")</f>
        <v/>
      </c>
      <c r="AE306" s="11">
        <f>IF(INT(T306/20)&gt;INT(T304/20), "Lần " &amp; INT(T306/20), "")</f>
        <v/>
      </c>
      <c r="AF306" s="11">
        <f>IF(INT(U306/20)&gt;INT(U304/20), "Lần " &amp; INT(U306/20), "")</f>
        <v/>
      </c>
      <c r="AG306" s="11">
        <f>IF(INT(V306/20)&gt;INT(V304/20), "Lần " &amp; INT(V306/20), "")</f>
        <v/>
      </c>
      <c r="AH306" s="11">
        <f>IF(INT(W306/20)&gt;INT(W304/20), "Lần " &amp; INT(W306/20), "")</f>
        <v/>
      </c>
      <c r="AI306" s="11">
        <f>IF(INT(X306/20)&gt;INT(X304/20), "Lần " &amp; INT(X306/20), "")</f>
        <v/>
      </c>
      <c r="AJ306" s="11">
        <f>IF(INT(Y306/20)&gt;INT(Y304/20), "Lần " &amp; INT(Y306/20), "")</f>
        <v/>
      </c>
      <c r="AK306" s="11">
        <f>IF(INT(Z306/20)&gt;INT(Z304/20), "Lần " &amp; INT(Z306/20), "")</f>
        <v/>
      </c>
      <c r="AL306" s="6" t="inlineStr">
        <is>
          <t>ĐẠT TCVN 1651:2018</t>
        </is>
      </c>
    </row>
    <row r="307" ht="19" customHeight="1">
      <c r="A307" s="6" t="n">
        <v>284</v>
      </c>
      <c r="B307" s="7" t="inlineStr">
        <is>
          <t>Cọc khoan nhồi C1 Mố M2 (D1.2m, L=36.0m)</t>
        </is>
      </c>
      <c r="C307" s="7" t="inlineStr">
        <is>
          <t>Thép đai xoắn lồng cọc</t>
        </is>
      </c>
      <c r="D307" s="18" t="inlineStr">
        <is>
          <t>P1A</t>
        </is>
      </c>
      <c r="E307" s="19" t="n">
        <v>10</v>
      </c>
      <c r="F307" s="6" t="inlineStr">
        <is>
          <t>CB240-T</t>
        </is>
      </c>
      <c r="G307" s="7" t="inlineStr">
        <is>
          <t>Đai xoắn tròn</t>
        </is>
      </c>
      <c r="H307" s="20" t="n">
        <v>390.776</v>
      </c>
      <c r="I307" s="21" t="n">
        <v>1</v>
      </c>
      <c r="J307" s="22" t="n">
        <v>0.617</v>
      </c>
      <c r="K307" s="9">
        <f>ROUND(H307*I307*J307, 2)</f>
        <v/>
      </c>
      <c r="L307" s="23">
        <f>ROUND(K307/1000, 3)</f>
        <v/>
      </c>
      <c r="M307" s="8" t="n"/>
      <c r="N307" s="6" t="n"/>
      <c r="O307" s="24">
        <f>IF(AND(E307&lt;=10, F307&lt;&gt;"ASTM A416", INT(P307/20)&gt;INT(P306/20)), "TN Ø10 (Lần " &amp; INT(P307/20) &amp; ")", IF(AND(E307=12, INT(Q307/20)&gt;INT(Q306/20)), "TN Ø12 (Lần " &amp; INT(Q307/20) &amp; ")", IF(AND(E307=14, INT(R307/20)&gt;INT(R306/20)), "TN Ø14 (Lần " &amp; INT(R307/20) &amp; ")", IF(AND(E307=16, INT(S307/20)&gt;INT(S306/20)), "TN Ø16 (Lần " &amp; INT(S307/20) &amp; ")", IF(AND(E307=18, INT(T307/20)&gt;INT(T306/20)), "TN Ø18 (Lần " &amp; INT(T307/20) &amp; ")", IF(AND(E307=20, INT(U307/20)&gt;INT(U306/20)), "TN Ø20 (Lần " &amp; INT(U307/20) &amp; ")", IF(AND(E307=22, INT(V307/20)&gt;INT(V306/20)), "TN Ø22 (Lần " &amp; INT(V307/20) &amp; ")", IF(AND(E307=25, INT(W307/20)&gt;INT(W306/20)), "TN Ø25 (Lần " &amp; INT(W307/20) &amp; ")", IF(AND(E307=28, INT(X307/20)&gt;INT(X306/20)), "TN Ø28 (Lần " &amp; INT(X307/20) &amp; ")", IF(AND(E307=32, INT(Y307/20)&gt;INT(Y306/20)), "TN Ø32 (Lần " &amp; INT(Y307/20) &amp; ")", IF(AND(F307="ASTM A416", INT(Z307/20)&gt;INT(Z306/20)), "TN Cáp 15.2 (Lần " &amp; INT(Z307/20) &amp; ")", "")))))))))))</f>
        <v/>
      </c>
      <c r="P307" s="20">
        <f>ROUND(P306 + IF(AND(E307&lt;=10, F307&lt;&gt;"ASTM A416"), L307, 0), 3)</f>
        <v/>
      </c>
      <c r="Q307" s="20">
        <f>ROUND(Q306 + IF(AND(E307=12, F307&lt;&gt;"ASTM A416"), L307, 0), 3)</f>
        <v/>
      </c>
      <c r="R307" s="20">
        <f>ROUND(R306 + IF(AND(E307=14, F307&lt;&gt;"ASTM A416"), L307, 0), 3)</f>
        <v/>
      </c>
      <c r="S307" s="20">
        <f>ROUND(S306 + IF(AND(E307=16, F307&lt;&gt;"ASTM A416"), L307, 0), 3)</f>
        <v/>
      </c>
      <c r="T307" s="20">
        <f>ROUND(T306 + IF(AND(E307=18, F307&lt;&gt;"ASTM A416"), L307, 0), 3)</f>
        <v/>
      </c>
      <c r="U307" s="20">
        <f>ROUND(U306 + IF(AND(E307=20, F307&lt;&gt;"ASTM A416"), L307, 0), 3)</f>
        <v/>
      </c>
      <c r="V307" s="20">
        <f>ROUND(V306 + IF(AND(E307=22, F307&lt;&gt;"ASTM A416"), L307, 0), 3)</f>
        <v/>
      </c>
      <c r="W307" s="20">
        <f>ROUND(W306 + IF(AND(E307=25, F307&lt;&gt;"ASTM A416"), L307, 0), 3)</f>
        <v/>
      </c>
      <c r="X307" s="20">
        <f>ROUND(X306 + IF(AND(E307=28, F307&lt;&gt;"ASTM A416"), L307, 0), 3)</f>
        <v/>
      </c>
      <c r="Y307" s="20">
        <f>ROUND(Y306 + IF(AND(E307=32, F307&lt;&gt;"ASTM A416"), L307, 0), 3)</f>
        <v/>
      </c>
      <c r="Z307" s="20">
        <f>ROUND(Z306 + IF(F307="ASTM A416", L307, 0), 3)</f>
        <v/>
      </c>
      <c r="AA307" s="11">
        <f>IF(INT(P307/20)&gt;INT(P306/20), "Lần " &amp; INT(P307/20), "")</f>
        <v/>
      </c>
      <c r="AB307" s="11">
        <f>IF(INT(Q307/20)&gt;INT(Q306/20), "Lần " &amp; INT(Q307/20), "")</f>
        <v/>
      </c>
      <c r="AC307" s="11">
        <f>IF(INT(R307/20)&gt;INT(R306/20), "Lần " &amp; INT(R307/20), "")</f>
        <v/>
      </c>
      <c r="AD307" s="11">
        <f>IF(INT(S307/20)&gt;INT(S306/20), "Lần " &amp; INT(S307/20), "")</f>
        <v/>
      </c>
      <c r="AE307" s="11">
        <f>IF(INT(T307/20)&gt;INT(T306/20), "Lần " &amp; INT(T307/20), "")</f>
        <v/>
      </c>
      <c r="AF307" s="11">
        <f>IF(INT(U307/20)&gt;INT(U306/20), "Lần " &amp; INT(U307/20), "")</f>
        <v/>
      </c>
      <c r="AG307" s="11">
        <f>IF(INT(V307/20)&gt;INT(V306/20), "Lần " &amp; INT(V307/20), "")</f>
        <v/>
      </c>
      <c r="AH307" s="11">
        <f>IF(INT(W307/20)&gt;INT(W306/20), "Lần " &amp; INT(W307/20), "")</f>
        <v/>
      </c>
      <c r="AI307" s="11">
        <f>IF(INT(X307/20)&gt;INT(X306/20), "Lần " &amp; INT(X307/20), "")</f>
        <v/>
      </c>
      <c r="AJ307" s="11">
        <f>IF(INT(Y307/20)&gt;INT(Y306/20), "Lần " &amp; INT(Y307/20), "")</f>
        <v/>
      </c>
      <c r="AK307" s="11">
        <f>IF(INT(Z307/20)&gt;INT(Z306/20), "Lần " &amp; INT(Z307/20), "")</f>
        <v/>
      </c>
      <c r="AL307" s="6" t="inlineStr">
        <is>
          <t>ĐẠT TCVN 1651:2018</t>
        </is>
      </c>
    </row>
    <row r="308" ht="19" customHeight="1">
      <c r="A308" s="6" t="n">
        <v>285</v>
      </c>
      <c r="B308" s="7" t="inlineStr">
        <is>
          <t>Cọc khoan nhồi C1 Mố M2 (D1.2m, L=36.0m)</t>
        </is>
      </c>
      <c r="C308" s="7" t="inlineStr">
        <is>
          <t>Thép đai xoắn lồng cọc</t>
        </is>
      </c>
      <c r="D308" s="18" t="inlineStr">
        <is>
          <t>P1B</t>
        </is>
      </c>
      <c r="E308" s="19" t="n">
        <v>10</v>
      </c>
      <c r="F308" s="6" t="inlineStr">
        <is>
          <t>CB240-T</t>
        </is>
      </c>
      <c r="G308" s="7" t="inlineStr">
        <is>
          <t>Đai xoắn tròn</t>
        </is>
      </c>
      <c r="H308" s="20" t="n">
        <v>164.938</v>
      </c>
      <c r="I308" s="21" t="n">
        <v>1</v>
      </c>
      <c r="J308" s="22" t="n">
        <v>0.617</v>
      </c>
      <c r="K308" s="9">
        <f>ROUND(H308*I308*J308, 2)</f>
        <v/>
      </c>
      <c r="L308" s="23">
        <f>ROUND(K308/1000, 3)</f>
        <v/>
      </c>
      <c r="M308" s="8" t="n"/>
      <c r="N308" s="6" t="n"/>
      <c r="O308" s="24">
        <f>IF(AND(E308&lt;=10, F308&lt;&gt;"ASTM A416", INT(P308/20)&gt;INT(P307/20)), "TN Ø10 (Lần " &amp; INT(P308/20) &amp; ")", IF(AND(E308=12, INT(Q308/20)&gt;INT(Q307/20)), "TN Ø12 (Lần " &amp; INT(Q308/20) &amp; ")", IF(AND(E308=14, INT(R308/20)&gt;INT(R307/20)), "TN Ø14 (Lần " &amp; INT(R308/20) &amp; ")", IF(AND(E308=16, INT(S308/20)&gt;INT(S307/20)), "TN Ø16 (Lần " &amp; INT(S308/20) &amp; ")", IF(AND(E308=18, INT(T308/20)&gt;INT(T307/20)), "TN Ø18 (Lần " &amp; INT(T308/20) &amp; ")", IF(AND(E308=20, INT(U308/20)&gt;INT(U307/20)), "TN Ø20 (Lần " &amp; INT(U308/20) &amp; ")", IF(AND(E308=22, INT(V308/20)&gt;INT(V307/20)), "TN Ø22 (Lần " &amp; INT(V308/20) &amp; ")", IF(AND(E308=25, INT(W308/20)&gt;INT(W307/20)), "TN Ø25 (Lần " &amp; INT(W308/20) &amp; ")", IF(AND(E308=28, INT(X308/20)&gt;INT(X307/20)), "TN Ø28 (Lần " &amp; INT(X308/20) &amp; ")", IF(AND(E308=32, INT(Y308/20)&gt;INT(Y307/20)), "TN Ø32 (Lần " &amp; INT(Y308/20) &amp; ")", IF(AND(F308="ASTM A416", INT(Z308/20)&gt;INT(Z307/20)), "TN Cáp 15.2 (Lần " &amp; INT(Z308/20) &amp; ")", "")))))))))))</f>
        <v/>
      </c>
      <c r="P308" s="20">
        <f>ROUND(P307 + IF(AND(E308&lt;=10, F308&lt;&gt;"ASTM A416"), L308, 0), 3)</f>
        <v/>
      </c>
      <c r="Q308" s="20">
        <f>ROUND(Q307 + IF(AND(E308=12, F308&lt;&gt;"ASTM A416"), L308, 0), 3)</f>
        <v/>
      </c>
      <c r="R308" s="20">
        <f>ROUND(R307 + IF(AND(E308=14, F308&lt;&gt;"ASTM A416"), L308, 0), 3)</f>
        <v/>
      </c>
      <c r="S308" s="20">
        <f>ROUND(S307 + IF(AND(E308=16, F308&lt;&gt;"ASTM A416"), L308, 0), 3)</f>
        <v/>
      </c>
      <c r="T308" s="20">
        <f>ROUND(T307 + IF(AND(E308=18, F308&lt;&gt;"ASTM A416"), L308, 0), 3)</f>
        <v/>
      </c>
      <c r="U308" s="20">
        <f>ROUND(U307 + IF(AND(E308=20, F308&lt;&gt;"ASTM A416"), L308, 0), 3)</f>
        <v/>
      </c>
      <c r="V308" s="20">
        <f>ROUND(V307 + IF(AND(E308=22, F308&lt;&gt;"ASTM A416"), L308, 0), 3)</f>
        <v/>
      </c>
      <c r="W308" s="20">
        <f>ROUND(W307 + IF(AND(E308=25, F308&lt;&gt;"ASTM A416"), L308, 0), 3)</f>
        <v/>
      </c>
      <c r="X308" s="20">
        <f>ROUND(X307 + IF(AND(E308=28, F308&lt;&gt;"ASTM A416"), L308, 0), 3)</f>
        <v/>
      </c>
      <c r="Y308" s="20">
        <f>ROUND(Y307 + IF(AND(E308=32, F308&lt;&gt;"ASTM A416"), L308, 0), 3)</f>
        <v/>
      </c>
      <c r="Z308" s="20">
        <f>ROUND(Z307 + IF(F308="ASTM A416", L308, 0), 3)</f>
        <v/>
      </c>
      <c r="AA308" s="11">
        <f>IF(INT(P308/20)&gt;INT(P307/20), "Lần " &amp; INT(P308/20), "")</f>
        <v/>
      </c>
      <c r="AB308" s="11">
        <f>IF(INT(Q308/20)&gt;INT(Q307/20), "Lần " &amp; INT(Q308/20), "")</f>
        <v/>
      </c>
      <c r="AC308" s="11">
        <f>IF(INT(R308/20)&gt;INT(R307/20), "Lần " &amp; INT(R308/20), "")</f>
        <v/>
      </c>
      <c r="AD308" s="11">
        <f>IF(INT(S308/20)&gt;INT(S307/20), "Lần " &amp; INT(S308/20), "")</f>
        <v/>
      </c>
      <c r="AE308" s="11">
        <f>IF(INT(T308/20)&gt;INT(T307/20), "Lần " &amp; INT(T308/20), "")</f>
        <v/>
      </c>
      <c r="AF308" s="11">
        <f>IF(INT(U308/20)&gt;INT(U307/20), "Lần " &amp; INT(U308/20), "")</f>
        <v/>
      </c>
      <c r="AG308" s="11">
        <f>IF(INT(V308/20)&gt;INT(V307/20), "Lần " &amp; INT(V308/20), "")</f>
        <v/>
      </c>
      <c r="AH308" s="11">
        <f>IF(INT(W308/20)&gt;INT(W307/20), "Lần " &amp; INT(W308/20), "")</f>
        <v/>
      </c>
      <c r="AI308" s="11">
        <f>IF(INT(X308/20)&gt;INT(X307/20), "Lần " &amp; INT(X308/20), "")</f>
        <v/>
      </c>
      <c r="AJ308" s="11">
        <f>IF(INT(Y308/20)&gt;INT(Y307/20), "Lần " &amp; INT(Y308/20), "")</f>
        <v/>
      </c>
      <c r="AK308" s="11">
        <f>IF(INT(Z308/20)&gt;INT(Z307/20), "Lần " &amp; INT(Z308/20), "")</f>
        <v/>
      </c>
      <c r="AL308" s="6" t="inlineStr">
        <is>
          <t>ĐẠT TCVN 1651:2018</t>
        </is>
      </c>
    </row>
    <row r="309" ht="19" customHeight="1">
      <c r="A309" s="6" t="n">
        <v>286</v>
      </c>
      <c r="B309" s="7" t="inlineStr">
        <is>
          <t>Cọc khoan nhồi C1 Mố M2 (D1.2m, L=36.0m)</t>
        </is>
      </c>
      <c r="C309" s="7" t="inlineStr">
        <is>
          <t>Thép đai xoắn lồng cọc</t>
        </is>
      </c>
      <c r="D309" s="18" t="inlineStr">
        <is>
          <t>P1C</t>
        </is>
      </c>
      <c r="E309" s="19" t="n">
        <v>10</v>
      </c>
      <c r="F309" s="6" t="inlineStr">
        <is>
          <t>CB240-T</t>
        </is>
      </c>
      <c r="G309" s="7" t="inlineStr">
        <is>
          <t>Đai xoắn tròn</t>
        </is>
      </c>
      <c r="H309" s="20" t="n">
        <v>3.592</v>
      </c>
      <c r="I309" s="21" t="n">
        <v>2</v>
      </c>
      <c r="J309" s="22" t="n">
        <v>0.617</v>
      </c>
      <c r="K309" s="9">
        <f>ROUND(H309*I309*J309, 2)</f>
        <v/>
      </c>
      <c r="L309" s="23">
        <f>ROUND(K309/1000, 3)</f>
        <v/>
      </c>
      <c r="M309" s="8" t="n"/>
      <c r="N309" s="6" t="n"/>
      <c r="O309" s="24">
        <f>IF(AND(E309&lt;=10, F309&lt;&gt;"ASTM A416", INT(P309/20)&gt;INT(P308/20)), "TN Ø10 (Lần " &amp; INT(P309/20) &amp; ")", IF(AND(E309=12, INT(Q309/20)&gt;INT(Q308/20)), "TN Ø12 (Lần " &amp; INT(Q309/20) &amp; ")", IF(AND(E309=14, INT(R309/20)&gt;INT(R308/20)), "TN Ø14 (Lần " &amp; INT(R309/20) &amp; ")", IF(AND(E309=16, INT(S309/20)&gt;INT(S308/20)), "TN Ø16 (Lần " &amp; INT(S309/20) &amp; ")", IF(AND(E309=18, INT(T309/20)&gt;INT(T308/20)), "TN Ø18 (Lần " &amp; INT(T309/20) &amp; ")", IF(AND(E309=20, INT(U309/20)&gt;INT(U308/20)), "TN Ø20 (Lần " &amp; INT(U309/20) &amp; ")", IF(AND(E309=22, INT(V309/20)&gt;INT(V308/20)), "TN Ø22 (Lần " &amp; INT(V309/20) &amp; ")", IF(AND(E309=25, INT(W309/20)&gt;INT(W308/20)), "TN Ø25 (Lần " &amp; INT(W309/20) &amp; ")", IF(AND(E309=28, INT(X309/20)&gt;INT(X308/20)), "TN Ø28 (Lần " &amp; INT(X309/20) &amp; ")", IF(AND(E309=32, INT(Y309/20)&gt;INT(Y308/20)), "TN Ø32 (Lần " &amp; INT(Y309/20) &amp; ")", IF(AND(F309="ASTM A416", INT(Z309/20)&gt;INT(Z308/20)), "TN Cáp 15.2 (Lần " &amp; INT(Z309/20) &amp; ")", "")))))))))))</f>
        <v/>
      </c>
      <c r="P309" s="20">
        <f>ROUND(P308 + IF(AND(E309&lt;=10, F309&lt;&gt;"ASTM A416"), L309, 0), 3)</f>
        <v/>
      </c>
      <c r="Q309" s="20">
        <f>ROUND(Q308 + IF(AND(E309=12, F309&lt;&gt;"ASTM A416"), L309, 0), 3)</f>
        <v/>
      </c>
      <c r="R309" s="20">
        <f>ROUND(R308 + IF(AND(E309=14, F309&lt;&gt;"ASTM A416"), L309, 0), 3)</f>
        <v/>
      </c>
      <c r="S309" s="20">
        <f>ROUND(S308 + IF(AND(E309=16, F309&lt;&gt;"ASTM A416"), L309, 0), 3)</f>
        <v/>
      </c>
      <c r="T309" s="20">
        <f>ROUND(T308 + IF(AND(E309=18, F309&lt;&gt;"ASTM A416"), L309, 0), 3)</f>
        <v/>
      </c>
      <c r="U309" s="20">
        <f>ROUND(U308 + IF(AND(E309=20, F309&lt;&gt;"ASTM A416"), L309, 0), 3)</f>
        <v/>
      </c>
      <c r="V309" s="20">
        <f>ROUND(V308 + IF(AND(E309=22, F309&lt;&gt;"ASTM A416"), L309, 0), 3)</f>
        <v/>
      </c>
      <c r="W309" s="20">
        <f>ROUND(W308 + IF(AND(E309=25, F309&lt;&gt;"ASTM A416"), L309, 0), 3)</f>
        <v/>
      </c>
      <c r="X309" s="20">
        <f>ROUND(X308 + IF(AND(E309=28, F309&lt;&gt;"ASTM A416"), L309, 0), 3)</f>
        <v/>
      </c>
      <c r="Y309" s="20">
        <f>ROUND(Y308 + IF(AND(E309=32, F309&lt;&gt;"ASTM A416"), L309, 0), 3)</f>
        <v/>
      </c>
      <c r="Z309" s="20">
        <f>ROUND(Z308 + IF(F309="ASTM A416", L309, 0), 3)</f>
        <v/>
      </c>
      <c r="AA309" s="11">
        <f>IF(INT(P309/20)&gt;INT(P308/20), "Lần " &amp; INT(P309/20), "")</f>
        <v/>
      </c>
      <c r="AB309" s="11">
        <f>IF(INT(Q309/20)&gt;INT(Q308/20), "Lần " &amp; INT(Q309/20), "")</f>
        <v/>
      </c>
      <c r="AC309" s="11">
        <f>IF(INT(R309/20)&gt;INT(R308/20), "Lần " &amp; INT(R309/20), "")</f>
        <v/>
      </c>
      <c r="AD309" s="11">
        <f>IF(INT(S309/20)&gt;INT(S308/20), "Lần " &amp; INT(S309/20), "")</f>
        <v/>
      </c>
      <c r="AE309" s="11">
        <f>IF(INT(T309/20)&gt;INT(T308/20), "Lần " &amp; INT(T309/20), "")</f>
        <v/>
      </c>
      <c r="AF309" s="11">
        <f>IF(INT(U309/20)&gt;INT(U308/20), "Lần " &amp; INT(U309/20), "")</f>
        <v/>
      </c>
      <c r="AG309" s="11">
        <f>IF(INT(V309/20)&gt;INT(V308/20), "Lần " &amp; INT(V309/20), "")</f>
        <v/>
      </c>
      <c r="AH309" s="11">
        <f>IF(INT(W309/20)&gt;INT(W308/20), "Lần " &amp; INT(W309/20), "")</f>
        <v/>
      </c>
      <c r="AI309" s="11">
        <f>IF(INT(X309/20)&gt;INT(X308/20), "Lần " &amp; INT(X309/20), "")</f>
        <v/>
      </c>
      <c r="AJ309" s="11">
        <f>IF(INT(Y309/20)&gt;INT(Y308/20), "Lần " &amp; INT(Y309/20), "")</f>
        <v/>
      </c>
      <c r="AK309" s="11">
        <f>IF(INT(Z309/20)&gt;INT(Z308/20), "Lần " &amp; INT(Z309/20), "")</f>
        <v/>
      </c>
      <c r="AL309" s="6" t="inlineStr">
        <is>
          <t>ĐẠT TCVN 1651:2018</t>
        </is>
      </c>
    </row>
    <row r="310" ht="19" customHeight="1">
      <c r="A310" s="6" t="n">
        <v>287</v>
      </c>
      <c r="B310" s="7" t="inlineStr">
        <is>
          <t>Cọc khoan nhồi C1 Mố M2 (D1.2m, L=36.0m)</t>
        </is>
      </c>
      <c r="C310" s="7" t="inlineStr">
        <is>
          <t>Thép đai xoắn lồng cọc</t>
        </is>
      </c>
      <c r="D310" s="18" t="inlineStr">
        <is>
          <t>P1D</t>
        </is>
      </c>
      <c r="E310" s="19" t="n">
        <v>10</v>
      </c>
      <c r="F310" s="6" t="inlineStr">
        <is>
          <t>CB240-T</t>
        </is>
      </c>
      <c r="G310" s="7" t="inlineStr">
        <is>
          <t>Đai xoắn tròn</t>
        </is>
      </c>
      <c r="H310" s="20" t="n">
        <v>23.007</v>
      </c>
      <c r="I310" s="21" t="n">
        <v>1</v>
      </c>
      <c r="J310" s="22" t="n">
        <v>0.617</v>
      </c>
      <c r="K310" s="9">
        <f>ROUND(H310*I310*J310, 2)</f>
        <v/>
      </c>
      <c r="L310" s="23">
        <f>ROUND(K310/1000, 3)</f>
        <v/>
      </c>
      <c r="M310" s="8" t="n"/>
      <c r="N310" s="6" t="n"/>
      <c r="O310" s="24">
        <f>IF(AND(E310&lt;=10, F310&lt;&gt;"ASTM A416", INT(P310/20)&gt;INT(P309/20)), "TN Ø10 (Lần " &amp; INT(P310/20) &amp; ")", IF(AND(E310=12, INT(Q310/20)&gt;INT(Q309/20)), "TN Ø12 (Lần " &amp; INT(Q310/20) &amp; ")", IF(AND(E310=14, INT(R310/20)&gt;INT(R309/20)), "TN Ø14 (Lần " &amp; INT(R310/20) &amp; ")", IF(AND(E310=16, INT(S310/20)&gt;INT(S309/20)), "TN Ø16 (Lần " &amp; INT(S310/20) &amp; ")", IF(AND(E310=18, INT(T310/20)&gt;INT(T309/20)), "TN Ø18 (Lần " &amp; INT(T310/20) &amp; ")", IF(AND(E310=20, INT(U310/20)&gt;INT(U309/20)), "TN Ø20 (Lần " &amp; INT(U310/20) &amp; ")", IF(AND(E310=22, INT(V310/20)&gt;INT(V309/20)), "TN Ø22 (Lần " &amp; INT(V310/20) &amp; ")", IF(AND(E310=25, INT(W310/20)&gt;INT(W309/20)), "TN Ø25 (Lần " &amp; INT(W310/20) &amp; ")", IF(AND(E310=28, INT(X310/20)&gt;INT(X309/20)), "TN Ø28 (Lần " &amp; INT(X310/20) &amp; ")", IF(AND(E310=32, INT(Y310/20)&gt;INT(Y309/20)), "TN Ø32 (Lần " &amp; INT(Y310/20) &amp; ")", IF(AND(F310="ASTM A416", INT(Z310/20)&gt;INT(Z309/20)), "TN Cáp 15.2 (Lần " &amp; INT(Z310/20) &amp; ")", "")))))))))))</f>
        <v/>
      </c>
      <c r="P310" s="20">
        <f>ROUND(P309 + IF(AND(E310&lt;=10, F310&lt;&gt;"ASTM A416"), L310, 0), 3)</f>
        <v/>
      </c>
      <c r="Q310" s="20">
        <f>ROUND(Q309 + IF(AND(E310=12, F310&lt;&gt;"ASTM A416"), L310, 0), 3)</f>
        <v/>
      </c>
      <c r="R310" s="20">
        <f>ROUND(R309 + IF(AND(E310=14, F310&lt;&gt;"ASTM A416"), L310, 0), 3)</f>
        <v/>
      </c>
      <c r="S310" s="20">
        <f>ROUND(S309 + IF(AND(E310=16, F310&lt;&gt;"ASTM A416"), L310, 0), 3)</f>
        <v/>
      </c>
      <c r="T310" s="20">
        <f>ROUND(T309 + IF(AND(E310=18, F310&lt;&gt;"ASTM A416"), L310, 0), 3)</f>
        <v/>
      </c>
      <c r="U310" s="20">
        <f>ROUND(U309 + IF(AND(E310=20, F310&lt;&gt;"ASTM A416"), L310, 0), 3)</f>
        <v/>
      </c>
      <c r="V310" s="20">
        <f>ROUND(V309 + IF(AND(E310=22, F310&lt;&gt;"ASTM A416"), L310, 0), 3)</f>
        <v/>
      </c>
      <c r="W310" s="20">
        <f>ROUND(W309 + IF(AND(E310=25, F310&lt;&gt;"ASTM A416"), L310, 0), 3)</f>
        <v/>
      </c>
      <c r="X310" s="20">
        <f>ROUND(X309 + IF(AND(E310=28, F310&lt;&gt;"ASTM A416"), L310, 0), 3)</f>
        <v/>
      </c>
      <c r="Y310" s="20">
        <f>ROUND(Y309 + IF(AND(E310=32, F310&lt;&gt;"ASTM A416"), L310, 0), 3)</f>
        <v/>
      </c>
      <c r="Z310" s="20">
        <f>ROUND(Z309 + IF(F310="ASTM A416", L310, 0), 3)</f>
        <v/>
      </c>
      <c r="AA310" s="11">
        <f>IF(INT(P310/20)&gt;INT(P309/20), "Lần " &amp; INT(P310/20), "")</f>
        <v/>
      </c>
      <c r="AB310" s="11">
        <f>IF(INT(Q310/20)&gt;INT(Q309/20), "Lần " &amp; INT(Q310/20), "")</f>
        <v/>
      </c>
      <c r="AC310" s="11">
        <f>IF(INT(R310/20)&gt;INT(R309/20), "Lần " &amp; INT(R310/20), "")</f>
        <v/>
      </c>
      <c r="AD310" s="11">
        <f>IF(INT(S310/20)&gt;INT(S309/20), "Lần " &amp; INT(S310/20), "")</f>
        <v/>
      </c>
      <c r="AE310" s="11">
        <f>IF(INT(T310/20)&gt;INT(T309/20), "Lần " &amp; INT(T310/20), "")</f>
        <v/>
      </c>
      <c r="AF310" s="11">
        <f>IF(INT(U310/20)&gt;INT(U309/20), "Lần " &amp; INT(U310/20), "")</f>
        <v/>
      </c>
      <c r="AG310" s="11">
        <f>IF(INT(V310/20)&gt;INT(V309/20), "Lần " &amp; INT(V310/20), "")</f>
        <v/>
      </c>
      <c r="AH310" s="11">
        <f>IF(INT(W310/20)&gt;INT(W309/20), "Lần " &amp; INT(W310/20), "")</f>
        <v/>
      </c>
      <c r="AI310" s="11">
        <f>IF(INT(X310/20)&gt;INT(X309/20), "Lần " &amp; INT(X310/20), "")</f>
        <v/>
      </c>
      <c r="AJ310" s="11">
        <f>IF(INT(Y310/20)&gt;INT(Y309/20), "Lần " &amp; INT(Y310/20), "")</f>
        <v/>
      </c>
      <c r="AK310" s="11">
        <f>IF(INT(Z310/20)&gt;INT(Z309/20), "Lần " &amp; INT(Z310/20), "")</f>
        <v/>
      </c>
      <c r="AL310" s="6" t="inlineStr">
        <is>
          <t>ĐẠT TCVN 1651:2018</t>
        </is>
      </c>
    </row>
    <row r="311" ht="19" customHeight="1">
      <c r="A311" s="6" t="n">
        <v>288</v>
      </c>
      <c r="B311" s="7" t="inlineStr">
        <is>
          <t>Cọc khoan nhồi C1 Mố M2 (D1.2m, L=36.0m)</t>
        </is>
      </c>
      <c r="C311" s="7" t="inlineStr">
        <is>
          <t>Cốt thép chủ chịu lực cọc</t>
        </is>
      </c>
      <c r="D311" s="18" t="inlineStr">
        <is>
          <t>P2A</t>
        </is>
      </c>
      <c r="E311" s="19" t="n">
        <v>28</v>
      </c>
      <c r="F311" s="6" t="inlineStr">
        <is>
          <t>CB400-V</t>
        </is>
      </c>
      <c r="G311" s="7" t="inlineStr">
        <is>
          <t>Thanh thẳng nối ren/hàn</t>
        </is>
      </c>
      <c r="H311" s="20" t="n">
        <v>2.966</v>
      </c>
      <c r="I311" s="21" t="n">
        <v>5</v>
      </c>
      <c r="J311" s="22" t="n">
        <v>4.83</v>
      </c>
      <c r="K311" s="9">
        <f>ROUND(H311*I311*J311, 2)</f>
        <v/>
      </c>
      <c r="L311" s="23">
        <f>ROUND(K311/1000, 3)</f>
        <v/>
      </c>
      <c r="M311" s="8" t="n"/>
      <c r="N311" s="6" t="n"/>
      <c r="O311" s="24">
        <f>IF(AND(E311&lt;=10, F311&lt;&gt;"ASTM A416", INT(P311/20)&gt;INT(P310/20)), "TN Ø10 (Lần " &amp; INT(P311/20) &amp; ")", IF(AND(E311=12, INT(Q311/20)&gt;INT(Q310/20)), "TN Ø12 (Lần " &amp; INT(Q311/20) &amp; ")", IF(AND(E311=14, INT(R311/20)&gt;INT(R310/20)), "TN Ø14 (Lần " &amp; INT(R311/20) &amp; ")", IF(AND(E311=16, INT(S311/20)&gt;INT(S310/20)), "TN Ø16 (Lần " &amp; INT(S311/20) &amp; ")", IF(AND(E311=18, INT(T311/20)&gt;INT(T310/20)), "TN Ø18 (Lần " &amp; INT(T311/20) &amp; ")", IF(AND(E311=20, INT(U311/20)&gt;INT(U310/20)), "TN Ø20 (Lần " &amp; INT(U311/20) &amp; ")", IF(AND(E311=22, INT(V311/20)&gt;INT(V310/20)), "TN Ø22 (Lần " &amp; INT(V311/20) &amp; ")", IF(AND(E311=25, INT(W311/20)&gt;INT(W310/20)), "TN Ø25 (Lần " &amp; INT(W311/20) &amp; ")", IF(AND(E311=28, INT(X311/20)&gt;INT(X310/20)), "TN Ø28 (Lần " &amp; INT(X311/20) &amp; ")", IF(AND(E311=32, INT(Y311/20)&gt;INT(Y310/20)), "TN Ø32 (Lần " &amp; INT(Y311/20) &amp; ")", IF(AND(F311="ASTM A416", INT(Z311/20)&gt;INT(Z310/20)), "TN Cáp 15.2 (Lần " &amp; INT(Z311/20) &amp; ")", "")))))))))))</f>
        <v/>
      </c>
      <c r="P311" s="20">
        <f>ROUND(P310 + IF(AND(E311&lt;=10, F311&lt;&gt;"ASTM A416"), L311, 0), 3)</f>
        <v/>
      </c>
      <c r="Q311" s="20">
        <f>ROUND(Q310 + IF(AND(E311=12, F311&lt;&gt;"ASTM A416"), L311, 0), 3)</f>
        <v/>
      </c>
      <c r="R311" s="20">
        <f>ROUND(R310 + IF(AND(E311=14, F311&lt;&gt;"ASTM A416"), L311, 0), 3)</f>
        <v/>
      </c>
      <c r="S311" s="20">
        <f>ROUND(S310 + IF(AND(E311=16, F311&lt;&gt;"ASTM A416"), L311, 0), 3)</f>
        <v/>
      </c>
      <c r="T311" s="20">
        <f>ROUND(T310 + IF(AND(E311=18, F311&lt;&gt;"ASTM A416"), L311, 0), 3)</f>
        <v/>
      </c>
      <c r="U311" s="20">
        <f>ROUND(U310 + IF(AND(E311=20, F311&lt;&gt;"ASTM A416"), L311, 0), 3)</f>
        <v/>
      </c>
      <c r="V311" s="20">
        <f>ROUND(V310 + IF(AND(E311=22, F311&lt;&gt;"ASTM A416"), L311, 0), 3)</f>
        <v/>
      </c>
      <c r="W311" s="20">
        <f>ROUND(W310 + IF(AND(E311=25, F311&lt;&gt;"ASTM A416"), L311, 0), 3)</f>
        <v/>
      </c>
      <c r="X311" s="20">
        <f>ROUND(X310 + IF(AND(E311=28, F311&lt;&gt;"ASTM A416"), L311, 0), 3)</f>
        <v/>
      </c>
      <c r="Y311" s="20">
        <f>ROUND(Y310 + IF(AND(E311=32, F311&lt;&gt;"ASTM A416"), L311, 0), 3)</f>
        <v/>
      </c>
      <c r="Z311" s="20">
        <f>ROUND(Z310 + IF(F311="ASTM A416", L311, 0), 3)</f>
        <v/>
      </c>
      <c r="AA311" s="11">
        <f>IF(INT(P311/20)&gt;INT(P310/20), "Lần " &amp; INT(P311/20), "")</f>
        <v/>
      </c>
      <c r="AB311" s="11">
        <f>IF(INT(Q311/20)&gt;INT(Q310/20), "Lần " &amp; INT(Q311/20), "")</f>
        <v/>
      </c>
      <c r="AC311" s="11">
        <f>IF(INT(R311/20)&gt;INT(R310/20), "Lần " &amp; INT(R311/20), "")</f>
        <v/>
      </c>
      <c r="AD311" s="11">
        <f>IF(INT(S311/20)&gt;INT(S310/20), "Lần " &amp; INT(S311/20), "")</f>
        <v/>
      </c>
      <c r="AE311" s="11">
        <f>IF(INT(T311/20)&gt;INT(T310/20), "Lần " &amp; INT(T311/20), "")</f>
        <v/>
      </c>
      <c r="AF311" s="11">
        <f>IF(INT(U311/20)&gt;INT(U310/20), "Lần " &amp; INT(U311/20), "")</f>
        <v/>
      </c>
      <c r="AG311" s="11">
        <f>IF(INT(V311/20)&gt;INT(V310/20), "Lần " &amp; INT(V311/20), "")</f>
        <v/>
      </c>
      <c r="AH311" s="11">
        <f>IF(INT(W311/20)&gt;INT(W310/20), "Lần " &amp; INT(W311/20), "")</f>
        <v/>
      </c>
      <c r="AI311" s="11">
        <f>IF(INT(X311/20)&gt;INT(X310/20), "Lần " &amp; INT(X311/20), "")</f>
        <v/>
      </c>
      <c r="AJ311" s="11">
        <f>IF(INT(Y311/20)&gt;INT(Y310/20), "Lần " &amp; INT(Y311/20), "")</f>
        <v/>
      </c>
      <c r="AK311" s="11">
        <f>IF(INT(Z311/20)&gt;INT(Z310/20), "Lần " &amp; INT(Z311/20), "")</f>
        <v/>
      </c>
      <c r="AL311" s="6" t="inlineStr">
        <is>
          <t>ĐẠT TCVN 1651:2018</t>
        </is>
      </c>
    </row>
    <row r="312" ht="19" customHeight="1">
      <c r="A312" s="6" t="n">
        <v>289</v>
      </c>
      <c r="B312" s="7" t="inlineStr">
        <is>
          <t>Cọc khoan nhồi C1 Mố M2 (D1.2m, L=36.0m)</t>
        </is>
      </c>
      <c r="C312" s="7" t="inlineStr">
        <is>
          <t>Cốt thép chủ chịu lực cọc</t>
        </is>
      </c>
      <c r="D312" s="18" t="inlineStr">
        <is>
          <t>P2B</t>
        </is>
      </c>
      <c r="E312" s="19" t="n">
        <v>25</v>
      </c>
      <c r="F312" s="6" t="inlineStr">
        <is>
          <t>CB400-V</t>
        </is>
      </c>
      <c r="G312" s="7" t="inlineStr">
        <is>
          <t>Thanh thẳng nối ren/hàn</t>
        </is>
      </c>
      <c r="H312" s="20" t="n">
        <v>2.985</v>
      </c>
      <c r="I312" s="21" t="n">
        <v>10</v>
      </c>
      <c r="J312" s="22" t="n">
        <v>3.85</v>
      </c>
      <c r="K312" s="9">
        <f>ROUND(H312*I312*J312, 2)</f>
        <v/>
      </c>
      <c r="L312" s="23">
        <f>ROUND(K312/1000, 3)</f>
        <v/>
      </c>
      <c r="M312" s="8" t="n"/>
      <c r="N312" s="6" t="n"/>
      <c r="O312" s="24">
        <f>IF(AND(E312&lt;=10, F312&lt;&gt;"ASTM A416", INT(P312/20)&gt;INT(P311/20)), "TN Ø10 (Lần " &amp; INT(P312/20) &amp; ")", IF(AND(E312=12, INT(Q312/20)&gt;INT(Q311/20)), "TN Ø12 (Lần " &amp; INT(Q312/20) &amp; ")", IF(AND(E312=14, INT(R312/20)&gt;INT(R311/20)), "TN Ø14 (Lần " &amp; INT(R312/20) &amp; ")", IF(AND(E312=16, INT(S312/20)&gt;INT(S311/20)), "TN Ø16 (Lần " &amp; INT(S312/20) &amp; ")", IF(AND(E312=18, INT(T312/20)&gt;INT(T311/20)), "TN Ø18 (Lần " &amp; INT(T312/20) &amp; ")", IF(AND(E312=20, INT(U312/20)&gt;INT(U311/20)), "TN Ø20 (Lần " &amp; INT(U312/20) &amp; ")", IF(AND(E312=22, INT(V312/20)&gt;INT(V311/20)), "TN Ø22 (Lần " &amp; INT(V312/20) &amp; ")", IF(AND(E312=25, INT(W312/20)&gt;INT(W311/20)), "TN Ø25 (Lần " &amp; INT(W312/20) &amp; ")", IF(AND(E312=28, INT(X312/20)&gt;INT(X311/20)), "TN Ø28 (Lần " &amp; INT(X312/20) &amp; ")", IF(AND(E312=32, INT(Y312/20)&gt;INT(Y311/20)), "TN Ø32 (Lần " &amp; INT(Y312/20) &amp; ")", IF(AND(F312="ASTM A416", INT(Z312/20)&gt;INT(Z311/20)), "TN Cáp 15.2 (Lần " &amp; INT(Z312/20) &amp; ")", "")))))))))))</f>
        <v/>
      </c>
      <c r="P312" s="20">
        <f>ROUND(P311 + IF(AND(E312&lt;=10, F312&lt;&gt;"ASTM A416"), L312, 0), 3)</f>
        <v/>
      </c>
      <c r="Q312" s="20">
        <f>ROUND(Q311 + IF(AND(E312=12, F312&lt;&gt;"ASTM A416"), L312, 0), 3)</f>
        <v/>
      </c>
      <c r="R312" s="20">
        <f>ROUND(R311 + IF(AND(E312=14, F312&lt;&gt;"ASTM A416"), L312, 0), 3)</f>
        <v/>
      </c>
      <c r="S312" s="20">
        <f>ROUND(S311 + IF(AND(E312=16, F312&lt;&gt;"ASTM A416"), L312, 0), 3)</f>
        <v/>
      </c>
      <c r="T312" s="20">
        <f>ROUND(T311 + IF(AND(E312=18, F312&lt;&gt;"ASTM A416"), L312, 0), 3)</f>
        <v/>
      </c>
      <c r="U312" s="20">
        <f>ROUND(U311 + IF(AND(E312=20, F312&lt;&gt;"ASTM A416"), L312, 0), 3)</f>
        <v/>
      </c>
      <c r="V312" s="20">
        <f>ROUND(V311 + IF(AND(E312=22, F312&lt;&gt;"ASTM A416"), L312, 0), 3)</f>
        <v/>
      </c>
      <c r="W312" s="20">
        <f>ROUND(W311 + IF(AND(E312=25, F312&lt;&gt;"ASTM A416"), L312, 0), 3)</f>
        <v/>
      </c>
      <c r="X312" s="20">
        <f>ROUND(X311 + IF(AND(E312=28, F312&lt;&gt;"ASTM A416"), L312, 0), 3)</f>
        <v/>
      </c>
      <c r="Y312" s="20">
        <f>ROUND(Y311 + IF(AND(E312=32, F312&lt;&gt;"ASTM A416"), L312, 0), 3)</f>
        <v/>
      </c>
      <c r="Z312" s="20">
        <f>ROUND(Z311 + IF(F312="ASTM A416", L312, 0), 3)</f>
        <v/>
      </c>
      <c r="AA312" s="11">
        <f>IF(INT(P312/20)&gt;INT(P311/20), "Lần " &amp; INT(P312/20), "")</f>
        <v/>
      </c>
      <c r="AB312" s="11">
        <f>IF(INT(Q312/20)&gt;INT(Q311/20), "Lần " &amp; INT(Q312/20), "")</f>
        <v/>
      </c>
      <c r="AC312" s="11">
        <f>IF(INT(R312/20)&gt;INT(R311/20), "Lần " &amp; INT(R312/20), "")</f>
        <v/>
      </c>
      <c r="AD312" s="11">
        <f>IF(INT(S312/20)&gt;INT(S311/20), "Lần " &amp; INT(S312/20), "")</f>
        <v/>
      </c>
      <c r="AE312" s="11">
        <f>IF(INT(T312/20)&gt;INT(T311/20), "Lần " &amp; INT(T312/20), "")</f>
        <v/>
      </c>
      <c r="AF312" s="11">
        <f>IF(INT(U312/20)&gt;INT(U311/20), "Lần " &amp; INT(U312/20), "")</f>
        <v/>
      </c>
      <c r="AG312" s="11">
        <f>IF(INT(V312/20)&gt;INT(V311/20), "Lần " &amp; INT(V312/20), "")</f>
        <v/>
      </c>
      <c r="AH312" s="11">
        <f>IF(INT(W312/20)&gt;INT(W311/20), "Lần " &amp; INT(W312/20), "")</f>
        <v/>
      </c>
      <c r="AI312" s="11">
        <f>IF(INT(X312/20)&gt;INT(X311/20), "Lần " &amp; INT(X312/20), "")</f>
        <v/>
      </c>
      <c r="AJ312" s="11">
        <f>IF(INT(Y312/20)&gt;INT(Y311/20), "Lần " &amp; INT(Y312/20), "")</f>
        <v/>
      </c>
      <c r="AK312" s="11">
        <f>IF(INT(Z312/20)&gt;INT(Z311/20), "Lần " &amp; INT(Z312/20), "")</f>
        <v/>
      </c>
      <c r="AL312" s="6" t="inlineStr">
        <is>
          <t>ĐẠT TCVN 1651:2018</t>
        </is>
      </c>
    </row>
    <row r="313" ht="19" customHeight="1">
      <c r="A313" s="6" t="n">
        <v>290</v>
      </c>
      <c r="B313" s="7" t="inlineStr">
        <is>
          <t>Cọc khoan nhồi C1 Mố M2 (D1.2m, L=36.0m)</t>
        </is>
      </c>
      <c r="C313" s="7" t="inlineStr">
        <is>
          <t>Cốt thép chủ chịu lực cọc</t>
        </is>
      </c>
      <c r="D313" s="18" t="inlineStr">
        <is>
          <t>P3</t>
        </is>
      </c>
      <c r="E313" s="19" t="n">
        <v>28</v>
      </c>
      <c r="F313" s="6" t="inlineStr">
        <is>
          <t>CB400-V</t>
        </is>
      </c>
      <c r="G313" s="7" t="inlineStr">
        <is>
          <t>Thanh thẳng nối ren/hàn</t>
        </is>
      </c>
      <c r="H313" s="20" t="n">
        <v>10.7</v>
      </c>
      <c r="I313" s="21" t="n">
        <v>12</v>
      </c>
      <c r="J313" s="22" t="n">
        <v>4.83</v>
      </c>
      <c r="K313" s="9">
        <f>ROUND(H313*I313*J313, 2)</f>
        <v/>
      </c>
      <c r="L313" s="23">
        <f>ROUND(K313/1000, 3)</f>
        <v/>
      </c>
      <c r="M313" s="8" t="n"/>
      <c r="N313" s="6" t="n"/>
      <c r="O313" s="24">
        <f>IF(AND(E313&lt;=10, F313&lt;&gt;"ASTM A416", INT(P313/20)&gt;INT(P312/20)), "TN Ø10 (Lần " &amp; INT(P313/20) &amp; ")", IF(AND(E313=12, INT(Q313/20)&gt;INT(Q312/20)), "TN Ø12 (Lần " &amp; INT(Q313/20) &amp; ")", IF(AND(E313=14, INT(R313/20)&gt;INT(R312/20)), "TN Ø14 (Lần " &amp; INT(R313/20) &amp; ")", IF(AND(E313=16, INT(S313/20)&gt;INT(S312/20)), "TN Ø16 (Lần " &amp; INT(S313/20) &amp; ")", IF(AND(E313=18, INT(T313/20)&gt;INT(T312/20)), "TN Ø18 (Lần " &amp; INT(T313/20) &amp; ")", IF(AND(E313=20, INT(U313/20)&gt;INT(U312/20)), "TN Ø20 (Lần " &amp; INT(U313/20) &amp; ")", IF(AND(E313=22, INT(V313/20)&gt;INT(V312/20)), "TN Ø22 (Lần " &amp; INT(V313/20) &amp; ")", IF(AND(E313=25, INT(W313/20)&gt;INT(W312/20)), "TN Ø25 (Lần " &amp; INT(W313/20) &amp; ")", IF(AND(E313=28, INT(X313/20)&gt;INT(X312/20)), "TN Ø28 (Lần " &amp; INT(X313/20) &amp; ")", IF(AND(E313=32, INT(Y313/20)&gt;INT(Y312/20)), "TN Ø32 (Lần " &amp; INT(Y313/20) &amp; ")", IF(AND(F313="ASTM A416", INT(Z313/20)&gt;INT(Z312/20)), "TN Cáp 15.2 (Lần " &amp; INT(Z313/20) &amp; ")", "")))))))))))</f>
        <v/>
      </c>
      <c r="P313" s="20">
        <f>ROUND(P312 + IF(AND(E313&lt;=10, F313&lt;&gt;"ASTM A416"), L313, 0), 3)</f>
        <v/>
      </c>
      <c r="Q313" s="20">
        <f>ROUND(Q312 + IF(AND(E313=12, F313&lt;&gt;"ASTM A416"), L313, 0), 3)</f>
        <v/>
      </c>
      <c r="R313" s="20">
        <f>ROUND(R312 + IF(AND(E313=14, F313&lt;&gt;"ASTM A416"), L313, 0), 3)</f>
        <v/>
      </c>
      <c r="S313" s="20">
        <f>ROUND(S312 + IF(AND(E313=16, F313&lt;&gt;"ASTM A416"), L313, 0), 3)</f>
        <v/>
      </c>
      <c r="T313" s="20">
        <f>ROUND(T312 + IF(AND(E313=18, F313&lt;&gt;"ASTM A416"), L313, 0), 3)</f>
        <v/>
      </c>
      <c r="U313" s="20">
        <f>ROUND(U312 + IF(AND(E313=20, F313&lt;&gt;"ASTM A416"), L313, 0), 3)</f>
        <v/>
      </c>
      <c r="V313" s="20">
        <f>ROUND(V312 + IF(AND(E313=22, F313&lt;&gt;"ASTM A416"), L313, 0), 3)</f>
        <v/>
      </c>
      <c r="W313" s="20">
        <f>ROUND(W312 + IF(AND(E313=25, F313&lt;&gt;"ASTM A416"), L313, 0), 3)</f>
        <v/>
      </c>
      <c r="X313" s="20">
        <f>ROUND(X312 + IF(AND(E313=28, F313&lt;&gt;"ASTM A416"), L313, 0), 3)</f>
        <v/>
      </c>
      <c r="Y313" s="20">
        <f>ROUND(Y312 + IF(AND(E313=32, F313&lt;&gt;"ASTM A416"), L313, 0), 3)</f>
        <v/>
      </c>
      <c r="Z313" s="20">
        <f>ROUND(Z312 + IF(F313="ASTM A416", L313, 0), 3)</f>
        <v/>
      </c>
      <c r="AA313" s="11">
        <f>IF(INT(P313/20)&gt;INT(P312/20), "Lần " &amp; INT(P313/20), "")</f>
        <v/>
      </c>
      <c r="AB313" s="11">
        <f>IF(INT(Q313/20)&gt;INT(Q312/20), "Lần " &amp; INT(Q313/20), "")</f>
        <v/>
      </c>
      <c r="AC313" s="11">
        <f>IF(INT(R313/20)&gt;INT(R312/20), "Lần " &amp; INT(R313/20), "")</f>
        <v/>
      </c>
      <c r="AD313" s="11">
        <f>IF(INT(S313/20)&gt;INT(S312/20), "Lần " &amp; INT(S313/20), "")</f>
        <v/>
      </c>
      <c r="AE313" s="11">
        <f>IF(INT(T313/20)&gt;INT(T312/20), "Lần " &amp; INT(T313/20), "")</f>
        <v/>
      </c>
      <c r="AF313" s="11">
        <f>IF(INT(U313/20)&gt;INT(U312/20), "Lần " &amp; INT(U313/20), "")</f>
        <v/>
      </c>
      <c r="AG313" s="11">
        <f>IF(INT(V313/20)&gt;INT(V312/20), "Lần " &amp; INT(V313/20), "")</f>
        <v/>
      </c>
      <c r="AH313" s="11">
        <f>IF(INT(W313/20)&gt;INT(W312/20), "Lần " &amp; INT(W313/20), "")</f>
        <v/>
      </c>
      <c r="AI313" s="11">
        <f>IF(INT(X313/20)&gt;INT(X312/20), "Lần " &amp; INT(X313/20), "")</f>
        <v/>
      </c>
      <c r="AJ313" s="11">
        <f>IF(INT(Y313/20)&gt;INT(Y312/20), "Lần " &amp; INT(Y313/20), "")</f>
        <v/>
      </c>
      <c r="AK313" s="11">
        <f>IF(INT(Z313/20)&gt;INT(Z312/20), "Lần " &amp; INT(Z313/20), "")</f>
        <v/>
      </c>
      <c r="AL313" s="6" t="inlineStr">
        <is>
          <t>ĐẠT TCVN 1651:2018</t>
        </is>
      </c>
    </row>
    <row r="314" ht="19" customHeight="1">
      <c r="A314" s="6" t="n">
        <v>291</v>
      </c>
      <c r="B314" s="7" t="inlineStr">
        <is>
          <t>Cọc khoan nhồi C1 Mố M2 (D1.2m, L=36.0m)</t>
        </is>
      </c>
      <c r="C314" s="7" t="inlineStr">
        <is>
          <t>Cốt thép chủ chịu lực cọc</t>
        </is>
      </c>
      <c r="D314" s="18" t="inlineStr">
        <is>
          <t>P4</t>
        </is>
      </c>
      <c r="E314" s="19" t="n">
        <v>28</v>
      </c>
      <c r="F314" s="6" t="inlineStr">
        <is>
          <t>CB400-V</t>
        </is>
      </c>
      <c r="G314" s="7" t="inlineStr">
        <is>
          <t>Thanh thẳng nối ren/hàn</t>
        </is>
      </c>
      <c r="H314" s="20" t="n">
        <v>11.7</v>
      </c>
      <c r="I314" s="21" t="n">
        <v>12</v>
      </c>
      <c r="J314" s="22" t="n">
        <v>4.83</v>
      </c>
      <c r="K314" s="9">
        <f>ROUND(H314*I314*J314, 2)</f>
        <v/>
      </c>
      <c r="L314" s="23">
        <f>ROUND(K314/1000, 3)</f>
        <v/>
      </c>
      <c r="M314" s="8" t="n"/>
      <c r="N314" s="6" t="n"/>
      <c r="O314" s="24">
        <f>IF(AND(E314&lt;=10, F314&lt;&gt;"ASTM A416", INT(P314/20)&gt;INT(P313/20)), "TN Ø10 (Lần " &amp; INT(P314/20) &amp; ")", IF(AND(E314=12, INT(Q314/20)&gt;INT(Q313/20)), "TN Ø12 (Lần " &amp; INT(Q314/20) &amp; ")", IF(AND(E314=14, INT(R314/20)&gt;INT(R313/20)), "TN Ø14 (Lần " &amp; INT(R314/20) &amp; ")", IF(AND(E314=16, INT(S314/20)&gt;INT(S313/20)), "TN Ø16 (Lần " &amp; INT(S314/20) &amp; ")", IF(AND(E314=18, INT(T314/20)&gt;INT(T313/20)), "TN Ø18 (Lần " &amp; INT(T314/20) &amp; ")", IF(AND(E314=20, INT(U314/20)&gt;INT(U313/20)), "TN Ø20 (Lần " &amp; INT(U314/20) &amp; ")", IF(AND(E314=22, INT(V314/20)&gt;INT(V313/20)), "TN Ø22 (Lần " &amp; INT(V314/20) &amp; ")", IF(AND(E314=25, INT(W314/20)&gt;INT(W313/20)), "TN Ø25 (Lần " &amp; INT(W314/20) &amp; ")", IF(AND(E314=28, INT(X314/20)&gt;INT(X313/20)), "TN Ø28 (Lần " &amp; INT(X314/20) &amp; ")", IF(AND(E314=32, INT(Y314/20)&gt;INT(Y313/20)), "TN Ø32 (Lần " &amp; INT(Y314/20) &amp; ")", IF(AND(F314="ASTM A416", INT(Z314/20)&gt;INT(Z313/20)), "TN Cáp 15.2 (Lần " &amp; INT(Z314/20) &amp; ")", "")))))))))))</f>
        <v/>
      </c>
      <c r="P314" s="20">
        <f>ROUND(P313 + IF(AND(E314&lt;=10, F314&lt;&gt;"ASTM A416"), L314, 0), 3)</f>
        <v/>
      </c>
      <c r="Q314" s="20">
        <f>ROUND(Q313 + IF(AND(E314=12, F314&lt;&gt;"ASTM A416"), L314, 0), 3)</f>
        <v/>
      </c>
      <c r="R314" s="20">
        <f>ROUND(R313 + IF(AND(E314=14, F314&lt;&gt;"ASTM A416"), L314, 0), 3)</f>
        <v/>
      </c>
      <c r="S314" s="20">
        <f>ROUND(S313 + IF(AND(E314=16, F314&lt;&gt;"ASTM A416"), L314, 0), 3)</f>
        <v/>
      </c>
      <c r="T314" s="20">
        <f>ROUND(T313 + IF(AND(E314=18, F314&lt;&gt;"ASTM A416"), L314, 0), 3)</f>
        <v/>
      </c>
      <c r="U314" s="20">
        <f>ROUND(U313 + IF(AND(E314=20, F314&lt;&gt;"ASTM A416"), L314, 0), 3)</f>
        <v/>
      </c>
      <c r="V314" s="20">
        <f>ROUND(V313 + IF(AND(E314=22, F314&lt;&gt;"ASTM A416"), L314, 0), 3)</f>
        <v/>
      </c>
      <c r="W314" s="20">
        <f>ROUND(W313 + IF(AND(E314=25, F314&lt;&gt;"ASTM A416"), L314, 0), 3)</f>
        <v/>
      </c>
      <c r="X314" s="20">
        <f>ROUND(X313 + IF(AND(E314=28, F314&lt;&gt;"ASTM A416"), L314, 0), 3)</f>
        <v/>
      </c>
      <c r="Y314" s="20">
        <f>ROUND(Y313 + IF(AND(E314=32, F314&lt;&gt;"ASTM A416"), L314, 0), 3)</f>
        <v/>
      </c>
      <c r="Z314" s="20">
        <f>ROUND(Z313 + IF(F314="ASTM A416", L314, 0), 3)</f>
        <v/>
      </c>
      <c r="AA314" s="11">
        <f>IF(INT(P314/20)&gt;INT(P313/20), "Lần " &amp; INT(P314/20), "")</f>
        <v/>
      </c>
      <c r="AB314" s="11">
        <f>IF(INT(Q314/20)&gt;INT(Q313/20), "Lần " &amp; INT(Q314/20), "")</f>
        <v/>
      </c>
      <c r="AC314" s="11">
        <f>IF(INT(R314/20)&gt;INT(R313/20), "Lần " &amp; INT(R314/20), "")</f>
        <v/>
      </c>
      <c r="AD314" s="11">
        <f>IF(INT(S314/20)&gt;INT(S313/20), "Lần " &amp; INT(S314/20), "")</f>
        <v/>
      </c>
      <c r="AE314" s="11">
        <f>IF(INT(T314/20)&gt;INT(T313/20), "Lần " &amp; INT(T314/20), "")</f>
        <v/>
      </c>
      <c r="AF314" s="11">
        <f>IF(INT(U314/20)&gt;INT(U313/20), "Lần " &amp; INT(U314/20), "")</f>
        <v/>
      </c>
      <c r="AG314" s="11">
        <f>IF(INT(V314/20)&gt;INT(V313/20), "Lần " &amp; INT(V314/20), "")</f>
        <v/>
      </c>
      <c r="AH314" s="11">
        <f>IF(INT(W314/20)&gt;INT(W313/20), "Lần " &amp; INT(W314/20), "")</f>
        <v/>
      </c>
      <c r="AI314" s="11">
        <f>IF(INT(X314/20)&gt;INT(X313/20), "Lần " &amp; INT(X314/20), "")</f>
        <v/>
      </c>
      <c r="AJ314" s="11">
        <f>IF(INT(Y314/20)&gt;INT(Y313/20), "Lần " &amp; INT(Y314/20), "")</f>
        <v/>
      </c>
      <c r="AK314" s="11">
        <f>IF(INT(Z314/20)&gt;INT(Z313/20), "Lần " &amp; INT(Z314/20), "")</f>
        <v/>
      </c>
      <c r="AL314" s="6" t="inlineStr">
        <is>
          <t>ĐẠT TCVN 1651:2018</t>
        </is>
      </c>
    </row>
    <row r="315" ht="19" customHeight="1">
      <c r="A315" s="6" t="n">
        <v>292</v>
      </c>
      <c r="B315" s="7" t="inlineStr">
        <is>
          <t>Cọc khoan nhồi C1 Mố M2 (D1.2m, L=36.0m)</t>
        </is>
      </c>
      <c r="C315" s="7" t="inlineStr">
        <is>
          <t>Cốt thép chủ chịu lực cọc</t>
        </is>
      </c>
      <c r="D315" s="18" t="inlineStr">
        <is>
          <t>P5</t>
        </is>
      </c>
      <c r="E315" s="19" t="n">
        <v>25</v>
      </c>
      <c r="F315" s="6" t="inlineStr">
        <is>
          <t>CB400-V</t>
        </is>
      </c>
      <c r="G315" s="7" t="inlineStr">
        <is>
          <t>Thanh thẳng nối ren/hàn</t>
        </is>
      </c>
      <c r="H315" s="20" t="n">
        <v>11.7</v>
      </c>
      <c r="I315" s="21" t="n">
        <v>48</v>
      </c>
      <c r="J315" s="22" t="n">
        <v>3.85</v>
      </c>
      <c r="K315" s="9">
        <f>ROUND(H315*I315*J315, 2)</f>
        <v/>
      </c>
      <c r="L315" s="23">
        <f>ROUND(K315/1000, 3)</f>
        <v/>
      </c>
      <c r="M315" s="8" t="n"/>
      <c r="N315" s="6" t="n"/>
      <c r="O315" s="24">
        <f>IF(AND(E315&lt;=10, F315&lt;&gt;"ASTM A416", INT(P315/20)&gt;INT(P314/20)), "TN Ø10 (Lần " &amp; INT(P315/20) &amp; ")", IF(AND(E315=12, INT(Q315/20)&gt;INT(Q314/20)), "TN Ø12 (Lần " &amp; INT(Q315/20) &amp; ")", IF(AND(E315=14, INT(R315/20)&gt;INT(R314/20)), "TN Ø14 (Lần " &amp; INT(R315/20) &amp; ")", IF(AND(E315=16, INT(S315/20)&gt;INT(S314/20)), "TN Ø16 (Lần " &amp; INT(S315/20) &amp; ")", IF(AND(E315=18, INT(T315/20)&gt;INT(T314/20)), "TN Ø18 (Lần " &amp; INT(T315/20) &amp; ")", IF(AND(E315=20, INT(U315/20)&gt;INT(U314/20)), "TN Ø20 (Lần " &amp; INT(U315/20) &amp; ")", IF(AND(E315=22, INT(V315/20)&gt;INT(V314/20)), "TN Ø22 (Lần " &amp; INT(V315/20) &amp; ")", IF(AND(E315=25, INT(W315/20)&gt;INT(W314/20)), "TN Ø25 (Lần " &amp; INT(W315/20) &amp; ")", IF(AND(E315=28, INT(X315/20)&gt;INT(X314/20)), "TN Ø28 (Lần " &amp; INT(X315/20) &amp; ")", IF(AND(E315=32, INT(Y315/20)&gt;INT(Y314/20)), "TN Ø32 (Lần " &amp; INT(Y315/20) &amp; ")", IF(AND(F315="ASTM A416", INT(Z315/20)&gt;INT(Z314/20)), "TN Cáp 15.2 (Lần " &amp; INT(Z315/20) &amp; ")", "")))))))))))</f>
        <v/>
      </c>
      <c r="P315" s="20">
        <f>ROUND(P314 + IF(AND(E315&lt;=10, F315&lt;&gt;"ASTM A416"), L315, 0), 3)</f>
        <v/>
      </c>
      <c r="Q315" s="20">
        <f>ROUND(Q314 + IF(AND(E315=12, F315&lt;&gt;"ASTM A416"), L315, 0), 3)</f>
        <v/>
      </c>
      <c r="R315" s="20">
        <f>ROUND(R314 + IF(AND(E315=14, F315&lt;&gt;"ASTM A416"), L315, 0), 3)</f>
        <v/>
      </c>
      <c r="S315" s="20">
        <f>ROUND(S314 + IF(AND(E315=16, F315&lt;&gt;"ASTM A416"), L315, 0), 3)</f>
        <v/>
      </c>
      <c r="T315" s="20">
        <f>ROUND(T314 + IF(AND(E315=18, F315&lt;&gt;"ASTM A416"), L315, 0), 3)</f>
        <v/>
      </c>
      <c r="U315" s="20">
        <f>ROUND(U314 + IF(AND(E315=20, F315&lt;&gt;"ASTM A416"), L315, 0), 3)</f>
        <v/>
      </c>
      <c r="V315" s="20">
        <f>ROUND(V314 + IF(AND(E315=22, F315&lt;&gt;"ASTM A416"), L315, 0), 3)</f>
        <v/>
      </c>
      <c r="W315" s="20">
        <f>ROUND(W314 + IF(AND(E315=25, F315&lt;&gt;"ASTM A416"), L315, 0), 3)</f>
        <v/>
      </c>
      <c r="X315" s="20">
        <f>ROUND(X314 + IF(AND(E315=28, F315&lt;&gt;"ASTM A416"), L315, 0), 3)</f>
        <v/>
      </c>
      <c r="Y315" s="20">
        <f>ROUND(Y314 + IF(AND(E315=32, F315&lt;&gt;"ASTM A416"), L315, 0), 3)</f>
        <v/>
      </c>
      <c r="Z315" s="20">
        <f>ROUND(Z314 + IF(F315="ASTM A416", L315, 0), 3)</f>
        <v/>
      </c>
      <c r="AA315" s="11">
        <f>IF(INT(P315/20)&gt;INT(P314/20), "Lần " &amp; INT(P315/20), "")</f>
        <v/>
      </c>
      <c r="AB315" s="11">
        <f>IF(INT(Q315/20)&gt;INT(Q314/20), "Lần " &amp; INT(Q315/20), "")</f>
        <v/>
      </c>
      <c r="AC315" s="11">
        <f>IF(INT(R315/20)&gt;INT(R314/20), "Lần " &amp; INT(R315/20), "")</f>
        <v/>
      </c>
      <c r="AD315" s="11">
        <f>IF(INT(S315/20)&gt;INT(S314/20), "Lần " &amp; INT(S315/20), "")</f>
        <v/>
      </c>
      <c r="AE315" s="11">
        <f>IF(INT(T315/20)&gt;INT(T314/20), "Lần " &amp; INT(T315/20), "")</f>
        <v/>
      </c>
      <c r="AF315" s="11">
        <f>IF(INT(U315/20)&gt;INT(U314/20), "Lần " &amp; INT(U315/20), "")</f>
        <v/>
      </c>
      <c r="AG315" s="11">
        <f>IF(INT(V315/20)&gt;INT(V314/20), "Lần " &amp; INT(V315/20), "")</f>
        <v/>
      </c>
      <c r="AH315" s="11">
        <f>IF(INT(W315/20)&gt;INT(W314/20), "Lần " &amp; INT(W315/20), "")</f>
        <v/>
      </c>
      <c r="AI315" s="11">
        <f>IF(INT(X315/20)&gt;INT(X314/20), "Lần " &amp; INT(X315/20), "")</f>
        <v/>
      </c>
      <c r="AJ315" s="11">
        <f>IF(INT(Y315/20)&gt;INT(Y314/20), "Lần " &amp; INT(Y315/20), "")</f>
        <v/>
      </c>
      <c r="AK315" s="11">
        <f>IF(INT(Z315/20)&gt;INT(Z314/20), "Lần " &amp; INT(Z315/20), "")</f>
        <v/>
      </c>
      <c r="AL315" s="6" t="inlineStr">
        <is>
          <t>ĐẠT TCVN 1651:2018</t>
        </is>
      </c>
    </row>
    <row r="316" ht="19" customHeight="1">
      <c r="A316" s="6" t="n">
        <v>293</v>
      </c>
      <c r="B316" s="7" t="inlineStr">
        <is>
          <t>Cọc khoan nhồi C1 Mố M2 (D1.2m, L=36.0m)</t>
        </is>
      </c>
      <c r="C316" s="7" t="inlineStr">
        <is>
          <t>Cốt thép chủ chịu lực cọc</t>
        </is>
      </c>
      <c r="D316" s="18" t="inlineStr">
        <is>
          <t>P6</t>
        </is>
      </c>
      <c r="E316" s="19" t="n">
        <v>25</v>
      </c>
      <c r="F316" s="6" t="inlineStr">
        <is>
          <t>CB400-V</t>
        </is>
      </c>
      <c r="G316" s="7" t="inlineStr">
        <is>
          <t>Thanh thẳng nối ren/hàn</t>
        </is>
      </c>
      <c r="H316" s="20" t="n">
        <v>5.153</v>
      </c>
      <c r="I316" s="21" t="n">
        <v>12</v>
      </c>
      <c r="J316" s="22" t="n">
        <v>3.85</v>
      </c>
      <c r="K316" s="9">
        <f>ROUND(H316*I316*J316, 2)</f>
        <v/>
      </c>
      <c r="L316" s="23">
        <f>ROUND(K316/1000, 3)</f>
        <v/>
      </c>
      <c r="M316" s="8" t="n"/>
      <c r="N316" s="6" t="n"/>
      <c r="O316" s="24">
        <f>IF(AND(E316&lt;=10, F316&lt;&gt;"ASTM A416", INT(P316/20)&gt;INT(P315/20)), "TN Ø10 (Lần " &amp; INT(P316/20) &amp; ")", IF(AND(E316=12, INT(Q316/20)&gt;INT(Q315/20)), "TN Ø12 (Lần " &amp; INT(Q316/20) &amp; ")", IF(AND(E316=14, INT(R316/20)&gt;INT(R315/20)), "TN Ø14 (Lần " &amp; INT(R316/20) &amp; ")", IF(AND(E316=16, INT(S316/20)&gt;INT(S315/20)), "TN Ø16 (Lần " &amp; INT(S316/20) &amp; ")", IF(AND(E316=18, INT(T316/20)&gt;INT(T315/20)), "TN Ø18 (Lần " &amp; INT(T316/20) &amp; ")", IF(AND(E316=20, INT(U316/20)&gt;INT(U315/20)), "TN Ø20 (Lần " &amp; INT(U316/20) &amp; ")", IF(AND(E316=22, INT(V316/20)&gt;INT(V315/20)), "TN Ø22 (Lần " &amp; INT(V316/20) &amp; ")", IF(AND(E316=25, INT(W316/20)&gt;INT(W315/20)), "TN Ø25 (Lần " &amp; INT(W316/20) &amp; ")", IF(AND(E316=28, INT(X316/20)&gt;INT(X315/20)), "TN Ø28 (Lần " &amp; INT(X316/20) &amp; ")", IF(AND(E316=32, INT(Y316/20)&gt;INT(Y315/20)), "TN Ø32 (Lần " &amp; INT(Y316/20) &amp; ")", IF(AND(F316="ASTM A416", INT(Z316/20)&gt;INT(Z315/20)), "TN Cáp 15.2 (Lần " &amp; INT(Z316/20) &amp; ")", "")))))))))))</f>
        <v/>
      </c>
      <c r="P316" s="20">
        <f>ROUND(P315 + IF(AND(E316&lt;=10, F316&lt;&gt;"ASTM A416"), L316, 0), 3)</f>
        <v/>
      </c>
      <c r="Q316" s="20">
        <f>ROUND(Q315 + IF(AND(E316=12, F316&lt;&gt;"ASTM A416"), L316, 0), 3)</f>
        <v/>
      </c>
      <c r="R316" s="20">
        <f>ROUND(R315 + IF(AND(E316=14, F316&lt;&gt;"ASTM A416"), L316, 0), 3)</f>
        <v/>
      </c>
      <c r="S316" s="20">
        <f>ROUND(S315 + IF(AND(E316=16, F316&lt;&gt;"ASTM A416"), L316, 0), 3)</f>
        <v/>
      </c>
      <c r="T316" s="20">
        <f>ROUND(T315 + IF(AND(E316=18, F316&lt;&gt;"ASTM A416"), L316, 0), 3)</f>
        <v/>
      </c>
      <c r="U316" s="20">
        <f>ROUND(U315 + IF(AND(E316=20, F316&lt;&gt;"ASTM A416"), L316, 0), 3)</f>
        <v/>
      </c>
      <c r="V316" s="20">
        <f>ROUND(V315 + IF(AND(E316=22, F316&lt;&gt;"ASTM A416"), L316, 0), 3)</f>
        <v/>
      </c>
      <c r="W316" s="20">
        <f>ROUND(W315 + IF(AND(E316=25, F316&lt;&gt;"ASTM A416"), L316, 0), 3)</f>
        <v/>
      </c>
      <c r="X316" s="20">
        <f>ROUND(X315 + IF(AND(E316=28, F316&lt;&gt;"ASTM A416"), L316, 0), 3)</f>
        <v/>
      </c>
      <c r="Y316" s="20">
        <f>ROUND(Y315 + IF(AND(E316=32, F316&lt;&gt;"ASTM A416"), L316, 0), 3)</f>
        <v/>
      </c>
      <c r="Z316" s="20">
        <f>ROUND(Z315 + IF(F316="ASTM A416", L316, 0), 3)</f>
        <v/>
      </c>
      <c r="AA316" s="11">
        <f>IF(INT(P316/20)&gt;INT(P315/20), "Lần " &amp; INT(P316/20), "")</f>
        <v/>
      </c>
      <c r="AB316" s="11">
        <f>IF(INT(Q316/20)&gt;INT(Q315/20), "Lần " &amp; INT(Q316/20), "")</f>
        <v/>
      </c>
      <c r="AC316" s="11">
        <f>IF(INT(R316/20)&gt;INT(R315/20), "Lần " &amp; INT(R316/20), "")</f>
        <v/>
      </c>
      <c r="AD316" s="11">
        <f>IF(INT(S316/20)&gt;INT(S315/20), "Lần " &amp; INT(S316/20), "")</f>
        <v/>
      </c>
      <c r="AE316" s="11">
        <f>IF(INT(T316/20)&gt;INT(T315/20), "Lần " &amp; INT(T316/20), "")</f>
        <v/>
      </c>
      <c r="AF316" s="11">
        <f>IF(INT(U316/20)&gt;INT(U315/20), "Lần " &amp; INT(U316/20), "")</f>
        <v/>
      </c>
      <c r="AG316" s="11">
        <f>IF(INT(V316/20)&gt;INT(V315/20), "Lần " &amp; INT(V316/20), "")</f>
        <v/>
      </c>
      <c r="AH316" s="11">
        <f>IF(INT(W316/20)&gt;INT(W315/20), "Lần " &amp; INT(W316/20), "")</f>
        <v/>
      </c>
      <c r="AI316" s="11">
        <f>IF(INT(X316/20)&gt;INT(X315/20), "Lần " &amp; INT(X316/20), "")</f>
        <v/>
      </c>
      <c r="AJ316" s="11">
        <f>IF(INT(Y316/20)&gt;INT(Y315/20), "Lần " &amp; INT(Y316/20), "")</f>
        <v/>
      </c>
      <c r="AK316" s="11">
        <f>IF(INT(Z316/20)&gt;INT(Z315/20), "Lần " &amp; INT(Z316/20), "")</f>
        <v/>
      </c>
      <c r="AL316" s="6" t="inlineStr">
        <is>
          <t>ĐẠT TCVN 1651:2018</t>
        </is>
      </c>
    </row>
    <row r="317" ht="19" customHeight="1">
      <c r="A317" s="6" t="n">
        <v>294</v>
      </c>
      <c r="B317" s="7" t="inlineStr">
        <is>
          <t>Cọc khoan nhồi C1 Mố M2 (D1.2m, L=36.0m)</t>
        </is>
      </c>
      <c r="C317" s="7" t="inlineStr">
        <is>
          <t>Cốt thép chủ chịu lực cọc</t>
        </is>
      </c>
      <c r="D317" s="18" t="inlineStr">
        <is>
          <t>P7</t>
        </is>
      </c>
      <c r="E317" s="19" t="n">
        <v>25</v>
      </c>
      <c r="F317" s="6" t="inlineStr">
        <is>
          <t>CB400-V</t>
        </is>
      </c>
      <c r="G317" s="7" t="inlineStr">
        <is>
          <t>Thanh thẳng nối ren/hàn</t>
        </is>
      </c>
      <c r="H317" s="20" t="n">
        <v>6.153</v>
      </c>
      <c r="I317" s="21" t="n">
        <v>12</v>
      </c>
      <c r="J317" s="22" t="n">
        <v>3.85</v>
      </c>
      <c r="K317" s="9">
        <f>ROUND(H317*I317*J317, 2)</f>
        <v/>
      </c>
      <c r="L317" s="23">
        <f>ROUND(K317/1000, 3)</f>
        <v/>
      </c>
      <c r="M317" s="8" t="n"/>
      <c r="N317" s="6" t="n"/>
      <c r="O317" s="24">
        <f>IF(AND(E317&lt;=10, F317&lt;&gt;"ASTM A416", INT(P317/20)&gt;INT(P316/20)), "TN Ø10 (Lần " &amp; INT(P317/20) &amp; ")", IF(AND(E317=12, INT(Q317/20)&gt;INT(Q316/20)), "TN Ø12 (Lần " &amp; INT(Q317/20) &amp; ")", IF(AND(E317=14, INT(R317/20)&gt;INT(R316/20)), "TN Ø14 (Lần " &amp; INT(R317/20) &amp; ")", IF(AND(E317=16, INT(S317/20)&gt;INT(S316/20)), "TN Ø16 (Lần " &amp; INT(S317/20) &amp; ")", IF(AND(E317=18, INT(T317/20)&gt;INT(T316/20)), "TN Ø18 (Lần " &amp; INT(T317/20) &amp; ")", IF(AND(E317=20, INT(U317/20)&gt;INT(U316/20)), "TN Ø20 (Lần " &amp; INT(U317/20) &amp; ")", IF(AND(E317=22, INT(V317/20)&gt;INT(V316/20)), "TN Ø22 (Lần " &amp; INT(V317/20) &amp; ")", IF(AND(E317=25, INT(W317/20)&gt;INT(W316/20)), "TN Ø25 (Lần " &amp; INT(W317/20) &amp; ")", IF(AND(E317=28, INT(X317/20)&gt;INT(X316/20)), "TN Ø28 (Lần " &amp; INT(X317/20) &amp; ")", IF(AND(E317=32, INT(Y317/20)&gt;INT(Y316/20)), "TN Ø32 (Lần " &amp; INT(Y317/20) &amp; ")", IF(AND(F317="ASTM A416", INT(Z317/20)&gt;INT(Z316/20)), "TN Cáp 15.2 (Lần " &amp; INT(Z317/20) &amp; ")", "")))))))))))</f>
        <v/>
      </c>
      <c r="P317" s="20">
        <f>ROUND(P316 + IF(AND(E317&lt;=10, F317&lt;&gt;"ASTM A416"), L317, 0), 3)</f>
        <v/>
      </c>
      <c r="Q317" s="20">
        <f>ROUND(Q316 + IF(AND(E317=12, F317&lt;&gt;"ASTM A416"), L317, 0), 3)</f>
        <v/>
      </c>
      <c r="R317" s="20">
        <f>ROUND(R316 + IF(AND(E317=14, F317&lt;&gt;"ASTM A416"), L317, 0), 3)</f>
        <v/>
      </c>
      <c r="S317" s="20">
        <f>ROUND(S316 + IF(AND(E317=16, F317&lt;&gt;"ASTM A416"), L317, 0), 3)</f>
        <v/>
      </c>
      <c r="T317" s="20">
        <f>ROUND(T316 + IF(AND(E317=18, F317&lt;&gt;"ASTM A416"), L317, 0), 3)</f>
        <v/>
      </c>
      <c r="U317" s="20">
        <f>ROUND(U316 + IF(AND(E317=20, F317&lt;&gt;"ASTM A416"), L317, 0), 3)</f>
        <v/>
      </c>
      <c r="V317" s="20">
        <f>ROUND(V316 + IF(AND(E317=22, F317&lt;&gt;"ASTM A416"), L317, 0), 3)</f>
        <v/>
      </c>
      <c r="W317" s="20">
        <f>ROUND(W316 + IF(AND(E317=25, F317&lt;&gt;"ASTM A416"), L317, 0), 3)</f>
        <v/>
      </c>
      <c r="X317" s="20">
        <f>ROUND(X316 + IF(AND(E317=28, F317&lt;&gt;"ASTM A416"), L317, 0), 3)</f>
        <v/>
      </c>
      <c r="Y317" s="20">
        <f>ROUND(Y316 + IF(AND(E317=32, F317&lt;&gt;"ASTM A416"), L317, 0), 3)</f>
        <v/>
      </c>
      <c r="Z317" s="20">
        <f>ROUND(Z316 + IF(F317="ASTM A416", L317, 0), 3)</f>
        <v/>
      </c>
      <c r="AA317" s="11">
        <f>IF(INT(P317/20)&gt;INT(P316/20), "Lần " &amp; INT(P317/20), "")</f>
        <v/>
      </c>
      <c r="AB317" s="11">
        <f>IF(INT(Q317/20)&gt;INT(Q316/20), "Lần " &amp; INT(Q317/20), "")</f>
        <v/>
      </c>
      <c r="AC317" s="11">
        <f>IF(INT(R317/20)&gt;INT(R316/20), "Lần " &amp; INT(R317/20), "")</f>
        <v/>
      </c>
      <c r="AD317" s="11">
        <f>IF(INT(S317/20)&gt;INT(S316/20), "Lần " &amp; INT(S317/20), "")</f>
        <v/>
      </c>
      <c r="AE317" s="11">
        <f>IF(INT(T317/20)&gt;INT(T316/20), "Lần " &amp; INT(T317/20), "")</f>
        <v/>
      </c>
      <c r="AF317" s="11">
        <f>IF(INT(U317/20)&gt;INT(U316/20), "Lần " &amp; INT(U317/20), "")</f>
        <v/>
      </c>
      <c r="AG317" s="11">
        <f>IF(INT(V317/20)&gt;INT(V316/20), "Lần " &amp; INT(V317/20), "")</f>
        <v/>
      </c>
      <c r="AH317" s="11">
        <f>IF(INT(W317/20)&gt;INT(W316/20), "Lần " &amp; INT(W317/20), "")</f>
        <v/>
      </c>
      <c r="AI317" s="11">
        <f>IF(INT(X317/20)&gt;INT(X316/20), "Lần " &amp; INT(X317/20), "")</f>
        <v/>
      </c>
      <c r="AJ317" s="11">
        <f>IF(INT(Y317/20)&gt;INT(Y316/20), "Lần " &amp; INT(Y317/20), "")</f>
        <v/>
      </c>
      <c r="AK317" s="11">
        <f>IF(INT(Z317/20)&gt;INT(Z316/20), "Lần " &amp; INT(Z317/20), "")</f>
        <v/>
      </c>
      <c r="AL317" s="6" t="inlineStr">
        <is>
          <t>ĐẠT TCVN 1651:2018</t>
        </is>
      </c>
    </row>
    <row r="318" ht="19" customHeight="1">
      <c r="A318" s="6" t="n">
        <v>295</v>
      </c>
      <c r="B318" s="7" t="inlineStr">
        <is>
          <t>Cọc khoan nhồi C1 Mố M2 (D1.2m, L=36.0m)</t>
        </is>
      </c>
      <c r="C318" s="7" t="inlineStr">
        <is>
          <t>Đai tăng cường / Con kê bảo vệ</t>
        </is>
      </c>
      <c r="D318" s="18" t="inlineStr">
        <is>
          <t>P8</t>
        </is>
      </c>
      <c r="E318" s="19" t="n">
        <v>12</v>
      </c>
      <c r="F318" s="6" t="inlineStr">
        <is>
          <t>CB400-V</t>
        </is>
      </c>
      <c r="G318" s="7" t="inlineStr">
        <is>
          <t>Móc neo / Vòng đai</t>
        </is>
      </c>
      <c r="H318" s="20" t="n">
        <v>0.647</v>
      </c>
      <c r="I318" s="21" t="n">
        <v>15</v>
      </c>
      <c r="J318" s="22" t="n">
        <v>0.888</v>
      </c>
      <c r="K318" s="9">
        <f>ROUND(H318*I318*J318, 2)</f>
        <v/>
      </c>
      <c r="L318" s="23">
        <f>ROUND(K318/1000, 3)</f>
        <v/>
      </c>
      <c r="M318" s="8" t="n"/>
      <c r="N318" s="6" t="n"/>
      <c r="O318" s="24">
        <f>IF(AND(E318&lt;=10, F318&lt;&gt;"ASTM A416", INT(P318/20)&gt;INT(P317/20)), "TN Ø10 (Lần " &amp; INT(P318/20) &amp; ")", IF(AND(E318=12, INT(Q318/20)&gt;INT(Q317/20)), "TN Ø12 (Lần " &amp; INT(Q318/20) &amp; ")", IF(AND(E318=14, INT(R318/20)&gt;INT(R317/20)), "TN Ø14 (Lần " &amp; INT(R318/20) &amp; ")", IF(AND(E318=16, INT(S318/20)&gt;INT(S317/20)), "TN Ø16 (Lần " &amp; INT(S318/20) &amp; ")", IF(AND(E318=18, INT(T318/20)&gt;INT(T317/20)), "TN Ø18 (Lần " &amp; INT(T318/20) &amp; ")", IF(AND(E318=20, INT(U318/20)&gt;INT(U317/20)), "TN Ø20 (Lần " &amp; INT(U318/20) &amp; ")", IF(AND(E318=22, INT(V318/20)&gt;INT(V317/20)), "TN Ø22 (Lần " &amp; INT(V318/20) &amp; ")", IF(AND(E318=25, INT(W318/20)&gt;INT(W317/20)), "TN Ø25 (Lần " &amp; INT(W318/20) &amp; ")", IF(AND(E318=28, INT(X318/20)&gt;INT(X317/20)), "TN Ø28 (Lần " &amp; INT(X318/20) &amp; ")", IF(AND(E318=32, INT(Y318/20)&gt;INT(Y317/20)), "TN Ø32 (Lần " &amp; INT(Y318/20) &amp; ")", IF(AND(F318="ASTM A416", INT(Z318/20)&gt;INT(Z317/20)), "TN Cáp 15.2 (Lần " &amp; INT(Z318/20) &amp; ")", "")))))))))))</f>
        <v/>
      </c>
      <c r="P318" s="20">
        <f>ROUND(P317 + IF(AND(E318&lt;=10, F318&lt;&gt;"ASTM A416"), L318, 0), 3)</f>
        <v/>
      </c>
      <c r="Q318" s="20">
        <f>ROUND(Q317 + IF(AND(E318=12, F318&lt;&gt;"ASTM A416"), L318, 0), 3)</f>
        <v/>
      </c>
      <c r="R318" s="20">
        <f>ROUND(R317 + IF(AND(E318=14, F318&lt;&gt;"ASTM A416"), L318, 0), 3)</f>
        <v/>
      </c>
      <c r="S318" s="20">
        <f>ROUND(S317 + IF(AND(E318=16, F318&lt;&gt;"ASTM A416"), L318, 0), 3)</f>
        <v/>
      </c>
      <c r="T318" s="20">
        <f>ROUND(T317 + IF(AND(E318=18, F318&lt;&gt;"ASTM A416"), L318, 0), 3)</f>
        <v/>
      </c>
      <c r="U318" s="20">
        <f>ROUND(U317 + IF(AND(E318=20, F318&lt;&gt;"ASTM A416"), L318, 0), 3)</f>
        <v/>
      </c>
      <c r="V318" s="20">
        <f>ROUND(V317 + IF(AND(E318=22, F318&lt;&gt;"ASTM A416"), L318, 0), 3)</f>
        <v/>
      </c>
      <c r="W318" s="20">
        <f>ROUND(W317 + IF(AND(E318=25, F318&lt;&gt;"ASTM A416"), L318, 0), 3)</f>
        <v/>
      </c>
      <c r="X318" s="20">
        <f>ROUND(X317 + IF(AND(E318=28, F318&lt;&gt;"ASTM A416"), L318, 0), 3)</f>
        <v/>
      </c>
      <c r="Y318" s="20">
        <f>ROUND(Y317 + IF(AND(E318=32, F318&lt;&gt;"ASTM A416"), L318, 0), 3)</f>
        <v/>
      </c>
      <c r="Z318" s="20">
        <f>ROUND(Z317 + IF(F318="ASTM A416", L318, 0), 3)</f>
        <v/>
      </c>
      <c r="AA318" s="11">
        <f>IF(INT(P318/20)&gt;INT(P317/20), "Lần " &amp; INT(P318/20), "")</f>
        <v/>
      </c>
      <c r="AB318" s="11">
        <f>IF(INT(Q318/20)&gt;INT(Q317/20), "Lần " &amp; INT(Q318/20), "")</f>
        <v/>
      </c>
      <c r="AC318" s="11">
        <f>IF(INT(R318/20)&gt;INT(R317/20), "Lần " &amp; INT(R318/20), "")</f>
        <v/>
      </c>
      <c r="AD318" s="11">
        <f>IF(INT(S318/20)&gt;INT(S317/20), "Lần " &amp; INT(S318/20), "")</f>
        <v/>
      </c>
      <c r="AE318" s="11">
        <f>IF(INT(T318/20)&gt;INT(T317/20), "Lần " &amp; INT(T318/20), "")</f>
        <v/>
      </c>
      <c r="AF318" s="11">
        <f>IF(INT(U318/20)&gt;INT(U317/20), "Lần " &amp; INT(U318/20), "")</f>
        <v/>
      </c>
      <c r="AG318" s="11">
        <f>IF(INT(V318/20)&gt;INT(V317/20), "Lần " &amp; INT(V318/20), "")</f>
        <v/>
      </c>
      <c r="AH318" s="11">
        <f>IF(INT(W318/20)&gt;INT(W317/20), "Lần " &amp; INT(W318/20), "")</f>
        <v/>
      </c>
      <c r="AI318" s="11">
        <f>IF(INT(X318/20)&gt;INT(X317/20), "Lần " &amp; INT(X318/20), "")</f>
        <v/>
      </c>
      <c r="AJ318" s="11">
        <f>IF(INT(Y318/20)&gt;INT(Y317/20), "Lần " &amp; INT(Y318/20), "")</f>
        <v/>
      </c>
      <c r="AK318" s="11">
        <f>IF(INT(Z318/20)&gt;INT(Z317/20), "Lần " &amp; INT(Z318/20), "")</f>
        <v/>
      </c>
      <c r="AL318" s="6" t="inlineStr">
        <is>
          <t>ĐẠT TCVN 1651:2018</t>
        </is>
      </c>
    </row>
    <row r="319" ht="19" customHeight="1">
      <c r="A319" s="6" t="n">
        <v>296</v>
      </c>
      <c r="B319" s="7" t="inlineStr">
        <is>
          <t>Cọc khoan nhồi C1 Mố M2 (D1.2m, L=36.0m)</t>
        </is>
      </c>
      <c r="C319" s="7" t="inlineStr">
        <is>
          <t>Đai tăng cường / Con kê bảo vệ</t>
        </is>
      </c>
      <c r="D319" s="18" t="inlineStr">
        <is>
          <t>P9</t>
        </is>
      </c>
      <c r="E319" s="19" t="n">
        <v>12</v>
      </c>
      <c r="F319" s="6" t="inlineStr">
        <is>
          <t>CB400-V</t>
        </is>
      </c>
      <c r="G319" s="7" t="inlineStr">
        <is>
          <t>Móc neo / Vòng đai</t>
        </is>
      </c>
      <c r="H319" s="20" t="n">
        <v>0.379</v>
      </c>
      <c r="I319" s="21" t="n">
        <v>45</v>
      </c>
      <c r="J319" s="22" t="n">
        <v>0.888</v>
      </c>
      <c r="K319" s="9">
        <f>ROUND(H319*I319*J319, 2)</f>
        <v/>
      </c>
      <c r="L319" s="23">
        <f>ROUND(K319/1000, 3)</f>
        <v/>
      </c>
      <c r="M319" s="8" t="n"/>
      <c r="N319" s="6" t="n"/>
      <c r="O319" s="24">
        <f>IF(AND(E319&lt;=10, F319&lt;&gt;"ASTM A416", INT(P319/20)&gt;INT(P318/20)), "TN Ø10 (Lần " &amp; INT(P319/20) &amp; ")", IF(AND(E319=12, INT(Q319/20)&gt;INT(Q318/20)), "TN Ø12 (Lần " &amp; INT(Q319/20) &amp; ")", IF(AND(E319=14, INT(R319/20)&gt;INT(R318/20)), "TN Ø14 (Lần " &amp; INT(R319/20) &amp; ")", IF(AND(E319=16, INT(S319/20)&gt;INT(S318/20)), "TN Ø16 (Lần " &amp; INT(S319/20) &amp; ")", IF(AND(E319=18, INT(T319/20)&gt;INT(T318/20)), "TN Ø18 (Lần " &amp; INT(T319/20) &amp; ")", IF(AND(E319=20, INT(U319/20)&gt;INT(U318/20)), "TN Ø20 (Lần " &amp; INT(U319/20) &amp; ")", IF(AND(E319=22, INT(V319/20)&gt;INT(V318/20)), "TN Ø22 (Lần " &amp; INT(V319/20) &amp; ")", IF(AND(E319=25, INT(W319/20)&gt;INT(W318/20)), "TN Ø25 (Lần " &amp; INT(W319/20) &amp; ")", IF(AND(E319=28, INT(X319/20)&gt;INT(X318/20)), "TN Ø28 (Lần " &amp; INT(X319/20) &amp; ")", IF(AND(E319=32, INT(Y319/20)&gt;INT(Y318/20)), "TN Ø32 (Lần " &amp; INT(Y319/20) &amp; ")", IF(AND(F319="ASTM A416", INT(Z319/20)&gt;INT(Z318/20)), "TN Cáp 15.2 (Lần " &amp; INT(Z319/20) &amp; ")", "")))))))))))</f>
        <v/>
      </c>
      <c r="P319" s="20">
        <f>ROUND(P318 + IF(AND(E319&lt;=10, F319&lt;&gt;"ASTM A416"), L319, 0), 3)</f>
        <v/>
      </c>
      <c r="Q319" s="20">
        <f>ROUND(Q318 + IF(AND(E319=12, F319&lt;&gt;"ASTM A416"), L319, 0), 3)</f>
        <v/>
      </c>
      <c r="R319" s="20">
        <f>ROUND(R318 + IF(AND(E319=14, F319&lt;&gt;"ASTM A416"), L319, 0), 3)</f>
        <v/>
      </c>
      <c r="S319" s="20">
        <f>ROUND(S318 + IF(AND(E319=16, F319&lt;&gt;"ASTM A416"), L319, 0), 3)</f>
        <v/>
      </c>
      <c r="T319" s="20">
        <f>ROUND(T318 + IF(AND(E319=18, F319&lt;&gt;"ASTM A416"), L319, 0), 3)</f>
        <v/>
      </c>
      <c r="U319" s="20">
        <f>ROUND(U318 + IF(AND(E319=20, F319&lt;&gt;"ASTM A416"), L319, 0), 3)</f>
        <v/>
      </c>
      <c r="V319" s="20">
        <f>ROUND(V318 + IF(AND(E319=22, F319&lt;&gt;"ASTM A416"), L319, 0), 3)</f>
        <v/>
      </c>
      <c r="W319" s="20">
        <f>ROUND(W318 + IF(AND(E319=25, F319&lt;&gt;"ASTM A416"), L319, 0), 3)</f>
        <v/>
      </c>
      <c r="X319" s="20">
        <f>ROUND(X318 + IF(AND(E319=28, F319&lt;&gt;"ASTM A416"), L319, 0), 3)</f>
        <v/>
      </c>
      <c r="Y319" s="20">
        <f>ROUND(Y318 + IF(AND(E319=32, F319&lt;&gt;"ASTM A416"), L319, 0), 3)</f>
        <v/>
      </c>
      <c r="Z319" s="20">
        <f>ROUND(Z318 + IF(F319="ASTM A416", L319, 0), 3)</f>
        <v/>
      </c>
      <c r="AA319" s="11">
        <f>IF(INT(P319/20)&gt;INT(P318/20), "Lần " &amp; INT(P319/20), "")</f>
        <v/>
      </c>
      <c r="AB319" s="11">
        <f>IF(INT(Q319/20)&gt;INT(Q318/20), "Lần " &amp; INT(Q319/20), "")</f>
        <v/>
      </c>
      <c r="AC319" s="11">
        <f>IF(INT(R319/20)&gt;INT(R318/20), "Lần " &amp; INT(R319/20), "")</f>
        <v/>
      </c>
      <c r="AD319" s="11">
        <f>IF(INT(S319/20)&gt;INT(S318/20), "Lần " &amp; INT(S319/20), "")</f>
        <v/>
      </c>
      <c r="AE319" s="11">
        <f>IF(INT(T319/20)&gt;INT(T318/20), "Lần " &amp; INT(T319/20), "")</f>
        <v/>
      </c>
      <c r="AF319" s="11">
        <f>IF(INT(U319/20)&gt;INT(U318/20), "Lần " &amp; INT(U319/20), "")</f>
        <v/>
      </c>
      <c r="AG319" s="11">
        <f>IF(INT(V319/20)&gt;INT(V318/20), "Lần " &amp; INT(V319/20), "")</f>
        <v/>
      </c>
      <c r="AH319" s="11">
        <f>IF(INT(W319/20)&gt;INT(W318/20), "Lần " &amp; INT(W319/20), "")</f>
        <v/>
      </c>
      <c r="AI319" s="11">
        <f>IF(INT(X319/20)&gt;INT(X318/20), "Lần " &amp; INT(X319/20), "")</f>
        <v/>
      </c>
      <c r="AJ319" s="11">
        <f>IF(INT(Y319/20)&gt;INT(Y318/20), "Lần " &amp; INT(Y319/20), "")</f>
        <v/>
      </c>
      <c r="AK319" s="11">
        <f>IF(INT(Z319/20)&gt;INT(Z318/20), "Lần " &amp; INT(Z319/20), "")</f>
        <v/>
      </c>
      <c r="AL319" s="6" t="inlineStr">
        <is>
          <t>ĐẠT TCVN 1651:2018</t>
        </is>
      </c>
    </row>
    <row r="320" ht="19" customHeight="1">
      <c r="A320" s="6" t="n">
        <v>297</v>
      </c>
      <c r="B320" s="7" t="inlineStr">
        <is>
          <t>Cọc khoan nhồi C1 Mố M2 (D1.2m, L=36.0m)</t>
        </is>
      </c>
      <c r="C320" s="7" t="inlineStr">
        <is>
          <t>Thép đai xoắn lồng cọc</t>
        </is>
      </c>
      <c r="D320" s="18" t="inlineStr">
        <is>
          <t>P10</t>
        </is>
      </c>
      <c r="E320" s="19" t="n">
        <v>20</v>
      </c>
      <c r="F320" s="6" t="inlineStr">
        <is>
          <t>CB400-V</t>
        </is>
      </c>
      <c r="G320" s="7" t="inlineStr">
        <is>
          <t>Đai xoắn tròn</t>
        </is>
      </c>
      <c r="H320" s="20" t="n">
        <v>2.057</v>
      </c>
      <c r="I320" s="21" t="n">
        <v>1</v>
      </c>
      <c r="J320" s="22" t="n">
        <v>2.47</v>
      </c>
      <c r="K320" s="9">
        <f>ROUND(H320*I320*J320, 2)</f>
        <v/>
      </c>
      <c r="L320" s="23">
        <f>ROUND(K320/1000, 3)</f>
        <v/>
      </c>
      <c r="M320" s="8" t="n"/>
      <c r="N320" s="6" t="n"/>
      <c r="O320" s="24">
        <f>IF(AND(E320&lt;=10, F320&lt;&gt;"ASTM A416", INT(P320/20)&gt;INT(P319/20)), "TN Ø10 (Lần " &amp; INT(P320/20) &amp; ")", IF(AND(E320=12, INT(Q320/20)&gt;INT(Q319/20)), "TN Ø12 (Lần " &amp; INT(Q320/20) &amp; ")", IF(AND(E320=14, INT(R320/20)&gt;INT(R319/20)), "TN Ø14 (Lần " &amp; INT(R320/20) &amp; ")", IF(AND(E320=16, INT(S320/20)&gt;INT(S319/20)), "TN Ø16 (Lần " &amp; INT(S320/20) &amp; ")", IF(AND(E320=18, INT(T320/20)&gt;INT(T319/20)), "TN Ø18 (Lần " &amp; INT(T320/20) &amp; ")", IF(AND(E320=20, INT(U320/20)&gt;INT(U319/20)), "TN Ø20 (Lần " &amp; INT(U320/20) &amp; ")", IF(AND(E320=22, INT(V320/20)&gt;INT(V319/20)), "TN Ø22 (Lần " &amp; INT(V320/20) &amp; ")", IF(AND(E320=25, INT(W320/20)&gt;INT(W319/20)), "TN Ø25 (Lần " &amp; INT(W320/20) &amp; ")", IF(AND(E320=28, INT(X320/20)&gt;INT(X319/20)), "TN Ø28 (Lần " &amp; INT(X320/20) &amp; ")", IF(AND(E320=32, INT(Y320/20)&gt;INT(Y319/20)), "TN Ø32 (Lần " &amp; INT(Y320/20) &amp; ")", IF(AND(F320="ASTM A416", INT(Z320/20)&gt;INT(Z319/20)), "TN Cáp 15.2 (Lần " &amp; INT(Z320/20) &amp; ")", "")))))))))))</f>
        <v/>
      </c>
      <c r="P320" s="20">
        <f>ROUND(P319 + IF(AND(E320&lt;=10, F320&lt;&gt;"ASTM A416"), L320, 0), 3)</f>
        <v/>
      </c>
      <c r="Q320" s="20">
        <f>ROUND(Q319 + IF(AND(E320=12, F320&lt;&gt;"ASTM A416"), L320, 0), 3)</f>
        <v/>
      </c>
      <c r="R320" s="20">
        <f>ROUND(R319 + IF(AND(E320=14, F320&lt;&gt;"ASTM A416"), L320, 0), 3)</f>
        <v/>
      </c>
      <c r="S320" s="20">
        <f>ROUND(S319 + IF(AND(E320=16, F320&lt;&gt;"ASTM A416"), L320, 0), 3)</f>
        <v/>
      </c>
      <c r="T320" s="20">
        <f>ROUND(T319 + IF(AND(E320=18, F320&lt;&gt;"ASTM A416"), L320, 0), 3)</f>
        <v/>
      </c>
      <c r="U320" s="20">
        <f>ROUND(U319 + IF(AND(E320=20, F320&lt;&gt;"ASTM A416"), L320, 0), 3)</f>
        <v/>
      </c>
      <c r="V320" s="20">
        <f>ROUND(V319 + IF(AND(E320=22, F320&lt;&gt;"ASTM A416"), L320, 0), 3)</f>
        <v/>
      </c>
      <c r="W320" s="20">
        <f>ROUND(W319 + IF(AND(E320=25, F320&lt;&gt;"ASTM A416"), L320, 0), 3)</f>
        <v/>
      </c>
      <c r="X320" s="20">
        <f>ROUND(X319 + IF(AND(E320=28, F320&lt;&gt;"ASTM A416"), L320, 0), 3)</f>
        <v/>
      </c>
      <c r="Y320" s="20">
        <f>ROUND(Y319 + IF(AND(E320=32, F320&lt;&gt;"ASTM A416"), L320, 0), 3)</f>
        <v/>
      </c>
      <c r="Z320" s="20">
        <f>ROUND(Z319 + IF(F320="ASTM A416", L320, 0), 3)</f>
        <v/>
      </c>
      <c r="AA320" s="11">
        <f>IF(INT(P320/20)&gt;INT(P319/20), "Lần " &amp; INT(P320/20), "")</f>
        <v/>
      </c>
      <c r="AB320" s="11">
        <f>IF(INT(Q320/20)&gt;INT(Q319/20), "Lần " &amp; INT(Q320/20), "")</f>
        <v/>
      </c>
      <c r="AC320" s="11">
        <f>IF(INT(R320/20)&gt;INT(R319/20), "Lần " &amp; INT(R320/20), "")</f>
        <v/>
      </c>
      <c r="AD320" s="11">
        <f>IF(INT(S320/20)&gt;INT(S319/20), "Lần " &amp; INT(S320/20), "")</f>
        <v/>
      </c>
      <c r="AE320" s="11">
        <f>IF(INT(T320/20)&gt;INT(T319/20), "Lần " &amp; INT(T320/20), "")</f>
        <v/>
      </c>
      <c r="AF320" s="11">
        <f>IF(INT(U320/20)&gt;INT(U319/20), "Lần " &amp; INT(U320/20), "")</f>
        <v/>
      </c>
      <c r="AG320" s="11">
        <f>IF(INT(V320/20)&gt;INT(V319/20), "Lần " &amp; INT(V320/20), "")</f>
        <v/>
      </c>
      <c r="AH320" s="11">
        <f>IF(INT(W320/20)&gt;INT(W319/20), "Lần " &amp; INT(W320/20), "")</f>
        <v/>
      </c>
      <c r="AI320" s="11">
        <f>IF(INT(X320/20)&gt;INT(X319/20), "Lần " &amp; INT(X320/20), "")</f>
        <v/>
      </c>
      <c r="AJ320" s="11">
        <f>IF(INT(Y320/20)&gt;INT(Y319/20), "Lần " &amp; INT(Y320/20), "")</f>
        <v/>
      </c>
      <c r="AK320" s="11">
        <f>IF(INT(Z320/20)&gt;INT(Z319/20), "Lần " &amp; INT(Z320/20), "")</f>
        <v/>
      </c>
      <c r="AL320" s="6" t="inlineStr">
        <is>
          <t>ĐẠT TCVN 1651:2018</t>
        </is>
      </c>
    </row>
    <row r="321" ht="19" customHeight="1">
      <c r="A321" s="6" t="n">
        <v>298</v>
      </c>
      <c r="B321" s="7" t="inlineStr">
        <is>
          <t>Cọc khoan nhồi C1 Mố M2 (D1.2m, L=36.0m)</t>
        </is>
      </c>
      <c r="C321" s="7" t="inlineStr">
        <is>
          <t>Thanh thép treo lồng cọc</t>
        </is>
      </c>
      <c r="D321" s="18" t="inlineStr">
        <is>
          <t>P11</t>
        </is>
      </c>
      <c r="E321" s="19" t="n">
        <v>16</v>
      </c>
      <c r="F321" s="6" t="inlineStr">
        <is>
          <t>CB400-V</t>
        </is>
      </c>
      <c r="G321" s="7" t="inlineStr">
        <is>
          <t>Thanh treo lồng (bảng phụ tr.66)</t>
        </is>
      </c>
      <c r="H321" s="20" t="n">
        <v>2.484</v>
      </c>
      <c r="I321" s="21" t="n">
        <v>4</v>
      </c>
      <c r="J321" s="22" t="n">
        <v>1.58</v>
      </c>
      <c r="K321" s="9">
        <f>ROUND(H321*I321*J321, 2)</f>
        <v/>
      </c>
      <c r="L321" s="23">
        <f>ROUND(K321/1000, 3)</f>
        <v/>
      </c>
      <c r="M321" s="8" t="n"/>
      <c r="N321" s="6" t="n"/>
      <c r="O321" s="24">
        <f>IF(AND(E321&lt;=10, F321&lt;&gt;"ASTM A416", INT(P321/20)&gt;INT(P320/20)), "TN Ø10 (Lần " &amp; INT(P321/20) &amp; ")", IF(AND(E321=12, INT(Q321/20)&gt;INT(Q320/20)), "TN Ø12 (Lần " &amp; INT(Q321/20) &amp; ")", IF(AND(E321=14, INT(R321/20)&gt;INT(R320/20)), "TN Ø14 (Lần " &amp; INT(R321/20) &amp; ")", IF(AND(E321=16, INT(S321/20)&gt;INT(S320/20)), "TN Ø16 (Lần " &amp; INT(S321/20) &amp; ")", IF(AND(E321=18, INT(T321/20)&gt;INT(T320/20)), "TN Ø18 (Lần " &amp; INT(T321/20) &amp; ")", IF(AND(E321=20, INT(U321/20)&gt;INT(U320/20)), "TN Ø20 (Lần " &amp; INT(U321/20) &amp; ")", IF(AND(E321=22, INT(V321/20)&gt;INT(V320/20)), "TN Ø22 (Lần " &amp; INT(V321/20) &amp; ")", IF(AND(E321=25, INT(W321/20)&gt;INT(W320/20)), "TN Ø25 (Lần " &amp; INT(W321/20) &amp; ")", IF(AND(E321=28, INT(X321/20)&gt;INT(X320/20)), "TN Ø28 (Lần " &amp; INT(X321/20) &amp; ")", IF(AND(E321=32, INT(Y321/20)&gt;INT(Y320/20)), "TN Ø32 (Lần " &amp; INT(Y321/20) &amp; ")", IF(AND(F321="ASTM A416", INT(Z321/20)&gt;INT(Z320/20)), "TN Cáp 15.2 (Lần " &amp; INT(Z321/20) &amp; ")", "")))))))))))</f>
        <v/>
      </c>
      <c r="P321" s="20">
        <f>ROUND(P320 + IF(AND(E321&lt;=10, F321&lt;&gt;"ASTM A416"), L321, 0), 3)</f>
        <v/>
      </c>
      <c r="Q321" s="20">
        <f>ROUND(Q320 + IF(AND(E321=12, F321&lt;&gt;"ASTM A416"), L321, 0), 3)</f>
        <v/>
      </c>
      <c r="R321" s="20">
        <f>ROUND(R320 + IF(AND(E321=14, F321&lt;&gt;"ASTM A416"), L321, 0), 3)</f>
        <v/>
      </c>
      <c r="S321" s="20">
        <f>ROUND(S320 + IF(AND(E321=16, F321&lt;&gt;"ASTM A416"), L321, 0), 3)</f>
        <v/>
      </c>
      <c r="T321" s="20">
        <f>ROUND(T320 + IF(AND(E321=18, F321&lt;&gt;"ASTM A416"), L321, 0), 3)</f>
        <v/>
      </c>
      <c r="U321" s="20">
        <f>ROUND(U320 + IF(AND(E321=20, F321&lt;&gt;"ASTM A416"), L321, 0), 3)</f>
        <v/>
      </c>
      <c r="V321" s="20">
        <f>ROUND(V320 + IF(AND(E321=22, F321&lt;&gt;"ASTM A416"), L321, 0), 3)</f>
        <v/>
      </c>
      <c r="W321" s="20">
        <f>ROUND(W320 + IF(AND(E321=25, F321&lt;&gt;"ASTM A416"), L321, 0), 3)</f>
        <v/>
      </c>
      <c r="X321" s="20">
        <f>ROUND(X320 + IF(AND(E321=28, F321&lt;&gt;"ASTM A416"), L321, 0), 3)</f>
        <v/>
      </c>
      <c r="Y321" s="20">
        <f>ROUND(Y320 + IF(AND(E321=32, F321&lt;&gt;"ASTM A416"), L321, 0), 3)</f>
        <v/>
      </c>
      <c r="Z321" s="20">
        <f>ROUND(Z320 + IF(F321="ASTM A416", L321, 0), 3)</f>
        <v/>
      </c>
      <c r="AA321" s="11">
        <f>IF(INT(P321/20)&gt;INT(P320/20), "Lần " &amp; INT(P321/20), "")</f>
        <v/>
      </c>
      <c r="AB321" s="11">
        <f>IF(INT(Q321/20)&gt;INT(Q320/20), "Lần " &amp; INT(Q321/20), "")</f>
        <v/>
      </c>
      <c r="AC321" s="11">
        <f>IF(INT(R321/20)&gt;INT(R320/20), "Lần " &amp; INT(R321/20), "")</f>
        <v/>
      </c>
      <c r="AD321" s="11">
        <f>IF(INT(S321/20)&gt;INT(S320/20), "Lần " &amp; INT(S321/20), "")</f>
        <v/>
      </c>
      <c r="AE321" s="11">
        <f>IF(INT(T321/20)&gt;INT(T320/20), "Lần " &amp; INT(T321/20), "")</f>
        <v/>
      </c>
      <c r="AF321" s="11">
        <f>IF(INT(U321/20)&gt;INT(U320/20), "Lần " &amp; INT(U321/20), "")</f>
        <v/>
      </c>
      <c r="AG321" s="11">
        <f>IF(INT(V321/20)&gt;INT(V320/20), "Lần " &amp; INT(V321/20), "")</f>
        <v/>
      </c>
      <c r="AH321" s="11">
        <f>IF(INT(W321/20)&gt;INT(W320/20), "Lần " &amp; INT(W321/20), "")</f>
        <v/>
      </c>
      <c r="AI321" s="11">
        <f>IF(INT(X321/20)&gt;INT(X320/20), "Lần " &amp; INT(X321/20), "")</f>
        <v/>
      </c>
      <c r="AJ321" s="11">
        <f>IF(INT(Y321/20)&gt;INT(Y320/20), "Lần " &amp; INT(Y321/20), "")</f>
        <v/>
      </c>
      <c r="AK321" s="11">
        <f>IF(INT(Z321/20)&gt;INT(Z320/20), "Lần " &amp; INT(Z321/20), "")</f>
        <v/>
      </c>
      <c r="AL321" s="6" t="inlineStr">
        <is>
          <t>ĐẠT TCVN 1651:2018</t>
        </is>
      </c>
    </row>
    <row r="322" ht="19" customHeight="1">
      <c r="A322" s="6" t="n">
        <v>299</v>
      </c>
      <c r="B322" s="7" t="inlineStr">
        <is>
          <t>Cọc khoan nhồi C1 Mố M2 (D1.2m, L=36.0m)</t>
        </is>
      </c>
      <c r="C322" s="7" t="inlineStr">
        <is>
          <t>Thép đai xoắn lồng cọc</t>
        </is>
      </c>
      <c r="D322" s="18" t="inlineStr">
        <is>
          <t>P12</t>
        </is>
      </c>
      <c r="E322" s="19" t="n">
        <v>20</v>
      </c>
      <c r="F322" s="6" t="inlineStr">
        <is>
          <t>CB400-V</t>
        </is>
      </c>
      <c r="G322" s="7" t="inlineStr">
        <is>
          <t>Đai xoắn tròn</t>
        </is>
      </c>
      <c r="H322" s="20" t="n">
        <v>0.583</v>
      </c>
      <c r="I322" s="21" t="n">
        <v>60</v>
      </c>
      <c r="J322" s="22" t="n">
        <v>2.47</v>
      </c>
      <c r="K322" s="9">
        <f>ROUND(H322*I322*J322, 2)</f>
        <v/>
      </c>
      <c r="L322" s="23">
        <f>ROUND(K322/1000, 3)</f>
        <v/>
      </c>
      <c r="M322" s="8" t="n"/>
      <c r="N322" s="6" t="n"/>
      <c r="O322" s="24">
        <f>IF(AND(E322&lt;=10, F322&lt;&gt;"ASTM A416", INT(P322/20)&gt;INT(P321/20)), "TN Ø10 (Lần " &amp; INT(P322/20) &amp; ")", IF(AND(E322=12, INT(Q322/20)&gt;INT(Q321/20)), "TN Ø12 (Lần " &amp; INT(Q322/20) &amp; ")", IF(AND(E322=14, INT(R322/20)&gt;INT(R321/20)), "TN Ø14 (Lần " &amp; INT(R322/20) &amp; ")", IF(AND(E322=16, INT(S322/20)&gt;INT(S321/20)), "TN Ø16 (Lần " &amp; INT(S322/20) &amp; ")", IF(AND(E322=18, INT(T322/20)&gt;INT(T321/20)), "TN Ø18 (Lần " &amp; INT(T322/20) &amp; ")", IF(AND(E322=20, INT(U322/20)&gt;INT(U321/20)), "TN Ø20 (Lần " &amp; INT(U322/20) &amp; ")", IF(AND(E322=22, INT(V322/20)&gt;INT(V321/20)), "TN Ø22 (Lần " &amp; INT(V322/20) &amp; ")", IF(AND(E322=25, INT(W322/20)&gt;INT(W321/20)), "TN Ø25 (Lần " &amp; INT(W322/20) &amp; ")", IF(AND(E322=28, INT(X322/20)&gt;INT(X321/20)), "TN Ø28 (Lần " &amp; INT(X322/20) &amp; ")", IF(AND(E322=32, INT(Y322/20)&gt;INT(Y321/20)), "TN Ø32 (Lần " &amp; INT(Y322/20) &amp; ")", IF(AND(F322="ASTM A416", INT(Z322/20)&gt;INT(Z321/20)), "TN Cáp 15.2 (Lần " &amp; INT(Z322/20) &amp; ")", "")))))))))))</f>
        <v/>
      </c>
      <c r="P322" s="20">
        <f>ROUND(P321 + IF(AND(E322&lt;=10, F322&lt;&gt;"ASTM A416"), L322, 0), 3)</f>
        <v/>
      </c>
      <c r="Q322" s="20">
        <f>ROUND(Q321 + IF(AND(E322=12, F322&lt;&gt;"ASTM A416"), L322, 0), 3)</f>
        <v/>
      </c>
      <c r="R322" s="20">
        <f>ROUND(R321 + IF(AND(E322=14, F322&lt;&gt;"ASTM A416"), L322, 0), 3)</f>
        <v/>
      </c>
      <c r="S322" s="20">
        <f>ROUND(S321 + IF(AND(E322=16, F322&lt;&gt;"ASTM A416"), L322, 0), 3)</f>
        <v/>
      </c>
      <c r="T322" s="20">
        <f>ROUND(T321 + IF(AND(E322=18, F322&lt;&gt;"ASTM A416"), L322, 0), 3)</f>
        <v/>
      </c>
      <c r="U322" s="20">
        <f>ROUND(U321 + IF(AND(E322=20, F322&lt;&gt;"ASTM A416"), L322, 0), 3)</f>
        <v/>
      </c>
      <c r="V322" s="20">
        <f>ROUND(V321 + IF(AND(E322=22, F322&lt;&gt;"ASTM A416"), L322, 0), 3)</f>
        <v/>
      </c>
      <c r="W322" s="20">
        <f>ROUND(W321 + IF(AND(E322=25, F322&lt;&gt;"ASTM A416"), L322, 0), 3)</f>
        <v/>
      </c>
      <c r="X322" s="20">
        <f>ROUND(X321 + IF(AND(E322=28, F322&lt;&gt;"ASTM A416"), L322, 0), 3)</f>
        <v/>
      </c>
      <c r="Y322" s="20">
        <f>ROUND(Y321 + IF(AND(E322=32, F322&lt;&gt;"ASTM A416"), L322, 0), 3)</f>
        <v/>
      </c>
      <c r="Z322" s="20">
        <f>ROUND(Z321 + IF(F322="ASTM A416", L322, 0), 3)</f>
        <v/>
      </c>
      <c r="AA322" s="11">
        <f>IF(INT(P322/20)&gt;INT(P321/20), "Lần " &amp; INT(P322/20), "")</f>
        <v/>
      </c>
      <c r="AB322" s="11">
        <f>IF(INT(Q322/20)&gt;INT(Q321/20), "Lần " &amp; INT(Q322/20), "")</f>
        <v/>
      </c>
      <c r="AC322" s="11">
        <f>IF(INT(R322/20)&gt;INT(R321/20), "Lần " &amp; INT(R322/20), "")</f>
        <v/>
      </c>
      <c r="AD322" s="11">
        <f>IF(INT(S322/20)&gt;INT(S321/20), "Lần " &amp; INT(S322/20), "")</f>
        <v/>
      </c>
      <c r="AE322" s="11">
        <f>IF(INT(T322/20)&gt;INT(T321/20), "Lần " &amp; INT(T322/20), "")</f>
        <v/>
      </c>
      <c r="AF322" s="11">
        <f>IF(INT(U322/20)&gt;INT(U321/20), "Lần " &amp; INT(U322/20), "")</f>
        <v/>
      </c>
      <c r="AG322" s="11">
        <f>IF(INT(V322/20)&gt;INT(V321/20), "Lần " &amp; INT(V322/20), "")</f>
        <v/>
      </c>
      <c r="AH322" s="11">
        <f>IF(INT(W322/20)&gt;INT(W321/20), "Lần " &amp; INT(W322/20), "")</f>
        <v/>
      </c>
      <c r="AI322" s="11">
        <f>IF(INT(X322/20)&gt;INT(X321/20), "Lần " &amp; INT(X322/20), "")</f>
        <v/>
      </c>
      <c r="AJ322" s="11">
        <f>IF(INT(Y322/20)&gt;INT(Y321/20), "Lần " &amp; INT(Y322/20), "")</f>
        <v/>
      </c>
      <c r="AK322" s="11">
        <f>IF(INT(Z322/20)&gt;INT(Z321/20), "Lần " &amp; INT(Z322/20), "")</f>
        <v/>
      </c>
      <c r="AL322" s="6" t="inlineStr">
        <is>
          <t>ĐẠT TCVN 1651:2018</t>
        </is>
      </c>
    </row>
    <row r="323" ht="20" customHeight="1">
      <c r="A323" s="17" t="inlineStr">
        <is>
          <t>--- CỌC KHOAN NHỒI C2 MỐ M2 (D1.2M, L=36.0M) ---</t>
        </is>
      </c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5" t="n"/>
      <c r="AE323" s="5" t="n"/>
      <c r="AF323" s="5" t="n"/>
      <c r="AG323" s="5" t="n"/>
      <c r="AH323" s="5" t="n"/>
      <c r="AI323" s="5" t="n"/>
      <c r="AJ323" s="5" t="n"/>
      <c r="AK323" s="5" t="n"/>
      <c r="AL323" s="5" t="n"/>
    </row>
    <row r="324" ht="19" customHeight="1">
      <c r="A324" s="6" t="n">
        <v>300</v>
      </c>
      <c r="B324" s="7" t="inlineStr">
        <is>
          <t>Cọc khoan nhồi C2 Mố M2 (D1.2m, L=36.0m)</t>
        </is>
      </c>
      <c r="C324" s="7" t="inlineStr">
        <is>
          <t>Thép đai xoắn lồng cọc</t>
        </is>
      </c>
      <c r="D324" s="18" t="inlineStr">
        <is>
          <t>P1</t>
        </is>
      </c>
      <c r="E324" s="19" t="n">
        <v>10</v>
      </c>
      <c r="F324" s="6" t="inlineStr">
        <is>
          <t>CB240-T</t>
        </is>
      </c>
      <c r="G324" s="7" t="inlineStr">
        <is>
          <t>Đai xoắn tròn</t>
        </is>
      </c>
      <c r="H324" s="20" t="n">
        <v>96.887</v>
      </c>
      <c r="I324" s="21" t="n">
        <v>1</v>
      </c>
      <c r="J324" s="22" t="n">
        <v>0.617</v>
      </c>
      <c r="K324" s="9">
        <f>ROUND(H324*I324*J324, 2)</f>
        <v/>
      </c>
      <c r="L324" s="23">
        <f>ROUND(K324/1000, 3)</f>
        <v/>
      </c>
      <c r="M324" s="8" t="n"/>
      <c r="N324" s="6" t="n"/>
      <c r="O324" s="24">
        <f>IF(AND(E324&lt;=10, F324&lt;&gt;"ASTM A416", INT(P324/20)&gt;INT(P322/20)), "TN Ø10 (Lần " &amp; INT(P324/20) &amp; ")", IF(AND(E324=12, INT(Q324/20)&gt;INT(Q322/20)), "TN Ø12 (Lần " &amp; INT(Q324/20) &amp; ")", IF(AND(E324=14, INT(R324/20)&gt;INT(R322/20)), "TN Ø14 (Lần " &amp; INT(R324/20) &amp; ")", IF(AND(E324=16, INT(S324/20)&gt;INT(S322/20)), "TN Ø16 (Lần " &amp; INT(S324/20) &amp; ")", IF(AND(E324=18, INT(T324/20)&gt;INT(T322/20)), "TN Ø18 (Lần " &amp; INT(T324/20) &amp; ")", IF(AND(E324=20, INT(U324/20)&gt;INT(U322/20)), "TN Ø20 (Lần " &amp; INT(U324/20) &amp; ")", IF(AND(E324=22, INT(V324/20)&gt;INT(V322/20)), "TN Ø22 (Lần " &amp; INT(V324/20) &amp; ")", IF(AND(E324=25, INT(W324/20)&gt;INT(W322/20)), "TN Ø25 (Lần " &amp; INT(W324/20) &amp; ")", IF(AND(E324=28, INT(X324/20)&gt;INT(X322/20)), "TN Ø28 (Lần " &amp; INT(X324/20) &amp; ")", IF(AND(E324=32, INT(Y324/20)&gt;INT(Y322/20)), "TN Ø32 (Lần " &amp; INT(Y324/20) &amp; ")", IF(AND(F324="ASTM A416", INT(Z324/20)&gt;INT(Z322/20)), "TN Cáp 15.2 (Lần " &amp; INT(Z324/20) &amp; ")", "")))))))))))</f>
        <v/>
      </c>
      <c r="P324" s="20">
        <f>ROUND(P322 + IF(AND(E324&lt;=10, F324&lt;&gt;"ASTM A416"), L324, 0), 3)</f>
        <v/>
      </c>
      <c r="Q324" s="20">
        <f>ROUND(Q322 + IF(AND(E324=12, F324&lt;&gt;"ASTM A416"), L324, 0), 3)</f>
        <v/>
      </c>
      <c r="R324" s="20">
        <f>ROUND(R322 + IF(AND(E324=14, F324&lt;&gt;"ASTM A416"), L324, 0), 3)</f>
        <v/>
      </c>
      <c r="S324" s="20">
        <f>ROUND(S322 + IF(AND(E324=16, F324&lt;&gt;"ASTM A416"), L324, 0), 3)</f>
        <v/>
      </c>
      <c r="T324" s="20">
        <f>ROUND(T322 + IF(AND(E324=18, F324&lt;&gt;"ASTM A416"), L324, 0), 3)</f>
        <v/>
      </c>
      <c r="U324" s="20">
        <f>ROUND(U322 + IF(AND(E324=20, F324&lt;&gt;"ASTM A416"), L324, 0), 3)</f>
        <v/>
      </c>
      <c r="V324" s="20">
        <f>ROUND(V322 + IF(AND(E324=22, F324&lt;&gt;"ASTM A416"), L324, 0), 3)</f>
        <v/>
      </c>
      <c r="W324" s="20">
        <f>ROUND(W322 + IF(AND(E324=25, F324&lt;&gt;"ASTM A416"), L324, 0), 3)</f>
        <v/>
      </c>
      <c r="X324" s="20">
        <f>ROUND(X322 + IF(AND(E324=28, F324&lt;&gt;"ASTM A416"), L324, 0), 3)</f>
        <v/>
      </c>
      <c r="Y324" s="20">
        <f>ROUND(Y322 + IF(AND(E324=32, F324&lt;&gt;"ASTM A416"), L324, 0), 3)</f>
        <v/>
      </c>
      <c r="Z324" s="20">
        <f>ROUND(Z322 + IF(F324="ASTM A416", L324, 0), 3)</f>
        <v/>
      </c>
      <c r="AA324" s="11">
        <f>IF(INT(P324/20)&gt;INT(P322/20), "Lần " &amp; INT(P324/20), "")</f>
        <v/>
      </c>
      <c r="AB324" s="11">
        <f>IF(INT(Q324/20)&gt;INT(Q322/20), "Lần " &amp; INT(Q324/20), "")</f>
        <v/>
      </c>
      <c r="AC324" s="11">
        <f>IF(INT(R324/20)&gt;INT(R322/20), "Lần " &amp; INT(R324/20), "")</f>
        <v/>
      </c>
      <c r="AD324" s="11">
        <f>IF(INT(S324/20)&gt;INT(S322/20), "Lần " &amp; INT(S324/20), "")</f>
        <v/>
      </c>
      <c r="AE324" s="11">
        <f>IF(INT(T324/20)&gt;INT(T322/20), "Lần " &amp; INT(T324/20), "")</f>
        <v/>
      </c>
      <c r="AF324" s="11">
        <f>IF(INT(U324/20)&gt;INT(U322/20), "Lần " &amp; INT(U324/20), "")</f>
        <v/>
      </c>
      <c r="AG324" s="11">
        <f>IF(INT(V324/20)&gt;INT(V322/20), "Lần " &amp; INT(V324/20), "")</f>
        <v/>
      </c>
      <c r="AH324" s="11">
        <f>IF(INT(W324/20)&gt;INT(W322/20), "Lần " &amp; INT(W324/20), "")</f>
        <v/>
      </c>
      <c r="AI324" s="11">
        <f>IF(INT(X324/20)&gt;INT(X322/20), "Lần " &amp; INT(X324/20), "")</f>
        <v/>
      </c>
      <c r="AJ324" s="11">
        <f>IF(INT(Y324/20)&gt;INT(Y322/20), "Lần " &amp; INT(Y324/20), "")</f>
        <v/>
      </c>
      <c r="AK324" s="11">
        <f>IF(INT(Z324/20)&gt;INT(Z322/20), "Lần " &amp; INT(Z324/20), "")</f>
        <v/>
      </c>
      <c r="AL324" s="6" t="inlineStr">
        <is>
          <t>ĐẠT TCVN 1651:2018</t>
        </is>
      </c>
    </row>
    <row r="325" ht="19" customHeight="1">
      <c r="A325" s="6" t="n">
        <v>301</v>
      </c>
      <c r="B325" s="7" t="inlineStr">
        <is>
          <t>Cọc khoan nhồi C2 Mố M2 (D1.2m, L=36.0m)</t>
        </is>
      </c>
      <c r="C325" s="7" t="inlineStr">
        <is>
          <t>Thép đai xoắn lồng cọc</t>
        </is>
      </c>
      <c r="D325" s="18" t="inlineStr">
        <is>
          <t>P1A</t>
        </is>
      </c>
      <c r="E325" s="19" t="n">
        <v>10</v>
      </c>
      <c r="F325" s="6" t="inlineStr">
        <is>
          <t>CB240-T</t>
        </is>
      </c>
      <c r="G325" s="7" t="inlineStr">
        <is>
          <t>Đai xoắn tròn</t>
        </is>
      </c>
      <c r="H325" s="20" t="n">
        <v>390.776</v>
      </c>
      <c r="I325" s="21" t="n">
        <v>1</v>
      </c>
      <c r="J325" s="22" t="n">
        <v>0.617</v>
      </c>
      <c r="K325" s="9">
        <f>ROUND(H325*I325*J325, 2)</f>
        <v/>
      </c>
      <c r="L325" s="23">
        <f>ROUND(K325/1000, 3)</f>
        <v/>
      </c>
      <c r="M325" s="8" t="n"/>
      <c r="N325" s="6" t="n"/>
      <c r="O325" s="24">
        <f>IF(AND(E325&lt;=10, F325&lt;&gt;"ASTM A416", INT(P325/20)&gt;INT(P324/20)), "TN Ø10 (Lần " &amp; INT(P325/20) &amp; ")", IF(AND(E325=12, INT(Q325/20)&gt;INT(Q324/20)), "TN Ø12 (Lần " &amp; INT(Q325/20) &amp; ")", IF(AND(E325=14, INT(R325/20)&gt;INT(R324/20)), "TN Ø14 (Lần " &amp; INT(R325/20) &amp; ")", IF(AND(E325=16, INT(S325/20)&gt;INT(S324/20)), "TN Ø16 (Lần " &amp; INT(S325/20) &amp; ")", IF(AND(E325=18, INT(T325/20)&gt;INT(T324/20)), "TN Ø18 (Lần " &amp; INT(T325/20) &amp; ")", IF(AND(E325=20, INT(U325/20)&gt;INT(U324/20)), "TN Ø20 (Lần " &amp; INT(U325/20) &amp; ")", IF(AND(E325=22, INT(V325/20)&gt;INT(V324/20)), "TN Ø22 (Lần " &amp; INT(V325/20) &amp; ")", IF(AND(E325=25, INT(W325/20)&gt;INT(W324/20)), "TN Ø25 (Lần " &amp; INT(W325/20) &amp; ")", IF(AND(E325=28, INT(X325/20)&gt;INT(X324/20)), "TN Ø28 (Lần " &amp; INT(X325/20) &amp; ")", IF(AND(E325=32, INT(Y325/20)&gt;INT(Y324/20)), "TN Ø32 (Lần " &amp; INT(Y325/20) &amp; ")", IF(AND(F325="ASTM A416", INT(Z325/20)&gt;INT(Z324/20)), "TN Cáp 15.2 (Lần " &amp; INT(Z325/20) &amp; ")", "")))))))))))</f>
        <v/>
      </c>
      <c r="P325" s="20">
        <f>ROUND(P324 + IF(AND(E325&lt;=10, F325&lt;&gt;"ASTM A416"), L325, 0), 3)</f>
        <v/>
      </c>
      <c r="Q325" s="20">
        <f>ROUND(Q324 + IF(AND(E325=12, F325&lt;&gt;"ASTM A416"), L325, 0), 3)</f>
        <v/>
      </c>
      <c r="R325" s="20">
        <f>ROUND(R324 + IF(AND(E325=14, F325&lt;&gt;"ASTM A416"), L325, 0), 3)</f>
        <v/>
      </c>
      <c r="S325" s="20">
        <f>ROUND(S324 + IF(AND(E325=16, F325&lt;&gt;"ASTM A416"), L325, 0), 3)</f>
        <v/>
      </c>
      <c r="T325" s="20">
        <f>ROUND(T324 + IF(AND(E325=18, F325&lt;&gt;"ASTM A416"), L325, 0), 3)</f>
        <v/>
      </c>
      <c r="U325" s="20">
        <f>ROUND(U324 + IF(AND(E325=20, F325&lt;&gt;"ASTM A416"), L325, 0), 3)</f>
        <v/>
      </c>
      <c r="V325" s="20">
        <f>ROUND(V324 + IF(AND(E325=22, F325&lt;&gt;"ASTM A416"), L325, 0), 3)</f>
        <v/>
      </c>
      <c r="W325" s="20">
        <f>ROUND(W324 + IF(AND(E325=25, F325&lt;&gt;"ASTM A416"), L325, 0), 3)</f>
        <v/>
      </c>
      <c r="X325" s="20">
        <f>ROUND(X324 + IF(AND(E325=28, F325&lt;&gt;"ASTM A416"), L325, 0), 3)</f>
        <v/>
      </c>
      <c r="Y325" s="20">
        <f>ROUND(Y324 + IF(AND(E325=32, F325&lt;&gt;"ASTM A416"), L325, 0), 3)</f>
        <v/>
      </c>
      <c r="Z325" s="20">
        <f>ROUND(Z324 + IF(F325="ASTM A416", L325, 0), 3)</f>
        <v/>
      </c>
      <c r="AA325" s="11">
        <f>IF(INT(P325/20)&gt;INT(P324/20), "Lần " &amp; INT(P325/20), "")</f>
        <v/>
      </c>
      <c r="AB325" s="11">
        <f>IF(INT(Q325/20)&gt;INT(Q324/20), "Lần " &amp; INT(Q325/20), "")</f>
        <v/>
      </c>
      <c r="AC325" s="11">
        <f>IF(INT(R325/20)&gt;INT(R324/20), "Lần " &amp; INT(R325/20), "")</f>
        <v/>
      </c>
      <c r="AD325" s="11">
        <f>IF(INT(S325/20)&gt;INT(S324/20), "Lần " &amp; INT(S325/20), "")</f>
        <v/>
      </c>
      <c r="AE325" s="11">
        <f>IF(INT(T325/20)&gt;INT(T324/20), "Lần " &amp; INT(T325/20), "")</f>
        <v/>
      </c>
      <c r="AF325" s="11">
        <f>IF(INT(U325/20)&gt;INT(U324/20), "Lần " &amp; INT(U325/20), "")</f>
        <v/>
      </c>
      <c r="AG325" s="11">
        <f>IF(INT(V325/20)&gt;INT(V324/20), "Lần " &amp; INT(V325/20), "")</f>
        <v/>
      </c>
      <c r="AH325" s="11">
        <f>IF(INT(W325/20)&gt;INT(W324/20), "Lần " &amp; INT(W325/20), "")</f>
        <v/>
      </c>
      <c r="AI325" s="11">
        <f>IF(INT(X325/20)&gt;INT(X324/20), "Lần " &amp; INT(X325/20), "")</f>
        <v/>
      </c>
      <c r="AJ325" s="11">
        <f>IF(INT(Y325/20)&gt;INT(Y324/20), "Lần " &amp; INT(Y325/20), "")</f>
        <v/>
      </c>
      <c r="AK325" s="11">
        <f>IF(INT(Z325/20)&gt;INT(Z324/20), "Lần " &amp; INT(Z325/20), "")</f>
        <v/>
      </c>
      <c r="AL325" s="6" t="inlineStr">
        <is>
          <t>ĐẠT TCVN 1651:2018</t>
        </is>
      </c>
    </row>
    <row r="326" ht="19" customHeight="1">
      <c r="A326" s="6" t="n">
        <v>302</v>
      </c>
      <c r="B326" s="7" t="inlineStr">
        <is>
          <t>Cọc khoan nhồi C2 Mố M2 (D1.2m, L=36.0m)</t>
        </is>
      </c>
      <c r="C326" s="7" t="inlineStr">
        <is>
          <t>Thép đai xoắn lồng cọc</t>
        </is>
      </c>
      <c r="D326" s="18" t="inlineStr">
        <is>
          <t>P1B</t>
        </is>
      </c>
      <c r="E326" s="19" t="n">
        <v>10</v>
      </c>
      <c r="F326" s="6" t="inlineStr">
        <is>
          <t>CB240-T</t>
        </is>
      </c>
      <c r="G326" s="7" t="inlineStr">
        <is>
          <t>Đai xoắn tròn</t>
        </is>
      </c>
      <c r="H326" s="20" t="n">
        <v>164.938</v>
      </c>
      <c r="I326" s="21" t="n">
        <v>1</v>
      </c>
      <c r="J326" s="22" t="n">
        <v>0.617</v>
      </c>
      <c r="K326" s="9">
        <f>ROUND(H326*I326*J326, 2)</f>
        <v/>
      </c>
      <c r="L326" s="23">
        <f>ROUND(K326/1000, 3)</f>
        <v/>
      </c>
      <c r="M326" s="8" t="n"/>
      <c r="N326" s="6" t="n"/>
      <c r="O326" s="24">
        <f>IF(AND(E326&lt;=10, F326&lt;&gt;"ASTM A416", INT(P326/20)&gt;INT(P325/20)), "TN Ø10 (Lần " &amp; INT(P326/20) &amp; ")", IF(AND(E326=12, INT(Q326/20)&gt;INT(Q325/20)), "TN Ø12 (Lần " &amp; INT(Q326/20) &amp; ")", IF(AND(E326=14, INT(R326/20)&gt;INT(R325/20)), "TN Ø14 (Lần " &amp; INT(R326/20) &amp; ")", IF(AND(E326=16, INT(S326/20)&gt;INT(S325/20)), "TN Ø16 (Lần " &amp; INT(S326/20) &amp; ")", IF(AND(E326=18, INT(T326/20)&gt;INT(T325/20)), "TN Ø18 (Lần " &amp; INT(T326/20) &amp; ")", IF(AND(E326=20, INT(U326/20)&gt;INT(U325/20)), "TN Ø20 (Lần " &amp; INT(U326/20) &amp; ")", IF(AND(E326=22, INT(V326/20)&gt;INT(V325/20)), "TN Ø22 (Lần " &amp; INT(V326/20) &amp; ")", IF(AND(E326=25, INT(W326/20)&gt;INT(W325/20)), "TN Ø25 (Lần " &amp; INT(W326/20) &amp; ")", IF(AND(E326=28, INT(X326/20)&gt;INT(X325/20)), "TN Ø28 (Lần " &amp; INT(X326/20) &amp; ")", IF(AND(E326=32, INT(Y326/20)&gt;INT(Y325/20)), "TN Ø32 (Lần " &amp; INT(Y326/20) &amp; ")", IF(AND(F326="ASTM A416", INT(Z326/20)&gt;INT(Z325/20)), "TN Cáp 15.2 (Lần " &amp; INT(Z326/20) &amp; ")", "")))))))))))</f>
        <v/>
      </c>
      <c r="P326" s="20">
        <f>ROUND(P325 + IF(AND(E326&lt;=10, F326&lt;&gt;"ASTM A416"), L326, 0), 3)</f>
        <v/>
      </c>
      <c r="Q326" s="20">
        <f>ROUND(Q325 + IF(AND(E326=12, F326&lt;&gt;"ASTM A416"), L326, 0), 3)</f>
        <v/>
      </c>
      <c r="R326" s="20">
        <f>ROUND(R325 + IF(AND(E326=14, F326&lt;&gt;"ASTM A416"), L326, 0), 3)</f>
        <v/>
      </c>
      <c r="S326" s="20">
        <f>ROUND(S325 + IF(AND(E326=16, F326&lt;&gt;"ASTM A416"), L326, 0), 3)</f>
        <v/>
      </c>
      <c r="T326" s="20">
        <f>ROUND(T325 + IF(AND(E326=18, F326&lt;&gt;"ASTM A416"), L326, 0), 3)</f>
        <v/>
      </c>
      <c r="U326" s="20">
        <f>ROUND(U325 + IF(AND(E326=20, F326&lt;&gt;"ASTM A416"), L326, 0), 3)</f>
        <v/>
      </c>
      <c r="V326" s="20">
        <f>ROUND(V325 + IF(AND(E326=22, F326&lt;&gt;"ASTM A416"), L326, 0), 3)</f>
        <v/>
      </c>
      <c r="W326" s="20">
        <f>ROUND(W325 + IF(AND(E326=25, F326&lt;&gt;"ASTM A416"), L326, 0), 3)</f>
        <v/>
      </c>
      <c r="X326" s="20">
        <f>ROUND(X325 + IF(AND(E326=28, F326&lt;&gt;"ASTM A416"), L326, 0), 3)</f>
        <v/>
      </c>
      <c r="Y326" s="20">
        <f>ROUND(Y325 + IF(AND(E326=32, F326&lt;&gt;"ASTM A416"), L326, 0), 3)</f>
        <v/>
      </c>
      <c r="Z326" s="20">
        <f>ROUND(Z325 + IF(F326="ASTM A416", L326, 0), 3)</f>
        <v/>
      </c>
      <c r="AA326" s="11">
        <f>IF(INT(P326/20)&gt;INT(P325/20), "Lần " &amp; INT(P326/20), "")</f>
        <v/>
      </c>
      <c r="AB326" s="11">
        <f>IF(INT(Q326/20)&gt;INT(Q325/20), "Lần " &amp; INT(Q326/20), "")</f>
        <v/>
      </c>
      <c r="AC326" s="11">
        <f>IF(INT(R326/20)&gt;INT(R325/20), "Lần " &amp; INT(R326/20), "")</f>
        <v/>
      </c>
      <c r="AD326" s="11">
        <f>IF(INT(S326/20)&gt;INT(S325/20), "Lần " &amp; INT(S326/20), "")</f>
        <v/>
      </c>
      <c r="AE326" s="11">
        <f>IF(INT(T326/20)&gt;INT(T325/20), "Lần " &amp; INT(T326/20), "")</f>
        <v/>
      </c>
      <c r="AF326" s="11">
        <f>IF(INT(U326/20)&gt;INT(U325/20), "Lần " &amp; INT(U326/20), "")</f>
        <v/>
      </c>
      <c r="AG326" s="11">
        <f>IF(INT(V326/20)&gt;INT(V325/20), "Lần " &amp; INT(V326/20), "")</f>
        <v/>
      </c>
      <c r="AH326" s="11">
        <f>IF(INT(W326/20)&gt;INT(W325/20), "Lần " &amp; INT(W326/20), "")</f>
        <v/>
      </c>
      <c r="AI326" s="11">
        <f>IF(INT(X326/20)&gt;INT(X325/20), "Lần " &amp; INT(X326/20), "")</f>
        <v/>
      </c>
      <c r="AJ326" s="11">
        <f>IF(INT(Y326/20)&gt;INT(Y325/20), "Lần " &amp; INT(Y326/20), "")</f>
        <v/>
      </c>
      <c r="AK326" s="11">
        <f>IF(INT(Z326/20)&gt;INT(Z325/20), "Lần " &amp; INT(Z326/20), "")</f>
        <v/>
      </c>
      <c r="AL326" s="6" t="inlineStr">
        <is>
          <t>ĐẠT TCVN 1651:2018</t>
        </is>
      </c>
    </row>
    <row r="327" ht="19" customHeight="1">
      <c r="A327" s="6" t="n">
        <v>303</v>
      </c>
      <c r="B327" s="7" t="inlineStr">
        <is>
          <t>Cọc khoan nhồi C2 Mố M2 (D1.2m, L=36.0m)</t>
        </is>
      </c>
      <c r="C327" s="7" t="inlineStr">
        <is>
          <t>Thép đai xoắn lồng cọc</t>
        </is>
      </c>
      <c r="D327" s="18" t="inlineStr">
        <is>
          <t>P1C</t>
        </is>
      </c>
      <c r="E327" s="19" t="n">
        <v>10</v>
      </c>
      <c r="F327" s="6" t="inlineStr">
        <is>
          <t>CB240-T</t>
        </is>
      </c>
      <c r="G327" s="7" t="inlineStr">
        <is>
          <t>Đai xoắn tròn</t>
        </is>
      </c>
      <c r="H327" s="20" t="n">
        <v>3.592</v>
      </c>
      <c r="I327" s="21" t="n">
        <v>2</v>
      </c>
      <c r="J327" s="22" t="n">
        <v>0.617</v>
      </c>
      <c r="K327" s="9">
        <f>ROUND(H327*I327*J327, 2)</f>
        <v/>
      </c>
      <c r="L327" s="23">
        <f>ROUND(K327/1000, 3)</f>
        <v/>
      </c>
      <c r="M327" s="8" t="n"/>
      <c r="N327" s="6" t="n"/>
      <c r="O327" s="24">
        <f>IF(AND(E327&lt;=10, F327&lt;&gt;"ASTM A416", INT(P327/20)&gt;INT(P326/20)), "TN Ø10 (Lần " &amp; INT(P327/20) &amp; ")", IF(AND(E327=12, INT(Q327/20)&gt;INT(Q326/20)), "TN Ø12 (Lần " &amp; INT(Q327/20) &amp; ")", IF(AND(E327=14, INT(R327/20)&gt;INT(R326/20)), "TN Ø14 (Lần " &amp; INT(R327/20) &amp; ")", IF(AND(E327=16, INT(S327/20)&gt;INT(S326/20)), "TN Ø16 (Lần " &amp; INT(S327/20) &amp; ")", IF(AND(E327=18, INT(T327/20)&gt;INT(T326/20)), "TN Ø18 (Lần " &amp; INT(T327/20) &amp; ")", IF(AND(E327=20, INT(U327/20)&gt;INT(U326/20)), "TN Ø20 (Lần " &amp; INT(U327/20) &amp; ")", IF(AND(E327=22, INT(V327/20)&gt;INT(V326/20)), "TN Ø22 (Lần " &amp; INT(V327/20) &amp; ")", IF(AND(E327=25, INT(W327/20)&gt;INT(W326/20)), "TN Ø25 (Lần " &amp; INT(W327/20) &amp; ")", IF(AND(E327=28, INT(X327/20)&gt;INT(X326/20)), "TN Ø28 (Lần " &amp; INT(X327/20) &amp; ")", IF(AND(E327=32, INT(Y327/20)&gt;INT(Y326/20)), "TN Ø32 (Lần " &amp; INT(Y327/20) &amp; ")", IF(AND(F327="ASTM A416", INT(Z327/20)&gt;INT(Z326/20)), "TN Cáp 15.2 (Lần " &amp; INT(Z327/20) &amp; ")", "")))))))))))</f>
        <v/>
      </c>
      <c r="P327" s="20">
        <f>ROUND(P326 + IF(AND(E327&lt;=10, F327&lt;&gt;"ASTM A416"), L327, 0), 3)</f>
        <v/>
      </c>
      <c r="Q327" s="20">
        <f>ROUND(Q326 + IF(AND(E327=12, F327&lt;&gt;"ASTM A416"), L327, 0), 3)</f>
        <v/>
      </c>
      <c r="R327" s="20">
        <f>ROUND(R326 + IF(AND(E327=14, F327&lt;&gt;"ASTM A416"), L327, 0), 3)</f>
        <v/>
      </c>
      <c r="S327" s="20">
        <f>ROUND(S326 + IF(AND(E327=16, F327&lt;&gt;"ASTM A416"), L327, 0), 3)</f>
        <v/>
      </c>
      <c r="T327" s="20">
        <f>ROUND(T326 + IF(AND(E327=18, F327&lt;&gt;"ASTM A416"), L327, 0), 3)</f>
        <v/>
      </c>
      <c r="U327" s="20">
        <f>ROUND(U326 + IF(AND(E327=20, F327&lt;&gt;"ASTM A416"), L327, 0), 3)</f>
        <v/>
      </c>
      <c r="V327" s="20">
        <f>ROUND(V326 + IF(AND(E327=22, F327&lt;&gt;"ASTM A416"), L327, 0), 3)</f>
        <v/>
      </c>
      <c r="W327" s="20">
        <f>ROUND(W326 + IF(AND(E327=25, F327&lt;&gt;"ASTM A416"), L327, 0), 3)</f>
        <v/>
      </c>
      <c r="X327" s="20">
        <f>ROUND(X326 + IF(AND(E327=28, F327&lt;&gt;"ASTM A416"), L327, 0), 3)</f>
        <v/>
      </c>
      <c r="Y327" s="20">
        <f>ROUND(Y326 + IF(AND(E327=32, F327&lt;&gt;"ASTM A416"), L327, 0), 3)</f>
        <v/>
      </c>
      <c r="Z327" s="20">
        <f>ROUND(Z326 + IF(F327="ASTM A416", L327, 0), 3)</f>
        <v/>
      </c>
      <c r="AA327" s="11">
        <f>IF(INT(P327/20)&gt;INT(P326/20), "Lần " &amp; INT(P327/20), "")</f>
        <v/>
      </c>
      <c r="AB327" s="11">
        <f>IF(INT(Q327/20)&gt;INT(Q326/20), "Lần " &amp; INT(Q327/20), "")</f>
        <v/>
      </c>
      <c r="AC327" s="11">
        <f>IF(INT(R327/20)&gt;INT(R326/20), "Lần " &amp; INT(R327/20), "")</f>
        <v/>
      </c>
      <c r="AD327" s="11">
        <f>IF(INT(S327/20)&gt;INT(S326/20), "Lần " &amp; INT(S327/20), "")</f>
        <v/>
      </c>
      <c r="AE327" s="11">
        <f>IF(INT(T327/20)&gt;INT(T326/20), "Lần " &amp; INT(T327/20), "")</f>
        <v/>
      </c>
      <c r="AF327" s="11">
        <f>IF(INT(U327/20)&gt;INT(U326/20), "Lần " &amp; INT(U327/20), "")</f>
        <v/>
      </c>
      <c r="AG327" s="11">
        <f>IF(INT(V327/20)&gt;INT(V326/20), "Lần " &amp; INT(V327/20), "")</f>
        <v/>
      </c>
      <c r="AH327" s="11">
        <f>IF(INT(W327/20)&gt;INT(W326/20), "Lần " &amp; INT(W327/20), "")</f>
        <v/>
      </c>
      <c r="AI327" s="11">
        <f>IF(INT(X327/20)&gt;INT(X326/20), "Lần " &amp; INT(X327/20), "")</f>
        <v/>
      </c>
      <c r="AJ327" s="11">
        <f>IF(INT(Y327/20)&gt;INT(Y326/20), "Lần " &amp; INT(Y327/20), "")</f>
        <v/>
      </c>
      <c r="AK327" s="11">
        <f>IF(INT(Z327/20)&gt;INT(Z326/20), "Lần " &amp; INT(Z327/20), "")</f>
        <v/>
      </c>
      <c r="AL327" s="6" t="inlineStr">
        <is>
          <t>ĐẠT TCVN 1651:2018</t>
        </is>
      </c>
    </row>
    <row r="328" ht="19" customHeight="1">
      <c r="A328" s="6" t="n">
        <v>304</v>
      </c>
      <c r="B328" s="7" t="inlineStr">
        <is>
          <t>Cọc khoan nhồi C2 Mố M2 (D1.2m, L=36.0m)</t>
        </is>
      </c>
      <c r="C328" s="7" t="inlineStr">
        <is>
          <t>Thép đai xoắn lồng cọc</t>
        </is>
      </c>
      <c r="D328" s="18" t="inlineStr">
        <is>
          <t>P1D</t>
        </is>
      </c>
      <c r="E328" s="19" t="n">
        <v>10</v>
      </c>
      <c r="F328" s="6" t="inlineStr">
        <is>
          <t>CB240-T</t>
        </is>
      </c>
      <c r="G328" s="7" t="inlineStr">
        <is>
          <t>Đai xoắn tròn</t>
        </is>
      </c>
      <c r="H328" s="20" t="n">
        <v>23.007</v>
      </c>
      <c r="I328" s="21" t="n">
        <v>1</v>
      </c>
      <c r="J328" s="22" t="n">
        <v>0.617</v>
      </c>
      <c r="K328" s="9">
        <f>ROUND(H328*I328*J328, 2)</f>
        <v/>
      </c>
      <c r="L328" s="23">
        <f>ROUND(K328/1000, 3)</f>
        <v/>
      </c>
      <c r="M328" s="8" t="n"/>
      <c r="N328" s="6" t="n"/>
      <c r="O328" s="24">
        <f>IF(AND(E328&lt;=10, F328&lt;&gt;"ASTM A416", INT(P328/20)&gt;INT(P327/20)), "TN Ø10 (Lần " &amp; INT(P328/20) &amp; ")", IF(AND(E328=12, INT(Q328/20)&gt;INT(Q327/20)), "TN Ø12 (Lần " &amp; INT(Q328/20) &amp; ")", IF(AND(E328=14, INT(R328/20)&gt;INT(R327/20)), "TN Ø14 (Lần " &amp; INT(R328/20) &amp; ")", IF(AND(E328=16, INT(S328/20)&gt;INT(S327/20)), "TN Ø16 (Lần " &amp; INT(S328/20) &amp; ")", IF(AND(E328=18, INT(T328/20)&gt;INT(T327/20)), "TN Ø18 (Lần " &amp; INT(T328/20) &amp; ")", IF(AND(E328=20, INT(U328/20)&gt;INT(U327/20)), "TN Ø20 (Lần " &amp; INT(U328/20) &amp; ")", IF(AND(E328=22, INT(V328/20)&gt;INT(V327/20)), "TN Ø22 (Lần " &amp; INT(V328/20) &amp; ")", IF(AND(E328=25, INT(W328/20)&gt;INT(W327/20)), "TN Ø25 (Lần " &amp; INT(W328/20) &amp; ")", IF(AND(E328=28, INT(X328/20)&gt;INT(X327/20)), "TN Ø28 (Lần " &amp; INT(X328/20) &amp; ")", IF(AND(E328=32, INT(Y328/20)&gt;INT(Y327/20)), "TN Ø32 (Lần " &amp; INT(Y328/20) &amp; ")", IF(AND(F328="ASTM A416", INT(Z328/20)&gt;INT(Z327/20)), "TN Cáp 15.2 (Lần " &amp; INT(Z328/20) &amp; ")", "")))))))))))</f>
        <v/>
      </c>
      <c r="P328" s="20">
        <f>ROUND(P327 + IF(AND(E328&lt;=10, F328&lt;&gt;"ASTM A416"), L328, 0), 3)</f>
        <v/>
      </c>
      <c r="Q328" s="20">
        <f>ROUND(Q327 + IF(AND(E328=12, F328&lt;&gt;"ASTM A416"), L328, 0), 3)</f>
        <v/>
      </c>
      <c r="R328" s="20">
        <f>ROUND(R327 + IF(AND(E328=14, F328&lt;&gt;"ASTM A416"), L328, 0), 3)</f>
        <v/>
      </c>
      <c r="S328" s="20">
        <f>ROUND(S327 + IF(AND(E328=16, F328&lt;&gt;"ASTM A416"), L328, 0), 3)</f>
        <v/>
      </c>
      <c r="T328" s="20">
        <f>ROUND(T327 + IF(AND(E328=18, F328&lt;&gt;"ASTM A416"), L328, 0), 3)</f>
        <v/>
      </c>
      <c r="U328" s="20">
        <f>ROUND(U327 + IF(AND(E328=20, F328&lt;&gt;"ASTM A416"), L328, 0), 3)</f>
        <v/>
      </c>
      <c r="V328" s="20">
        <f>ROUND(V327 + IF(AND(E328=22, F328&lt;&gt;"ASTM A416"), L328, 0), 3)</f>
        <v/>
      </c>
      <c r="W328" s="20">
        <f>ROUND(W327 + IF(AND(E328=25, F328&lt;&gt;"ASTM A416"), L328, 0), 3)</f>
        <v/>
      </c>
      <c r="X328" s="20">
        <f>ROUND(X327 + IF(AND(E328=28, F328&lt;&gt;"ASTM A416"), L328, 0), 3)</f>
        <v/>
      </c>
      <c r="Y328" s="20">
        <f>ROUND(Y327 + IF(AND(E328=32, F328&lt;&gt;"ASTM A416"), L328, 0), 3)</f>
        <v/>
      </c>
      <c r="Z328" s="20">
        <f>ROUND(Z327 + IF(F328="ASTM A416", L328, 0), 3)</f>
        <v/>
      </c>
      <c r="AA328" s="11">
        <f>IF(INT(P328/20)&gt;INT(P327/20), "Lần " &amp; INT(P328/20), "")</f>
        <v/>
      </c>
      <c r="AB328" s="11">
        <f>IF(INT(Q328/20)&gt;INT(Q327/20), "Lần " &amp; INT(Q328/20), "")</f>
        <v/>
      </c>
      <c r="AC328" s="11">
        <f>IF(INT(R328/20)&gt;INT(R327/20), "Lần " &amp; INT(R328/20), "")</f>
        <v/>
      </c>
      <c r="AD328" s="11">
        <f>IF(INT(S328/20)&gt;INT(S327/20), "Lần " &amp; INT(S328/20), "")</f>
        <v/>
      </c>
      <c r="AE328" s="11">
        <f>IF(INT(T328/20)&gt;INT(T327/20), "Lần " &amp; INT(T328/20), "")</f>
        <v/>
      </c>
      <c r="AF328" s="11">
        <f>IF(INT(U328/20)&gt;INT(U327/20), "Lần " &amp; INT(U328/20), "")</f>
        <v/>
      </c>
      <c r="AG328" s="11">
        <f>IF(INT(V328/20)&gt;INT(V327/20), "Lần " &amp; INT(V328/20), "")</f>
        <v/>
      </c>
      <c r="AH328" s="11">
        <f>IF(INT(W328/20)&gt;INT(W327/20), "Lần " &amp; INT(W328/20), "")</f>
        <v/>
      </c>
      <c r="AI328" s="11">
        <f>IF(INT(X328/20)&gt;INT(X327/20), "Lần " &amp; INT(X328/20), "")</f>
        <v/>
      </c>
      <c r="AJ328" s="11">
        <f>IF(INT(Y328/20)&gt;INT(Y327/20), "Lần " &amp; INT(Y328/20), "")</f>
        <v/>
      </c>
      <c r="AK328" s="11">
        <f>IF(INT(Z328/20)&gt;INT(Z327/20), "Lần " &amp; INT(Z328/20), "")</f>
        <v/>
      </c>
      <c r="AL328" s="6" t="inlineStr">
        <is>
          <t>ĐẠT TCVN 1651:2018</t>
        </is>
      </c>
    </row>
    <row r="329" ht="19" customHeight="1">
      <c r="A329" s="6" t="n">
        <v>305</v>
      </c>
      <c r="B329" s="7" t="inlineStr">
        <is>
          <t>Cọc khoan nhồi C2 Mố M2 (D1.2m, L=36.0m)</t>
        </is>
      </c>
      <c r="C329" s="7" t="inlineStr">
        <is>
          <t>Cốt thép chủ chịu lực cọc</t>
        </is>
      </c>
      <c r="D329" s="18" t="inlineStr">
        <is>
          <t>P2A</t>
        </is>
      </c>
      <c r="E329" s="19" t="n">
        <v>28</v>
      </c>
      <c r="F329" s="6" t="inlineStr">
        <is>
          <t>CB400-V</t>
        </is>
      </c>
      <c r="G329" s="7" t="inlineStr">
        <is>
          <t>Thanh thẳng nối ren/hàn</t>
        </is>
      </c>
      <c r="H329" s="20" t="n">
        <v>2.966</v>
      </c>
      <c r="I329" s="21" t="n">
        <v>5</v>
      </c>
      <c r="J329" s="22" t="n">
        <v>4.83</v>
      </c>
      <c r="K329" s="9">
        <f>ROUND(H329*I329*J329, 2)</f>
        <v/>
      </c>
      <c r="L329" s="23">
        <f>ROUND(K329/1000, 3)</f>
        <v/>
      </c>
      <c r="M329" s="8" t="n"/>
      <c r="N329" s="6" t="n"/>
      <c r="O329" s="24">
        <f>IF(AND(E329&lt;=10, F329&lt;&gt;"ASTM A416", INT(P329/20)&gt;INT(P328/20)), "TN Ø10 (Lần " &amp; INT(P329/20) &amp; ")", IF(AND(E329=12, INT(Q329/20)&gt;INT(Q328/20)), "TN Ø12 (Lần " &amp; INT(Q329/20) &amp; ")", IF(AND(E329=14, INT(R329/20)&gt;INT(R328/20)), "TN Ø14 (Lần " &amp; INT(R329/20) &amp; ")", IF(AND(E329=16, INT(S329/20)&gt;INT(S328/20)), "TN Ø16 (Lần " &amp; INT(S329/20) &amp; ")", IF(AND(E329=18, INT(T329/20)&gt;INT(T328/20)), "TN Ø18 (Lần " &amp; INT(T329/20) &amp; ")", IF(AND(E329=20, INT(U329/20)&gt;INT(U328/20)), "TN Ø20 (Lần " &amp; INT(U329/20) &amp; ")", IF(AND(E329=22, INT(V329/20)&gt;INT(V328/20)), "TN Ø22 (Lần " &amp; INT(V329/20) &amp; ")", IF(AND(E329=25, INT(W329/20)&gt;INT(W328/20)), "TN Ø25 (Lần " &amp; INT(W329/20) &amp; ")", IF(AND(E329=28, INT(X329/20)&gt;INT(X328/20)), "TN Ø28 (Lần " &amp; INT(X329/20) &amp; ")", IF(AND(E329=32, INT(Y329/20)&gt;INT(Y328/20)), "TN Ø32 (Lần " &amp; INT(Y329/20) &amp; ")", IF(AND(F329="ASTM A416", INT(Z329/20)&gt;INT(Z328/20)), "TN Cáp 15.2 (Lần " &amp; INT(Z329/20) &amp; ")", "")))))))))))</f>
        <v/>
      </c>
      <c r="P329" s="20">
        <f>ROUND(P328 + IF(AND(E329&lt;=10, F329&lt;&gt;"ASTM A416"), L329, 0), 3)</f>
        <v/>
      </c>
      <c r="Q329" s="20">
        <f>ROUND(Q328 + IF(AND(E329=12, F329&lt;&gt;"ASTM A416"), L329, 0), 3)</f>
        <v/>
      </c>
      <c r="R329" s="20">
        <f>ROUND(R328 + IF(AND(E329=14, F329&lt;&gt;"ASTM A416"), L329, 0), 3)</f>
        <v/>
      </c>
      <c r="S329" s="20">
        <f>ROUND(S328 + IF(AND(E329=16, F329&lt;&gt;"ASTM A416"), L329, 0), 3)</f>
        <v/>
      </c>
      <c r="T329" s="20">
        <f>ROUND(T328 + IF(AND(E329=18, F329&lt;&gt;"ASTM A416"), L329, 0), 3)</f>
        <v/>
      </c>
      <c r="U329" s="20">
        <f>ROUND(U328 + IF(AND(E329=20, F329&lt;&gt;"ASTM A416"), L329, 0), 3)</f>
        <v/>
      </c>
      <c r="V329" s="20">
        <f>ROUND(V328 + IF(AND(E329=22, F329&lt;&gt;"ASTM A416"), L329, 0), 3)</f>
        <v/>
      </c>
      <c r="W329" s="20">
        <f>ROUND(W328 + IF(AND(E329=25, F329&lt;&gt;"ASTM A416"), L329, 0), 3)</f>
        <v/>
      </c>
      <c r="X329" s="20">
        <f>ROUND(X328 + IF(AND(E329=28, F329&lt;&gt;"ASTM A416"), L329, 0), 3)</f>
        <v/>
      </c>
      <c r="Y329" s="20">
        <f>ROUND(Y328 + IF(AND(E329=32, F329&lt;&gt;"ASTM A416"), L329, 0), 3)</f>
        <v/>
      </c>
      <c r="Z329" s="20">
        <f>ROUND(Z328 + IF(F329="ASTM A416", L329, 0), 3)</f>
        <v/>
      </c>
      <c r="AA329" s="11">
        <f>IF(INT(P329/20)&gt;INT(P328/20), "Lần " &amp; INT(P329/20), "")</f>
        <v/>
      </c>
      <c r="AB329" s="11">
        <f>IF(INT(Q329/20)&gt;INT(Q328/20), "Lần " &amp; INT(Q329/20), "")</f>
        <v/>
      </c>
      <c r="AC329" s="11">
        <f>IF(INT(R329/20)&gt;INT(R328/20), "Lần " &amp; INT(R329/20), "")</f>
        <v/>
      </c>
      <c r="AD329" s="11">
        <f>IF(INT(S329/20)&gt;INT(S328/20), "Lần " &amp; INT(S329/20), "")</f>
        <v/>
      </c>
      <c r="AE329" s="11">
        <f>IF(INT(T329/20)&gt;INT(T328/20), "Lần " &amp; INT(T329/20), "")</f>
        <v/>
      </c>
      <c r="AF329" s="11">
        <f>IF(INT(U329/20)&gt;INT(U328/20), "Lần " &amp; INT(U329/20), "")</f>
        <v/>
      </c>
      <c r="AG329" s="11">
        <f>IF(INT(V329/20)&gt;INT(V328/20), "Lần " &amp; INT(V329/20), "")</f>
        <v/>
      </c>
      <c r="AH329" s="11">
        <f>IF(INT(W329/20)&gt;INT(W328/20), "Lần " &amp; INT(W329/20), "")</f>
        <v/>
      </c>
      <c r="AI329" s="11">
        <f>IF(INT(X329/20)&gt;INT(X328/20), "Lần " &amp; INT(X329/20), "")</f>
        <v/>
      </c>
      <c r="AJ329" s="11">
        <f>IF(INT(Y329/20)&gt;INT(Y328/20), "Lần " &amp; INT(Y329/20), "")</f>
        <v/>
      </c>
      <c r="AK329" s="11">
        <f>IF(INT(Z329/20)&gt;INT(Z328/20), "Lần " &amp; INT(Z329/20), "")</f>
        <v/>
      </c>
      <c r="AL329" s="6" t="inlineStr">
        <is>
          <t>ĐẠT TCVN 1651:2018</t>
        </is>
      </c>
    </row>
    <row r="330" ht="19" customHeight="1">
      <c r="A330" s="6" t="n">
        <v>306</v>
      </c>
      <c r="B330" s="7" t="inlineStr">
        <is>
          <t>Cọc khoan nhồi C2 Mố M2 (D1.2m, L=36.0m)</t>
        </is>
      </c>
      <c r="C330" s="7" t="inlineStr">
        <is>
          <t>Cốt thép chủ chịu lực cọc</t>
        </is>
      </c>
      <c r="D330" s="18" t="inlineStr">
        <is>
          <t>P2B</t>
        </is>
      </c>
      <c r="E330" s="19" t="n">
        <v>25</v>
      </c>
      <c r="F330" s="6" t="inlineStr">
        <is>
          <t>CB400-V</t>
        </is>
      </c>
      <c r="G330" s="7" t="inlineStr">
        <is>
          <t>Thanh thẳng nối ren/hàn</t>
        </is>
      </c>
      <c r="H330" s="20" t="n">
        <v>2.985</v>
      </c>
      <c r="I330" s="21" t="n">
        <v>10</v>
      </c>
      <c r="J330" s="22" t="n">
        <v>3.85</v>
      </c>
      <c r="K330" s="9">
        <f>ROUND(H330*I330*J330, 2)</f>
        <v/>
      </c>
      <c r="L330" s="23">
        <f>ROUND(K330/1000, 3)</f>
        <v/>
      </c>
      <c r="M330" s="8" t="n"/>
      <c r="N330" s="6" t="n"/>
      <c r="O330" s="24">
        <f>IF(AND(E330&lt;=10, F330&lt;&gt;"ASTM A416", INT(P330/20)&gt;INT(P329/20)), "TN Ø10 (Lần " &amp; INT(P330/20) &amp; ")", IF(AND(E330=12, INT(Q330/20)&gt;INT(Q329/20)), "TN Ø12 (Lần " &amp; INT(Q330/20) &amp; ")", IF(AND(E330=14, INT(R330/20)&gt;INT(R329/20)), "TN Ø14 (Lần " &amp; INT(R330/20) &amp; ")", IF(AND(E330=16, INT(S330/20)&gt;INT(S329/20)), "TN Ø16 (Lần " &amp; INT(S330/20) &amp; ")", IF(AND(E330=18, INT(T330/20)&gt;INT(T329/20)), "TN Ø18 (Lần " &amp; INT(T330/20) &amp; ")", IF(AND(E330=20, INT(U330/20)&gt;INT(U329/20)), "TN Ø20 (Lần " &amp; INT(U330/20) &amp; ")", IF(AND(E330=22, INT(V330/20)&gt;INT(V329/20)), "TN Ø22 (Lần " &amp; INT(V330/20) &amp; ")", IF(AND(E330=25, INT(W330/20)&gt;INT(W329/20)), "TN Ø25 (Lần " &amp; INT(W330/20) &amp; ")", IF(AND(E330=28, INT(X330/20)&gt;INT(X329/20)), "TN Ø28 (Lần " &amp; INT(X330/20) &amp; ")", IF(AND(E330=32, INT(Y330/20)&gt;INT(Y329/20)), "TN Ø32 (Lần " &amp; INT(Y330/20) &amp; ")", IF(AND(F330="ASTM A416", INT(Z330/20)&gt;INT(Z329/20)), "TN Cáp 15.2 (Lần " &amp; INT(Z330/20) &amp; ")", "")))))))))))</f>
        <v/>
      </c>
      <c r="P330" s="20">
        <f>ROUND(P329 + IF(AND(E330&lt;=10, F330&lt;&gt;"ASTM A416"), L330, 0), 3)</f>
        <v/>
      </c>
      <c r="Q330" s="20">
        <f>ROUND(Q329 + IF(AND(E330=12, F330&lt;&gt;"ASTM A416"), L330, 0), 3)</f>
        <v/>
      </c>
      <c r="R330" s="20">
        <f>ROUND(R329 + IF(AND(E330=14, F330&lt;&gt;"ASTM A416"), L330, 0), 3)</f>
        <v/>
      </c>
      <c r="S330" s="20">
        <f>ROUND(S329 + IF(AND(E330=16, F330&lt;&gt;"ASTM A416"), L330, 0), 3)</f>
        <v/>
      </c>
      <c r="T330" s="20">
        <f>ROUND(T329 + IF(AND(E330=18, F330&lt;&gt;"ASTM A416"), L330, 0), 3)</f>
        <v/>
      </c>
      <c r="U330" s="20">
        <f>ROUND(U329 + IF(AND(E330=20, F330&lt;&gt;"ASTM A416"), L330, 0), 3)</f>
        <v/>
      </c>
      <c r="V330" s="20">
        <f>ROUND(V329 + IF(AND(E330=22, F330&lt;&gt;"ASTM A416"), L330, 0), 3)</f>
        <v/>
      </c>
      <c r="W330" s="20">
        <f>ROUND(W329 + IF(AND(E330=25, F330&lt;&gt;"ASTM A416"), L330, 0), 3)</f>
        <v/>
      </c>
      <c r="X330" s="20">
        <f>ROUND(X329 + IF(AND(E330=28, F330&lt;&gt;"ASTM A416"), L330, 0), 3)</f>
        <v/>
      </c>
      <c r="Y330" s="20">
        <f>ROUND(Y329 + IF(AND(E330=32, F330&lt;&gt;"ASTM A416"), L330, 0), 3)</f>
        <v/>
      </c>
      <c r="Z330" s="20">
        <f>ROUND(Z329 + IF(F330="ASTM A416", L330, 0), 3)</f>
        <v/>
      </c>
      <c r="AA330" s="11">
        <f>IF(INT(P330/20)&gt;INT(P329/20), "Lần " &amp; INT(P330/20), "")</f>
        <v/>
      </c>
      <c r="AB330" s="11">
        <f>IF(INT(Q330/20)&gt;INT(Q329/20), "Lần " &amp; INT(Q330/20), "")</f>
        <v/>
      </c>
      <c r="AC330" s="11">
        <f>IF(INT(R330/20)&gt;INT(R329/20), "Lần " &amp; INT(R330/20), "")</f>
        <v/>
      </c>
      <c r="AD330" s="11">
        <f>IF(INT(S330/20)&gt;INT(S329/20), "Lần " &amp; INT(S330/20), "")</f>
        <v/>
      </c>
      <c r="AE330" s="11">
        <f>IF(INT(T330/20)&gt;INT(T329/20), "Lần " &amp; INT(T330/20), "")</f>
        <v/>
      </c>
      <c r="AF330" s="11">
        <f>IF(INT(U330/20)&gt;INT(U329/20), "Lần " &amp; INT(U330/20), "")</f>
        <v/>
      </c>
      <c r="AG330" s="11">
        <f>IF(INT(V330/20)&gt;INT(V329/20), "Lần " &amp; INT(V330/20), "")</f>
        <v/>
      </c>
      <c r="AH330" s="11">
        <f>IF(INT(W330/20)&gt;INT(W329/20), "Lần " &amp; INT(W330/20), "")</f>
        <v/>
      </c>
      <c r="AI330" s="11">
        <f>IF(INT(X330/20)&gt;INT(X329/20), "Lần " &amp; INT(X330/20), "")</f>
        <v/>
      </c>
      <c r="AJ330" s="11">
        <f>IF(INT(Y330/20)&gt;INT(Y329/20), "Lần " &amp; INT(Y330/20), "")</f>
        <v/>
      </c>
      <c r="AK330" s="11">
        <f>IF(INT(Z330/20)&gt;INT(Z329/20), "Lần " &amp; INT(Z330/20), "")</f>
        <v/>
      </c>
      <c r="AL330" s="6" t="inlineStr">
        <is>
          <t>ĐẠT TCVN 1651:2018</t>
        </is>
      </c>
    </row>
    <row r="331" ht="19" customHeight="1">
      <c r="A331" s="6" t="n">
        <v>307</v>
      </c>
      <c r="B331" s="7" t="inlineStr">
        <is>
          <t>Cọc khoan nhồi C2 Mố M2 (D1.2m, L=36.0m)</t>
        </is>
      </c>
      <c r="C331" s="7" t="inlineStr">
        <is>
          <t>Cốt thép chủ chịu lực cọc</t>
        </is>
      </c>
      <c r="D331" s="18" t="inlineStr">
        <is>
          <t>P3</t>
        </is>
      </c>
      <c r="E331" s="19" t="n">
        <v>28</v>
      </c>
      <c r="F331" s="6" t="inlineStr">
        <is>
          <t>CB400-V</t>
        </is>
      </c>
      <c r="G331" s="7" t="inlineStr">
        <is>
          <t>Thanh thẳng nối ren/hàn</t>
        </is>
      </c>
      <c r="H331" s="20" t="n">
        <v>10.7</v>
      </c>
      <c r="I331" s="21" t="n">
        <v>12</v>
      </c>
      <c r="J331" s="22" t="n">
        <v>4.83</v>
      </c>
      <c r="K331" s="9">
        <f>ROUND(H331*I331*J331, 2)</f>
        <v/>
      </c>
      <c r="L331" s="23">
        <f>ROUND(K331/1000, 3)</f>
        <v/>
      </c>
      <c r="M331" s="8" t="n"/>
      <c r="N331" s="6" t="n"/>
      <c r="O331" s="24">
        <f>IF(AND(E331&lt;=10, F331&lt;&gt;"ASTM A416", INT(P331/20)&gt;INT(P330/20)), "TN Ø10 (Lần " &amp; INT(P331/20) &amp; ")", IF(AND(E331=12, INT(Q331/20)&gt;INT(Q330/20)), "TN Ø12 (Lần " &amp; INT(Q331/20) &amp; ")", IF(AND(E331=14, INT(R331/20)&gt;INT(R330/20)), "TN Ø14 (Lần " &amp; INT(R331/20) &amp; ")", IF(AND(E331=16, INT(S331/20)&gt;INT(S330/20)), "TN Ø16 (Lần " &amp; INT(S331/20) &amp; ")", IF(AND(E331=18, INT(T331/20)&gt;INT(T330/20)), "TN Ø18 (Lần " &amp; INT(T331/20) &amp; ")", IF(AND(E331=20, INT(U331/20)&gt;INT(U330/20)), "TN Ø20 (Lần " &amp; INT(U331/20) &amp; ")", IF(AND(E331=22, INT(V331/20)&gt;INT(V330/20)), "TN Ø22 (Lần " &amp; INT(V331/20) &amp; ")", IF(AND(E331=25, INT(W331/20)&gt;INT(W330/20)), "TN Ø25 (Lần " &amp; INT(W331/20) &amp; ")", IF(AND(E331=28, INT(X331/20)&gt;INT(X330/20)), "TN Ø28 (Lần " &amp; INT(X331/20) &amp; ")", IF(AND(E331=32, INT(Y331/20)&gt;INT(Y330/20)), "TN Ø32 (Lần " &amp; INT(Y331/20) &amp; ")", IF(AND(F331="ASTM A416", INT(Z331/20)&gt;INT(Z330/20)), "TN Cáp 15.2 (Lần " &amp; INT(Z331/20) &amp; ")", "")))))))))))</f>
        <v/>
      </c>
      <c r="P331" s="20">
        <f>ROUND(P330 + IF(AND(E331&lt;=10, F331&lt;&gt;"ASTM A416"), L331, 0), 3)</f>
        <v/>
      </c>
      <c r="Q331" s="20">
        <f>ROUND(Q330 + IF(AND(E331=12, F331&lt;&gt;"ASTM A416"), L331, 0), 3)</f>
        <v/>
      </c>
      <c r="R331" s="20">
        <f>ROUND(R330 + IF(AND(E331=14, F331&lt;&gt;"ASTM A416"), L331, 0), 3)</f>
        <v/>
      </c>
      <c r="S331" s="20">
        <f>ROUND(S330 + IF(AND(E331=16, F331&lt;&gt;"ASTM A416"), L331, 0), 3)</f>
        <v/>
      </c>
      <c r="T331" s="20">
        <f>ROUND(T330 + IF(AND(E331=18, F331&lt;&gt;"ASTM A416"), L331, 0), 3)</f>
        <v/>
      </c>
      <c r="U331" s="20">
        <f>ROUND(U330 + IF(AND(E331=20, F331&lt;&gt;"ASTM A416"), L331, 0), 3)</f>
        <v/>
      </c>
      <c r="V331" s="20">
        <f>ROUND(V330 + IF(AND(E331=22, F331&lt;&gt;"ASTM A416"), L331, 0), 3)</f>
        <v/>
      </c>
      <c r="W331" s="20">
        <f>ROUND(W330 + IF(AND(E331=25, F331&lt;&gt;"ASTM A416"), L331, 0), 3)</f>
        <v/>
      </c>
      <c r="X331" s="20">
        <f>ROUND(X330 + IF(AND(E331=28, F331&lt;&gt;"ASTM A416"), L331, 0), 3)</f>
        <v/>
      </c>
      <c r="Y331" s="20">
        <f>ROUND(Y330 + IF(AND(E331=32, F331&lt;&gt;"ASTM A416"), L331, 0), 3)</f>
        <v/>
      </c>
      <c r="Z331" s="20">
        <f>ROUND(Z330 + IF(F331="ASTM A416", L331, 0), 3)</f>
        <v/>
      </c>
      <c r="AA331" s="11">
        <f>IF(INT(P331/20)&gt;INT(P330/20), "Lần " &amp; INT(P331/20), "")</f>
        <v/>
      </c>
      <c r="AB331" s="11">
        <f>IF(INT(Q331/20)&gt;INT(Q330/20), "Lần " &amp; INT(Q331/20), "")</f>
        <v/>
      </c>
      <c r="AC331" s="11">
        <f>IF(INT(R331/20)&gt;INT(R330/20), "Lần " &amp; INT(R331/20), "")</f>
        <v/>
      </c>
      <c r="AD331" s="11">
        <f>IF(INT(S331/20)&gt;INT(S330/20), "Lần " &amp; INT(S331/20), "")</f>
        <v/>
      </c>
      <c r="AE331" s="11">
        <f>IF(INT(T331/20)&gt;INT(T330/20), "Lần " &amp; INT(T331/20), "")</f>
        <v/>
      </c>
      <c r="AF331" s="11">
        <f>IF(INT(U331/20)&gt;INT(U330/20), "Lần " &amp; INT(U331/20), "")</f>
        <v/>
      </c>
      <c r="AG331" s="11">
        <f>IF(INT(V331/20)&gt;INT(V330/20), "Lần " &amp; INT(V331/20), "")</f>
        <v/>
      </c>
      <c r="AH331" s="11">
        <f>IF(INT(W331/20)&gt;INT(W330/20), "Lần " &amp; INT(W331/20), "")</f>
        <v/>
      </c>
      <c r="AI331" s="11">
        <f>IF(INT(X331/20)&gt;INT(X330/20), "Lần " &amp; INT(X331/20), "")</f>
        <v/>
      </c>
      <c r="AJ331" s="11">
        <f>IF(INT(Y331/20)&gt;INT(Y330/20), "Lần " &amp; INT(Y331/20), "")</f>
        <v/>
      </c>
      <c r="AK331" s="11">
        <f>IF(INT(Z331/20)&gt;INT(Z330/20), "Lần " &amp; INT(Z331/20), "")</f>
        <v/>
      </c>
      <c r="AL331" s="6" t="inlineStr">
        <is>
          <t>ĐẠT TCVN 1651:2018</t>
        </is>
      </c>
    </row>
    <row r="332" ht="19" customHeight="1">
      <c r="A332" s="6" t="n">
        <v>308</v>
      </c>
      <c r="B332" s="7" t="inlineStr">
        <is>
          <t>Cọc khoan nhồi C2 Mố M2 (D1.2m, L=36.0m)</t>
        </is>
      </c>
      <c r="C332" s="7" t="inlineStr">
        <is>
          <t>Cốt thép chủ chịu lực cọc</t>
        </is>
      </c>
      <c r="D332" s="18" t="inlineStr">
        <is>
          <t>P4</t>
        </is>
      </c>
      <c r="E332" s="19" t="n">
        <v>28</v>
      </c>
      <c r="F332" s="6" t="inlineStr">
        <is>
          <t>CB400-V</t>
        </is>
      </c>
      <c r="G332" s="7" t="inlineStr">
        <is>
          <t>Thanh thẳng nối ren/hàn</t>
        </is>
      </c>
      <c r="H332" s="20" t="n">
        <v>11.7</v>
      </c>
      <c r="I332" s="21" t="n">
        <v>12</v>
      </c>
      <c r="J332" s="22" t="n">
        <v>4.83</v>
      </c>
      <c r="K332" s="9">
        <f>ROUND(H332*I332*J332, 2)</f>
        <v/>
      </c>
      <c r="L332" s="23">
        <f>ROUND(K332/1000, 3)</f>
        <v/>
      </c>
      <c r="M332" s="8" t="n"/>
      <c r="N332" s="6" t="n"/>
      <c r="O332" s="24">
        <f>IF(AND(E332&lt;=10, F332&lt;&gt;"ASTM A416", INT(P332/20)&gt;INT(P331/20)), "TN Ø10 (Lần " &amp; INT(P332/20) &amp; ")", IF(AND(E332=12, INT(Q332/20)&gt;INT(Q331/20)), "TN Ø12 (Lần " &amp; INT(Q332/20) &amp; ")", IF(AND(E332=14, INT(R332/20)&gt;INT(R331/20)), "TN Ø14 (Lần " &amp; INT(R332/20) &amp; ")", IF(AND(E332=16, INT(S332/20)&gt;INT(S331/20)), "TN Ø16 (Lần " &amp; INT(S332/20) &amp; ")", IF(AND(E332=18, INT(T332/20)&gt;INT(T331/20)), "TN Ø18 (Lần " &amp; INT(T332/20) &amp; ")", IF(AND(E332=20, INT(U332/20)&gt;INT(U331/20)), "TN Ø20 (Lần " &amp; INT(U332/20) &amp; ")", IF(AND(E332=22, INT(V332/20)&gt;INT(V331/20)), "TN Ø22 (Lần " &amp; INT(V332/20) &amp; ")", IF(AND(E332=25, INT(W332/20)&gt;INT(W331/20)), "TN Ø25 (Lần " &amp; INT(W332/20) &amp; ")", IF(AND(E332=28, INT(X332/20)&gt;INT(X331/20)), "TN Ø28 (Lần " &amp; INT(X332/20) &amp; ")", IF(AND(E332=32, INT(Y332/20)&gt;INT(Y331/20)), "TN Ø32 (Lần " &amp; INT(Y332/20) &amp; ")", IF(AND(F332="ASTM A416", INT(Z332/20)&gt;INT(Z331/20)), "TN Cáp 15.2 (Lần " &amp; INT(Z332/20) &amp; ")", "")))))))))))</f>
        <v/>
      </c>
      <c r="P332" s="20">
        <f>ROUND(P331 + IF(AND(E332&lt;=10, F332&lt;&gt;"ASTM A416"), L332, 0), 3)</f>
        <v/>
      </c>
      <c r="Q332" s="20">
        <f>ROUND(Q331 + IF(AND(E332=12, F332&lt;&gt;"ASTM A416"), L332, 0), 3)</f>
        <v/>
      </c>
      <c r="R332" s="20">
        <f>ROUND(R331 + IF(AND(E332=14, F332&lt;&gt;"ASTM A416"), L332, 0), 3)</f>
        <v/>
      </c>
      <c r="S332" s="20">
        <f>ROUND(S331 + IF(AND(E332=16, F332&lt;&gt;"ASTM A416"), L332, 0), 3)</f>
        <v/>
      </c>
      <c r="T332" s="20">
        <f>ROUND(T331 + IF(AND(E332=18, F332&lt;&gt;"ASTM A416"), L332, 0), 3)</f>
        <v/>
      </c>
      <c r="U332" s="20">
        <f>ROUND(U331 + IF(AND(E332=20, F332&lt;&gt;"ASTM A416"), L332, 0), 3)</f>
        <v/>
      </c>
      <c r="V332" s="20">
        <f>ROUND(V331 + IF(AND(E332=22, F332&lt;&gt;"ASTM A416"), L332, 0), 3)</f>
        <v/>
      </c>
      <c r="W332" s="20">
        <f>ROUND(W331 + IF(AND(E332=25, F332&lt;&gt;"ASTM A416"), L332, 0), 3)</f>
        <v/>
      </c>
      <c r="X332" s="20">
        <f>ROUND(X331 + IF(AND(E332=28, F332&lt;&gt;"ASTM A416"), L332, 0), 3)</f>
        <v/>
      </c>
      <c r="Y332" s="20">
        <f>ROUND(Y331 + IF(AND(E332=32, F332&lt;&gt;"ASTM A416"), L332, 0), 3)</f>
        <v/>
      </c>
      <c r="Z332" s="20">
        <f>ROUND(Z331 + IF(F332="ASTM A416", L332, 0), 3)</f>
        <v/>
      </c>
      <c r="AA332" s="11">
        <f>IF(INT(P332/20)&gt;INT(P331/20), "Lần " &amp; INT(P332/20), "")</f>
        <v/>
      </c>
      <c r="AB332" s="11">
        <f>IF(INT(Q332/20)&gt;INT(Q331/20), "Lần " &amp; INT(Q332/20), "")</f>
        <v/>
      </c>
      <c r="AC332" s="11">
        <f>IF(INT(R332/20)&gt;INT(R331/20), "Lần " &amp; INT(R332/20), "")</f>
        <v/>
      </c>
      <c r="AD332" s="11">
        <f>IF(INT(S332/20)&gt;INT(S331/20), "Lần " &amp; INT(S332/20), "")</f>
        <v/>
      </c>
      <c r="AE332" s="11">
        <f>IF(INT(T332/20)&gt;INT(T331/20), "Lần " &amp; INT(T332/20), "")</f>
        <v/>
      </c>
      <c r="AF332" s="11">
        <f>IF(INT(U332/20)&gt;INT(U331/20), "Lần " &amp; INT(U332/20), "")</f>
        <v/>
      </c>
      <c r="AG332" s="11">
        <f>IF(INT(V332/20)&gt;INT(V331/20), "Lần " &amp; INT(V332/20), "")</f>
        <v/>
      </c>
      <c r="AH332" s="11">
        <f>IF(INT(W332/20)&gt;INT(W331/20), "Lần " &amp; INT(W332/20), "")</f>
        <v/>
      </c>
      <c r="AI332" s="11">
        <f>IF(INT(X332/20)&gt;INT(X331/20), "Lần " &amp; INT(X332/20), "")</f>
        <v/>
      </c>
      <c r="AJ332" s="11">
        <f>IF(INT(Y332/20)&gt;INT(Y331/20), "Lần " &amp; INT(Y332/20), "")</f>
        <v/>
      </c>
      <c r="AK332" s="11">
        <f>IF(INT(Z332/20)&gt;INT(Z331/20), "Lần " &amp; INT(Z332/20), "")</f>
        <v/>
      </c>
      <c r="AL332" s="6" t="inlineStr">
        <is>
          <t>ĐẠT TCVN 1651:2018</t>
        </is>
      </c>
    </row>
    <row r="333" ht="19" customHeight="1">
      <c r="A333" s="6" t="n">
        <v>309</v>
      </c>
      <c r="B333" s="7" t="inlineStr">
        <is>
          <t>Cọc khoan nhồi C2 Mố M2 (D1.2m, L=36.0m)</t>
        </is>
      </c>
      <c r="C333" s="7" t="inlineStr">
        <is>
          <t>Cốt thép chủ chịu lực cọc</t>
        </is>
      </c>
      <c r="D333" s="18" t="inlineStr">
        <is>
          <t>P5</t>
        </is>
      </c>
      <c r="E333" s="19" t="n">
        <v>25</v>
      </c>
      <c r="F333" s="6" t="inlineStr">
        <is>
          <t>CB400-V</t>
        </is>
      </c>
      <c r="G333" s="7" t="inlineStr">
        <is>
          <t>Thanh thẳng nối ren/hàn</t>
        </is>
      </c>
      <c r="H333" s="20" t="n">
        <v>11.7</v>
      </c>
      <c r="I333" s="21" t="n">
        <v>48</v>
      </c>
      <c r="J333" s="22" t="n">
        <v>3.85</v>
      </c>
      <c r="K333" s="9">
        <f>ROUND(H333*I333*J333, 2)</f>
        <v/>
      </c>
      <c r="L333" s="23">
        <f>ROUND(K333/1000, 3)</f>
        <v/>
      </c>
      <c r="M333" s="8" t="n"/>
      <c r="N333" s="6" t="n"/>
      <c r="O333" s="24">
        <f>IF(AND(E333&lt;=10, F333&lt;&gt;"ASTM A416", INT(P333/20)&gt;INT(P332/20)), "TN Ø10 (Lần " &amp; INT(P333/20) &amp; ")", IF(AND(E333=12, INT(Q333/20)&gt;INT(Q332/20)), "TN Ø12 (Lần " &amp; INT(Q333/20) &amp; ")", IF(AND(E333=14, INT(R333/20)&gt;INT(R332/20)), "TN Ø14 (Lần " &amp; INT(R333/20) &amp; ")", IF(AND(E333=16, INT(S333/20)&gt;INT(S332/20)), "TN Ø16 (Lần " &amp; INT(S333/20) &amp; ")", IF(AND(E333=18, INT(T333/20)&gt;INT(T332/20)), "TN Ø18 (Lần " &amp; INT(T333/20) &amp; ")", IF(AND(E333=20, INT(U333/20)&gt;INT(U332/20)), "TN Ø20 (Lần " &amp; INT(U333/20) &amp; ")", IF(AND(E333=22, INT(V333/20)&gt;INT(V332/20)), "TN Ø22 (Lần " &amp; INT(V333/20) &amp; ")", IF(AND(E333=25, INT(W333/20)&gt;INT(W332/20)), "TN Ø25 (Lần " &amp; INT(W333/20) &amp; ")", IF(AND(E333=28, INT(X333/20)&gt;INT(X332/20)), "TN Ø28 (Lần " &amp; INT(X333/20) &amp; ")", IF(AND(E333=32, INT(Y333/20)&gt;INT(Y332/20)), "TN Ø32 (Lần " &amp; INT(Y333/20) &amp; ")", IF(AND(F333="ASTM A416", INT(Z333/20)&gt;INT(Z332/20)), "TN Cáp 15.2 (Lần " &amp; INT(Z333/20) &amp; ")", "")))))))))))</f>
        <v/>
      </c>
      <c r="P333" s="20">
        <f>ROUND(P332 + IF(AND(E333&lt;=10, F333&lt;&gt;"ASTM A416"), L333, 0), 3)</f>
        <v/>
      </c>
      <c r="Q333" s="20">
        <f>ROUND(Q332 + IF(AND(E333=12, F333&lt;&gt;"ASTM A416"), L333, 0), 3)</f>
        <v/>
      </c>
      <c r="R333" s="20">
        <f>ROUND(R332 + IF(AND(E333=14, F333&lt;&gt;"ASTM A416"), L333, 0), 3)</f>
        <v/>
      </c>
      <c r="S333" s="20">
        <f>ROUND(S332 + IF(AND(E333=16, F333&lt;&gt;"ASTM A416"), L333, 0), 3)</f>
        <v/>
      </c>
      <c r="T333" s="20">
        <f>ROUND(T332 + IF(AND(E333=18, F333&lt;&gt;"ASTM A416"), L333, 0), 3)</f>
        <v/>
      </c>
      <c r="U333" s="20">
        <f>ROUND(U332 + IF(AND(E333=20, F333&lt;&gt;"ASTM A416"), L333, 0), 3)</f>
        <v/>
      </c>
      <c r="V333" s="20">
        <f>ROUND(V332 + IF(AND(E333=22, F333&lt;&gt;"ASTM A416"), L333, 0), 3)</f>
        <v/>
      </c>
      <c r="W333" s="20">
        <f>ROUND(W332 + IF(AND(E333=25, F333&lt;&gt;"ASTM A416"), L333, 0), 3)</f>
        <v/>
      </c>
      <c r="X333" s="20">
        <f>ROUND(X332 + IF(AND(E333=28, F333&lt;&gt;"ASTM A416"), L333, 0), 3)</f>
        <v/>
      </c>
      <c r="Y333" s="20">
        <f>ROUND(Y332 + IF(AND(E333=32, F333&lt;&gt;"ASTM A416"), L333, 0), 3)</f>
        <v/>
      </c>
      <c r="Z333" s="20">
        <f>ROUND(Z332 + IF(F333="ASTM A416", L333, 0), 3)</f>
        <v/>
      </c>
      <c r="AA333" s="11">
        <f>IF(INT(P333/20)&gt;INT(P332/20), "Lần " &amp; INT(P333/20), "")</f>
        <v/>
      </c>
      <c r="AB333" s="11">
        <f>IF(INT(Q333/20)&gt;INT(Q332/20), "Lần " &amp; INT(Q333/20), "")</f>
        <v/>
      </c>
      <c r="AC333" s="11">
        <f>IF(INT(R333/20)&gt;INT(R332/20), "Lần " &amp; INT(R333/20), "")</f>
        <v/>
      </c>
      <c r="AD333" s="11">
        <f>IF(INT(S333/20)&gt;INT(S332/20), "Lần " &amp; INT(S333/20), "")</f>
        <v/>
      </c>
      <c r="AE333" s="11">
        <f>IF(INT(T333/20)&gt;INT(T332/20), "Lần " &amp; INT(T333/20), "")</f>
        <v/>
      </c>
      <c r="AF333" s="11">
        <f>IF(INT(U333/20)&gt;INT(U332/20), "Lần " &amp; INT(U333/20), "")</f>
        <v/>
      </c>
      <c r="AG333" s="11">
        <f>IF(INT(V333/20)&gt;INT(V332/20), "Lần " &amp; INT(V333/20), "")</f>
        <v/>
      </c>
      <c r="AH333" s="11">
        <f>IF(INT(W333/20)&gt;INT(W332/20), "Lần " &amp; INT(W333/20), "")</f>
        <v/>
      </c>
      <c r="AI333" s="11">
        <f>IF(INT(X333/20)&gt;INT(X332/20), "Lần " &amp; INT(X333/20), "")</f>
        <v/>
      </c>
      <c r="AJ333" s="11">
        <f>IF(INT(Y333/20)&gt;INT(Y332/20), "Lần " &amp; INT(Y333/20), "")</f>
        <v/>
      </c>
      <c r="AK333" s="11">
        <f>IF(INT(Z333/20)&gt;INT(Z332/20), "Lần " &amp; INT(Z333/20), "")</f>
        <v/>
      </c>
      <c r="AL333" s="6" t="inlineStr">
        <is>
          <t>ĐẠT TCVN 1651:2018</t>
        </is>
      </c>
    </row>
    <row r="334" ht="19" customHeight="1">
      <c r="A334" s="6" t="n">
        <v>310</v>
      </c>
      <c r="B334" s="7" t="inlineStr">
        <is>
          <t>Cọc khoan nhồi C2 Mố M2 (D1.2m, L=36.0m)</t>
        </is>
      </c>
      <c r="C334" s="7" t="inlineStr">
        <is>
          <t>Cốt thép chủ chịu lực cọc</t>
        </is>
      </c>
      <c r="D334" s="18" t="inlineStr">
        <is>
          <t>P6</t>
        </is>
      </c>
      <c r="E334" s="19" t="n">
        <v>25</v>
      </c>
      <c r="F334" s="6" t="inlineStr">
        <is>
          <t>CB400-V</t>
        </is>
      </c>
      <c r="G334" s="7" t="inlineStr">
        <is>
          <t>Thanh thẳng nối ren/hàn</t>
        </is>
      </c>
      <c r="H334" s="20" t="n">
        <v>5.153</v>
      </c>
      <c r="I334" s="21" t="n">
        <v>12</v>
      </c>
      <c r="J334" s="22" t="n">
        <v>3.85</v>
      </c>
      <c r="K334" s="9">
        <f>ROUND(H334*I334*J334, 2)</f>
        <v/>
      </c>
      <c r="L334" s="23">
        <f>ROUND(K334/1000, 3)</f>
        <v/>
      </c>
      <c r="M334" s="8" t="n"/>
      <c r="N334" s="6" t="n"/>
      <c r="O334" s="24">
        <f>IF(AND(E334&lt;=10, F334&lt;&gt;"ASTM A416", INT(P334/20)&gt;INT(P333/20)), "TN Ø10 (Lần " &amp; INT(P334/20) &amp; ")", IF(AND(E334=12, INT(Q334/20)&gt;INT(Q333/20)), "TN Ø12 (Lần " &amp; INT(Q334/20) &amp; ")", IF(AND(E334=14, INT(R334/20)&gt;INT(R333/20)), "TN Ø14 (Lần " &amp; INT(R334/20) &amp; ")", IF(AND(E334=16, INT(S334/20)&gt;INT(S333/20)), "TN Ø16 (Lần " &amp; INT(S334/20) &amp; ")", IF(AND(E334=18, INT(T334/20)&gt;INT(T333/20)), "TN Ø18 (Lần " &amp; INT(T334/20) &amp; ")", IF(AND(E334=20, INT(U334/20)&gt;INT(U333/20)), "TN Ø20 (Lần " &amp; INT(U334/20) &amp; ")", IF(AND(E334=22, INT(V334/20)&gt;INT(V333/20)), "TN Ø22 (Lần " &amp; INT(V334/20) &amp; ")", IF(AND(E334=25, INT(W334/20)&gt;INT(W333/20)), "TN Ø25 (Lần " &amp; INT(W334/20) &amp; ")", IF(AND(E334=28, INT(X334/20)&gt;INT(X333/20)), "TN Ø28 (Lần " &amp; INT(X334/20) &amp; ")", IF(AND(E334=32, INT(Y334/20)&gt;INT(Y333/20)), "TN Ø32 (Lần " &amp; INT(Y334/20) &amp; ")", IF(AND(F334="ASTM A416", INT(Z334/20)&gt;INT(Z333/20)), "TN Cáp 15.2 (Lần " &amp; INT(Z334/20) &amp; ")", "")))))))))))</f>
        <v/>
      </c>
      <c r="P334" s="20">
        <f>ROUND(P333 + IF(AND(E334&lt;=10, F334&lt;&gt;"ASTM A416"), L334, 0), 3)</f>
        <v/>
      </c>
      <c r="Q334" s="20">
        <f>ROUND(Q333 + IF(AND(E334=12, F334&lt;&gt;"ASTM A416"), L334, 0), 3)</f>
        <v/>
      </c>
      <c r="R334" s="20">
        <f>ROUND(R333 + IF(AND(E334=14, F334&lt;&gt;"ASTM A416"), L334, 0), 3)</f>
        <v/>
      </c>
      <c r="S334" s="20">
        <f>ROUND(S333 + IF(AND(E334=16, F334&lt;&gt;"ASTM A416"), L334, 0), 3)</f>
        <v/>
      </c>
      <c r="T334" s="20">
        <f>ROUND(T333 + IF(AND(E334=18, F334&lt;&gt;"ASTM A416"), L334, 0), 3)</f>
        <v/>
      </c>
      <c r="U334" s="20">
        <f>ROUND(U333 + IF(AND(E334=20, F334&lt;&gt;"ASTM A416"), L334, 0), 3)</f>
        <v/>
      </c>
      <c r="V334" s="20">
        <f>ROUND(V333 + IF(AND(E334=22, F334&lt;&gt;"ASTM A416"), L334, 0), 3)</f>
        <v/>
      </c>
      <c r="W334" s="20">
        <f>ROUND(W333 + IF(AND(E334=25, F334&lt;&gt;"ASTM A416"), L334, 0), 3)</f>
        <v/>
      </c>
      <c r="X334" s="20">
        <f>ROUND(X333 + IF(AND(E334=28, F334&lt;&gt;"ASTM A416"), L334, 0), 3)</f>
        <v/>
      </c>
      <c r="Y334" s="20">
        <f>ROUND(Y333 + IF(AND(E334=32, F334&lt;&gt;"ASTM A416"), L334, 0), 3)</f>
        <v/>
      </c>
      <c r="Z334" s="20">
        <f>ROUND(Z333 + IF(F334="ASTM A416", L334, 0), 3)</f>
        <v/>
      </c>
      <c r="AA334" s="11">
        <f>IF(INT(P334/20)&gt;INT(P333/20), "Lần " &amp; INT(P334/20), "")</f>
        <v/>
      </c>
      <c r="AB334" s="11">
        <f>IF(INT(Q334/20)&gt;INT(Q333/20), "Lần " &amp; INT(Q334/20), "")</f>
        <v/>
      </c>
      <c r="AC334" s="11">
        <f>IF(INT(R334/20)&gt;INT(R333/20), "Lần " &amp; INT(R334/20), "")</f>
        <v/>
      </c>
      <c r="AD334" s="11">
        <f>IF(INT(S334/20)&gt;INT(S333/20), "Lần " &amp; INT(S334/20), "")</f>
        <v/>
      </c>
      <c r="AE334" s="11">
        <f>IF(INT(T334/20)&gt;INT(T333/20), "Lần " &amp; INT(T334/20), "")</f>
        <v/>
      </c>
      <c r="AF334" s="11">
        <f>IF(INT(U334/20)&gt;INT(U333/20), "Lần " &amp; INT(U334/20), "")</f>
        <v/>
      </c>
      <c r="AG334" s="11">
        <f>IF(INT(V334/20)&gt;INT(V333/20), "Lần " &amp; INT(V334/20), "")</f>
        <v/>
      </c>
      <c r="AH334" s="11">
        <f>IF(INT(W334/20)&gt;INT(W333/20), "Lần " &amp; INT(W334/20), "")</f>
        <v/>
      </c>
      <c r="AI334" s="11">
        <f>IF(INT(X334/20)&gt;INT(X333/20), "Lần " &amp; INT(X334/20), "")</f>
        <v/>
      </c>
      <c r="AJ334" s="11">
        <f>IF(INT(Y334/20)&gt;INT(Y333/20), "Lần " &amp; INT(Y334/20), "")</f>
        <v/>
      </c>
      <c r="AK334" s="11">
        <f>IF(INT(Z334/20)&gt;INT(Z333/20), "Lần " &amp; INT(Z334/20), "")</f>
        <v/>
      </c>
      <c r="AL334" s="6" t="inlineStr">
        <is>
          <t>ĐẠT TCVN 1651:2018</t>
        </is>
      </c>
    </row>
    <row r="335" ht="19" customHeight="1">
      <c r="A335" s="6" t="n">
        <v>311</v>
      </c>
      <c r="B335" s="7" t="inlineStr">
        <is>
          <t>Cọc khoan nhồi C2 Mố M2 (D1.2m, L=36.0m)</t>
        </is>
      </c>
      <c r="C335" s="7" t="inlineStr">
        <is>
          <t>Cốt thép chủ chịu lực cọc</t>
        </is>
      </c>
      <c r="D335" s="18" t="inlineStr">
        <is>
          <t>P7</t>
        </is>
      </c>
      <c r="E335" s="19" t="n">
        <v>25</v>
      </c>
      <c r="F335" s="6" t="inlineStr">
        <is>
          <t>CB400-V</t>
        </is>
      </c>
      <c r="G335" s="7" t="inlineStr">
        <is>
          <t>Thanh thẳng nối ren/hàn</t>
        </is>
      </c>
      <c r="H335" s="20" t="n">
        <v>6.153</v>
      </c>
      <c r="I335" s="21" t="n">
        <v>12</v>
      </c>
      <c r="J335" s="22" t="n">
        <v>3.85</v>
      </c>
      <c r="K335" s="9">
        <f>ROUND(H335*I335*J335, 2)</f>
        <v/>
      </c>
      <c r="L335" s="23">
        <f>ROUND(K335/1000, 3)</f>
        <v/>
      </c>
      <c r="M335" s="8" t="n"/>
      <c r="N335" s="6" t="n"/>
      <c r="O335" s="24">
        <f>IF(AND(E335&lt;=10, F335&lt;&gt;"ASTM A416", INT(P335/20)&gt;INT(P334/20)), "TN Ø10 (Lần " &amp; INT(P335/20) &amp; ")", IF(AND(E335=12, INT(Q335/20)&gt;INT(Q334/20)), "TN Ø12 (Lần " &amp; INT(Q335/20) &amp; ")", IF(AND(E335=14, INT(R335/20)&gt;INT(R334/20)), "TN Ø14 (Lần " &amp; INT(R335/20) &amp; ")", IF(AND(E335=16, INT(S335/20)&gt;INT(S334/20)), "TN Ø16 (Lần " &amp; INT(S335/20) &amp; ")", IF(AND(E335=18, INT(T335/20)&gt;INT(T334/20)), "TN Ø18 (Lần " &amp; INT(T335/20) &amp; ")", IF(AND(E335=20, INT(U335/20)&gt;INT(U334/20)), "TN Ø20 (Lần " &amp; INT(U335/20) &amp; ")", IF(AND(E335=22, INT(V335/20)&gt;INT(V334/20)), "TN Ø22 (Lần " &amp; INT(V335/20) &amp; ")", IF(AND(E335=25, INT(W335/20)&gt;INT(W334/20)), "TN Ø25 (Lần " &amp; INT(W335/20) &amp; ")", IF(AND(E335=28, INT(X335/20)&gt;INT(X334/20)), "TN Ø28 (Lần " &amp; INT(X335/20) &amp; ")", IF(AND(E335=32, INT(Y335/20)&gt;INT(Y334/20)), "TN Ø32 (Lần " &amp; INT(Y335/20) &amp; ")", IF(AND(F335="ASTM A416", INT(Z335/20)&gt;INT(Z334/20)), "TN Cáp 15.2 (Lần " &amp; INT(Z335/20) &amp; ")", "")))))))))))</f>
        <v/>
      </c>
      <c r="P335" s="20">
        <f>ROUND(P334 + IF(AND(E335&lt;=10, F335&lt;&gt;"ASTM A416"), L335, 0), 3)</f>
        <v/>
      </c>
      <c r="Q335" s="20">
        <f>ROUND(Q334 + IF(AND(E335=12, F335&lt;&gt;"ASTM A416"), L335, 0), 3)</f>
        <v/>
      </c>
      <c r="R335" s="20">
        <f>ROUND(R334 + IF(AND(E335=14, F335&lt;&gt;"ASTM A416"), L335, 0), 3)</f>
        <v/>
      </c>
      <c r="S335" s="20">
        <f>ROUND(S334 + IF(AND(E335=16, F335&lt;&gt;"ASTM A416"), L335, 0), 3)</f>
        <v/>
      </c>
      <c r="T335" s="20">
        <f>ROUND(T334 + IF(AND(E335=18, F335&lt;&gt;"ASTM A416"), L335, 0), 3)</f>
        <v/>
      </c>
      <c r="U335" s="20">
        <f>ROUND(U334 + IF(AND(E335=20, F335&lt;&gt;"ASTM A416"), L335, 0), 3)</f>
        <v/>
      </c>
      <c r="V335" s="20">
        <f>ROUND(V334 + IF(AND(E335=22, F335&lt;&gt;"ASTM A416"), L335, 0), 3)</f>
        <v/>
      </c>
      <c r="W335" s="20">
        <f>ROUND(W334 + IF(AND(E335=25, F335&lt;&gt;"ASTM A416"), L335, 0), 3)</f>
        <v/>
      </c>
      <c r="X335" s="20">
        <f>ROUND(X334 + IF(AND(E335=28, F335&lt;&gt;"ASTM A416"), L335, 0), 3)</f>
        <v/>
      </c>
      <c r="Y335" s="20">
        <f>ROUND(Y334 + IF(AND(E335=32, F335&lt;&gt;"ASTM A416"), L335, 0), 3)</f>
        <v/>
      </c>
      <c r="Z335" s="20">
        <f>ROUND(Z334 + IF(F335="ASTM A416", L335, 0), 3)</f>
        <v/>
      </c>
      <c r="AA335" s="11">
        <f>IF(INT(P335/20)&gt;INT(P334/20), "Lần " &amp; INT(P335/20), "")</f>
        <v/>
      </c>
      <c r="AB335" s="11">
        <f>IF(INT(Q335/20)&gt;INT(Q334/20), "Lần " &amp; INT(Q335/20), "")</f>
        <v/>
      </c>
      <c r="AC335" s="11">
        <f>IF(INT(R335/20)&gt;INT(R334/20), "Lần " &amp; INT(R335/20), "")</f>
        <v/>
      </c>
      <c r="AD335" s="11">
        <f>IF(INT(S335/20)&gt;INT(S334/20), "Lần " &amp; INT(S335/20), "")</f>
        <v/>
      </c>
      <c r="AE335" s="11">
        <f>IF(INT(T335/20)&gt;INT(T334/20), "Lần " &amp; INT(T335/20), "")</f>
        <v/>
      </c>
      <c r="AF335" s="11">
        <f>IF(INT(U335/20)&gt;INT(U334/20), "Lần " &amp; INT(U335/20), "")</f>
        <v/>
      </c>
      <c r="AG335" s="11">
        <f>IF(INT(V335/20)&gt;INT(V334/20), "Lần " &amp; INT(V335/20), "")</f>
        <v/>
      </c>
      <c r="AH335" s="11">
        <f>IF(INT(W335/20)&gt;INT(W334/20), "Lần " &amp; INT(W335/20), "")</f>
        <v/>
      </c>
      <c r="AI335" s="11">
        <f>IF(INT(X335/20)&gt;INT(X334/20), "Lần " &amp; INT(X335/20), "")</f>
        <v/>
      </c>
      <c r="AJ335" s="11">
        <f>IF(INT(Y335/20)&gt;INT(Y334/20), "Lần " &amp; INT(Y335/20), "")</f>
        <v/>
      </c>
      <c r="AK335" s="11">
        <f>IF(INT(Z335/20)&gt;INT(Z334/20), "Lần " &amp; INT(Z335/20), "")</f>
        <v/>
      </c>
      <c r="AL335" s="6" t="inlineStr">
        <is>
          <t>ĐẠT TCVN 1651:2018</t>
        </is>
      </c>
    </row>
    <row r="336" ht="19" customHeight="1">
      <c r="A336" s="6" t="n">
        <v>312</v>
      </c>
      <c r="B336" s="7" t="inlineStr">
        <is>
          <t>Cọc khoan nhồi C2 Mố M2 (D1.2m, L=36.0m)</t>
        </is>
      </c>
      <c r="C336" s="7" t="inlineStr">
        <is>
          <t>Đai tăng cường / Con kê bảo vệ</t>
        </is>
      </c>
      <c r="D336" s="18" t="inlineStr">
        <is>
          <t>P8</t>
        </is>
      </c>
      <c r="E336" s="19" t="n">
        <v>12</v>
      </c>
      <c r="F336" s="6" t="inlineStr">
        <is>
          <t>CB400-V</t>
        </is>
      </c>
      <c r="G336" s="7" t="inlineStr">
        <is>
          <t>Móc neo / Vòng đai</t>
        </is>
      </c>
      <c r="H336" s="20" t="n">
        <v>0.647</v>
      </c>
      <c r="I336" s="21" t="n">
        <v>15</v>
      </c>
      <c r="J336" s="22" t="n">
        <v>0.888</v>
      </c>
      <c r="K336" s="9">
        <f>ROUND(H336*I336*J336, 2)</f>
        <v/>
      </c>
      <c r="L336" s="23">
        <f>ROUND(K336/1000, 3)</f>
        <v/>
      </c>
      <c r="M336" s="8" t="n"/>
      <c r="N336" s="6" t="n"/>
      <c r="O336" s="24">
        <f>IF(AND(E336&lt;=10, F336&lt;&gt;"ASTM A416", INT(P336/20)&gt;INT(P335/20)), "TN Ø10 (Lần " &amp; INT(P336/20) &amp; ")", IF(AND(E336=12, INT(Q336/20)&gt;INT(Q335/20)), "TN Ø12 (Lần " &amp; INT(Q336/20) &amp; ")", IF(AND(E336=14, INT(R336/20)&gt;INT(R335/20)), "TN Ø14 (Lần " &amp; INT(R336/20) &amp; ")", IF(AND(E336=16, INT(S336/20)&gt;INT(S335/20)), "TN Ø16 (Lần " &amp; INT(S336/20) &amp; ")", IF(AND(E336=18, INT(T336/20)&gt;INT(T335/20)), "TN Ø18 (Lần " &amp; INT(T336/20) &amp; ")", IF(AND(E336=20, INT(U336/20)&gt;INT(U335/20)), "TN Ø20 (Lần " &amp; INT(U336/20) &amp; ")", IF(AND(E336=22, INT(V336/20)&gt;INT(V335/20)), "TN Ø22 (Lần " &amp; INT(V336/20) &amp; ")", IF(AND(E336=25, INT(W336/20)&gt;INT(W335/20)), "TN Ø25 (Lần " &amp; INT(W336/20) &amp; ")", IF(AND(E336=28, INT(X336/20)&gt;INT(X335/20)), "TN Ø28 (Lần " &amp; INT(X336/20) &amp; ")", IF(AND(E336=32, INT(Y336/20)&gt;INT(Y335/20)), "TN Ø32 (Lần " &amp; INT(Y336/20) &amp; ")", IF(AND(F336="ASTM A416", INT(Z336/20)&gt;INT(Z335/20)), "TN Cáp 15.2 (Lần " &amp; INT(Z336/20) &amp; ")", "")))))))))))</f>
        <v/>
      </c>
      <c r="P336" s="20">
        <f>ROUND(P335 + IF(AND(E336&lt;=10, F336&lt;&gt;"ASTM A416"), L336, 0), 3)</f>
        <v/>
      </c>
      <c r="Q336" s="20">
        <f>ROUND(Q335 + IF(AND(E336=12, F336&lt;&gt;"ASTM A416"), L336, 0), 3)</f>
        <v/>
      </c>
      <c r="R336" s="20">
        <f>ROUND(R335 + IF(AND(E336=14, F336&lt;&gt;"ASTM A416"), L336, 0), 3)</f>
        <v/>
      </c>
      <c r="S336" s="20">
        <f>ROUND(S335 + IF(AND(E336=16, F336&lt;&gt;"ASTM A416"), L336, 0), 3)</f>
        <v/>
      </c>
      <c r="T336" s="20">
        <f>ROUND(T335 + IF(AND(E336=18, F336&lt;&gt;"ASTM A416"), L336, 0), 3)</f>
        <v/>
      </c>
      <c r="U336" s="20">
        <f>ROUND(U335 + IF(AND(E336=20, F336&lt;&gt;"ASTM A416"), L336, 0), 3)</f>
        <v/>
      </c>
      <c r="V336" s="20">
        <f>ROUND(V335 + IF(AND(E336=22, F336&lt;&gt;"ASTM A416"), L336, 0), 3)</f>
        <v/>
      </c>
      <c r="W336" s="20">
        <f>ROUND(W335 + IF(AND(E336=25, F336&lt;&gt;"ASTM A416"), L336, 0), 3)</f>
        <v/>
      </c>
      <c r="X336" s="20">
        <f>ROUND(X335 + IF(AND(E336=28, F336&lt;&gt;"ASTM A416"), L336, 0), 3)</f>
        <v/>
      </c>
      <c r="Y336" s="20">
        <f>ROUND(Y335 + IF(AND(E336=32, F336&lt;&gt;"ASTM A416"), L336, 0), 3)</f>
        <v/>
      </c>
      <c r="Z336" s="20">
        <f>ROUND(Z335 + IF(F336="ASTM A416", L336, 0), 3)</f>
        <v/>
      </c>
      <c r="AA336" s="11">
        <f>IF(INT(P336/20)&gt;INT(P335/20), "Lần " &amp; INT(P336/20), "")</f>
        <v/>
      </c>
      <c r="AB336" s="11">
        <f>IF(INT(Q336/20)&gt;INT(Q335/20), "Lần " &amp; INT(Q336/20), "")</f>
        <v/>
      </c>
      <c r="AC336" s="11">
        <f>IF(INT(R336/20)&gt;INT(R335/20), "Lần " &amp; INT(R336/20), "")</f>
        <v/>
      </c>
      <c r="AD336" s="11">
        <f>IF(INT(S336/20)&gt;INT(S335/20), "Lần " &amp; INT(S336/20), "")</f>
        <v/>
      </c>
      <c r="AE336" s="11">
        <f>IF(INT(T336/20)&gt;INT(T335/20), "Lần " &amp; INT(T336/20), "")</f>
        <v/>
      </c>
      <c r="AF336" s="11">
        <f>IF(INT(U336/20)&gt;INT(U335/20), "Lần " &amp; INT(U336/20), "")</f>
        <v/>
      </c>
      <c r="AG336" s="11">
        <f>IF(INT(V336/20)&gt;INT(V335/20), "Lần " &amp; INT(V336/20), "")</f>
        <v/>
      </c>
      <c r="AH336" s="11">
        <f>IF(INT(W336/20)&gt;INT(W335/20), "Lần " &amp; INT(W336/20), "")</f>
        <v/>
      </c>
      <c r="AI336" s="11">
        <f>IF(INT(X336/20)&gt;INT(X335/20), "Lần " &amp; INT(X336/20), "")</f>
        <v/>
      </c>
      <c r="AJ336" s="11">
        <f>IF(INT(Y336/20)&gt;INT(Y335/20), "Lần " &amp; INT(Y336/20), "")</f>
        <v/>
      </c>
      <c r="AK336" s="11">
        <f>IF(INT(Z336/20)&gt;INT(Z335/20), "Lần " &amp; INT(Z336/20), "")</f>
        <v/>
      </c>
      <c r="AL336" s="6" t="inlineStr">
        <is>
          <t>ĐẠT TCVN 1651:2018</t>
        </is>
      </c>
    </row>
    <row r="337" ht="19" customHeight="1">
      <c r="A337" s="6" t="n">
        <v>313</v>
      </c>
      <c r="B337" s="7" t="inlineStr">
        <is>
          <t>Cọc khoan nhồi C2 Mố M2 (D1.2m, L=36.0m)</t>
        </is>
      </c>
      <c r="C337" s="7" t="inlineStr">
        <is>
          <t>Đai tăng cường / Con kê bảo vệ</t>
        </is>
      </c>
      <c r="D337" s="18" t="inlineStr">
        <is>
          <t>P9</t>
        </is>
      </c>
      <c r="E337" s="19" t="n">
        <v>12</v>
      </c>
      <c r="F337" s="6" t="inlineStr">
        <is>
          <t>CB400-V</t>
        </is>
      </c>
      <c r="G337" s="7" t="inlineStr">
        <is>
          <t>Móc neo / Vòng đai</t>
        </is>
      </c>
      <c r="H337" s="20" t="n">
        <v>0.379</v>
      </c>
      <c r="I337" s="21" t="n">
        <v>45</v>
      </c>
      <c r="J337" s="22" t="n">
        <v>0.888</v>
      </c>
      <c r="K337" s="9">
        <f>ROUND(H337*I337*J337, 2)</f>
        <v/>
      </c>
      <c r="L337" s="23">
        <f>ROUND(K337/1000, 3)</f>
        <v/>
      </c>
      <c r="M337" s="8" t="n"/>
      <c r="N337" s="6" t="n"/>
      <c r="O337" s="24">
        <f>IF(AND(E337&lt;=10, F337&lt;&gt;"ASTM A416", INT(P337/20)&gt;INT(P336/20)), "TN Ø10 (Lần " &amp; INT(P337/20) &amp; ")", IF(AND(E337=12, INT(Q337/20)&gt;INT(Q336/20)), "TN Ø12 (Lần " &amp; INT(Q337/20) &amp; ")", IF(AND(E337=14, INT(R337/20)&gt;INT(R336/20)), "TN Ø14 (Lần " &amp; INT(R337/20) &amp; ")", IF(AND(E337=16, INT(S337/20)&gt;INT(S336/20)), "TN Ø16 (Lần " &amp; INT(S337/20) &amp; ")", IF(AND(E337=18, INT(T337/20)&gt;INT(T336/20)), "TN Ø18 (Lần " &amp; INT(T337/20) &amp; ")", IF(AND(E337=20, INT(U337/20)&gt;INT(U336/20)), "TN Ø20 (Lần " &amp; INT(U337/20) &amp; ")", IF(AND(E337=22, INT(V337/20)&gt;INT(V336/20)), "TN Ø22 (Lần " &amp; INT(V337/20) &amp; ")", IF(AND(E337=25, INT(W337/20)&gt;INT(W336/20)), "TN Ø25 (Lần " &amp; INT(W337/20) &amp; ")", IF(AND(E337=28, INT(X337/20)&gt;INT(X336/20)), "TN Ø28 (Lần " &amp; INT(X337/20) &amp; ")", IF(AND(E337=32, INT(Y337/20)&gt;INT(Y336/20)), "TN Ø32 (Lần " &amp; INT(Y337/20) &amp; ")", IF(AND(F337="ASTM A416", INT(Z337/20)&gt;INT(Z336/20)), "TN Cáp 15.2 (Lần " &amp; INT(Z337/20) &amp; ")", "")))))))))))</f>
        <v/>
      </c>
      <c r="P337" s="20">
        <f>ROUND(P336 + IF(AND(E337&lt;=10, F337&lt;&gt;"ASTM A416"), L337, 0), 3)</f>
        <v/>
      </c>
      <c r="Q337" s="20">
        <f>ROUND(Q336 + IF(AND(E337=12, F337&lt;&gt;"ASTM A416"), L337, 0), 3)</f>
        <v/>
      </c>
      <c r="R337" s="20">
        <f>ROUND(R336 + IF(AND(E337=14, F337&lt;&gt;"ASTM A416"), L337, 0), 3)</f>
        <v/>
      </c>
      <c r="S337" s="20">
        <f>ROUND(S336 + IF(AND(E337=16, F337&lt;&gt;"ASTM A416"), L337, 0), 3)</f>
        <v/>
      </c>
      <c r="T337" s="20">
        <f>ROUND(T336 + IF(AND(E337=18, F337&lt;&gt;"ASTM A416"), L337, 0), 3)</f>
        <v/>
      </c>
      <c r="U337" s="20">
        <f>ROUND(U336 + IF(AND(E337=20, F337&lt;&gt;"ASTM A416"), L337, 0), 3)</f>
        <v/>
      </c>
      <c r="V337" s="20">
        <f>ROUND(V336 + IF(AND(E337=22, F337&lt;&gt;"ASTM A416"), L337, 0), 3)</f>
        <v/>
      </c>
      <c r="W337" s="20">
        <f>ROUND(W336 + IF(AND(E337=25, F337&lt;&gt;"ASTM A416"), L337, 0), 3)</f>
        <v/>
      </c>
      <c r="X337" s="20">
        <f>ROUND(X336 + IF(AND(E337=28, F337&lt;&gt;"ASTM A416"), L337, 0), 3)</f>
        <v/>
      </c>
      <c r="Y337" s="20">
        <f>ROUND(Y336 + IF(AND(E337=32, F337&lt;&gt;"ASTM A416"), L337, 0), 3)</f>
        <v/>
      </c>
      <c r="Z337" s="20">
        <f>ROUND(Z336 + IF(F337="ASTM A416", L337, 0), 3)</f>
        <v/>
      </c>
      <c r="AA337" s="11">
        <f>IF(INT(P337/20)&gt;INT(P336/20), "Lần " &amp; INT(P337/20), "")</f>
        <v/>
      </c>
      <c r="AB337" s="11">
        <f>IF(INT(Q337/20)&gt;INT(Q336/20), "Lần " &amp; INT(Q337/20), "")</f>
        <v/>
      </c>
      <c r="AC337" s="11">
        <f>IF(INT(R337/20)&gt;INT(R336/20), "Lần " &amp; INT(R337/20), "")</f>
        <v/>
      </c>
      <c r="AD337" s="11">
        <f>IF(INT(S337/20)&gt;INT(S336/20), "Lần " &amp; INT(S337/20), "")</f>
        <v/>
      </c>
      <c r="AE337" s="11">
        <f>IF(INT(T337/20)&gt;INT(T336/20), "Lần " &amp; INT(T337/20), "")</f>
        <v/>
      </c>
      <c r="AF337" s="11">
        <f>IF(INT(U337/20)&gt;INT(U336/20), "Lần " &amp; INT(U337/20), "")</f>
        <v/>
      </c>
      <c r="AG337" s="11">
        <f>IF(INT(V337/20)&gt;INT(V336/20), "Lần " &amp; INT(V337/20), "")</f>
        <v/>
      </c>
      <c r="AH337" s="11">
        <f>IF(INT(W337/20)&gt;INT(W336/20), "Lần " &amp; INT(W337/20), "")</f>
        <v/>
      </c>
      <c r="AI337" s="11">
        <f>IF(INT(X337/20)&gt;INT(X336/20), "Lần " &amp; INT(X337/20), "")</f>
        <v/>
      </c>
      <c r="AJ337" s="11">
        <f>IF(INT(Y337/20)&gt;INT(Y336/20), "Lần " &amp; INT(Y337/20), "")</f>
        <v/>
      </c>
      <c r="AK337" s="11">
        <f>IF(INT(Z337/20)&gt;INT(Z336/20), "Lần " &amp; INT(Z337/20), "")</f>
        <v/>
      </c>
      <c r="AL337" s="6" t="inlineStr">
        <is>
          <t>ĐẠT TCVN 1651:2018</t>
        </is>
      </c>
    </row>
    <row r="338" ht="19" customHeight="1">
      <c r="A338" s="6" t="n">
        <v>314</v>
      </c>
      <c r="B338" s="7" t="inlineStr">
        <is>
          <t>Cọc khoan nhồi C2 Mố M2 (D1.2m, L=36.0m)</t>
        </is>
      </c>
      <c r="C338" s="7" t="inlineStr">
        <is>
          <t>Thép đai xoắn lồng cọc</t>
        </is>
      </c>
      <c r="D338" s="18" t="inlineStr">
        <is>
          <t>P10</t>
        </is>
      </c>
      <c r="E338" s="19" t="n">
        <v>20</v>
      </c>
      <c r="F338" s="6" t="inlineStr">
        <is>
          <t>CB400-V</t>
        </is>
      </c>
      <c r="G338" s="7" t="inlineStr">
        <is>
          <t>Đai xoắn tròn</t>
        </is>
      </c>
      <c r="H338" s="20" t="n">
        <v>2.057</v>
      </c>
      <c r="I338" s="21" t="n">
        <v>1</v>
      </c>
      <c r="J338" s="22" t="n">
        <v>2.47</v>
      </c>
      <c r="K338" s="9">
        <f>ROUND(H338*I338*J338, 2)</f>
        <v/>
      </c>
      <c r="L338" s="23">
        <f>ROUND(K338/1000, 3)</f>
        <v/>
      </c>
      <c r="M338" s="8" t="n"/>
      <c r="N338" s="6" t="n"/>
      <c r="O338" s="24">
        <f>IF(AND(E338&lt;=10, F338&lt;&gt;"ASTM A416", INT(P338/20)&gt;INT(P337/20)), "TN Ø10 (Lần " &amp; INT(P338/20) &amp; ")", IF(AND(E338=12, INT(Q338/20)&gt;INT(Q337/20)), "TN Ø12 (Lần " &amp; INT(Q338/20) &amp; ")", IF(AND(E338=14, INT(R338/20)&gt;INT(R337/20)), "TN Ø14 (Lần " &amp; INT(R338/20) &amp; ")", IF(AND(E338=16, INT(S338/20)&gt;INT(S337/20)), "TN Ø16 (Lần " &amp; INT(S338/20) &amp; ")", IF(AND(E338=18, INT(T338/20)&gt;INT(T337/20)), "TN Ø18 (Lần " &amp; INT(T338/20) &amp; ")", IF(AND(E338=20, INT(U338/20)&gt;INT(U337/20)), "TN Ø20 (Lần " &amp; INT(U338/20) &amp; ")", IF(AND(E338=22, INT(V338/20)&gt;INT(V337/20)), "TN Ø22 (Lần " &amp; INT(V338/20) &amp; ")", IF(AND(E338=25, INT(W338/20)&gt;INT(W337/20)), "TN Ø25 (Lần " &amp; INT(W338/20) &amp; ")", IF(AND(E338=28, INT(X338/20)&gt;INT(X337/20)), "TN Ø28 (Lần " &amp; INT(X338/20) &amp; ")", IF(AND(E338=32, INT(Y338/20)&gt;INT(Y337/20)), "TN Ø32 (Lần " &amp; INT(Y338/20) &amp; ")", IF(AND(F338="ASTM A416", INT(Z338/20)&gt;INT(Z337/20)), "TN Cáp 15.2 (Lần " &amp; INT(Z338/20) &amp; ")", "")))))))))))</f>
        <v/>
      </c>
      <c r="P338" s="20">
        <f>ROUND(P337 + IF(AND(E338&lt;=10, F338&lt;&gt;"ASTM A416"), L338, 0), 3)</f>
        <v/>
      </c>
      <c r="Q338" s="20">
        <f>ROUND(Q337 + IF(AND(E338=12, F338&lt;&gt;"ASTM A416"), L338, 0), 3)</f>
        <v/>
      </c>
      <c r="R338" s="20">
        <f>ROUND(R337 + IF(AND(E338=14, F338&lt;&gt;"ASTM A416"), L338, 0), 3)</f>
        <v/>
      </c>
      <c r="S338" s="20">
        <f>ROUND(S337 + IF(AND(E338=16, F338&lt;&gt;"ASTM A416"), L338, 0), 3)</f>
        <v/>
      </c>
      <c r="T338" s="20">
        <f>ROUND(T337 + IF(AND(E338=18, F338&lt;&gt;"ASTM A416"), L338, 0), 3)</f>
        <v/>
      </c>
      <c r="U338" s="20">
        <f>ROUND(U337 + IF(AND(E338=20, F338&lt;&gt;"ASTM A416"), L338, 0), 3)</f>
        <v/>
      </c>
      <c r="V338" s="20">
        <f>ROUND(V337 + IF(AND(E338=22, F338&lt;&gt;"ASTM A416"), L338, 0), 3)</f>
        <v/>
      </c>
      <c r="W338" s="20">
        <f>ROUND(W337 + IF(AND(E338=25, F338&lt;&gt;"ASTM A416"), L338, 0), 3)</f>
        <v/>
      </c>
      <c r="X338" s="20">
        <f>ROUND(X337 + IF(AND(E338=28, F338&lt;&gt;"ASTM A416"), L338, 0), 3)</f>
        <v/>
      </c>
      <c r="Y338" s="20">
        <f>ROUND(Y337 + IF(AND(E338=32, F338&lt;&gt;"ASTM A416"), L338, 0), 3)</f>
        <v/>
      </c>
      <c r="Z338" s="20">
        <f>ROUND(Z337 + IF(F338="ASTM A416", L338, 0), 3)</f>
        <v/>
      </c>
      <c r="AA338" s="11">
        <f>IF(INT(P338/20)&gt;INT(P337/20), "Lần " &amp; INT(P338/20), "")</f>
        <v/>
      </c>
      <c r="AB338" s="11">
        <f>IF(INT(Q338/20)&gt;INT(Q337/20), "Lần " &amp; INT(Q338/20), "")</f>
        <v/>
      </c>
      <c r="AC338" s="11">
        <f>IF(INT(R338/20)&gt;INT(R337/20), "Lần " &amp; INT(R338/20), "")</f>
        <v/>
      </c>
      <c r="AD338" s="11">
        <f>IF(INT(S338/20)&gt;INT(S337/20), "Lần " &amp; INT(S338/20), "")</f>
        <v/>
      </c>
      <c r="AE338" s="11">
        <f>IF(INT(T338/20)&gt;INT(T337/20), "Lần " &amp; INT(T338/20), "")</f>
        <v/>
      </c>
      <c r="AF338" s="11">
        <f>IF(INT(U338/20)&gt;INT(U337/20), "Lần " &amp; INT(U338/20), "")</f>
        <v/>
      </c>
      <c r="AG338" s="11">
        <f>IF(INT(V338/20)&gt;INT(V337/20), "Lần " &amp; INT(V338/20), "")</f>
        <v/>
      </c>
      <c r="AH338" s="11">
        <f>IF(INT(W338/20)&gt;INT(W337/20), "Lần " &amp; INT(W338/20), "")</f>
        <v/>
      </c>
      <c r="AI338" s="11">
        <f>IF(INT(X338/20)&gt;INT(X337/20), "Lần " &amp; INT(X338/20), "")</f>
        <v/>
      </c>
      <c r="AJ338" s="11">
        <f>IF(INT(Y338/20)&gt;INT(Y337/20), "Lần " &amp; INT(Y338/20), "")</f>
        <v/>
      </c>
      <c r="AK338" s="11">
        <f>IF(INT(Z338/20)&gt;INT(Z337/20), "Lần " &amp; INT(Z338/20), "")</f>
        <v/>
      </c>
      <c r="AL338" s="6" t="inlineStr">
        <is>
          <t>ĐẠT TCVN 1651:2018</t>
        </is>
      </c>
    </row>
    <row r="339" ht="19" customHeight="1">
      <c r="A339" s="6" t="n">
        <v>315</v>
      </c>
      <c r="B339" s="7" t="inlineStr">
        <is>
          <t>Cọc khoan nhồi C2 Mố M2 (D1.2m, L=36.0m)</t>
        </is>
      </c>
      <c r="C339" s="7" t="inlineStr">
        <is>
          <t>Thanh thép treo lồng cọc</t>
        </is>
      </c>
      <c r="D339" s="18" t="inlineStr">
        <is>
          <t>P11</t>
        </is>
      </c>
      <c r="E339" s="19" t="n">
        <v>16</v>
      </c>
      <c r="F339" s="6" t="inlineStr">
        <is>
          <t>CB400-V</t>
        </is>
      </c>
      <c r="G339" s="7" t="inlineStr">
        <is>
          <t>Thanh treo lồng (bảng phụ tr.66)</t>
        </is>
      </c>
      <c r="H339" s="20" t="n">
        <v>2.484</v>
      </c>
      <c r="I339" s="21" t="n">
        <v>4</v>
      </c>
      <c r="J339" s="22" t="n">
        <v>1.58</v>
      </c>
      <c r="K339" s="9">
        <f>ROUND(H339*I339*J339, 2)</f>
        <v/>
      </c>
      <c r="L339" s="23">
        <f>ROUND(K339/1000, 3)</f>
        <v/>
      </c>
      <c r="M339" s="8" t="n"/>
      <c r="N339" s="6" t="n"/>
      <c r="O339" s="24">
        <f>IF(AND(E339&lt;=10, F339&lt;&gt;"ASTM A416", INT(P339/20)&gt;INT(P338/20)), "TN Ø10 (Lần " &amp; INT(P339/20) &amp; ")", IF(AND(E339=12, INT(Q339/20)&gt;INT(Q338/20)), "TN Ø12 (Lần " &amp; INT(Q339/20) &amp; ")", IF(AND(E339=14, INT(R339/20)&gt;INT(R338/20)), "TN Ø14 (Lần " &amp; INT(R339/20) &amp; ")", IF(AND(E339=16, INT(S339/20)&gt;INT(S338/20)), "TN Ø16 (Lần " &amp; INT(S339/20) &amp; ")", IF(AND(E339=18, INT(T339/20)&gt;INT(T338/20)), "TN Ø18 (Lần " &amp; INT(T339/20) &amp; ")", IF(AND(E339=20, INT(U339/20)&gt;INT(U338/20)), "TN Ø20 (Lần " &amp; INT(U339/20) &amp; ")", IF(AND(E339=22, INT(V339/20)&gt;INT(V338/20)), "TN Ø22 (Lần " &amp; INT(V339/20) &amp; ")", IF(AND(E339=25, INT(W339/20)&gt;INT(W338/20)), "TN Ø25 (Lần " &amp; INT(W339/20) &amp; ")", IF(AND(E339=28, INT(X339/20)&gt;INT(X338/20)), "TN Ø28 (Lần " &amp; INT(X339/20) &amp; ")", IF(AND(E339=32, INT(Y339/20)&gt;INT(Y338/20)), "TN Ø32 (Lần " &amp; INT(Y339/20) &amp; ")", IF(AND(F339="ASTM A416", INT(Z339/20)&gt;INT(Z338/20)), "TN Cáp 15.2 (Lần " &amp; INT(Z339/20) &amp; ")", "")))))))))))</f>
        <v/>
      </c>
      <c r="P339" s="20">
        <f>ROUND(P338 + IF(AND(E339&lt;=10, F339&lt;&gt;"ASTM A416"), L339, 0), 3)</f>
        <v/>
      </c>
      <c r="Q339" s="20">
        <f>ROUND(Q338 + IF(AND(E339=12, F339&lt;&gt;"ASTM A416"), L339, 0), 3)</f>
        <v/>
      </c>
      <c r="R339" s="20">
        <f>ROUND(R338 + IF(AND(E339=14, F339&lt;&gt;"ASTM A416"), L339, 0), 3)</f>
        <v/>
      </c>
      <c r="S339" s="20">
        <f>ROUND(S338 + IF(AND(E339=16, F339&lt;&gt;"ASTM A416"), L339, 0), 3)</f>
        <v/>
      </c>
      <c r="T339" s="20">
        <f>ROUND(T338 + IF(AND(E339=18, F339&lt;&gt;"ASTM A416"), L339, 0), 3)</f>
        <v/>
      </c>
      <c r="U339" s="20">
        <f>ROUND(U338 + IF(AND(E339=20, F339&lt;&gt;"ASTM A416"), L339, 0), 3)</f>
        <v/>
      </c>
      <c r="V339" s="20">
        <f>ROUND(V338 + IF(AND(E339=22, F339&lt;&gt;"ASTM A416"), L339, 0), 3)</f>
        <v/>
      </c>
      <c r="W339" s="20">
        <f>ROUND(W338 + IF(AND(E339=25, F339&lt;&gt;"ASTM A416"), L339, 0), 3)</f>
        <v/>
      </c>
      <c r="X339" s="20">
        <f>ROUND(X338 + IF(AND(E339=28, F339&lt;&gt;"ASTM A416"), L339, 0), 3)</f>
        <v/>
      </c>
      <c r="Y339" s="20">
        <f>ROUND(Y338 + IF(AND(E339=32, F339&lt;&gt;"ASTM A416"), L339, 0), 3)</f>
        <v/>
      </c>
      <c r="Z339" s="20">
        <f>ROUND(Z338 + IF(F339="ASTM A416", L339, 0), 3)</f>
        <v/>
      </c>
      <c r="AA339" s="11">
        <f>IF(INT(P339/20)&gt;INT(P338/20), "Lần " &amp; INT(P339/20), "")</f>
        <v/>
      </c>
      <c r="AB339" s="11">
        <f>IF(INT(Q339/20)&gt;INT(Q338/20), "Lần " &amp; INT(Q339/20), "")</f>
        <v/>
      </c>
      <c r="AC339" s="11">
        <f>IF(INT(R339/20)&gt;INT(R338/20), "Lần " &amp; INT(R339/20), "")</f>
        <v/>
      </c>
      <c r="AD339" s="11">
        <f>IF(INT(S339/20)&gt;INT(S338/20), "Lần " &amp; INT(S339/20), "")</f>
        <v/>
      </c>
      <c r="AE339" s="11">
        <f>IF(INT(T339/20)&gt;INT(T338/20), "Lần " &amp; INT(T339/20), "")</f>
        <v/>
      </c>
      <c r="AF339" s="11">
        <f>IF(INT(U339/20)&gt;INT(U338/20), "Lần " &amp; INT(U339/20), "")</f>
        <v/>
      </c>
      <c r="AG339" s="11">
        <f>IF(INT(V339/20)&gt;INT(V338/20), "Lần " &amp; INT(V339/20), "")</f>
        <v/>
      </c>
      <c r="AH339" s="11">
        <f>IF(INT(W339/20)&gt;INT(W338/20), "Lần " &amp; INT(W339/20), "")</f>
        <v/>
      </c>
      <c r="AI339" s="11">
        <f>IF(INT(X339/20)&gt;INT(X338/20), "Lần " &amp; INT(X339/20), "")</f>
        <v/>
      </c>
      <c r="AJ339" s="11">
        <f>IF(INT(Y339/20)&gt;INT(Y338/20), "Lần " &amp; INT(Y339/20), "")</f>
        <v/>
      </c>
      <c r="AK339" s="11">
        <f>IF(INT(Z339/20)&gt;INT(Z338/20), "Lần " &amp; INT(Z339/20), "")</f>
        <v/>
      </c>
      <c r="AL339" s="6" t="inlineStr">
        <is>
          <t>ĐẠT TCVN 1651:2018</t>
        </is>
      </c>
    </row>
    <row r="340" ht="19" customHeight="1">
      <c r="A340" s="6" t="n">
        <v>316</v>
      </c>
      <c r="B340" s="7" t="inlineStr">
        <is>
          <t>Cọc khoan nhồi C2 Mố M2 (D1.2m, L=36.0m)</t>
        </is>
      </c>
      <c r="C340" s="7" t="inlineStr">
        <is>
          <t>Thép đai xoắn lồng cọc</t>
        </is>
      </c>
      <c r="D340" s="18" t="inlineStr">
        <is>
          <t>P12</t>
        </is>
      </c>
      <c r="E340" s="19" t="n">
        <v>20</v>
      </c>
      <c r="F340" s="6" t="inlineStr">
        <is>
          <t>CB400-V</t>
        </is>
      </c>
      <c r="G340" s="7" t="inlineStr">
        <is>
          <t>Đai xoắn tròn</t>
        </is>
      </c>
      <c r="H340" s="20" t="n">
        <v>0.583</v>
      </c>
      <c r="I340" s="21" t="n">
        <v>60</v>
      </c>
      <c r="J340" s="22" t="n">
        <v>2.47</v>
      </c>
      <c r="K340" s="9">
        <f>ROUND(H340*I340*J340, 2)</f>
        <v/>
      </c>
      <c r="L340" s="23">
        <f>ROUND(K340/1000, 3)</f>
        <v/>
      </c>
      <c r="M340" s="8" t="n"/>
      <c r="N340" s="6" t="n"/>
      <c r="O340" s="24">
        <f>IF(AND(E340&lt;=10, F340&lt;&gt;"ASTM A416", INT(P340/20)&gt;INT(P339/20)), "TN Ø10 (Lần " &amp; INT(P340/20) &amp; ")", IF(AND(E340=12, INT(Q340/20)&gt;INT(Q339/20)), "TN Ø12 (Lần " &amp; INT(Q340/20) &amp; ")", IF(AND(E340=14, INT(R340/20)&gt;INT(R339/20)), "TN Ø14 (Lần " &amp; INT(R340/20) &amp; ")", IF(AND(E340=16, INT(S340/20)&gt;INT(S339/20)), "TN Ø16 (Lần " &amp; INT(S340/20) &amp; ")", IF(AND(E340=18, INT(T340/20)&gt;INT(T339/20)), "TN Ø18 (Lần " &amp; INT(T340/20) &amp; ")", IF(AND(E340=20, INT(U340/20)&gt;INT(U339/20)), "TN Ø20 (Lần " &amp; INT(U340/20) &amp; ")", IF(AND(E340=22, INT(V340/20)&gt;INT(V339/20)), "TN Ø22 (Lần " &amp; INT(V340/20) &amp; ")", IF(AND(E340=25, INT(W340/20)&gt;INT(W339/20)), "TN Ø25 (Lần " &amp; INT(W340/20) &amp; ")", IF(AND(E340=28, INT(X340/20)&gt;INT(X339/20)), "TN Ø28 (Lần " &amp; INT(X340/20) &amp; ")", IF(AND(E340=32, INT(Y340/20)&gt;INT(Y339/20)), "TN Ø32 (Lần " &amp; INT(Y340/20) &amp; ")", IF(AND(F340="ASTM A416", INT(Z340/20)&gt;INT(Z339/20)), "TN Cáp 15.2 (Lần " &amp; INT(Z340/20) &amp; ")", "")))))))))))</f>
        <v/>
      </c>
      <c r="P340" s="20">
        <f>ROUND(P339 + IF(AND(E340&lt;=10, F340&lt;&gt;"ASTM A416"), L340, 0), 3)</f>
        <v/>
      </c>
      <c r="Q340" s="20">
        <f>ROUND(Q339 + IF(AND(E340=12, F340&lt;&gt;"ASTM A416"), L340, 0), 3)</f>
        <v/>
      </c>
      <c r="R340" s="20">
        <f>ROUND(R339 + IF(AND(E340=14, F340&lt;&gt;"ASTM A416"), L340, 0), 3)</f>
        <v/>
      </c>
      <c r="S340" s="20">
        <f>ROUND(S339 + IF(AND(E340=16, F340&lt;&gt;"ASTM A416"), L340, 0), 3)</f>
        <v/>
      </c>
      <c r="T340" s="20">
        <f>ROUND(T339 + IF(AND(E340=18, F340&lt;&gt;"ASTM A416"), L340, 0), 3)</f>
        <v/>
      </c>
      <c r="U340" s="20">
        <f>ROUND(U339 + IF(AND(E340=20, F340&lt;&gt;"ASTM A416"), L340, 0), 3)</f>
        <v/>
      </c>
      <c r="V340" s="20">
        <f>ROUND(V339 + IF(AND(E340=22, F340&lt;&gt;"ASTM A416"), L340, 0), 3)</f>
        <v/>
      </c>
      <c r="W340" s="20">
        <f>ROUND(W339 + IF(AND(E340=25, F340&lt;&gt;"ASTM A416"), L340, 0), 3)</f>
        <v/>
      </c>
      <c r="X340" s="20">
        <f>ROUND(X339 + IF(AND(E340=28, F340&lt;&gt;"ASTM A416"), L340, 0), 3)</f>
        <v/>
      </c>
      <c r="Y340" s="20">
        <f>ROUND(Y339 + IF(AND(E340=32, F340&lt;&gt;"ASTM A416"), L340, 0), 3)</f>
        <v/>
      </c>
      <c r="Z340" s="20">
        <f>ROUND(Z339 + IF(F340="ASTM A416", L340, 0), 3)</f>
        <v/>
      </c>
      <c r="AA340" s="11">
        <f>IF(INT(P340/20)&gt;INT(P339/20), "Lần " &amp; INT(P340/20), "")</f>
        <v/>
      </c>
      <c r="AB340" s="11">
        <f>IF(INT(Q340/20)&gt;INT(Q339/20), "Lần " &amp; INT(Q340/20), "")</f>
        <v/>
      </c>
      <c r="AC340" s="11">
        <f>IF(INT(R340/20)&gt;INT(R339/20), "Lần " &amp; INT(R340/20), "")</f>
        <v/>
      </c>
      <c r="AD340" s="11">
        <f>IF(INT(S340/20)&gt;INT(S339/20), "Lần " &amp; INT(S340/20), "")</f>
        <v/>
      </c>
      <c r="AE340" s="11">
        <f>IF(INT(T340/20)&gt;INT(T339/20), "Lần " &amp; INT(T340/20), "")</f>
        <v/>
      </c>
      <c r="AF340" s="11">
        <f>IF(INT(U340/20)&gt;INT(U339/20), "Lần " &amp; INT(U340/20), "")</f>
        <v/>
      </c>
      <c r="AG340" s="11">
        <f>IF(INT(V340/20)&gt;INT(V339/20), "Lần " &amp; INT(V340/20), "")</f>
        <v/>
      </c>
      <c r="AH340" s="11">
        <f>IF(INT(W340/20)&gt;INT(W339/20), "Lần " &amp; INT(W340/20), "")</f>
        <v/>
      </c>
      <c r="AI340" s="11">
        <f>IF(INT(X340/20)&gt;INT(X339/20), "Lần " &amp; INT(X340/20), "")</f>
        <v/>
      </c>
      <c r="AJ340" s="11">
        <f>IF(INT(Y340/20)&gt;INT(Y339/20), "Lần " &amp; INT(Y340/20), "")</f>
        <v/>
      </c>
      <c r="AK340" s="11">
        <f>IF(INT(Z340/20)&gt;INT(Z339/20), "Lần " &amp; INT(Z340/20), "")</f>
        <v/>
      </c>
      <c r="AL340" s="6" t="inlineStr">
        <is>
          <t>ĐẠT TCVN 1651:2018</t>
        </is>
      </c>
    </row>
    <row r="341" ht="20" customHeight="1">
      <c r="A341" s="17" t="inlineStr">
        <is>
          <t>--- CỌC KHOAN NHỒI C3 MỐ M2 (D1.2M, L=36.0M) ---</t>
        </is>
      </c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5" t="n"/>
      <c r="AE341" s="5" t="n"/>
      <c r="AF341" s="5" t="n"/>
      <c r="AG341" s="5" t="n"/>
      <c r="AH341" s="5" t="n"/>
      <c r="AI341" s="5" t="n"/>
      <c r="AJ341" s="5" t="n"/>
      <c r="AK341" s="5" t="n"/>
      <c r="AL341" s="5" t="n"/>
    </row>
    <row r="342" ht="19" customHeight="1">
      <c r="A342" s="6" t="n">
        <v>317</v>
      </c>
      <c r="B342" s="7" t="inlineStr">
        <is>
          <t>Cọc khoan nhồi C3 Mố M2 (D1.2m, L=36.0m)</t>
        </is>
      </c>
      <c r="C342" s="7" t="inlineStr">
        <is>
          <t>Thép đai xoắn lồng cọc</t>
        </is>
      </c>
      <c r="D342" s="18" t="inlineStr">
        <is>
          <t>P1</t>
        </is>
      </c>
      <c r="E342" s="19" t="n">
        <v>10</v>
      </c>
      <c r="F342" s="6" t="inlineStr">
        <is>
          <t>CB240-T</t>
        </is>
      </c>
      <c r="G342" s="7" t="inlineStr">
        <is>
          <t>Đai xoắn tròn</t>
        </is>
      </c>
      <c r="H342" s="20" t="n">
        <v>96.887</v>
      </c>
      <c r="I342" s="21" t="n">
        <v>1</v>
      </c>
      <c r="J342" s="22" t="n">
        <v>0.617</v>
      </c>
      <c r="K342" s="9">
        <f>ROUND(H342*I342*J342, 2)</f>
        <v/>
      </c>
      <c r="L342" s="23">
        <f>ROUND(K342/1000, 3)</f>
        <v/>
      </c>
      <c r="M342" s="8" t="n"/>
      <c r="N342" s="6" t="n"/>
      <c r="O342" s="24">
        <f>IF(AND(E342&lt;=10, F342&lt;&gt;"ASTM A416", INT(P342/20)&gt;INT(P340/20)), "TN Ø10 (Lần " &amp; INT(P342/20) &amp; ")", IF(AND(E342=12, INT(Q342/20)&gt;INT(Q340/20)), "TN Ø12 (Lần " &amp; INT(Q342/20) &amp; ")", IF(AND(E342=14, INT(R342/20)&gt;INT(R340/20)), "TN Ø14 (Lần " &amp; INT(R342/20) &amp; ")", IF(AND(E342=16, INT(S342/20)&gt;INT(S340/20)), "TN Ø16 (Lần " &amp; INT(S342/20) &amp; ")", IF(AND(E342=18, INT(T342/20)&gt;INT(T340/20)), "TN Ø18 (Lần " &amp; INT(T342/20) &amp; ")", IF(AND(E342=20, INT(U342/20)&gt;INT(U340/20)), "TN Ø20 (Lần " &amp; INT(U342/20) &amp; ")", IF(AND(E342=22, INT(V342/20)&gt;INT(V340/20)), "TN Ø22 (Lần " &amp; INT(V342/20) &amp; ")", IF(AND(E342=25, INT(W342/20)&gt;INT(W340/20)), "TN Ø25 (Lần " &amp; INT(W342/20) &amp; ")", IF(AND(E342=28, INT(X342/20)&gt;INT(X340/20)), "TN Ø28 (Lần " &amp; INT(X342/20) &amp; ")", IF(AND(E342=32, INT(Y342/20)&gt;INT(Y340/20)), "TN Ø32 (Lần " &amp; INT(Y342/20) &amp; ")", IF(AND(F342="ASTM A416", INT(Z342/20)&gt;INT(Z340/20)), "TN Cáp 15.2 (Lần " &amp; INT(Z342/20) &amp; ")", "")))))))))))</f>
        <v/>
      </c>
      <c r="P342" s="20">
        <f>ROUND(P340 + IF(AND(E342&lt;=10, F342&lt;&gt;"ASTM A416"), L342, 0), 3)</f>
        <v/>
      </c>
      <c r="Q342" s="20">
        <f>ROUND(Q340 + IF(AND(E342=12, F342&lt;&gt;"ASTM A416"), L342, 0), 3)</f>
        <v/>
      </c>
      <c r="R342" s="20">
        <f>ROUND(R340 + IF(AND(E342=14, F342&lt;&gt;"ASTM A416"), L342, 0), 3)</f>
        <v/>
      </c>
      <c r="S342" s="20">
        <f>ROUND(S340 + IF(AND(E342=16, F342&lt;&gt;"ASTM A416"), L342, 0), 3)</f>
        <v/>
      </c>
      <c r="T342" s="20">
        <f>ROUND(T340 + IF(AND(E342=18, F342&lt;&gt;"ASTM A416"), L342, 0), 3)</f>
        <v/>
      </c>
      <c r="U342" s="20">
        <f>ROUND(U340 + IF(AND(E342=20, F342&lt;&gt;"ASTM A416"), L342, 0), 3)</f>
        <v/>
      </c>
      <c r="V342" s="20">
        <f>ROUND(V340 + IF(AND(E342=22, F342&lt;&gt;"ASTM A416"), L342, 0), 3)</f>
        <v/>
      </c>
      <c r="W342" s="20">
        <f>ROUND(W340 + IF(AND(E342=25, F342&lt;&gt;"ASTM A416"), L342, 0), 3)</f>
        <v/>
      </c>
      <c r="X342" s="20">
        <f>ROUND(X340 + IF(AND(E342=28, F342&lt;&gt;"ASTM A416"), L342, 0), 3)</f>
        <v/>
      </c>
      <c r="Y342" s="20">
        <f>ROUND(Y340 + IF(AND(E342=32, F342&lt;&gt;"ASTM A416"), L342, 0), 3)</f>
        <v/>
      </c>
      <c r="Z342" s="20">
        <f>ROUND(Z340 + IF(F342="ASTM A416", L342, 0), 3)</f>
        <v/>
      </c>
      <c r="AA342" s="11">
        <f>IF(INT(P342/20)&gt;INT(P340/20), "Lần " &amp; INT(P342/20), "")</f>
        <v/>
      </c>
      <c r="AB342" s="11">
        <f>IF(INT(Q342/20)&gt;INT(Q340/20), "Lần " &amp; INT(Q342/20), "")</f>
        <v/>
      </c>
      <c r="AC342" s="11">
        <f>IF(INT(R342/20)&gt;INT(R340/20), "Lần " &amp; INT(R342/20), "")</f>
        <v/>
      </c>
      <c r="AD342" s="11">
        <f>IF(INT(S342/20)&gt;INT(S340/20), "Lần " &amp; INT(S342/20), "")</f>
        <v/>
      </c>
      <c r="AE342" s="11">
        <f>IF(INT(T342/20)&gt;INT(T340/20), "Lần " &amp; INT(T342/20), "")</f>
        <v/>
      </c>
      <c r="AF342" s="11">
        <f>IF(INT(U342/20)&gt;INT(U340/20), "Lần " &amp; INT(U342/20), "")</f>
        <v/>
      </c>
      <c r="AG342" s="11">
        <f>IF(INT(V342/20)&gt;INT(V340/20), "Lần " &amp; INT(V342/20), "")</f>
        <v/>
      </c>
      <c r="AH342" s="11">
        <f>IF(INT(W342/20)&gt;INT(W340/20), "Lần " &amp; INT(W342/20), "")</f>
        <v/>
      </c>
      <c r="AI342" s="11">
        <f>IF(INT(X342/20)&gt;INT(X340/20), "Lần " &amp; INT(X342/20), "")</f>
        <v/>
      </c>
      <c r="AJ342" s="11">
        <f>IF(INT(Y342/20)&gt;INT(Y340/20), "Lần " &amp; INT(Y342/20), "")</f>
        <v/>
      </c>
      <c r="AK342" s="11">
        <f>IF(INT(Z342/20)&gt;INT(Z340/20), "Lần " &amp; INT(Z342/20), "")</f>
        <v/>
      </c>
      <c r="AL342" s="6" t="inlineStr">
        <is>
          <t>ĐẠT TCVN 1651:2018</t>
        </is>
      </c>
    </row>
    <row r="343" ht="19" customHeight="1">
      <c r="A343" s="6" t="n">
        <v>318</v>
      </c>
      <c r="B343" s="7" t="inlineStr">
        <is>
          <t>Cọc khoan nhồi C3 Mố M2 (D1.2m, L=36.0m)</t>
        </is>
      </c>
      <c r="C343" s="7" t="inlineStr">
        <is>
          <t>Thép đai xoắn lồng cọc</t>
        </is>
      </c>
      <c r="D343" s="18" t="inlineStr">
        <is>
          <t>P1A</t>
        </is>
      </c>
      <c r="E343" s="19" t="n">
        <v>10</v>
      </c>
      <c r="F343" s="6" t="inlineStr">
        <is>
          <t>CB240-T</t>
        </is>
      </c>
      <c r="G343" s="7" t="inlineStr">
        <is>
          <t>Đai xoắn tròn</t>
        </is>
      </c>
      <c r="H343" s="20" t="n">
        <v>390.776</v>
      </c>
      <c r="I343" s="21" t="n">
        <v>1</v>
      </c>
      <c r="J343" s="22" t="n">
        <v>0.617</v>
      </c>
      <c r="K343" s="9">
        <f>ROUND(H343*I343*J343, 2)</f>
        <v/>
      </c>
      <c r="L343" s="23">
        <f>ROUND(K343/1000, 3)</f>
        <v/>
      </c>
      <c r="M343" s="8" t="n"/>
      <c r="N343" s="6" t="n"/>
      <c r="O343" s="24">
        <f>IF(AND(E343&lt;=10, F343&lt;&gt;"ASTM A416", INT(P343/20)&gt;INT(P342/20)), "TN Ø10 (Lần " &amp; INT(P343/20) &amp; ")", IF(AND(E343=12, INT(Q343/20)&gt;INT(Q342/20)), "TN Ø12 (Lần " &amp; INT(Q343/20) &amp; ")", IF(AND(E343=14, INT(R343/20)&gt;INT(R342/20)), "TN Ø14 (Lần " &amp; INT(R343/20) &amp; ")", IF(AND(E343=16, INT(S343/20)&gt;INT(S342/20)), "TN Ø16 (Lần " &amp; INT(S343/20) &amp; ")", IF(AND(E343=18, INT(T343/20)&gt;INT(T342/20)), "TN Ø18 (Lần " &amp; INT(T343/20) &amp; ")", IF(AND(E343=20, INT(U343/20)&gt;INT(U342/20)), "TN Ø20 (Lần " &amp; INT(U343/20) &amp; ")", IF(AND(E343=22, INT(V343/20)&gt;INT(V342/20)), "TN Ø22 (Lần " &amp; INT(V343/20) &amp; ")", IF(AND(E343=25, INT(W343/20)&gt;INT(W342/20)), "TN Ø25 (Lần " &amp; INT(W343/20) &amp; ")", IF(AND(E343=28, INT(X343/20)&gt;INT(X342/20)), "TN Ø28 (Lần " &amp; INT(X343/20) &amp; ")", IF(AND(E343=32, INT(Y343/20)&gt;INT(Y342/20)), "TN Ø32 (Lần " &amp; INT(Y343/20) &amp; ")", IF(AND(F343="ASTM A416", INT(Z343/20)&gt;INT(Z342/20)), "TN Cáp 15.2 (Lần " &amp; INT(Z343/20) &amp; ")", "")))))))))))</f>
        <v/>
      </c>
      <c r="P343" s="20">
        <f>ROUND(P342 + IF(AND(E343&lt;=10, F343&lt;&gt;"ASTM A416"), L343, 0), 3)</f>
        <v/>
      </c>
      <c r="Q343" s="20">
        <f>ROUND(Q342 + IF(AND(E343=12, F343&lt;&gt;"ASTM A416"), L343, 0), 3)</f>
        <v/>
      </c>
      <c r="R343" s="20">
        <f>ROUND(R342 + IF(AND(E343=14, F343&lt;&gt;"ASTM A416"), L343, 0), 3)</f>
        <v/>
      </c>
      <c r="S343" s="20">
        <f>ROUND(S342 + IF(AND(E343=16, F343&lt;&gt;"ASTM A416"), L343, 0), 3)</f>
        <v/>
      </c>
      <c r="T343" s="20">
        <f>ROUND(T342 + IF(AND(E343=18, F343&lt;&gt;"ASTM A416"), L343, 0), 3)</f>
        <v/>
      </c>
      <c r="U343" s="20">
        <f>ROUND(U342 + IF(AND(E343=20, F343&lt;&gt;"ASTM A416"), L343, 0), 3)</f>
        <v/>
      </c>
      <c r="V343" s="20">
        <f>ROUND(V342 + IF(AND(E343=22, F343&lt;&gt;"ASTM A416"), L343, 0), 3)</f>
        <v/>
      </c>
      <c r="W343" s="20">
        <f>ROUND(W342 + IF(AND(E343=25, F343&lt;&gt;"ASTM A416"), L343, 0), 3)</f>
        <v/>
      </c>
      <c r="X343" s="20">
        <f>ROUND(X342 + IF(AND(E343=28, F343&lt;&gt;"ASTM A416"), L343, 0), 3)</f>
        <v/>
      </c>
      <c r="Y343" s="20">
        <f>ROUND(Y342 + IF(AND(E343=32, F343&lt;&gt;"ASTM A416"), L343, 0), 3)</f>
        <v/>
      </c>
      <c r="Z343" s="20">
        <f>ROUND(Z342 + IF(F343="ASTM A416", L343, 0), 3)</f>
        <v/>
      </c>
      <c r="AA343" s="11">
        <f>IF(INT(P343/20)&gt;INT(P342/20), "Lần " &amp; INT(P343/20), "")</f>
        <v/>
      </c>
      <c r="AB343" s="11">
        <f>IF(INT(Q343/20)&gt;INT(Q342/20), "Lần " &amp; INT(Q343/20), "")</f>
        <v/>
      </c>
      <c r="AC343" s="11">
        <f>IF(INT(R343/20)&gt;INT(R342/20), "Lần " &amp; INT(R343/20), "")</f>
        <v/>
      </c>
      <c r="AD343" s="11">
        <f>IF(INT(S343/20)&gt;INT(S342/20), "Lần " &amp; INT(S343/20), "")</f>
        <v/>
      </c>
      <c r="AE343" s="11">
        <f>IF(INT(T343/20)&gt;INT(T342/20), "Lần " &amp; INT(T343/20), "")</f>
        <v/>
      </c>
      <c r="AF343" s="11">
        <f>IF(INT(U343/20)&gt;INT(U342/20), "Lần " &amp; INT(U343/20), "")</f>
        <v/>
      </c>
      <c r="AG343" s="11">
        <f>IF(INT(V343/20)&gt;INT(V342/20), "Lần " &amp; INT(V343/20), "")</f>
        <v/>
      </c>
      <c r="AH343" s="11">
        <f>IF(INT(W343/20)&gt;INT(W342/20), "Lần " &amp; INT(W343/20), "")</f>
        <v/>
      </c>
      <c r="AI343" s="11">
        <f>IF(INT(X343/20)&gt;INT(X342/20), "Lần " &amp; INT(X343/20), "")</f>
        <v/>
      </c>
      <c r="AJ343" s="11">
        <f>IF(INT(Y343/20)&gt;INT(Y342/20), "Lần " &amp; INT(Y343/20), "")</f>
        <v/>
      </c>
      <c r="AK343" s="11">
        <f>IF(INT(Z343/20)&gt;INT(Z342/20), "Lần " &amp; INT(Z343/20), "")</f>
        <v/>
      </c>
      <c r="AL343" s="6" t="inlineStr">
        <is>
          <t>ĐẠT TCVN 1651:2018</t>
        </is>
      </c>
    </row>
    <row r="344" ht="19" customHeight="1">
      <c r="A344" s="6" t="n">
        <v>319</v>
      </c>
      <c r="B344" s="7" t="inlineStr">
        <is>
          <t>Cọc khoan nhồi C3 Mố M2 (D1.2m, L=36.0m)</t>
        </is>
      </c>
      <c r="C344" s="7" t="inlineStr">
        <is>
          <t>Thép đai xoắn lồng cọc</t>
        </is>
      </c>
      <c r="D344" s="18" t="inlineStr">
        <is>
          <t>P1B</t>
        </is>
      </c>
      <c r="E344" s="19" t="n">
        <v>10</v>
      </c>
      <c r="F344" s="6" t="inlineStr">
        <is>
          <t>CB240-T</t>
        </is>
      </c>
      <c r="G344" s="7" t="inlineStr">
        <is>
          <t>Đai xoắn tròn</t>
        </is>
      </c>
      <c r="H344" s="20" t="n">
        <v>164.938</v>
      </c>
      <c r="I344" s="21" t="n">
        <v>1</v>
      </c>
      <c r="J344" s="22" t="n">
        <v>0.617</v>
      </c>
      <c r="K344" s="9">
        <f>ROUND(H344*I344*J344, 2)</f>
        <v/>
      </c>
      <c r="L344" s="23">
        <f>ROUND(K344/1000, 3)</f>
        <v/>
      </c>
      <c r="M344" s="8" t="n"/>
      <c r="N344" s="6" t="n"/>
      <c r="O344" s="24">
        <f>IF(AND(E344&lt;=10, F344&lt;&gt;"ASTM A416", INT(P344/20)&gt;INT(P343/20)), "TN Ø10 (Lần " &amp; INT(P344/20) &amp; ")", IF(AND(E344=12, INT(Q344/20)&gt;INT(Q343/20)), "TN Ø12 (Lần " &amp; INT(Q344/20) &amp; ")", IF(AND(E344=14, INT(R344/20)&gt;INT(R343/20)), "TN Ø14 (Lần " &amp; INT(R344/20) &amp; ")", IF(AND(E344=16, INT(S344/20)&gt;INT(S343/20)), "TN Ø16 (Lần " &amp; INT(S344/20) &amp; ")", IF(AND(E344=18, INT(T344/20)&gt;INT(T343/20)), "TN Ø18 (Lần " &amp; INT(T344/20) &amp; ")", IF(AND(E344=20, INT(U344/20)&gt;INT(U343/20)), "TN Ø20 (Lần " &amp; INT(U344/20) &amp; ")", IF(AND(E344=22, INT(V344/20)&gt;INT(V343/20)), "TN Ø22 (Lần " &amp; INT(V344/20) &amp; ")", IF(AND(E344=25, INT(W344/20)&gt;INT(W343/20)), "TN Ø25 (Lần " &amp; INT(W344/20) &amp; ")", IF(AND(E344=28, INT(X344/20)&gt;INT(X343/20)), "TN Ø28 (Lần " &amp; INT(X344/20) &amp; ")", IF(AND(E344=32, INT(Y344/20)&gt;INT(Y343/20)), "TN Ø32 (Lần " &amp; INT(Y344/20) &amp; ")", IF(AND(F344="ASTM A416", INT(Z344/20)&gt;INT(Z343/20)), "TN Cáp 15.2 (Lần " &amp; INT(Z344/20) &amp; ")", "")))))))))))</f>
        <v/>
      </c>
      <c r="P344" s="20">
        <f>ROUND(P343 + IF(AND(E344&lt;=10, F344&lt;&gt;"ASTM A416"), L344, 0), 3)</f>
        <v/>
      </c>
      <c r="Q344" s="20">
        <f>ROUND(Q343 + IF(AND(E344=12, F344&lt;&gt;"ASTM A416"), L344, 0), 3)</f>
        <v/>
      </c>
      <c r="R344" s="20">
        <f>ROUND(R343 + IF(AND(E344=14, F344&lt;&gt;"ASTM A416"), L344, 0), 3)</f>
        <v/>
      </c>
      <c r="S344" s="20">
        <f>ROUND(S343 + IF(AND(E344=16, F344&lt;&gt;"ASTM A416"), L344, 0), 3)</f>
        <v/>
      </c>
      <c r="T344" s="20">
        <f>ROUND(T343 + IF(AND(E344=18, F344&lt;&gt;"ASTM A416"), L344, 0), 3)</f>
        <v/>
      </c>
      <c r="U344" s="20">
        <f>ROUND(U343 + IF(AND(E344=20, F344&lt;&gt;"ASTM A416"), L344, 0), 3)</f>
        <v/>
      </c>
      <c r="V344" s="20">
        <f>ROUND(V343 + IF(AND(E344=22, F344&lt;&gt;"ASTM A416"), L344, 0), 3)</f>
        <v/>
      </c>
      <c r="W344" s="20">
        <f>ROUND(W343 + IF(AND(E344=25, F344&lt;&gt;"ASTM A416"), L344, 0), 3)</f>
        <v/>
      </c>
      <c r="X344" s="20">
        <f>ROUND(X343 + IF(AND(E344=28, F344&lt;&gt;"ASTM A416"), L344, 0), 3)</f>
        <v/>
      </c>
      <c r="Y344" s="20">
        <f>ROUND(Y343 + IF(AND(E344=32, F344&lt;&gt;"ASTM A416"), L344, 0), 3)</f>
        <v/>
      </c>
      <c r="Z344" s="20">
        <f>ROUND(Z343 + IF(F344="ASTM A416", L344, 0), 3)</f>
        <v/>
      </c>
      <c r="AA344" s="11">
        <f>IF(INT(P344/20)&gt;INT(P343/20), "Lần " &amp; INT(P344/20), "")</f>
        <v/>
      </c>
      <c r="AB344" s="11">
        <f>IF(INT(Q344/20)&gt;INT(Q343/20), "Lần " &amp; INT(Q344/20), "")</f>
        <v/>
      </c>
      <c r="AC344" s="11">
        <f>IF(INT(R344/20)&gt;INT(R343/20), "Lần " &amp; INT(R344/20), "")</f>
        <v/>
      </c>
      <c r="AD344" s="11">
        <f>IF(INT(S344/20)&gt;INT(S343/20), "Lần " &amp; INT(S344/20), "")</f>
        <v/>
      </c>
      <c r="AE344" s="11">
        <f>IF(INT(T344/20)&gt;INT(T343/20), "Lần " &amp; INT(T344/20), "")</f>
        <v/>
      </c>
      <c r="AF344" s="11">
        <f>IF(INT(U344/20)&gt;INT(U343/20), "Lần " &amp; INT(U344/20), "")</f>
        <v/>
      </c>
      <c r="AG344" s="11">
        <f>IF(INT(V344/20)&gt;INT(V343/20), "Lần " &amp; INT(V344/20), "")</f>
        <v/>
      </c>
      <c r="AH344" s="11">
        <f>IF(INT(W344/20)&gt;INT(W343/20), "Lần " &amp; INT(W344/20), "")</f>
        <v/>
      </c>
      <c r="AI344" s="11">
        <f>IF(INT(X344/20)&gt;INT(X343/20), "Lần " &amp; INT(X344/20), "")</f>
        <v/>
      </c>
      <c r="AJ344" s="11">
        <f>IF(INT(Y344/20)&gt;INT(Y343/20), "Lần " &amp; INT(Y344/20), "")</f>
        <v/>
      </c>
      <c r="AK344" s="11">
        <f>IF(INT(Z344/20)&gt;INT(Z343/20), "Lần " &amp; INT(Z344/20), "")</f>
        <v/>
      </c>
      <c r="AL344" s="6" t="inlineStr">
        <is>
          <t>ĐẠT TCVN 1651:2018</t>
        </is>
      </c>
    </row>
    <row r="345" ht="19" customHeight="1">
      <c r="A345" s="6" t="n">
        <v>320</v>
      </c>
      <c r="B345" s="7" t="inlineStr">
        <is>
          <t>Cọc khoan nhồi C3 Mố M2 (D1.2m, L=36.0m)</t>
        </is>
      </c>
      <c r="C345" s="7" t="inlineStr">
        <is>
          <t>Thép đai xoắn lồng cọc</t>
        </is>
      </c>
      <c r="D345" s="18" t="inlineStr">
        <is>
          <t>P1C</t>
        </is>
      </c>
      <c r="E345" s="19" t="n">
        <v>10</v>
      </c>
      <c r="F345" s="6" t="inlineStr">
        <is>
          <t>CB240-T</t>
        </is>
      </c>
      <c r="G345" s="7" t="inlineStr">
        <is>
          <t>Đai xoắn tròn</t>
        </is>
      </c>
      <c r="H345" s="20" t="n">
        <v>3.592</v>
      </c>
      <c r="I345" s="21" t="n">
        <v>2</v>
      </c>
      <c r="J345" s="22" t="n">
        <v>0.617</v>
      </c>
      <c r="K345" s="9">
        <f>ROUND(H345*I345*J345, 2)</f>
        <v/>
      </c>
      <c r="L345" s="23">
        <f>ROUND(K345/1000, 3)</f>
        <v/>
      </c>
      <c r="M345" s="8" t="n"/>
      <c r="N345" s="6" t="n"/>
      <c r="O345" s="24">
        <f>IF(AND(E345&lt;=10, F345&lt;&gt;"ASTM A416", INT(P345/20)&gt;INT(P344/20)), "TN Ø10 (Lần " &amp; INT(P345/20) &amp; ")", IF(AND(E345=12, INT(Q345/20)&gt;INT(Q344/20)), "TN Ø12 (Lần " &amp; INT(Q345/20) &amp; ")", IF(AND(E345=14, INT(R345/20)&gt;INT(R344/20)), "TN Ø14 (Lần " &amp; INT(R345/20) &amp; ")", IF(AND(E345=16, INT(S345/20)&gt;INT(S344/20)), "TN Ø16 (Lần " &amp; INT(S345/20) &amp; ")", IF(AND(E345=18, INT(T345/20)&gt;INT(T344/20)), "TN Ø18 (Lần " &amp; INT(T345/20) &amp; ")", IF(AND(E345=20, INT(U345/20)&gt;INT(U344/20)), "TN Ø20 (Lần " &amp; INT(U345/20) &amp; ")", IF(AND(E345=22, INT(V345/20)&gt;INT(V344/20)), "TN Ø22 (Lần " &amp; INT(V345/20) &amp; ")", IF(AND(E345=25, INT(W345/20)&gt;INT(W344/20)), "TN Ø25 (Lần " &amp; INT(W345/20) &amp; ")", IF(AND(E345=28, INT(X345/20)&gt;INT(X344/20)), "TN Ø28 (Lần " &amp; INT(X345/20) &amp; ")", IF(AND(E345=32, INT(Y345/20)&gt;INT(Y344/20)), "TN Ø32 (Lần " &amp; INT(Y345/20) &amp; ")", IF(AND(F345="ASTM A416", INT(Z345/20)&gt;INT(Z344/20)), "TN Cáp 15.2 (Lần " &amp; INT(Z345/20) &amp; ")", "")))))))))))</f>
        <v/>
      </c>
      <c r="P345" s="20">
        <f>ROUND(P344 + IF(AND(E345&lt;=10, F345&lt;&gt;"ASTM A416"), L345, 0), 3)</f>
        <v/>
      </c>
      <c r="Q345" s="20">
        <f>ROUND(Q344 + IF(AND(E345=12, F345&lt;&gt;"ASTM A416"), L345, 0), 3)</f>
        <v/>
      </c>
      <c r="R345" s="20">
        <f>ROUND(R344 + IF(AND(E345=14, F345&lt;&gt;"ASTM A416"), L345, 0), 3)</f>
        <v/>
      </c>
      <c r="S345" s="20">
        <f>ROUND(S344 + IF(AND(E345=16, F345&lt;&gt;"ASTM A416"), L345, 0), 3)</f>
        <v/>
      </c>
      <c r="T345" s="20">
        <f>ROUND(T344 + IF(AND(E345=18, F345&lt;&gt;"ASTM A416"), L345, 0), 3)</f>
        <v/>
      </c>
      <c r="U345" s="20">
        <f>ROUND(U344 + IF(AND(E345=20, F345&lt;&gt;"ASTM A416"), L345, 0), 3)</f>
        <v/>
      </c>
      <c r="V345" s="20">
        <f>ROUND(V344 + IF(AND(E345=22, F345&lt;&gt;"ASTM A416"), L345, 0), 3)</f>
        <v/>
      </c>
      <c r="W345" s="20">
        <f>ROUND(W344 + IF(AND(E345=25, F345&lt;&gt;"ASTM A416"), L345, 0), 3)</f>
        <v/>
      </c>
      <c r="X345" s="20">
        <f>ROUND(X344 + IF(AND(E345=28, F345&lt;&gt;"ASTM A416"), L345, 0), 3)</f>
        <v/>
      </c>
      <c r="Y345" s="20">
        <f>ROUND(Y344 + IF(AND(E345=32, F345&lt;&gt;"ASTM A416"), L345, 0), 3)</f>
        <v/>
      </c>
      <c r="Z345" s="20">
        <f>ROUND(Z344 + IF(F345="ASTM A416", L345, 0), 3)</f>
        <v/>
      </c>
      <c r="AA345" s="11">
        <f>IF(INT(P345/20)&gt;INT(P344/20), "Lần " &amp; INT(P345/20), "")</f>
        <v/>
      </c>
      <c r="AB345" s="11">
        <f>IF(INT(Q345/20)&gt;INT(Q344/20), "Lần " &amp; INT(Q345/20), "")</f>
        <v/>
      </c>
      <c r="AC345" s="11">
        <f>IF(INT(R345/20)&gt;INT(R344/20), "Lần " &amp; INT(R345/20), "")</f>
        <v/>
      </c>
      <c r="AD345" s="11">
        <f>IF(INT(S345/20)&gt;INT(S344/20), "Lần " &amp; INT(S345/20), "")</f>
        <v/>
      </c>
      <c r="AE345" s="11">
        <f>IF(INT(T345/20)&gt;INT(T344/20), "Lần " &amp; INT(T345/20), "")</f>
        <v/>
      </c>
      <c r="AF345" s="11">
        <f>IF(INT(U345/20)&gt;INT(U344/20), "Lần " &amp; INT(U345/20), "")</f>
        <v/>
      </c>
      <c r="AG345" s="11">
        <f>IF(INT(V345/20)&gt;INT(V344/20), "Lần " &amp; INT(V345/20), "")</f>
        <v/>
      </c>
      <c r="AH345" s="11">
        <f>IF(INT(W345/20)&gt;INT(W344/20), "Lần " &amp; INT(W345/20), "")</f>
        <v/>
      </c>
      <c r="AI345" s="11">
        <f>IF(INT(X345/20)&gt;INT(X344/20), "Lần " &amp; INT(X345/20), "")</f>
        <v/>
      </c>
      <c r="AJ345" s="11">
        <f>IF(INT(Y345/20)&gt;INT(Y344/20), "Lần " &amp; INT(Y345/20), "")</f>
        <v/>
      </c>
      <c r="AK345" s="11">
        <f>IF(INT(Z345/20)&gt;INT(Z344/20), "Lần " &amp; INT(Z345/20), "")</f>
        <v/>
      </c>
      <c r="AL345" s="6" t="inlineStr">
        <is>
          <t>ĐẠT TCVN 1651:2018</t>
        </is>
      </c>
    </row>
    <row r="346" ht="19" customHeight="1">
      <c r="A346" s="6" t="n">
        <v>321</v>
      </c>
      <c r="B346" s="7" t="inlineStr">
        <is>
          <t>Cọc khoan nhồi C3 Mố M2 (D1.2m, L=36.0m)</t>
        </is>
      </c>
      <c r="C346" s="7" t="inlineStr">
        <is>
          <t>Thép đai xoắn lồng cọc</t>
        </is>
      </c>
      <c r="D346" s="18" t="inlineStr">
        <is>
          <t>P1D</t>
        </is>
      </c>
      <c r="E346" s="19" t="n">
        <v>10</v>
      </c>
      <c r="F346" s="6" t="inlineStr">
        <is>
          <t>CB240-T</t>
        </is>
      </c>
      <c r="G346" s="7" t="inlineStr">
        <is>
          <t>Đai xoắn tròn</t>
        </is>
      </c>
      <c r="H346" s="20" t="n">
        <v>23.007</v>
      </c>
      <c r="I346" s="21" t="n">
        <v>1</v>
      </c>
      <c r="J346" s="22" t="n">
        <v>0.617</v>
      </c>
      <c r="K346" s="9">
        <f>ROUND(H346*I346*J346, 2)</f>
        <v/>
      </c>
      <c r="L346" s="23">
        <f>ROUND(K346/1000, 3)</f>
        <v/>
      </c>
      <c r="M346" s="8" t="n"/>
      <c r="N346" s="6" t="n"/>
      <c r="O346" s="24">
        <f>IF(AND(E346&lt;=10, F346&lt;&gt;"ASTM A416", INT(P346/20)&gt;INT(P345/20)), "TN Ø10 (Lần " &amp; INT(P346/20) &amp; ")", IF(AND(E346=12, INT(Q346/20)&gt;INT(Q345/20)), "TN Ø12 (Lần " &amp; INT(Q346/20) &amp; ")", IF(AND(E346=14, INT(R346/20)&gt;INT(R345/20)), "TN Ø14 (Lần " &amp; INT(R346/20) &amp; ")", IF(AND(E346=16, INT(S346/20)&gt;INT(S345/20)), "TN Ø16 (Lần " &amp; INT(S346/20) &amp; ")", IF(AND(E346=18, INT(T346/20)&gt;INT(T345/20)), "TN Ø18 (Lần " &amp; INT(T346/20) &amp; ")", IF(AND(E346=20, INT(U346/20)&gt;INT(U345/20)), "TN Ø20 (Lần " &amp; INT(U346/20) &amp; ")", IF(AND(E346=22, INT(V346/20)&gt;INT(V345/20)), "TN Ø22 (Lần " &amp; INT(V346/20) &amp; ")", IF(AND(E346=25, INT(W346/20)&gt;INT(W345/20)), "TN Ø25 (Lần " &amp; INT(W346/20) &amp; ")", IF(AND(E346=28, INT(X346/20)&gt;INT(X345/20)), "TN Ø28 (Lần " &amp; INT(X346/20) &amp; ")", IF(AND(E346=32, INT(Y346/20)&gt;INT(Y345/20)), "TN Ø32 (Lần " &amp; INT(Y346/20) &amp; ")", IF(AND(F346="ASTM A416", INT(Z346/20)&gt;INT(Z345/20)), "TN Cáp 15.2 (Lần " &amp; INT(Z346/20) &amp; ")", "")))))))))))</f>
        <v/>
      </c>
      <c r="P346" s="20">
        <f>ROUND(P345 + IF(AND(E346&lt;=10, F346&lt;&gt;"ASTM A416"), L346, 0), 3)</f>
        <v/>
      </c>
      <c r="Q346" s="20">
        <f>ROUND(Q345 + IF(AND(E346=12, F346&lt;&gt;"ASTM A416"), L346, 0), 3)</f>
        <v/>
      </c>
      <c r="R346" s="20">
        <f>ROUND(R345 + IF(AND(E346=14, F346&lt;&gt;"ASTM A416"), L346, 0), 3)</f>
        <v/>
      </c>
      <c r="S346" s="20">
        <f>ROUND(S345 + IF(AND(E346=16, F346&lt;&gt;"ASTM A416"), L346, 0), 3)</f>
        <v/>
      </c>
      <c r="T346" s="20">
        <f>ROUND(T345 + IF(AND(E346=18, F346&lt;&gt;"ASTM A416"), L346, 0), 3)</f>
        <v/>
      </c>
      <c r="U346" s="20">
        <f>ROUND(U345 + IF(AND(E346=20, F346&lt;&gt;"ASTM A416"), L346, 0), 3)</f>
        <v/>
      </c>
      <c r="V346" s="20">
        <f>ROUND(V345 + IF(AND(E346=22, F346&lt;&gt;"ASTM A416"), L346, 0), 3)</f>
        <v/>
      </c>
      <c r="W346" s="20">
        <f>ROUND(W345 + IF(AND(E346=25, F346&lt;&gt;"ASTM A416"), L346, 0), 3)</f>
        <v/>
      </c>
      <c r="X346" s="20">
        <f>ROUND(X345 + IF(AND(E346=28, F346&lt;&gt;"ASTM A416"), L346, 0), 3)</f>
        <v/>
      </c>
      <c r="Y346" s="20">
        <f>ROUND(Y345 + IF(AND(E346=32, F346&lt;&gt;"ASTM A416"), L346, 0), 3)</f>
        <v/>
      </c>
      <c r="Z346" s="20">
        <f>ROUND(Z345 + IF(F346="ASTM A416", L346, 0), 3)</f>
        <v/>
      </c>
      <c r="AA346" s="11">
        <f>IF(INT(P346/20)&gt;INT(P345/20), "Lần " &amp; INT(P346/20), "")</f>
        <v/>
      </c>
      <c r="AB346" s="11">
        <f>IF(INT(Q346/20)&gt;INT(Q345/20), "Lần " &amp; INT(Q346/20), "")</f>
        <v/>
      </c>
      <c r="AC346" s="11">
        <f>IF(INT(R346/20)&gt;INT(R345/20), "Lần " &amp; INT(R346/20), "")</f>
        <v/>
      </c>
      <c r="AD346" s="11">
        <f>IF(INT(S346/20)&gt;INT(S345/20), "Lần " &amp; INT(S346/20), "")</f>
        <v/>
      </c>
      <c r="AE346" s="11">
        <f>IF(INT(T346/20)&gt;INT(T345/20), "Lần " &amp; INT(T346/20), "")</f>
        <v/>
      </c>
      <c r="AF346" s="11">
        <f>IF(INT(U346/20)&gt;INT(U345/20), "Lần " &amp; INT(U346/20), "")</f>
        <v/>
      </c>
      <c r="AG346" s="11">
        <f>IF(INT(V346/20)&gt;INT(V345/20), "Lần " &amp; INT(V346/20), "")</f>
        <v/>
      </c>
      <c r="AH346" s="11">
        <f>IF(INT(W346/20)&gt;INT(W345/20), "Lần " &amp; INT(W346/20), "")</f>
        <v/>
      </c>
      <c r="AI346" s="11">
        <f>IF(INT(X346/20)&gt;INT(X345/20), "Lần " &amp; INT(X346/20), "")</f>
        <v/>
      </c>
      <c r="AJ346" s="11">
        <f>IF(INT(Y346/20)&gt;INT(Y345/20), "Lần " &amp; INT(Y346/20), "")</f>
        <v/>
      </c>
      <c r="AK346" s="11">
        <f>IF(INT(Z346/20)&gt;INT(Z345/20), "Lần " &amp; INT(Z346/20), "")</f>
        <v/>
      </c>
      <c r="AL346" s="6" t="inlineStr">
        <is>
          <t>ĐẠT TCVN 1651:2018</t>
        </is>
      </c>
    </row>
    <row r="347" ht="19" customHeight="1">
      <c r="A347" s="6" t="n">
        <v>322</v>
      </c>
      <c r="B347" s="7" t="inlineStr">
        <is>
          <t>Cọc khoan nhồi C3 Mố M2 (D1.2m, L=36.0m)</t>
        </is>
      </c>
      <c r="C347" s="7" t="inlineStr">
        <is>
          <t>Cốt thép chủ chịu lực cọc</t>
        </is>
      </c>
      <c r="D347" s="18" t="inlineStr">
        <is>
          <t>P2A</t>
        </is>
      </c>
      <c r="E347" s="19" t="n">
        <v>28</v>
      </c>
      <c r="F347" s="6" t="inlineStr">
        <is>
          <t>CB400-V</t>
        </is>
      </c>
      <c r="G347" s="7" t="inlineStr">
        <is>
          <t>Thanh thẳng nối ren/hàn</t>
        </is>
      </c>
      <c r="H347" s="20" t="n">
        <v>2.966</v>
      </c>
      <c r="I347" s="21" t="n">
        <v>5</v>
      </c>
      <c r="J347" s="22" t="n">
        <v>4.83</v>
      </c>
      <c r="K347" s="9">
        <f>ROUND(H347*I347*J347, 2)</f>
        <v/>
      </c>
      <c r="L347" s="23">
        <f>ROUND(K347/1000, 3)</f>
        <v/>
      </c>
      <c r="M347" s="8" t="n"/>
      <c r="N347" s="6" t="n"/>
      <c r="O347" s="24">
        <f>IF(AND(E347&lt;=10, F347&lt;&gt;"ASTM A416", INT(P347/20)&gt;INT(P346/20)), "TN Ø10 (Lần " &amp; INT(P347/20) &amp; ")", IF(AND(E347=12, INT(Q347/20)&gt;INT(Q346/20)), "TN Ø12 (Lần " &amp; INT(Q347/20) &amp; ")", IF(AND(E347=14, INT(R347/20)&gt;INT(R346/20)), "TN Ø14 (Lần " &amp; INT(R347/20) &amp; ")", IF(AND(E347=16, INT(S347/20)&gt;INT(S346/20)), "TN Ø16 (Lần " &amp; INT(S347/20) &amp; ")", IF(AND(E347=18, INT(T347/20)&gt;INT(T346/20)), "TN Ø18 (Lần " &amp; INT(T347/20) &amp; ")", IF(AND(E347=20, INT(U347/20)&gt;INT(U346/20)), "TN Ø20 (Lần " &amp; INT(U347/20) &amp; ")", IF(AND(E347=22, INT(V347/20)&gt;INT(V346/20)), "TN Ø22 (Lần " &amp; INT(V347/20) &amp; ")", IF(AND(E347=25, INT(W347/20)&gt;INT(W346/20)), "TN Ø25 (Lần " &amp; INT(W347/20) &amp; ")", IF(AND(E347=28, INT(X347/20)&gt;INT(X346/20)), "TN Ø28 (Lần " &amp; INT(X347/20) &amp; ")", IF(AND(E347=32, INT(Y347/20)&gt;INT(Y346/20)), "TN Ø32 (Lần " &amp; INT(Y347/20) &amp; ")", IF(AND(F347="ASTM A416", INT(Z347/20)&gt;INT(Z346/20)), "TN Cáp 15.2 (Lần " &amp; INT(Z347/20) &amp; ")", "")))))))))))</f>
        <v/>
      </c>
      <c r="P347" s="20">
        <f>ROUND(P346 + IF(AND(E347&lt;=10, F347&lt;&gt;"ASTM A416"), L347, 0), 3)</f>
        <v/>
      </c>
      <c r="Q347" s="20">
        <f>ROUND(Q346 + IF(AND(E347=12, F347&lt;&gt;"ASTM A416"), L347, 0), 3)</f>
        <v/>
      </c>
      <c r="R347" s="20">
        <f>ROUND(R346 + IF(AND(E347=14, F347&lt;&gt;"ASTM A416"), L347, 0), 3)</f>
        <v/>
      </c>
      <c r="S347" s="20">
        <f>ROUND(S346 + IF(AND(E347=16, F347&lt;&gt;"ASTM A416"), L347, 0), 3)</f>
        <v/>
      </c>
      <c r="T347" s="20">
        <f>ROUND(T346 + IF(AND(E347=18, F347&lt;&gt;"ASTM A416"), L347, 0), 3)</f>
        <v/>
      </c>
      <c r="U347" s="20">
        <f>ROUND(U346 + IF(AND(E347=20, F347&lt;&gt;"ASTM A416"), L347, 0), 3)</f>
        <v/>
      </c>
      <c r="V347" s="20">
        <f>ROUND(V346 + IF(AND(E347=22, F347&lt;&gt;"ASTM A416"), L347, 0), 3)</f>
        <v/>
      </c>
      <c r="W347" s="20">
        <f>ROUND(W346 + IF(AND(E347=25, F347&lt;&gt;"ASTM A416"), L347, 0), 3)</f>
        <v/>
      </c>
      <c r="X347" s="20">
        <f>ROUND(X346 + IF(AND(E347=28, F347&lt;&gt;"ASTM A416"), L347, 0), 3)</f>
        <v/>
      </c>
      <c r="Y347" s="20">
        <f>ROUND(Y346 + IF(AND(E347=32, F347&lt;&gt;"ASTM A416"), L347, 0), 3)</f>
        <v/>
      </c>
      <c r="Z347" s="20">
        <f>ROUND(Z346 + IF(F347="ASTM A416", L347, 0), 3)</f>
        <v/>
      </c>
      <c r="AA347" s="11">
        <f>IF(INT(P347/20)&gt;INT(P346/20), "Lần " &amp; INT(P347/20), "")</f>
        <v/>
      </c>
      <c r="AB347" s="11">
        <f>IF(INT(Q347/20)&gt;INT(Q346/20), "Lần " &amp; INT(Q347/20), "")</f>
        <v/>
      </c>
      <c r="AC347" s="11">
        <f>IF(INT(R347/20)&gt;INT(R346/20), "Lần " &amp; INT(R347/20), "")</f>
        <v/>
      </c>
      <c r="AD347" s="11">
        <f>IF(INT(S347/20)&gt;INT(S346/20), "Lần " &amp; INT(S347/20), "")</f>
        <v/>
      </c>
      <c r="AE347" s="11">
        <f>IF(INT(T347/20)&gt;INT(T346/20), "Lần " &amp; INT(T347/20), "")</f>
        <v/>
      </c>
      <c r="AF347" s="11">
        <f>IF(INT(U347/20)&gt;INT(U346/20), "Lần " &amp; INT(U347/20), "")</f>
        <v/>
      </c>
      <c r="AG347" s="11">
        <f>IF(INT(V347/20)&gt;INT(V346/20), "Lần " &amp; INT(V347/20), "")</f>
        <v/>
      </c>
      <c r="AH347" s="11">
        <f>IF(INT(W347/20)&gt;INT(W346/20), "Lần " &amp; INT(W347/20), "")</f>
        <v/>
      </c>
      <c r="AI347" s="11">
        <f>IF(INT(X347/20)&gt;INT(X346/20), "Lần " &amp; INT(X347/20), "")</f>
        <v/>
      </c>
      <c r="AJ347" s="11">
        <f>IF(INT(Y347/20)&gt;INT(Y346/20), "Lần " &amp; INT(Y347/20), "")</f>
        <v/>
      </c>
      <c r="AK347" s="11">
        <f>IF(INT(Z347/20)&gt;INT(Z346/20), "Lần " &amp; INT(Z347/20), "")</f>
        <v/>
      </c>
      <c r="AL347" s="6" t="inlineStr">
        <is>
          <t>ĐẠT TCVN 1651:2018</t>
        </is>
      </c>
    </row>
    <row r="348" ht="19" customHeight="1">
      <c r="A348" s="6" t="n">
        <v>323</v>
      </c>
      <c r="B348" s="7" t="inlineStr">
        <is>
          <t>Cọc khoan nhồi C3 Mố M2 (D1.2m, L=36.0m)</t>
        </is>
      </c>
      <c r="C348" s="7" t="inlineStr">
        <is>
          <t>Cốt thép chủ chịu lực cọc</t>
        </is>
      </c>
      <c r="D348" s="18" t="inlineStr">
        <is>
          <t>P2B</t>
        </is>
      </c>
      <c r="E348" s="19" t="n">
        <v>25</v>
      </c>
      <c r="F348" s="6" t="inlineStr">
        <is>
          <t>CB400-V</t>
        </is>
      </c>
      <c r="G348" s="7" t="inlineStr">
        <is>
          <t>Thanh thẳng nối ren/hàn</t>
        </is>
      </c>
      <c r="H348" s="20" t="n">
        <v>2.985</v>
      </c>
      <c r="I348" s="21" t="n">
        <v>10</v>
      </c>
      <c r="J348" s="22" t="n">
        <v>3.85</v>
      </c>
      <c r="K348" s="9">
        <f>ROUND(H348*I348*J348, 2)</f>
        <v/>
      </c>
      <c r="L348" s="23">
        <f>ROUND(K348/1000, 3)</f>
        <v/>
      </c>
      <c r="M348" s="8" t="n"/>
      <c r="N348" s="6" t="n"/>
      <c r="O348" s="24">
        <f>IF(AND(E348&lt;=10, F348&lt;&gt;"ASTM A416", INT(P348/20)&gt;INT(P347/20)), "TN Ø10 (Lần " &amp; INT(P348/20) &amp; ")", IF(AND(E348=12, INT(Q348/20)&gt;INT(Q347/20)), "TN Ø12 (Lần " &amp; INT(Q348/20) &amp; ")", IF(AND(E348=14, INT(R348/20)&gt;INT(R347/20)), "TN Ø14 (Lần " &amp; INT(R348/20) &amp; ")", IF(AND(E348=16, INT(S348/20)&gt;INT(S347/20)), "TN Ø16 (Lần " &amp; INT(S348/20) &amp; ")", IF(AND(E348=18, INT(T348/20)&gt;INT(T347/20)), "TN Ø18 (Lần " &amp; INT(T348/20) &amp; ")", IF(AND(E348=20, INT(U348/20)&gt;INT(U347/20)), "TN Ø20 (Lần " &amp; INT(U348/20) &amp; ")", IF(AND(E348=22, INT(V348/20)&gt;INT(V347/20)), "TN Ø22 (Lần " &amp; INT(V348/20) &amp; ")", IF(AND(E348=25, INT(W348/20)&gt;INT(W347/20)), "TN Ø25 (Lần " &amp; INT(W348/20) &amp; ")", IF(AND(E348=28, INT(X348/20)&gt;INT(X347/20)), "TN Ø28 (Lần " &amp; INT(X348/20) &amp; ")", IF(AND(E348=32, INT(Y348/20)&gt;INT(Y347/20)), "TN Ø32 (Lần " &amp; INT(Y348/20) &amp; ")", IF(AND(F348="ASTM A416", INT(Z348/20)&gt;INT(Z347/20)), "TN Cáp 15.2 (Lần " &amp; INT(Z348/20) &amp; ")", "")))))))))))</f>
        <v/>
      </c>
      <c r="P348" s="20">
        <f>ROUND(P347 + IF(AND(E348&lt;=10, F348&lt;&gt;"ASTM A416"), L348, 0), 3)</f>
        <v/>
      </c>
      <c r="Q348" s="20">
        <f>ROUND(Q347 + IF(AND(E348=12, F348&lt;&gt;"ASTM A416"), L348, 0), 3)</f>
        <v/>
      </c>
      <c r="R348" s="20">
        <f>ROUND(R347 + IF(AND(E348=14, F348&lt;&gt;"ASTM A416"), L348, 0), 3)</f>
        <v/>
      </c>
      <c r="S348" s="20">
        <f>ROUND(S347 + IF(AND(E348=16, F348&lt;&gt;"ASTM A416"), L348, 0), 3)</f>
        <v/>
      </c>
      <c r="T348" s="20">
        <f>ROUND(T347 + IF(AND(E348=18, F348&lt;&gt;"ASTM A416"), L348, 0), 3)</f>
        <v/>
      </c>
      <c r="U348" s="20">
        <f>ROUND(U347 + IF(AND(E348=20, F348&lt;&gt;"ASTM A416"), L348, 0), 3)</f>
        <v/>
      </c>
      <c r="V348" s="20">
        <f>ROUND(V347 + IF(AND(E348=22, F348&lt;&gt;"ASTM A416"), L348, 0), 3)</f>
        <v/>
      </c>
      <c r="W348" s="20">
        <f>ROUND(W347 + IF(AND(E348=25, F348&lt;&gt;"ASTM A416"), L348, 0), 3)</f>
        <v/>
      </c>
      <c r="X348" s="20">
        <f>ROUND(X347 + IF(AND(E348=28, F348&lt;&gt;"ASTM A416"), L348, 0), 3)</f>
        <v/>
      </c>
      <c r="Y348" s="20">
        <f>ROUND(Y347 + IF(AND(E348=32, F348&lt;&gt;"ASTM A416"), L348, 0), 3)</f>
        <v/>
      </c>
      <c r="Z348" s="20">
        <f>ROUND(Z347 + IF(F348="ASTM A416", L348, 0), 3)</f>
        <v/>
      </c>
      <c r="AA348" s="11">
        <f>IF(INT(P348/20)&gt;INT(P347/20), "Lần " &amp; INT(P348/20), "")</f>
        <v/>
      </c>
      <c r="AB348" s="11">
        <f>IF(INT(Q348/20)&gt;INT(Q347/20), "Lần " &amp; INT(Q348/20), "")</f>
        <v/>
      </c>
      <c r="AC348" s="11">
        <f>IF(INT(R348/20)&gt;INT(R347/20), "Lần " &amp; INT(R348/20), "")</f>
        <v/>
      </c>
      <c r="AD348" s="11">
        <f>IF(INT(S348/20)&gt;INT(S347/20), "Lần " &amp; INT(S348/20), "")</f>
        <v/>
      </c>
      <c r="AE348" s="11">
        <f>IF(INT(T348/20)&gt;INT(T347/20), "Lần " &amp; INT(T348/20), "")</f>
        <v/>
      </c>
      <c r="AF348" s="11">
        <f>IF(INT(U348/20)&gt;INT(U347/20), "Lần " &amp; INT(U348/20), "")</f>
        <v/>
      </c>
      <c r="AG348" s="11">
        <f>IF(INT(V348/20)&gt;INT(V347/20), "Lần " &amp; INT(V348/20), "")</f>
        <v/>
      </c>
      <c r="AH348" s="11">
        <f>IF(INT(W348/20)&gt;INT(W347/20), "Lần " &amp; INT(W348/20), "")</f>
        <v/>
      </c>
      <c r="AI348" s="11">
        <f>IF(INT(X348/20)&gt;INT(X347/20), "Lần " &amp; INT(X348/20), "")</f>
        <v/>
      </c>
      <c r="AJ348" s="11">
        <f>IF(INT(Y348/20)&gt;INT(Y347/20), "Lần " &amp; INT(Y348/20), "")</f>
        <v/>
      </c>
      <c r="AK348" s="11">
        <f>IF(INT(Z348/20)&gt;INT(Z347/20), "Lần " &amp; INT(Z348/20), "")</f>
        <v/>
      </c>
      <c r="AL348" s="6" t="inlineStr">
        <is>
          <t>ĐẠT TCVN 1651:2018</t>
        </is>
      </c>
    </row>
    <row r="349" ht="19" customHeight="1">
      <c r="A349" s="6" t="n">
        <v>324</v>
      </c>
      <c r="B349" s="7" t="inlineStr">
        <is>
          <t>Cọc khoan nhồi C3 Mố M2 (D1.2m, L=36.0m)</t>
        </is>
      </c>
      <c r="C349" s="7" t="inlineStr">
        <is>
          <t>Cốt thép chủ chịu lực cọc</t>
        </is>
      </c>
      <c r="D349" s="18" t="inlineStr">
        <is>
          <t>P3</t>
        </is>
      </c>
      <c r="E349" s="19" t="n">
        <v>28</v>
      </c>
      <c r="F349" s="6" t="inlineStr">
        <is>
          <t>CB400-V</t>
        </is>
      </c>
      <c r="G349" s="7" t="inlineStr">
        <is>
          <t>Thanh thẳng nối ren/hàn</t>
        </is>
      </c>
      <c r="H349" s="20" t="n">
        <v>10.7</v>
      </c>
      <c r="I349" s="21" t="n">
        <v>12</v>
      </c>
      <c r="J349" s="22" t="n">
        <v>4.83</v>
      </c>
      <c r="K349" s="9">
        <f>ROUND(H349*I349*J349, 2)</f>
        <v/>
      </c>
      <c r="L349" s="23">
        <f>ROUND(K349/1000, 3)</f>
        <v/>
      </c>
      <c r="M349" s="8" t="n"/>
      <c r="N349" s="6" t="n"/>
      <c r="O349" s="24">
        <f>IF(AND(E349&lt;=10, F349&lt;&gt;"ASTM A416", INT(P349/20)&gt;INT(P348/20)), "TN Ø10 (Lần " &amp; INT(P349/20) &amp; ")", IF(AND(E349=12, INT(Q349/20)&gt;INT(Q348/20)), "TN Ø12 (Lần " &amp; INT(Q349/20) &amp; ")", IF(AND(E349=14, INT(R349/20)&gt;INT(R348/20)), "TN Ø14 (Lần " &amp; INT(R349/20) &amp; ")", IF(AND(E349=16, INT(S349/20)&gt;INT(S348/20)), "TN Ø16 (Lần " &amp; INT(S349/20) &amp; ")", IF(AND(E349=18, INT(T349/20)&gt;INT(T348/20)), "TN Ø18 (Lần " &amp; INT(T349/20) &amp; ")", IF(AND(E349=20, INT(U349/20)&gt;INT(U348/20)), "TN Ø20 (Lần " &amp; INT(U349/20) &amp; ")", IF(AND(E349=22, INT(V349/20)&gt;INT(V348/20)), "TN Ø22 (Lần " &amp; INT(V349/20) &amp; ")", IF(AND(E349=25, INT(W349/20)&gt;INT(W348/20)), "TN Ø25 (Lần " &amp; INT(W349/20) &amp; ")", IF(AND(E349=28, INT(X349/20)&gt;INT(X348/20)), "TN Ø28 (Lần " &amp; INT(X349/20) &amp; ")", IF(AND(E349=32, INT(Y349/20)&gt;INT(Y348/20)), "TN Ø32 (Lần " &amp; INT(Y349/20) &amp; ")", IF(AND(F349="ASTM A416", INT(Z349/20)&gt;INT(Z348/20)), "TN Cáp 15.2 (Lần " &amp; INT(Z349/20) &amp; ")", "")))))))))))</f>
        <v/>
      </c>
      <c r="P349" s="20">
        <f>ROUND(P348 + IF(AND(E349&lt;=10, F349&lt;&gt;"ASTM A416"), L349, 0), 3)</f>
        <v/>
      </c>
      <c r="Q349" s="20">
        <f>ROUND(Q348 + IF(AND(E349=12, F349&lt;&gt;"ASTM A416"), L349, 0), 3)</f>
        <v/>
      </c>
      <c r="R349" s="20">
        <f>ROUND(R348 + IF(AND(E349=14, F349&lt;&gt;"ASTM A416"), L349, 0), 3)</f>
        <v/>
      </c>
      <c r="S349" s="20">
        <f>ROUND(S348 + IF(AND(E349=16, F349&lt;&gt;"ASTM A416"), L349, 0), 3)</f>
        <v/>
      </c>
      <c r="T349" s="20">
        <f>ROUND(T348 + IF(AND(E349=18, F349&lt;&gt;"ASTM A416"), L349, 0), 3)</f>
        <v/>
      </c>
      <c r="U349" s="20">
        <f>ROUND(U348 + IF(AND(E349=20, F349&lt;&gt;"ASTM A416"), L349, 0), 3)</f>
        <v/>
      </c>
      <c r="V349" s="20">
        <f>ROUND(V348 + IF(AND(E349=22, F349&lt;&gt;"ASTM A416"), L349, 0), 3)</f>
        <v/>
      </c>
      <c r="W349" s="20">
        <f>ROUND(W348 + IF(AND(E349=25, F349&lt;&gt;"ASTM A416"), L349, 0), 3)</f>
        <v/>
      </c>
      <c r="X349" s="20">
        <f>ROUND(X348 + IF(AND(E349=28, F349&lt;&gt;"ASTM A416"), L349, 0), 3)</f>
        <v/>
      </c>
      <c r="Y349" s="20">
        <f>ROUND(Y348 + IF(AND(E349=32, F349&lt;&gt;"ASTM A416"), L349, 0), 3)</f>
        <v/>
      </c>
      <c r="Z349" s="20">
        <f>ROUND(Z348 + IF(F349="ASTM A416", L349, 0), 3)</f>
        <v/>
      </c>
      <c r="AA349" s="11">
        <f>IF(INT(P349/20)&gt;INT(P348/20), "Lần " &amp; INT(P349/20), "")</f>
        <v/>
      </c>
      <c r="AB349" s="11">
        <f>IF(INT(Q349/20)&gt;INT(Q348/20), "Lần " &amp; INT(Q349/20), "")</f>
        <v/>
      </c>
      <c r="AC349" s="11">
        <f>IF(INT(R349/20)&gt;INT(R348/20), "Lần " &amp; INT(R349/20), "")</f>
        <v/>
      </c>
      <c r="AD349" s="11">
        <f>IF(INT(S349/20)&gt;INT(S348/20), "Lần " &amp; INT(S349/20), "")</f>
        <v/>
      </c>
      <c r="AE349" s="11">
        <f>IF(INT(T349/20)&gt;INT(T348/20), "Lần " &amp; INT(T349/20), "")</f>
        <v/>
      </c>
      <c r="AF349" s="11">
        <f>IF(INT(U349/20)&gt;INT(U348/20), "Lần " &amp; INT(U349/20), "")</f>
        <v/>
      </c>
      <c r="AG349" s="11">
        <f>IF(INT(V349/20)&gt;INT(V348/20), "Lần " &amp; INT(V349/20), "")</f>
        <v/>
      </c>
      <c r="AH349" s="11">
        <f>IF(INT(W349/20)&gt;INT(W348/20), "Lần " &amp; INT(W349/20), "")</f>
        <v/>
      </c>
      <c r="AI349" s="11">
        <f>IF(INT(X349/20)&gt;INT(X348/20), "Lần " &amp; INT(X349/20), "")</f>
        <v/>
      </c>
      <c r="AJ349" s="11">
        <f>IF(INT(Y349/20)&gt;INT(Y348/20), "Lần " &amp; INT(Y349/20), "")</f>
        <v/>
      </c>
      <c r="AK349" s="11">
        <f>IF(INT(Z349/20)&gt;INT(Z348/20), "Lần " &amp; INT(Z349/20), "")</f>
        <v/>
      </c>
      <c r="AL349" s="6" t="inlineStr">
        <is>
          <t>ĐẠT TCVN 1651:2018</t>
        </is>
      </c>
    </row>
    <row r="350" ht="19" customHeight="1">
      <c r="A350" s="6" t="n">
        <v>325</v>
      </c>
      <c r="B350" s="7" t="inlineStr">
        <is>
          <t>Cọc khoan nhồi C3 Mố M2 (D1.2m, L=36.0m)</t>
        </is>
      </c>
      <c r="C350" s="7" t="inlineStr">
        <is>
          <t>Cốt thép chủ chịu lực cọc</t>
        </is>
      </c>
      <c r="D350" s="18" t="inlineStr">
        <is>
          <t>P4</t>
        </is>
      </c>
      <c r="E350" s="19" t="n">
        <v>28</v>
      </c>
      <c r="F350" s="6" t="inlineStr">
        <is>
          <t>CB400-V</t>
        </is>
      </c>
      <c r="G350" s="7" t="inlineStr">
        <is>
          <t>Thanh thẳng nối ren/hàn</t>
        </is>
      </c>
      <c r="H350" s="20" t="n">
        <v>11.7</v>
      </c>
      <c r="I350" s="21" t="n">
        <v>12</v>
      </c>
      <c r="J350" s="22" t="n">
        <v>4.83</v>
      </c>
      <c r="K350" s="9">
        <f>ROUND(H350*I350*J350, 2)</f>
        <v/>
      </c>
      <c r="L350" s="23">
        <f>ROUND(K350/1000, 3)</f>
        <v/>
      </c>
      <c r="M350" s="8" t="n"/>
      <c r="N350" s="6" t="n"/>
      <c r="O350" s="24">
        <f>IF(AND(E350&lt;=10, F350&lt;&gt;"ASTM A416", INT(P350/20)&gt;INT(P349/20)), "TN Ø10 (Lần " &amp; INT(P350/20) &amp; ")", IF(AND(E350=12, INT(Q350/20)&gt;INT(Q349/20)), "TN Ø12 (Lần " &amp; INT(Q350/20) &amp; ")", IF(AND(E350=14, INT(R350/20)&gt;INT(R349/20)), "TN Ø14 (Lần " &amp; INT(R350/20) &amp; ")", IF(AND(E350=16, INT(S350/20)&gt;INT(S349/20)), "TN Ø16 (Lần " &amp; INT(S350/20) &amp; ")", IF(AND(E350=18, INT(T350/20)&gt;INT(T349/20)), "TN Ø18 (Lần " &amp; INT(T350/20) &amp; ")", IF(AND(E350=20, INT(U350/20)&gt;INT(U349/20)), "TN Ø20 (Lần " &amp; INT(U350/20) &amp; ")", IF(AND(E350=22, INT(V350/20)&gt;INT(V349/20)), "TN Ø22 (Lần " &amp; INT(V350/20) &amp; ")", IF(AND(E350=25, INT(W350/20)&gt;INT(W349/20)), "TN Ø25 (Lần " &amp; INT(W350/20) &amp; ")", IF(AND(E350=28, INT(X350/20)&gt;INT(X349/20)), "TN Ø28 (Lần " &amp; INT(X350/20) &amp; ")", IF(AND(E350=32, INT(Y350/20)&gt;INT(Y349/20)), "TN Ø32 (Lần " &amp; INT(Y350/20) &amp; ")", IF(AND(F350="ASTM A416", INT(Z350/20)&gt;INT(Z349/20)), "TN Cáp 15.2 (Lần " &amp; INT(Z350/20) &amp; ")", "")))))))))))</f>
        <v/>
      </c>
      <c r="P350" s="20">
        <f>ROUND(P349 + IF(AND(E350&lt;=10, F350&lt;&gt;"ASTM A416"), L350, 0), 3)</f>
        <v/>
      </c>
      <c r="Q350" s="20">
        <f>ROUND(Q349 + IF(AND(E350=12, F350&lt;&gt;"ASTM A416"), L350, 0), 3)</f>
        <v/>
      </c>
      <c r="R350" s="20">
        <f>ROUND(R349 + IF(AND(E350=14, F350&lt;&gt;"ASTM A416"), L350, 0), 3)</f>
        <v/>
      </c>
      <c r="S350" s="20">
        <f>ROUND(S349 + IF(AND(E350=16, F350&lt;&gt;"ASTM A416"), L350, 0), 3)</f>
        <v/>
      </c>
      <c r="T350" s="20">
        <f>ROUND(T349 + IF(AND(E350=18, F350&lt;&gt;"ASTM A416"), L350, 0), 3)</f>
        <v/>
      </c>
      <c r="U350" s="20">
        <f>ROUND(U349 + IF(AND(E350=20, F350&lt;&gt;"ASTM A416"), L350, 0), 3)</f>
        <v/>
      </c>
      <c r="V350" s="20">
        <f>ROUND(V349 + IF(AND(E350=22, F350&lt;&gt;"ASTM A416"), L350, 0), 3)</f>
        <v/>
      </c>
      <c r="W350" s="20">
        <f>ROUND(W349 + IF(AND(E350=25, F350&lt;&gt;"ASTM A416"), L350, 0), 3)</f>
        <v/>
      </c>
      <c r="X350" s="20">
        <f>ROUND(X349 + IF(AND(E350=28, F350&lt;&gt;"ASTM A416"), L350, 0), 3)</f>
        <v/>
      </c>
      <c r="Y350" s="20">
        <f>ROUND(Y349 + IF(AND(E350=32, F350&lt;&gt;"ASTM A416"), L350, 0), 3)</f>
        <v/>
      </c>
      <c r="Z350" s="20">
        <f>ROUND(Z349 + IF(F350="ASTM A416", L350, 0), 3)</f>
        <v/>
      </c>
      <c r="AA350" s="11">
        <f>IF(INT(P350/20)&gt;INT(P349/20), "Lần " &amp; INT(P350/20), "")</f>
        <v/>
      </c>
      <c r="AB350" s="11">
        <f>IF(INT(Q350/20)&gt;INT(Q349/20), "Lần " &amp; INT(Q350/20), "")</f>
        <v/>
      </c>
      <c r="AC350" s="11">
        <f>IF(INT(R350/20)&gt;INT(R349/20), "Lần " &amp; INT(R350/20), "")</f>
        <v/>
      </c>
      <c r="AD350" s="11">
        <f>IF(INT(S350/20)&gt;INT(S349/20), "Lần " &amp; INT(S350/20), "")</f>
        <v/>
      </c>
      <c r="AE350" s="11">
        <f>IF(INT(T350/20)&gt;INT(T349/20), "Lần " &amp; INT(T350/20), "")</f>
        <v/>
      </c>
      <c r="AF350" s="11">
        <f>IF(INT(U350/20)&gt;INT(U349/20), "Lần " &amp; INT(U350/20), "")</f>
        <v/>
      </c>
      <c r="AG350" s="11">
        <f>IF(INT(V350/20)&gt;INT(V349/20), "Lần " &amp; INT(V350/20), "")</f>
        <v/>
      </c>
      <c r="AH350" s="11">
        <f>IF(INT(W350/20)&gt;INT(W349/20), "Lần " &amp; INT(W350/20), "")</f>
        <v/>
      </c>
      <c r="AI350" s="11">
        <f>IF(INT(X350/20)&gt;INT(X349/20), "Lần " &amp; INT(X350/20), "")</f>
        <v/>
      </c>
      <c r="AJ350" s="11">
        <f>IF(INT(Y350/20)&gt;INT(Y349/20), "Lần " &amp; INT(Y350/20), "")</f>
        <v/>
      </c>
      <c r="AK350" s="11">
        <f>IF(INT(Z350/20)&gt;INT(Z349/20), "Lần " &amp; INT(Z350/20), "")</f>
        <v/>
      </c>
      <c r="AL350" s="6" t="inlineStr">
        <is>
          <t>ĐẠT TCVN 1651:2018</t>
        </is>
      </c>
    </row>
    <row r="351" ht="19" customHeight="1">
      <c r="A351" s="6" t="n">
        <v>326</v>
      </c>
      <c r="B351" s="7" t="inlineStr">
        <is>
          <t>Cọc khoan nhồi C3 Mố M2 (D1.2m, L=36.0m)</t>
        </is>
      </c>
      <c r="C351" s="7" t="inlineStr">
        <is>
          <t>Cốt thép chủ chịu lực cọc</t>
        </is>
      </c>
      <c r="D351" s="18" t="inlineStr">
        <is>
          <t>P5</t>
        </is>
      </c>
      <c r="E351" s="19" t="n">
        <v>25</v>
      </c>
      <c r="F351" s="6" t="inlineStr">
        <is>
          <t>CB400-V</t>
        </is>
      </c>
      <c r="G351" s="7" t="inlineStr">
        <is>
          <t>Thanh thẳng nối ren/hàn</t>
        </is>
      </c>
      <c r="H351" s="20" t="n">
        <v>11.7</v>
      </c>
      <c r="I351" s="21" t="n">
        <v>48</v>
      </c>
      <c r="J351" s="22" t="n">
        <v>3.85</v>
      </c>
      <c r="K351" s="9">
        <f>ROUND(H351*I351*J351, 2)</f>
        <v/>
      </c>
      <c r="L351" s="23">
        <f>ROUND(K351/1000, 3)</f>
        <v/>
      </c>
      <c r="M351" s="8" t="n"/>
      <c r="N351" s="6" t="n"/>
      <c r="O351" s="24">
        <f>IF(AND(E351&lt;=10, F351&lt;&gt;"ASTM A416", INT(P351/20)&gt;INT(P350/20)), "TN Ø10 (Lần " &amp; INT(P351/20) &amp; ")", IF(AND(E351=12, INT(Q351/20)&gt;INT(Q350/20)), "TN Ø12 (Lần " &amp; INT(Q351/20) &amp; ")", IF(AND(E351=14, INT(R351/20)&gt;INT(R350/20)), "TN Ø14 (Lần " &amp; INT(R351/20) &amp; ")", IF(AND(E351=16, INT(S351/20)&gt;INT(S350/20)), "TN Ø16 (Lần " &amp; INT(S351/20) &amp; ")", IF(AND(E351=18, INT(T351/20)&gt;INT(T350/20)), "TN Ø18 (Lần " &amp; INT(T351/20) &amp; ")", IF(AND(E351=20, INT(U351/20)&gt;INT(U350/20)), "TN Ø20 (Lần " &amp; INT(U351/20) &amp; ")", IF(AND(E351=22, INT(V351/20)&gt;INT(V350/20)), "TN Ø22 (Lần " &amp; INT(V351/20) &amp; ")", IF(AND(E351=25, INT(W351/20)&gt;INT(W350/20)), "TN Ø25 (Lần " &amp; INT(W351/20) &amp; ")", IF(AND(E351=28, INT(X351/20)&gt;INT(X350/20)), "TN Ø28 (Lần " &amp; INT(X351/20) &amp; ")", IF(AND(E351=32, INT(Y351/20)&gt;INT(Y350/20)), "TN Ø32 (Lần " &amp; INT(Y351/20) &amp; ")", IF(AND(F351="ASTM A416", INT(Z351/20)&gt;INT(Z350/20)), "TN Cáp 15.2 (Lần " &amp; INT(Z351/20) &amp; ")", "")))))))))))</f>
        <v/>
      </c>
      <c r="P351" s="20">
        <f>ROUND(P350 + IF(AND(E351&lt;=10, F351&lt;&gt;"ASTM A416"), L351, 0), 3)</f>
        <v/>
      </c>
      <c r="Q351" s="20">
        <f>ROUND(Q350 + IF(AND(E351=12, F351&lt;&gt;"ASTM A416"), L351, 0), 3)</f>
        <v/>
      </c>
      <c r="R351" s="20">
        <f>ROUND(R350 + IF(AND(E351=14, F351&lt;&gt;"ASTM A416"), L351, 0), 3)</f>
        <v/>
      </c>
      <c r="S351" s="20">
        <f>ROUND(S350 + IF(AND(E351=16, F351&lt;&gt;"ASTM A416"), L351, 0), 3)</f>
        <v/>
      </c>
      <c r="T351" s="20">
        <f>ROUND(T350 + IF(AND(E351=18, F351&lt;&gt;"ASTM A416"), L351, 0), 3)</f>
        <v/>
      </c>
      <c r="U351" s="20">
        <f>ROUND(U350 + IF(AND(E351=20, F351&lt;&gt;"ASTM A416"), L351, 0), 3)</f>
        <v/>
      </c>
      <c r="V351" s="20">
        <f>ROUND(V350 + IF(AND(E351=22, F351&lt;&gt;"ASTM A416"), L351, 0), 3)</f>
        <v/>
      </c>
      <c r="W351" s="20">
        <f>ROUND(W350 + IF(AND(E351=25, F351&lt;&gt;"ASTM A416"), L351, 0), 3)</f>
        <v/>
      </c>
      <c r="X351" s="20">
        <f>ROUND(X350 + IF(AND(E351=28, F351&lt;&gt;"ASTM A416"), L351, 0), 3)</f>
        <v/>
      </c>
      <c r="Y351" s="20">
        <f>ROUND(Y350 + IF(AND(E351=32, F351&lt;&gt;"ASTM A416"), L351, 0), 3)</f>
        <v/>
      </c>
      <c r="Z351" s="20">
        <f>ROUND(Z350 + IF(F351="ASTM A416", L351, 0), 3)</f>
        <v/>
      </c>
      <c r="AA351" s="11">
        <f>IF(INT(P351/20)&gt;INT(P350/20), "Lần " &amp; INT(P351/20), "")</f>
        <v/>
      </c>
      <c r="AB351" s="11">
        <f>IF(INT(Q351/20)&gt;INT(Q350/20), "Lần " &amp; INT(Q351/20), "")</f>
        <v/>
      </c>
      <c r="AC351" s="11">
        <f>IF(INT(R351/20)&gt;INT(R350/20), "Lần " &amp; INT(R351/20), "")</f>
        <v/>
      </c>
      <c r="AD351" s="11">
        <f>IF(INT(S351/20)&gt;INT(S350/20), "Lần " &amp; INT(S351/20), "")</f>
        <v/>
      </c>
      <c r="AE351" s="11">
        <f>IF(INT(T351/20)&gt;INT(T350/20), "Lần " &amp; INT(T351/20), "")</f>
        <v/>
      </c>
      <c r="AF351" s="11">
        <f>IF(INT(U351/20)&gt;INT(U350/20), "Lần " &amp; INT(U351/20), "")</f>
        <v/>
      </c>
      <c r="AG351" s="11">
        <f>IF(INT(V351/20)&gt;INT(V350/20), "Lần " &amp; INT(V351/20), "")</f>
        <v/>
      </c>
      <c r="AH351" s="11">
        <f>IF(INT(W351/20)&gt;INT(W350/20), "Lần " &amp; INT(W351/20), "")</f>
        <v/>
      </c>
      <c r="AI351" s="11">
        <f>IF(INT(X351/20)&gt;INT(X350/20), "Lần " &amp; INT(X351/20), "")</f>
        <v/>
      </c>
      <c r="AJ351" s="11">
        <f>IF(INT(Y351/20)&gt;INT(Y350/20), "Lần " &amp; INT(Y351/20), "")</f>
        <v/>
      </c>
      <c r="AK351" s="11">
        <f>IF(INT(Z351/20)&gt;INT(Z350/20), "Lần " &amp; INT(Z351/20), "")</f>
        <v/>
      </c>
      <c r="AL351" s="6" t="inlineStr">
        <is>
          <t>ĐẠT TCVN 1651:2018</t>
        </is>
      </c>
    </row>
    <row r="352" ht="19" customHeight="1">
      <c r="A352" s="6" t="n">
        <v>327</v>
      </c>
      <c r="B352" s="7" t="inlineStr">
        <is>
          <t>Cọc khoan nhồi C3 Mố M2 (D1.2m, L=36.0m)</t>
        </is>
      </c>
      <c r="C352" s="7" t="inlineStr">
        <is>
          <t>Cốt thép chủ chịu lực cọc</t>
        </is>
      </c>
      <c r="D352" s="18" t="inlineStr">
        <is>
          <t>P6</t>
        </is>
      </c>
      <c r="E352" s="19" t="n">
        <v>25</v>
      </c>
      <c r="F352" s="6" t="inlineStr">
        <is>
          <t>CB400-V</t>
        </is>
      </c>
      <c r="G352" s="7" t="inlineStr">
        <is>
          <t>Thanh thẳng nối ren/hàn</t>
        </is>
      </c>
      <c r="H352" s="20" t="n">
        <v>5.153</v>
      </c>
      <c r="I352" s="21" t="n">
        <v>12</v>
      </c>
      <c r="J352" s="22" t="n">
        <v>3.85</v>
      </c>
      <c r="K352" s="9">
        <f>ROUND(H352*I352*J352, 2)</f>
        <v/>
      </c>
      <c r="L352" s="23">
        <f>ROUND(K352/1000, 3)</f>
        <v/>
      </c>
      <c r="M352" s="8" t="n"/>
      <c r="N352" s="6" t="n"/>
      <c r="O352" s="24">
        <f>IF(AND(E352&lt;=10, F352&lt;&gt;"ASTM A416", INT(P352/20)&gt;INT(P351/20)), "TN Ø10 (Lần " &amp; INT(P352/20) &amp; ")", IF(AND(E352=12, INT(Q352/20)&gt;INT(Q351/20)), "TN Ø12 (Lần " &amp; INT(Q352/20) &amp; ")", IF(AND(E352=14, INT(R352/20)&gt;INT(R351/20)), "TN Ø14 (Lần " &amp; INT(R352/20) &amp; ")", IF(AND(E352=16, INT(S352/20)&gt;INT(S351/20)), "TN Ø16 (Lần " &amp; INT(S352/20) &amp; ")", IF(AND(E352=18, INT(T352/20)&gt;INT(T351/20)), "TN Ø18 (Lần " &amp; INT(T352/20) &amp; ")", IF(AND(E352=20, INT(U352/20)&gt;INT(U351/20)), "TN Ø20 (Lần " &amp; INT(U352/20) &amp; ")", IF(AND(E352=22, INT(V352/20)&gt;INT(V351/20)), "TN Ø22 (Lần " &amp; INT(V352/20) &amp; ")", IF(AND(E352=25, INT(W352/20)&gt;INT(W351/20)), "TN Ø25 (Lần " &amp; INT(W352/20) &amp; ")", IF(AND(E352=28, INT(X352/20)&gt;INT(X351/20)), "TN Ø28 (Lần " &amp; INT(X352/20) &amp; ")", IF(AND(E352=32, INT(Y352/20)&gt;INT(Y351/20)), "TN Ø32 (Lần " &amp; INT(Y352/20) &amp; ")", IF(AND(F352="ASTM A416", INT(Z352/20)&gt;INT(Z351/20)), "TN Cáp 15.2 (Lần " &amp; INT(Z352/20) &amp; ")", "")))))))))))</f>
        <v/>
      </c>
      <c r="P352" s="20">
        <f>ROUND(P351 + IF(AND(E352&lt;=10, F352&lt;&gt;"ASTM A416"), L352, 0), 3)</f>
        <v/>
      </c>
      <c r="Q352" s="20">
        <f>ROUND(Q351 + IF(AND(E352=12, F352&lt;&gt;"ASTM A416"), L352, 0), 3)</f>
        <v/>
      </c>
      <c r="R352" s="20">
        <f>ROUND(R351 + IF(AND(E352=14, F352&lt;&gt;"ASTM A416"), L352, 0), 3)</f>
        <v/>
      </c>
      <c r="S352" s="20">
        <f>ROUND(S351 + IF(AND(E352=16, F352&lt;&gt;"ASTM A416"), L352, 0), 3)</f>
        <v/>
      </c>
      <c r="T352" s="20">
        <f>ROUND(T351 + IF(AND(E352=18, F352&lt;&gt;"ASTM A416"), L352, 0), 3)</f>
        <v/>
      </c>
      <c r="U352" s="20">
        <f>ROUND(U351 + IF(AND(E352=20, F352&lt;&gt;"ASTM A416"), L352, 0), 3)</f>
        <v/>
      </c>
      <c r="V352" s="20">
        <f>ROUND(V351 + IF(AND(E352=22, F352&lt;&gt;"ASTM A416"), L352, 0), 3)</f>
        <v/>
      </c>
      <c r="W352" s="20">
        <f>ROUND(W351 + IF(AND(E352=25, F352&lt;&gt;"ASTM A416"), L352, 0), 3)</f>
        <v/>
      </c>
      <c r="X352" s="20">
        <f>ROUND(X351 + IF(AND(E352=28, F352&lt;&gt;"ASTM A416"), L352, 0), 3)</f>
        <v/>
      </c>
      <c r="Y352" s="20">
        <f>ROUND(Y351 + IF(AND(E352=32, F352&lt;&gt;"ASTM A416"), L352, 0), 3)</f>
        <v/>
      </c>
      <c r="Z352" s="20">
        <f>ROUND(Z351 + IF(F352="ASTM A416", L352, 0), 3)</f>
        <v/>
      </c>
      <c r="AA352" s="11">
        <f>IF(INT(P352/20)&gt;INT(P351/20), "Lần " &amp; INT(P352/20), "")</f>
        <v/>
      </c>
      <c r="AB352" s="11">
        <f>IF(INT(Q352/20)&gt;INT(Q351/20), "Lần " &amp; INT(Q352/20), "")</f>
        <v/>
      </c>
      <c r="AC352" s="11">
        <f>IF(INT(R352/20)&gt;INT(R351/20), "Lần " &amp; INT(R352/20), "")</f>
        <v/>
      </c>
      <c r="AD352" s="11">
        <f>IF(INT(S352/20)&gt;INT(S351/20), "Lần " &amp; INT(S352/20), "")</f>
        <v/>
      </c>
      <c r="AE352" s="11">
        <f>IF(INT(T352/20)&gt;INT(T351/20), "Lần " &amp; INT(T352/20), "")</f>
        <v/>
      </c>
      <c r="AF352" s="11">
        <f>IF(INT(U352/20)&gt;INT(U351/20), "Lần " &amp; INT(U352/20), "")</f>
        <v/>
      </c>
      <c r="AG352" s="11">
        <f>IF(INT(V352/20)&gt;INT(V351/20), "Lần " &amp; INT(V352/20), "")</f>
        <v/>
      </c>
      <c r="AH352" s="11">
        <f>IF(INT(W352/20)&gt;INT(W351/20), "Lần " &amp; INT(W352/20), "")</f>
        <v/>
      </c>
      <c r="AI352" s="11">
        <f>IF(INT(X352/20)&gt;INT(X351/20), "Lần " &amp; INT(X352/20), "")</f>
        <v/>
      </c>
      <c r="AJ352" s="11">
        <f>IF(INT(Y352/20)&gt;INT(Y351/20), "Lần " &amp; INT(Y352/20), "")</f>
        <v/>
      </c>
      <c r="AK352" s="11">
        <f>IF(INT(Z352/20)&gt;INT(Z351/20), "Lần " &amp; INT(Z352/20), "")</f>
        <v/>
      </c>
      <c r="AL352" s="6" t="inlineStr">
        <is>
          <t>ĐẠT TCVN 1651:2018</t>
        </is>
      </c>
    </row>
    <row r="353" ht="19" customHeight="1">
      <c r="A353" s="6" t="n">
        <v>328</v>
      </c>
      <c r="B353" s="7" t="inlineStr">
        <is>
          <t>Cọc khoan nhồi C3 Mố M2 (D1.2m, L=36.0m)</t>
        </is>
      </c>
      <c r="C353" s="7" t="inlineStr">
        <is>
          <t>Cốt thép chủ chịu lực cọc</t>
        </is>
      </c>
      <c r="D353" s="18" t="inlineStr">
        <is>
          <t>P7</t>
        </is>
      </c>
      <c r="E353" s="19" t="n">
        <v>25</v>
      </c>
      <c r="F353" s="6" t="inlineStr">
        <is>
          <t>CB400-V</t>
        </is>
      </c>
      <c r="G353" s="7" t="inlineStr">
        <is>
          <t>Thanh thẳng nối ren/hàn</t>
        </is>
      </c>
      <c r="H353" s="20" t="n">
        <v>6.153</v>
      </c>
      <c r="I353" s="21" t="n">
        <v>12</v>
      </c>
      <c r="J353" s="22" t="n">
        <v>3.85</v>
      </c>
      <c r="K353" s="9">
        <f>ROUND(H353*I353*J353, 2)</f>
        <v/>
      </c>
      <c r="L353" s="23">
        <f>ROUND(K353/1000, 3)</f>
        <v/>
      </c>
      <c r="M353" s="8" t="n"/>
      <c r="N353" s="6" t="n"/>
      <c r="O353" s="24">
        <f>IF(AND(E353&lt;=10, F353&lt;&gt;"ASTM A416", INT(P353/20)&gt;INT(P352/20)), "TN Ø10 (Lần " &amp; INT(P353/20) &amp; ")", IF(AND(E353=12, INT(Q353/20)&gt;INT(Q352/20)), "TN Ø12 (Lần " &amp; INT(Q353/20) &amp; ")", IF(AND(E353=14, INT(R353/20)&gt;INT(R352/20)), "TN Ø14 (Lần " &amp; INT(R353/20) &amp; ")", IF(AND(E353=16, INT(S353/20)&gt;INT(S352/20)), "TN Ø16 (Lần " &amp; INT(S353/20) &amp; ")", IF(AND(E353=18, INT(T353/20)&gt;INT(T352/20)), "TN Ø18 (Lần " &amp; INT(T353/20) &amp; ")", IF(AND(E353=20, INT(U353/20)&gt;INT(U352/20)), "TN Ø20 (Lần " &amp; INT(U353/20) &amp; ")", IF(AND(E353=22, INT(V353/20)&gt;INT(V352/20)), "TN Ø22 (Lần " &amp; INT(V353/20) &amp; ")", IF(AND(E353=25, INT(W353/20)&gt;INT(W352/20)), "TN Ø25 (Lần " &amp; INT(W353/20) &amp; ")", IF(AND(E353=28, INT(X353/20)&gt;INT(X352/20)), "TN Ø28 (Lần " &amp; INT(X353/20) &amp; ")", IF(AND(E353=32, INT(Y353/20)&gt;INT(Y352/20)), "TN Ø32 (Lần " &amp; INT(Y353/20) &amp; ")", IF(AND(F353="ASTM A416", INT(Z353/20)&gt;INT(Z352/20)), "TN Cáp 15.2 (Lần " &amp; INT(Z353/20) &amp; ")", "")))))))))))</f>
        <v/>
      </c>
      <c r="P353" s="20">
        <f>ROUND(P352 + IF(AND(E353&lt;=10, F353&lt;&gt;"ASTM A416"), L353, 0), 3)</f>
        <v/>
      </c>
      <c r="Q353" s="20">
        <f>ROUND(Q352 + IF(AND(E353=12, F353&lt;&gt;"ASTM A416"), L353, 0), 3)</f>
        <v/>
      </c>
      <c r="R353" s="20">
        <f>ROUND(R352 + IF(AND(E353=14, F353&lt;&gt;"ASTM A416"), L353, 0), 3)</f>
        <v/>
      </c>
      <c r="S353" s="20">
        <f>ROUND(S352 + IF(AND(E353=16, F353&lt;&gt;"ASTM A416"), L353, 0), 3)</f>
        <v/>
      </c>
      <c r="T353" s="20">
        <f>ROUND(T352 + IF(AND(E353=18, F353&lt;&gt;"ASTM A416"), L353, 0), 3)</f>
        <v/>
      </c>
      <c r="U353" s="20">
        <f>ROUND(U352 + IF(AND(E353=20, F353&lt;&gt;"ASTM A416"), L353, 0), 3)</f>
        <v/>
      </c>
      <c r="V353" s="20">
        <f>ROUND(V352 + IF(AND(E353=22, F353&lt;&gt;"ASTM A416"), L353, 0), 3)</f>
        <v/>
      </c>
      <c r="W353" s="20">
        <f>ROUND(W352 + IF(AND(E353=25, F353&lt;&gt;"ASTM A416"), L353, 0), 3)</f>
        <v/>
      </c>
      <c r="X353" s="20">
        <f>ROUND(X352 + IF(AND(E353=28, F353&lt;&gt;"ASTM A416"), L353, 0), 3)</f>
        <v/>
      </c>
      <c r="Y353" s="20">
        <f>ROUND(Y352 + IF(AND(E353=32, F353&lt;&gt;"ASTM A416"), L353, 0), 3)</f>
        <v/>
      </c>
      <c r="Z353" s="20">
        <f>ROUND(Z352 + IF(F353="ASTM A416", L353, 0), 3)</f>
        <v/>
      </c>
      <c r="AA353" s="11">
        <f>IF(INT(P353/20)&gt;INT(P352/20), "Lần " &amp; INT(P353/20), "")</f>
        <v/>
      </c>
      <c r="AB353" s="11">
        <f>IF(INT(Q353/20)&gt;INT(Q352/20), "Lần " &amp; INT(Q353/20), "")</f>
        <v/>
      </c>
      <c r="AC353" s="11">
        <f>IF(INT(R353/20)&gt;INT(R352/20), "Lần " &amp; INT(R353/20), "")</f>
        <v/>
      </c>
      <c r="AD353" s="11">
        <f>IF(INT(S353/20)&gt;INT(S352/20), "Lần " &amp; INT(S353/20), "")</f>
        <v/>
      </c>
      <c r="AE353" s="11">
        <f>IF(INT(T353/20)&gt;INT(T352/20), "Lần " &amp; INT(T353/20), "")</f>
        <v/>
      </c>
      <c r="AF353" s="11">
        <f>IF(INT(U353/20)&gt;INT(U352/20), "Lần " &amp; INT(U353/20), "")</f>
        <v/>
      </c>
      <c r="AG353" s="11">
        <f>IF(INT(V353/20)&gt;INT(V352/20), "Lần " &amp; INT(V353/20), "")</f>
        <v/>
      </c>
      <c r="AH353" s="11">
        <f>IF(INT(W353/20)&gt;INT(W352/20), "Lần " &amp; INT(W353/20), "")</f>
        <v/>
      </c>
      <c r="AI353" s="11">
        <f>IF(INT(X353/20)&gt;INT(X352/20), "Lần " &amp; INT(X353/20), "")</f>
        <v/>
      </c>
      <c r="AJ353" s="11">
        <f>IF(INT(Y353/20)&gt;INT(Y352/20), "Lần " &amp; INT(Y353/20), "")</f>
        <v/>
      </c>
      <c r="AK353" s="11">
        <f>IF(INT(Z353/20)&gt;INT(Z352/20), "Lần " &amp; INT(Z353/20), "")</f>
        <v/>
      </c>
      <c r="AL353" s="6" t="inlineStr">
        <is>
          <t>ĐẠT TCVN 1651:2018</t>
        </is>
      </c>
    </row>
    <row r="354" ht="19" customHeight="1">
      <c r="A354" s="6" t="n">
        <v>329</v>
      </c>
      <c r="B354" s="7" t="inlineStr">
        <is>
          <t>Cọc khoan nhồi C3 Mố M2 (D1.2m, L=36.0m)</t>
        </is>
      </c>
      <c r="C354" s="7" t="inlineStr">
        <is>
          <t>Đai tăng cường / Con kê bảo vệ</t>
        </is>
      </c>
      <c r="D354" s="18" t="inlineStr">
        <is>
          <t>P8</t>
        </is>
      </c>
      <c r="E354" s="19" t="n">
        <v>12</v>
      </c>
      <c r="F354" s="6" t="inlineStr">
        <is>
          <t>CB400-V</t>
        </is>
      </c>
      <c r="G354" s="7" t="inlineStr">
        <is>
          <t>Móc neo / Vòng đai</t>
        </is>
      </c>
      <c r="H354" s="20" t="n">
        <v>0.647</v>
      </c>
      <c r="I354" s="21" t="n">
        <v>15</v>
      </c>
      <c r="J354" s="22" t="n">
        <v>0.888</v>
      </c>
      <c r="K354" s="9">
        <f>ROUND(H354*I354*J354, 2)</f>
        <v/>
      </c>
      <c r="L354" s="23">
        <f>ROUND(K354/1000, 3)</f>
        <v/>
      </c>
      <c r="M354" s="8" t="n"/>
      <c r="N354" s="6" t="n"/>
      <c r="O354" s="24">
        <f>IF(AND(E354&lt;=10, F354&lt;&gt;"ASTM A416", INT(P354/20)&gt;INT(P353/20)), "TN Ø10 (Lần " &amp; INT(P354/20) &amp; ")", IF(AND(E354=12, INT(Q354/20)&gt;INT(Q353/20)), "TN Ø12 (Lần " &amp; INT(Q354/20) &amp; ")", IF(AND(E354=14, INT(R354/20)&gt;INT(R353/20)), "TN Ø14 (Lần " &amp; INT(R354/20) &amp; ")", IF(AND(E354=16, INT(S354/20)&gt;INT(S353/20)), "TN Ø16 (Lần " &amp; INT(S354/20) &amp; ")", IF(AND(E354=18, INT(T354/20)&gt;INT(T353/20)), "TN Ø18 (Lần " &amp; INT(T354/20) &amp; ")", IF(AND(E354=20, INT(U354/20)&gt;INT(U353/20)), "TN Ø20 (Lần " &amp; INT(U354/20) &amp; ")", IF(AND(E354=22, INT(V354/20)&gt;INT(V353/20)), "TN Ø22 (Lần " &amp; INT(V354/20) &amp; ")", IF(AND(E354=25, INT(W354/20)&gt;INT(W353/20)), "TN Ø25 (Lần " &amp; INT(W354/20) &amp; ")", IF(AND(E354=28, INT(X354/20)&gt;INT(X353/20)), "TN Ø28 (Lần " &amp; INT(X354/20) &amp; ")", IF(AND(E354=32, INT(Y354/20)&gt;INT(Y353/20)), "TN Ø32 (Lần " &amp; INT(Y354/20) &amp; ")", IF(AND(F354="ASTM A416", INT(Z354/20)&gt;INT(Z353/20)), "TN Cáp 15.2 (Lần " &amp; INT(Z354/20) &amp; ")", "")))))))))))</f>
        <v/>
      </c>
      <c r="P354" s="20">
        <f>ROUND(P353 + IF(AND(E354&lt;=10, F354&lt;&gt;"ASTM A416"), L354, 0), 3)</f>
        <v/>
      </c>
      <c r="Q354" s="20">
        <f>ROUND(Q353 + IF(AND(E354=12, F354&lt;&gt;"ASTM A416"), L354, 0), 3)</f>
        <v/>
      </c>
      <c r="R354" s="20">
        <f>ROUND(R353 + IF(AND(E354=14, F354&lt;&gt;"ASTM A416"), L354, 0), 3)</f>
        <v/>
      </c>
      <c r="S354" s="20">
        <f>ROUND(S353 + IF(AND(E354=16, F354&lt;&gt;"ASTM A416"), L354, 0), 3)</f>
        <v/>
      </c>
      <c r="T354" s="20">
        <f>ROUND(T353 + IF(AND(E354=18, F354&lt;&gt;"ASTM A416"), L354, 0), 3)</f>
        <v/>
      </c>
      <c r="U354" s="20">
        <f>ROUND(U353 + IF(AND(E354=20, F354&lt;&gt;"ASTM A416"), L354, 0), 3)</f>
        <v/>
      </c>
      <c r="V354" s="20">
        <f>ROUND(V353 + IF(AND(E354=22, F354&lt;&gt;"ASTM A416"), L354, 0), 3)</f>
        <v/>
      </c>
      <c r="W354" s="20">
        <f>ROUND(W353 + IF(AND(E354=25, F354&lt;&gt;"ASTM A416"), L354, 0), 3)</f>
        <v/>
      </c>
      <c r="X354" s="20">
        <f>ROUND(X353 + IF(AND(E354=28, F354&lt;&gt;"ASTM A416"), L354, 0), 3)</f>
        <v/>
      </c>
      <c r="Y354" s="20">
        <f>ROUND(Y353 + IF(AND(E354=32, F354&lt;&gt;"ASTM A416"), L354, 0), 3)</f>
        <v/>
      </c>
      <c r="Z354" s="20">
        <f>ROUND(Z353 + IF(F354="ASTM A416", L354, 0), 3)</f>
        <v/>
      </c>
      <c r="AA354" s="11">
        <f>IF(INT(P354/20)&gt;INT(P353/20), "Lần " &amp; INT(P354/20), "")</f>
        <v/>
      </c>
      <c r="AB354" s="11">
        <f>IF(INT(Q354/20)&gt;INT(Q353/20), "Lần " &amp; INT(Q354/20), "")</f>
        <v/>
      </c>
      <c r="AC354" s="11">
        <f>IF(INT(R354/20)&gt;INT(R353/20), "Lần " &amp; INT(R354/20), "")</f>
        <v/>
      </c>
      <c r="AD354" s="11">
        <f>IF(INT(S354/20)&gt;INT(S353/20), "Lần " &amp; INT(S354/20), "")</f>
        <v/>
      </c>
      <c r="AE354" s="11">
        <f>IF(INT(T354/20)&gt;INT(T353/20), "Lần " &amp; INT(T354/20), "")</f>
        <v/>
      </c>
      <c r="AF354" s="11">
        <f>IF(INT(U354/20)&gt;INT(U353/20), "Lần " &amp; INT(U354/20), "")</f>
        <v/>
      </c>
      <c r="AG354" s="11">
        <f>IF(INT(V354/20)&gt;INT(V353/20), "Lần " &amp; INT(V354/20), "")</f>
        <v/>
      </c>
      <c r="AH354" s="11">
        <f>IF(INT(W354/20)&gt;INT(W353/20), "Lần " &amp; INT(W354/20), "")</f>
        <v/>
      </c>
      <c r="AI354" s="11">
        <f>IF(INT(X354/20)&gt;INT(X353/20), "Lần " &amp; INT(X354/20), "")</f>
        <v/>
      </c>
      <c r="AJ354" s="11">
        <f>IF(INT(Y354/20)&gt;INT(Y353/20), "Lần " &amp; INT(Y354/20), "")</f>
        <v/>
      </c>
      <c r="AK354" s="11">
        <f>IF(INT(Z354/20)&gt;INT(Z353/20), "Lần " &amp; INT(Z354/20), "")</f>
        <v/>
      </c>
      <c r="AL354" s="6" t="inlineStr">
        <is>
          <t>ĐẠT TCVN 1651:2018</t>
        </is>
      </c>
    </row>
    <row r="355" ht="19" customHeight="1">
      <c r="A355" s="6" t="n">
        <v>330</v>
      </c>
      <c r="B355" s="7" t="inlineStr">
        <is>
          <t>Cọc khoan nhồi C3 Mố M2 (D1.2m, L=36.0m)</t>
        </is>
      </c>
      <c r="C355" s="7" t="inlineStr">
        <is>
          <t>Đai tăng cường / Con kê bảo vệ</t>
        </is>
      </c>
      <c r="D355" s="18" t="inlineStr">
        <is>
          <t>P9</t>
        </is>
      </c>
      <c r="E355" s="19" t="n">
        <v>12</v>
      </c>
      <c r="F355" s="6" t="inlineStr">
        <is>
          <t>CB400-V</t>
        </is>
      </c>
      <c r="G355" s="7" t="inlineStr">
        <is>
          <t>Móc neo / Vòng đai</t>
        </is>
      </c>
      <c r="H355" s="20" t="n">
        <v>0.379</v>
      </c>
      <c r="I355" s="21" t="n">
        <v>45</v>
      </c>
      <c r="J355" s="22" t="n">
        <v>0.888</v>
      </c>
      <c r="K355" s="9">
        <f>ROUND(H355*I355*J355, 2)</f>
        <v/>
      </c>
      <c r="L355" s="23">
        <f>ROUND(K355/1000, 3)</f>
        <v/>
      </c>
      <c r="M355" s="8" t="n"/>
      <c r="N355" s="6" t="n"/>
      <c r="O355" s="24">
        <f>IF(AND(E355&lt;=10, F355&lt;&gt;"ASTM A416", INT(P355/20)&gt;INT(P354/20)), "TN Ø10 (Lần " &amp; INT(P355/20) &amp; ")", IF(AND(E355=12, INT(Q355/20)&gt;INT(Q354/20)), "TN Ø12 (Lần " &amp; INT(Q355/20) &amp; ")", IF(AND(E355=14, INT(R355/20)&gt;INT(R354/20)), "TN Ø14 (Lần " &amp; INT(R355/20) &amp; ")", IF(AND(E355=16, INT(S355/20)&gt;INT(S354/20)), "TN Ø16 (Lần " &amp; INT(S355/20) &amp; ")", IF(AND(E355=18, INT(T355/20)&gt;INT(T354/20)), "TN Ø18 (Lần " &amp; INT(T355/20) &amp; ")", IF(AND(E355=20, INT(U355/20)&gt;INT(U354/20)), "TN Ø20 (Lần " &amp; INT(U355/20) &amp; ")", IF(AND(E355=22, INT(V355/20)&gt;INT(V354/20)), "TN Ø22 (Lần " &amp; INT(V355/20) &amp; ")", IF(AND(E355=25, INT(W355/20)&gt;INT(W354/20)), "TN Ø25 (Lần " &amp; INT(W355/20) &amp; ")", IF(AND(E355=28, INT(X355/20)&gt;INT(X354/20)), "TN Ø28 (Lần " &amp; INT(X355/20) &amp; ")", IF(AND(E355=32, INT(Y355/20)&gt;INT(Y354/20)), "TN Ø32 (Lần " &amp; INT(Y355/20) &amp; ")", IF(AND(F355="ASTM A416", INT(Z355/20)&gt;INT(Z354/20)), "TN Cáp 15.2 (Lần " &amp; INT(Z355/20) &amp; ")", "")))))))))))</f>
        <v/>
      </c>
      <c r="P355" s="20">
        <f>ROUND(P354 + IF(AND(E355&lt;=10, F355&lt;&gt;"ASTM A416"), L355, 0), 3)</f>
        <v/>
      </c>
      <c r="Q355" s="20">
        <f>ROUND(Q354 + IF(AND(E355=12, F355&lt;&gt;"ASTM A416"), L355, 0), 3)</f>
        <v/>
      </c>
      <c r="R355" s="20">
        <f>ROUND(R354 + IF(AND(E355=14, F355&lt;&gt;"ASTM A416"), L355, 0), 3)</f>
        <v/>
      </c>
      <c r="S355" s="20">
        <f>ROUND(S354 + IF(AND(E355=16, F355&lt;&gt;"ASTM A416"), L355, 0), 3)</f>
        <v/>
      </c>
      <c r="T355" s="20">
        <f>ROUND(T354 + IF(AND(E355=18, F355&lt;&gt;"ASTM A416"), L355, 0), 3)</f>
        <v/>
      </c>
      <c r="U355" s="20">
        <f>ROUND(U354 + IF(AND(E355=20, F355&lt;&gt;"ASTM A416"), L355, 0), 3)</f>
        <v/>
      </c>
      <c r="V355" s="20">
        <f>ROUND(V354 + IF(AND(E355=22, F355&lt;&gt;"ASTM A416"), L355, 0), 3)</f>
        <v/>
      </c>
      <c r="W355" s="20">
        <f>ROUND(W354 + IF(AND(E355=25, F355&lt;&gt;"ASTM A416"), L355, 0), 3)</f>
        <v/>
      </c>
      <c r="X355" s="20">
        <f>ROUND(X354 + IF(AND(E355=28, F355&lt;&gt;"ASTM A416"), L355, 0), 3)</f>
        <v/>
      </c>
      <c r="Y355" s="20">
        <f>ROUND(Y354 + IF(AND(E355=32, F355&lt;&gt;"ASTM A416"), L355, 0), 3)</f>
        <v/>
      </c>
      <c r="Z355" s="20">
        <f>ROUND(Z354 + IF(F355="ASTM A416", L355, 0), 3)</f>
        <v/>
      </c>
      <c r="AA355" s="11">
        <f>IF(INT(P355/20)&gt;INT(P354/20), "Lần " &amp; INT(P355/20), "")</f>
        <v/>
      </c>
      <c r="AB355" s="11">
        <f>IF(INT(Q355/20)&gt;INT(Q354/20), "Lần " &amp; INT(Q355/20), "")</f>
        <v/>
      </c>
      <c r="AC355" s="11">
        <f>IF(INT(R355/20)&gt;INT(R354/20), "Lần " &amp; INT(R355/20), "")</f>
        <v/>
      </c>
      <c r="AD355" s="11">
        <f>IF(INT(S355/20)&gt;INT(S354/20), "Lần " &amp; INT(S355/20), "")</f>
        <v/>
      </c>
      <c r="AE355" s="11">
        <f>IF(INT(T355/20)&gt;INT(T354/20), "Lần " &amp; INT(T355/20), "")</f>
        <v/>
      </c>
      <c r="AF355" s="11">
        <f>IF(INT(U355/20)&gt;INT(U354/20), "Lần " &amp; INT(U355/20), "")</f>
        <v/>
      </c>
      <c r="AG355" s="11">
        <f>IF(INT(V355/20)&gt;INT(V354/20), "Lần " &amp; INT(V355/20), "")</f>
        <v/>
      </c>
      <c r="AH355" s="11">
        <f>IF(INT(W355/20)&gt;INT(W354/20), "Lần " &amp; INT(W355/20), "")</f>
        <v/>
      </c>
      <c r="AI355" s="11">
        <f>IF(INT(X355/20)&gt;INT(X354/20), "Lần " &amp; INT(X355/20), "")</f>
        <v/>
      </c>
      <c r="AJ355" s="11">
        <f>IF(INT(Y355/20)&gt;INT(Y354/20), "Lần " &amp; INT(Y355/20), "")</f>
        <v/>
      </c>
      <c r="AK355" s="11">
        <f>IF(INT(Z355/20)&gt;INT(Z354/20), "Lần " &amp; INT(Z355/20), "")</f>
        <v/>
      </c>
      <c r="AL355" s="6" t="inlineStr">
        <is>
          <t>ĐẠT TCVN 1651:2018</t>
        </is>
      </c>
    </row>
    <row r="356" ht="19" customHeight="1">
      <c r="A356" s="6" t="n">
        <v>331</v>
      </c>
      <c r="B356" s="7" t="inlineStr">
        <is>
          <t>Cọc khoan nhồi C3 Mố M2 (D1.2m, L=36.0m)</t>
        </is>
      </c>
      <c r="C356" s="7" t="inlineStr">
        <is>
          <t>Thép đai xoắn lồng cọc</t>
        </is>
      </c>
      <c r="D356" s="18" t="inlineStr">
        <is>
          <t>P10</t>
        </is>
      </c>
      <c r="E356" s="19" t="n">
        <v>20</v>
      </c>
      <c r="F356" s="6" t="inlineStr">
        <is>
          <t>CB400-V</t>
        </is>
      </c>
      <c r="G356" s="7" t="inlineStr">
        <is>
          <t>Đai xoắn tròn</t>
        </is>
      </c>
      <c r="H356" s="20" t="n">
        <v>2.057</v>
      </c>
      <c r="I356" s="21" t="n">
        <v>1</v>
      </c>
      <c r="J356" s="22" t="n">
        <v>2.47</v>
      </c>
      <c r="K356" s="9">
        <f>ROUND(H356*I356*J356, 2)</f>
        <v/>
      </c>
      <c r="L356" s="23">
        <f>ROUND(K356/1000, 3)</f>
        <v/>
      </c>
      <c r="M356" s="8" t="n"/>
      <c r="N356" s="6" t="n"/>
      <c r="O356" s="24">
        <f>IF(AND(E356&lt;=10, F356&lt;&gt;"ASTM A416", INT(P356/20)&gt;INT(P355/20)), "TN Ø10 (Lần " &amp; INT(P356/20) &amp; ")", IF(AND(E356=12, INT(Q356/20)&gt;INT(Q355/20)), "TN Ø12 (Lần " &amp; INT(Q356/20) &amp; ")", IF(AND(E356=14, INT(R356/20)&gt;INT(R355/20)), "TN Ø14 (Lần " &amp; INT(R356/20) &amp; ")", IF(AND(E356=16, INT(S356/20)&gt;INT(S355/20)), "TN Ø16 (Lần " &amp; INT(S356/20) &amp; ")", IF(AND(E356=18, INT(T356/20)&gt;INT(T355/20)), "TN Ø18 (Lần " &amp; INT(T356/20) &amp; ")", IF(AND(E356=20, INT(U356/20)&gt;INT(U355/20)), "TN Ø20 (Lần " &amp; INT(U356/20) &amp; ")", IF(AND(E356=22, INT(V356/20)&gt;INT(V355/20)), "TN Ø22 (Lần " &amp; INT(V356/20) &amp; ")", IF(AND(E356=25, INT(W356/20)&gt;INT(W355/20)), "TN Ø25 (Lần " &amp; INT(W356/20) &amp; ")", IF(AND(E356=28, INT(X356/20)&gt;INT(X355/20)), "TN Ø28 (Lần " &amp; INT(X356/20) &amp; ")", IF(AND(E356=32, INT(Y356/20)&gt;INT(Y355/20)), "TN Ø32 (Lần " &amp; INT(Y356/20) &amp; ")", IF(AND(F356="ASTM A416", INT(Z356/20)&gt;INT(Z355/20)), "TN Cáp 15.2 (Lần " &amp; INT(Z356/20) &amp; ")", "")))))))))))</f>
        <v/>
      </c>
      <c r="P356" s="20">
        <f>ROUND(P355 + IF(AND(E356&lt;=10, F356&lt;&gt;"ASTM A416"), L356, 0), 3)</f>
        <v/>
      </c>
      <c r="Q356" s="20">
        <f>ROUND(Q355 + IF(AND(E356=12, F356&lt;&gt;"ASTM A416"), L356, 0), 3)</f>
        <v/>
      </c>
      <c r="R356" s="20">
        <f>ROUND(R355 + IF(AND(E356=14, F356&lt;&gt;"ASTM A416"), L356, 0), 3)</f>
        <v/>
      </c>
      <c r="S356" s="20">
        <f>ROUND(S355 + IF(AND(E356=16, F356&lt;&gt;"ASTM A416"), L356, 0), 3)</f>
        <v/>
      </c>
      <c r="T356" s="20">
        <f>ROUND(T355 + IF(AND(E356=18, F356&lt;&gt;"ASTM A416"), L356, 0), 3)</f>
        <v/>
      </c>
      <c r="U356" s="20">
        <f>ROUND(U355 + IF(AND(E356=20, F356&lt;&gt;"ASTM A416"), L356, 0), 3)</f>
        <v/>
      </c>
      <c r="V356" s="20">
        <f>ROUND(V355 + IF(AND(E356=22, F356&lt;&gt;"ASTM A416"), L356, 0), 3)</f>
        <v/>
      </c>
      <c r="W356" s="20">
        <f>ROUND(W355 + IF(AND(E356=25, F356&lt;&gt;"ASTM A416"), L356, 0), 3)</f>
        <v/>
      </c>
      <c r="X356" s="20">
        <f>ROUND(X355 + IF(AND(E356=28, F356&lt;&gt;"ASTM A416"), L356, 0), 3)</f>
        <v/>
      </c>
      <c r="Y356" s="20">
        <f>ROUND(Y355 + IF(AND(E356=32, F356&lt;&gt;"ASTM A416"), L356, 0), 3)</f>
        <v/>
      </c>
      <c r="Z356" s="20">
        <f>ROUND(Z355 + IF(F356="ASTM A416", L356, 0), 3)</f>
        <v/>
      </c>
      <c r="AA356" s="11">
        <f>IF(INT(P356/20)&gt;INT(P355/20), "Lần " &amp; INT(P356/20), "")</f>
        <v/>
      </c>
      <c r="AB356" s="11">
        <f>IF(INT(Q356/20)&gt;INT(Q355/20), "Lần " &amp; INT(Q356/20), "")</f>
        <v/>
      </c>
      <c r="AC356" s="11">
        <f>IF(INT(R356/20)&gt;INT(R355/20), "Lần " &amp; INT(R356/20), "")</f>
        <v/>
      </c>
      <c r="AD356" s="11">
        <f>IF(INT(S356/20)&gt;INT(S355/20), "Lần " &amp; INT(S356/20), "")</f>
        <v/>
      </c>
      <c r="AE356" s="11">
        <f>IF(INT(T356/20)&gt;INT(T355/20), "Lần " &amp; INT(T356/20), "")</f>
        <v/>
      </c>
      <c r="AF356" s="11">
        <f>IF(INT(U356/20)&gt;INT(U355/20), "Lần " &amp; INT(U356/20), "")</f>
        <v/>
      </c>
      <c r="AG356" s="11">
        <f>IF(INT(V356/20)&gt;INT(V355/20), "Lần " &amp; INT(V356/20), "")</f>
        <v/>
      </c>
      <c r="AH356" s="11">
        <f>IF(INT(W356/20)&gt;INT(W355/20), "Lần " &amp; INT(W356/20), "")</f>
        <v/>
      </c>
      <c r="AI356" s="11">
        <f>IF(INT(X356/20)&gt;INT(X355/20), "Lần " &amp; INT(X356/20), "")</f>
        <v/>
      </c>
      <c r="AJ356" s="11">
        <f>IF(INT(Y356/20)&gt;INT(Y355/20), "Lần " &amp; INT(Y356/20), "")</f>
        <v/>
      </c>
      <c r="AK356" s="11">
        <f>IF(INT(Z356/20)&gt;INT(Z355/20), "Lần " &amp; INT(Z356/20), "")</f>
        <v/>
      </c>
      <c r="AL356" s="6" t="inlineStr">
        <is>
          <t>ĐẠT TCVN 1651:2018</t>
        </is>
      </c>
    </row>
    <row r="357" ht="19" customHeight="1">
      <c r="A357" s="6" t="n">
        <v>332</v>
      </c>
      <c r="B357" s="7" t="inlineStr">
        <is>
          <t>Cọc khoan nhồi C3 Mố M2 (D1.2m, L=36.0m)</t>
        </is>
      </c>
      <c r="C357" s="7" t="inlineStr">
        <is>
          <t>Thanh thép treo lồng cọc</t>
        </is>
      </c>
      <c r="D357" s="18" t="inlineStr">
        <is>
          <t>P11</t>
        </is>
      </c>
      <c r="E357" s="19" t="n">
        <v>16</v>
      </c>
      <c r="F357" s="6" t="inlineStr">
        <is>
          <t>CB400-V</t>
        </is>
      </c>
      <c r="G357" s="7" t="inlineStr">
        <is>
          <t>Thanh treo lồng (bảng phụ tr.66)</t>
        </is>
      </c>
      <c r="H357" s="20" t="n">
        <v>2.484</v>
      </c>
      <c r="I357" s="21" t="n">
        <v>4</v>
      </c>
      <c r="J357" s="22" t="n">
        <v>1.58</v>
      </c>
      <c r="K357" s="9">
        <f>ROUND(H357*I357*J357, 2)</f>
        <v/>
      </c>
      <c r="L357" s="23">
        <f>ROUND(K357/1000, 3)</f>
        <v/>
      </c>
      <c r="M357" s="8" t="n"/>
      <c r="N357" s="6" t="n"/>
      <c r="O357" s="24">
        <f>IF(AND(E357&lt;=10, F357&lt;&gt;"ASTM A416", INT(P357/20)&gt;INT(P356/20)), "TN Ø10 (Lần " &amp; INT(P357/20) &amp; ")", IF(AND(E357=12, INT(Q357/20)&gt;INT(Q356/20)), "TN Ø12 (Lần " &amp; INT(Q357/20) &amp; ")", IF(AND(E357=14, INT(R357/20)&gt;INT(R356/20)), "TN Ø14 (Lần " &amp; INT(R357/20) &amp; ")", IF(AND(E357=16, INT(S357/20)&gt;INT(S356/20)), "TN Ø16 (Lần " &amp; INT(S357/20) &amp; ")", IF(AND(E357=18, INT(T357/20)&gt;INT(T356/20)), "TN Ø18 (Lần " &amp; INT(T357/20) &amp; ")", IF(AND(E357=20, INT(U357/20)&gt;INT(U356/20)), "TN Ø20 (Lần " &amp; INT(U357/20) &amp; ")", IF(AND(E357=22, INT(V357/20)&gt;INT(V356/20)), "TN Ø22 (Lần " &amp; INT(V357/20) &amp; ")", IF(AND(E357=25, INT(W357/20)&gt;INT(W356/20)), "TN Ø25 (Lần " &amp; INT(W357/20) &amp; ")", IF(AND(E357=28, INT(X357/20)&gt;INT(X356/20)), "TN Ø28 (Lần " &amp; INT(X357/20) &amp; ")", IF(AND(E357=32, INT(Y357/20)&gt;INT(Y356/20)), "TN Ø32 (Lần " &amp; INT(Y357/20) &amp; ")", IF(AND(F357="ASTM A416", INT(Z357/20)&gt;INT(Z356/20)), "TN Cáp 15.2 (Lần " &amp; INT(Z357/20) &amp; ")", "")))))))))))</f>
        <v/>
      </c>
      <c r="P357" s="20">
        <f>ROUND(P356 + IF(AND(E357&lt;=10, F357&lt;&gt;"ASTM A416"), L357, 0), 3)</f>
        <v/>
      </c>
      <c r="Q357" s="20">
        <f>ROUND(Q356 + IF(AND(E357=12, F357&lt;&gt;"ASTM A416"), L357, 0), 3)</f>
        <v/>
      </c>
      <c r="R357" s="20">
        <f>ROUND(R356 + IF(AND(E357=14, F357&lt;&gt;"ASTM A416"), L357, 0), 3)</f>
        <v/>
      </c>
      <c r="S357" s="20">
        <f>ROUND(S356 + IF(AND(E357=16, F357&lt;&gt;"ASTM A416"), L357, 0), 3)</f>
        <v/>
      </c>
      <c r="T357" s="20">
        <f>ROUND(T356 + IF(AND(E357=18, F357&lt;&gt;"ASTM A416"), L357, 0), 3)</f>
        <v/>
      </c>
      <c r="U357" s="20">
        <f>ROUND(U356 + IF(AND(E357=20, F357&lt;&gt;"ASTM A416"), L357, 0), 3)</f>
        <v/>
      </c>
      <c r="V357" s="20">
        <f>ROUND(V356 + IF(AND(E357=22, F357&lt;&gt;"ASTM A416"), L357, 0), 3)</f>
        <v/>
      </c>
      <c r="W357" s="20">
        <f>ROUND(W356 + IF(AND(E357=25, F357&lt;&gt;"ASTM A416"), L357, 0), 3)</f>
        <v/>
      </c>
      <c r="X357" s="20">
        <f>ROUND(X356 + IF(AND(E357=28, F357&lt;&gt;"ASTM A416"), L357, 0), 3)</f>
        <v/>
      </c>
      <c r="Y357" s="20">
        <f>ROUND(Y356 + IF(AND(E357=32, F357&lt;&gt;"ASTM A416"), L357, 0), 3)</f>
        <v/>
      </c>
      <c r="Z357" s="20">
        <f>ROUND(Z356 + IF(F357="ASTM A416", L357, 0), 3)</f>
        <v/>
      </c>
      <c r="AA357" s="11">
        <f>IF(INT(P357/20)&gt;INT(P356/20), "Lần " &amp; INT(P357/20), "")</f>
        <v/>
      </c>
      <c r="AB357" s="11">
        <f>IF(INT(Q357/20)&gt;INT(Q356/20), "Lần " &amp; INT(Q357/20), "")</f>
        <v/>
      </c>
      <c r="AC357" s="11">
        <f>IF(INT(R357/20)&gt;INT(R356/20), "Lần " &amp; INT(R357/20), "")</f>
        <v/>
      </c>
      <c r="AD357" s="11">
        <f>IF(INT(S357/20)&gt;INT(S356/20), "Lần " &amp; INT(S357/20), "")</f>
        <v/>
      </c>
      <c r="AE357" s="11">
        <f>IF(INT(T357/20)&gt;INT(T356/20), "Lần " &amp; INT(T357/20), "")</f>
        <v/>
      </c>
      <c r="AF357" s="11">
        <f>IF(INT(U357/20)&gt;INT(U356/20), "Lần " &amp; INT(U357/20), "")</f>
        <v/>
      </c>
      <c r="AG357" s="11">
        <f>IF(INT(V357/20)&gt;INT(V356/20), "Lần " &amp; INT(V357/20), "")</f>
        <v/>
      </c>
      <c r="AH357" s="11">
        <f>IF(INT(W357/20)&gt;INT(W356/20), "Lần " &amp; INT(W357/20), "")</f>
        <v/>
      </c>
      <c r="AI357" s="11">
        <f>IF(INT(X357/20)&gt;INT(X356/20), "Lần " &amp; INT(X357/20), "")</f>
        <v/>
      </c>
      <c r="AJ357" s="11">
        <f>IF(INT(Y357/20)&gt;INT(Y356/20), "Lần " &amp; INT(Y357/20), "")</f>
        <v/>
      </c>
      <c r="AK357" s="11">
        <f>IF(INT(Z357/20)&gt;INT(Z356/20), "Lần " &amp; INT(Z357/20), "")</f>
        <v/>
      </c>
      <c r="AL357" s="6" t="inlineStr">
        <is>
          <t>ĐẠT TCVN 1651:2018</t>
        </is>
      </c>
    </row>
    <row r="358" ht="19" customHeight="1">
      <c r="A358" s="6" t="n">
        <v>333</v>
      </c>
      <c r="B358" s="7" t="inlineStr">
        <is>
          <t>Cọc khoan nhồi C3 Mố M2 (D1.2m, L=36.0m)</t>
        </is>
      </c>
      <c r="C358" s="7" t="inlineStr">
        <is>
          <t>Thép đai xoắn lồng cọc</t>
        </is>
      </c>
      <c r="D358" s="18" t="inlineStr">
        <is>
          <t>P12</t>
        </is>
      </c>
      <c r="E358" s="19" t="n">
        <v>20</v>
      </c>
      <c r="F358" s="6" t="inlineStr">
        <is>
          <t>CB400-V</t>
        </is>
      </c>
      <c r="G358" s="7" t="inlineStr">
        <is>
          <t>Đai xoắn tròn</t>
        </is>
      </c>
      <c r="H358" s="20" t="n">
        <v>0.583</v>
      </c>
      <c r="I358" s="21" t="n">
        <v>60</v>
      </c>
      <c r="J358" s="22" t="n">
        <v>2.47</v>
      </c>
      <c r="K358" s="9">
        <f>ROUND(H358*I358*J358, 2)</f>
        <v/>
      </c>
      <c r="L358" s="23">
        <f>ROUND(K358/1000, 3)</f>
        <v/>
      </c>
      <c r="M358" s="8" t="n"/>
      <c r="N358" s="6" t="n"/>
      <c r="O358" s="24">
        <f>IF(AND(E358&lt;=10, F358&lt;&gt;"ASTM A416", INT(P358/20)&gt;INT(P357/20)), "TN Ø10 (Lần " &amp; INT(P358/20) &amp; ")", IF(AND(E358=12, INT(Q358/20)&gt;INT(Q357/20)), "TN Ø12 (Lần " &amp; INT(Q358/20) &amp; ")", IF(AND(E358=14, INT(R358/20)&gt;INT(R357/20)), "TN Ø14 (Lần " &amp; INT(R358/20) &amp; ")", IF(AND(E358=16, INT(S358/20)&gt;INT(S357/20)), "TN Ø16 (Lần " &amp; INT(S358/20) &amp; ")", IF(AND(E358=18, INT(T358/20)&gt;INT(T357/20)), "TN Ø18 (Lần " &amp; INT(T358/20) &amp; ")", IF(AND(E358=20, INT(U358/20)&gt;INT(U357/20)), "TN Ø20 (Lần " &amp; INT(U358/20) &amp; ")", IF(AND(E358=22, INT(V358/20)&gt;INT(V357/20)), "TN Ø22 (Lần " &amp; INT(V358/20) &amp; ")", IF(AND(E358=25, INT(W358/20)&gt;INT(W357/20)), "TN Ø25 (Lần " &amp; INT(W358/20) &amp; ")", IF(AND(E358=28, INT(X358/20)&gt;INT(X357/20)), "TN Ø28 (Lần " &amp; INT(X358/20) &amp; ")", IF(AND(E358=32, INT(Y358/20)&gt;INT(Y357/20)), "TN Ø32 (Lần " &amp; INT(Y358/20) &amp; ")", IF(AND(F358="ASTM A416", INT(Z358/20)&gt;INT(Z357/20)), "TN Cáp 15.2 (Lần " &amp; INT(Z358/20) &amp; ")", "")))))))))))</f>
        <v/>
      </c>
      <c r="P358" s="20">
        <f>ROUND(P357 + IF(AND(E358&lt;=10, F358&lt;&gt;"ASTM A416"), L358, 0), 3)</f>
        <v/>
      </c>
      <c r="Q358" s="20">
        <f>ROUND(Q357 + IF(AND(E358=12, F358&lt;&gt;"ASTM A416"), L358, 0), 3)</f>
        <v/>
      </c>
      <c r="R358" s="20">
        <f>ROUND(R357 + IF(AND(E358=14, F358&lt;&gt;"ASTM A416"), L358, 0), 3)</f>
        <v/>
      </c>
      <c r="S358" s="20">
        <f>ROUND(S357 + IF(AND(E358=16, F358&lt;&gt;"ASTM A416"), L358, 0), 3)</f>
        <v/>
      </c>
      <c r="T358" s="20">
        <f>ROUND(T357 + IF(AND(E358=18, F358&lt;&gt;"ASTM A416"), L358, 0), 3)</f>
        <v/>
      </c>
      <c r="U358" s="20">
        <f>ROUND(U357 + IF(AND(E358=20, F358&lt;&gt;"ASTM A416"), L358, 0), 3)</f>
        <v/>
      </c>
      <c r="V358" s="20">
        <f>ROUND(V357 + IF(AND(E358=22, F358&lt;&gt;"ASTM A416"), L358, 0), 3)</f>
        <v/>
      </c>
      <c r="W358" s="20">
        <f>ROUND(W357 + IF(AND(E358=25, F358&lt;&gt;"ASTM A416"), L358, 0), 3)</f>
        <v/>
      </c>
      <c r="X358" s="20">
        <f>ROUND(X357 + IF(AND(E358=28, F358&lt;&gt;"ASTM A416"), L358, 0), 3)</f>
        <v/>
      </c>
      <c r="Y358" s="20">
        <f>ROUND(Y357 + IF(AND(E358=32, F358&lt;&gt;"ASTM A416"), L358, 0), 3)</f>
        <v/>
      </c>
      <c r="Z358" s="20">
        <f>ROUND(Z357 + IF(F358="ASTM A416", L358, 0), 3)</f>
        <v/>
      </c>
      <c r="AA358" s="11">
        <f>IF(INT(P358/20)&gt;INT(P357/20), "Lần " &amp; INT(P358/20), "")</f>
        <v/>
      </c>
      <c r="AB358" s="11">
        <f>IF(INT(Q358/20)&gt;INT(Q357/20), "Lần " &amp; INT(Q358/20), "")</f>
        <v/>
      </c>
      <c r="AC358" s="11">
        <f>IF(INT(R358/20)&gt;INT(R357/20), "Lần " &amp; INT(R358/20), "")</f>
        <v/>
      </c>
      <c r="AD358" s="11">
        <f>IF(INT(S358/20)&gt;INT(S357/20), "Lần " &amp; INT(S358/20), "")</f>
        <v/>
      </c>
      <c r="AE358" s="11">
        <f>IF(INT(T358/20)&gt;INT(T357/20), "Lần " &amp; INT(T358/20), "")</f>
        <v/>
      </c>
      <c r="AF358" s="11">
        <f>IF(INT(U358/20)&gt;INT(U357/20), "Lần " &amp; INT(U358/20), "")</f>
        <v/>
      </c>
      <c r="AG358" s="11">
        <f>IF(INT(V358/20)&gt;INT(V357/20), "Lần " &amp; INT(V358/20), "")</f>
        <v/>
      </c>
      <c r="AH358" s="11">
        <f>IF(INT(W358/20)&gt;INT(W357/20), "Lần " &amp; INT(W358/20), "")</f>
        <v/>
      </c>
      <c r="AI358" s="11">
        <f>IF(INT(X358/20)&gt;INT(X357/20), "Lần " &amp; INT(X358/20), "")</f>
        <v/>
      </c>
      <c r="AJ358" s="11">
        <f>IF(INT(Y358/20)&gt;INT(Y357/20), "Lần " &amp; INT(Y358/20), "")</f>
        <v/>
      </c>
      <c r="AK358" s="11">
        <f>IF(INT(Z358/20)&gt;INT(Z357/20), "Lần " &amp; INT(Z358/20), "")</f>
        <v/>
      </c>
      <c r="AL358" s="6" t="inlineStr">
        <is>
          <t>ĐẠT TCVN 1651:2018</t>
        </is>
      </c>
    </row>
    <row r="359" ht="20" customHeight="1">
      <c r="A359" s="17" t="inlineStr">
        <is>
          <t>--- CỌC KHOAN NHỒI C4 MỐ M2 (D1.2M, L=36.0M) ---</t>
        </is>
      </c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5" t="n"/>
      <c r="AE359" s="5" t="n"/>
      <c r="AF359" s="5" t="n"/>
      <c r="AG359" s="5" t="n"/>
      <c r="AH359" s="5" t="n"/>
      <c r="AI359" s="5" t="n"/>
      <c r="AJ359" s="5" t="n"/>
      <c r="AK359" s="5" t="n"/>
      <c r="AL359" s="5" t="n"/>
    </row>
    <row r="360" ht="19" customHeight="1">
      <c r="A360" s="6" t="n">
        <v>334</v>
      </c>
      <c r="B360" s="7" t="inlineStr">
        <is>
          <t>Cọc khoan nhồi C4 Mố M2 (D1.2m, L=36.0m)</t>
        </is>
      </c>
      <c r="C360" s="7" t="inlineStr">
        <is>
          <t>Thép đai xoắn lồng cọc</t>
        </is>
      </c>
      <c r="D360" s="18" t="inlineStr">
        <is>
          <t>P1</t>
        </is>
      </c>
      <c r="E360" s="19" t="n">
        <v>10</v>
      </c>
      <c r="F360" s="6" t="inlineStr">
        <is>
          <t>CB240-T</t>
        </is>
      </c>
      <c r="G360" s="7" t="inlineStr">
        <is>
          <t>Đai xoắn tròn</t>
        </is>
      </c>
      <c r="H360" s="20" t="n">
        <v>96.887</v>
      </c>
      <c r="I360" s="21" t="n">
        <v>1</v>
      </c>
      <c r="J360" s="22" t="n">
        <v>0.617</v>
      </c>
      <c r="K360" s="9">
        <f>ROUND(H360*I360*J360, 2)</f>
        <v/>
      </c>
      <c r="L360" s="23">
        <f>ROUND(K360/1000, 3)</f>
        <v/>
      </c>
      <c r="M360" s="8" t="n"/>
      <c r="N360" s="6" t="n"/>
      <c r="O360" s="24">
        <f>IF(AND(E360&lt;=10, F360&lt;&gt;"ASTM A416", INT(P360/20)&gt;INT(P358/20)), "TN Ø10 (Lần " &amp; INT(P360/20) &amp; ")", IF(AND(E360=12, INT(Q360/20)&gt;INT(Q358/20)), "TN Ø12 (Lần " &amp; INT(Q360/20) &amp; ")", IF(AND(E360=14, INT(R360/20)&gt;INT(R358/20)), "TN Ø14 (Lần " &amp; INT(R360/20) &amp; ")", IF(AND(E360=16, INT(S360/20)&gt;INT(S358/20)), "TN Ø16 (Lần " &amp; INT(S360/20) &amp; ")", IF(AND(E360=18, INT(T360/20)&gt;INT(T358/20)), "TN Ø18 (Lần " &amp; INT(T360/20) &amp; ")", IF(AND(E360=20, INT(U360/20)&gt;INT(U358/20)), "TN Ø20 (Lần " &amp; INT(U360/20) &amp; ")", IF(AND(E360=22, INT(V360/20)&gt;INT(V358/20)), "TN Ø22 (Lần " &amp; INT(V360/20) &amp; ")", IF(AND(E360=25, INT(W360/20)&gt;INT(W358/20)), "TN Ø25 (Lần " &amp; INT(W360/20) &amp; ")", IF(AND(E360=28, INT(X360/20)&gt;INT(X358/20)), "TN Ø28 (Lần " &amp; INT(X360/20) &amp; ")", IF(AND(E360=32, INT(Y360/20)&gt;INT(Y358/20)), "TN Ø32 (Lần " &amp; INT(Y360/20) &amp; ")", IF(AND(F360="ASTM A416", INT(Z360/20)&gt;INT(Z358/20)), "TN Cáp 15.2 (Lần " &amp; INT(Z360/20) &amp; ")", "")))))))))))</f>
        <v/>
      </c>
      <c r="P360" s="20">
        <f>ROUND(P358 + IF(AND(E360&lt;=10, F360&lt;&gt;"ASTM A416"), L360, 0), 3)</f>
        <v/>
      </c>
      <c r="Q360" s="20">
        <f>ROUND(Q358 + IF(AND(E360=12, F360&lt;&gt;"ASTM A416"), L360, 0), 3)</f>
        <v/>
      </c>
      <c r="R360" s="20">
        <f>ROUND(R358 + IF(AND(E360=14, F360&lt;&gt;"ASTM A416"), L360, 0), 3)</f>
        <v/>
      </c>
      <c r="S360" s="20">
        <f>ROUND(S358 + IF(AND(E360=16, F360&lt;&gt;"ASTM A416"), L360, 0), 3)</f>
        <v/>
      </c>
      <c r="T360" s="20">
        <f>ROUND(T358 + IF(AND(E360=18, F360&lt;&gt;"ASTM A416"), L360, 0), 3)</f>
        <v/>
      </c>
      <c r="U360" s="20">
        <f>ROUND(U358 + IF(AND(E360=20, F360&lt;&gt;"ASTM A416"), L360, 0), 3)</f>
        <v/>
      </c>
      <c r="V360" s="20">
        <f>ROUND(V358 + IF(AND(E360=22, F360&lt;&gt;"ASTM A416"), L360, 0), 3)</f>
        <v/>
      </c>
      <c r="W360" s="20">
        <f>ROUND(W358 + IF(AND(E360=25, F360&lt;&gt;"ASTM A416"), L360, 0), 3)</f>
        <v/>
      </c>
      <c r="X360" s="20">
        <f>ROUND(X358 + IF(AND(E360=28, F360&lt;&gt;"ASTM A416"), L360, 0), 3)</f>
        <v/>
      </c>
      <c r="Y360" s="20">
        <f>ROUND(Y358 + IF(AND(E360=32, F360&lt;&gt;"ASTM A416"), L360, 0), 3)</f>
        <v/>
      </c>
      <c r="Z360" s="20">
        <f>ROUND(Z358 + IF(F360="ASTM A416", L360, 0), 3)</f>
        <v/>
      </c>
      <c r="AA360" s="11">
        <f>IF(INT(P360/20)&gt;INT(P358/20), "Lần " &amp; INT(P360/20), "")</f>
        <v/>
      </c>
      <c r="AB360" s="11">
        <f>IF(INT(Q360/20)&gt;INT(Q358/20), "Lần " &amp; INT(Q360/20), "")</f>
        <v/>
      </c>
      <c r="AC360" s="11">
        <f>IF(INT(R360/20)&gt;INT(R358/20), "Lần " &amp; INT(R360/20), "")</f>
        <v/>
      </c>
      <c r="AD360" s="11">
        <f>IF(INT(S360/20)&gt;INT(S358/20), "Lần " &amp; INT(S360/20), "")</f>
        <v/>
      </c>
      <c r="AE360" s="11">
        <f>IF(INT(T360/20)&gt;INT(T358/20), "Lần " &amp; INT(T360/20), "")</f>
        <v/>
      </c>
      <c r="AF360" s="11">
        <f>IF(INT(U360/20)&gt;INT(U358/20), "Lần " &amp; INT(U360/20), "")</f>
        <v/>
      </c>
      <c r="AG360" s="11">
        <f>IF(INT(V360/20)&gt;INT(V358/20), "Lần " &amp; INT(V360/20), "")</f>
        <v/>
      </c>
      <c r="AH360" s="11">
        <f>IF(INT(W360/20)&gt;INT(W358/20), "Lần " &amp; INT(W360/20), "")</f>
        <v/>
      </c>
      <c r="AI360" s="11">
        <f>IF(INT(X360/20)&gt;INT(X358/20), "Lần " &amp; INT(X360/20), "")</f>
        <v/>
      </c>
      <c r="AJ360" s="11">
        <f>IF(INT(Y360/20)&gt;INT(Y358/20), "Lần " &amp; INT(Y360/20), "")</f>
        <v/>
      </c>
      <c r="AK360" s="11">
        <f>IF(INT(Z360/20)&gt;INT(Z358/20), "Lần " &amp; INT(Z360/20), "")</f>
        <v/>
      </c>
      <c r="AL360" s="6" t="inlineStr">
        <is>
          <t>ĐẠT TCVN 1651:2018</t>
        </is>
      </c>
    </row>
    <row r="361" ht="19" customHeight="1">
      <c r="A361" s="6" t="n">
        <v>335</v>
      </c>
      <c r="B361" s="7" t="inlineStr">
        <is>
          <t>Cọc khoan nhồi C4 Mố M2 (D1.2m, L=36.0m)</t>
        </is>
      </c>
      <c r="C361" s="7" t="inlineStr">
        <is>
          <t>Thép đai xoắn lồng cọc</t>
        </is>
      </c>
      <c r="D361" s="18" t="inlineStr">
        <is>
          <t>P1A</t>
        </is>
      </c>
      <c r="E361" s="19" t="n">
        <v>10</v>
      </c>
      <c r="F361" s="6" t="inlineStr">
        <is>
          <t>CB240-T</t>
        </is>
      </c>
      <c r="G361" s="7" t="inlineStr">
        <is>
          <t>Đai xoắn tròn</t>
        </is>
      </c>
      <c r="H361" s="20" t="n">
        <v>390.776</v>
      </c>
      <c r="I361" s="21" t="n">
        <v>1</v>
      </c>
      <c r="J361" s="22" t="n">
        <v>0.617</v>
      </c>
      <c r="K361" s="9">
        <f>ROUND(H361*I361*J361, 2)</f>
        <v/>
      </c>
      <c r="L361" s="23">
        <f>ROUND(K361/1000, 3)</f>
        <v/>
      </c>
      <c r="M361" s="8" t="n"/>
      <c r="N361" s="6" t="n"/>
      <c r="O361" s="24">
        <f>IF(AND(E361&lt;=10, F361&lt;&gt;"ASTM A416", INT(P361/20)&gt;INT(P360/20)), "TN Ø10 (Lần " &amp; INT(P361/20) &amp; ")", IF(AND(E361=12, INT(Q361/20)&gt;INT(Q360/20)), "TN Ø12 (Lần " &amp; INT(Q361/20) &amp; ")", IF(AND(E361=14, INT(R361/20)&gt;INT(R360/20)), "TN Ø14 (Lần " &amp; INT(R361/20) &amp; ")", IF(AND(E361=16, INT(S361/20)&gt;INT(S360/20)), "TN Ø16 (Lần " &amp; INT(S361/20) &amp; ")", IF(AND(E361=18, INT(T361/20)&gt;INT(T360/20)), "TN Ø18 (Lần " &amp; INT(T361/20) &amp; ")", IF(AND(E361=20, INT(U361/20)&gt;INT(U360/20)), "TN Ø20 (Lần " &amp; INT(U361/20) &amp; ")", IF(AND(E361=22, INT(V361/20)&gt;INT(V360/20)), "TN Ø22 (Lần " &amp; INT(V361/20) &amp; ")", IF(AND(E361=25, INT(W361/20)&gt;INT(W360/20)), "TN Ø25 (Lần " &amp; INT(W361/20) &amp; ")", IF(AND(E361=28, INT(X361/20)&gt;INT(X360/20)), "TN Ø28 (Lần " &amp; INT(X361/20) &amp; ")", IF(AND(E361=32, INT(Y361/20)&gt;INT(Y360/20)), "TN Ø32 (Lần " &amp; INT(Y361/20) &amp; ")", IF(AND(F361="ASTM A416", INT(Z361/20)&gt;INT(Z360/20)), "TN Cáp 15.2 (Lần " &amp; INT(Z361/20) &amp; ")", "")))))))))))</f>
        <v/>
      </c>
      <c r="P361" s="20">
        <f>ROUND(P360 + IF(AND(E361&lt;=10, F361&lt;&gt;"ASTM A416"), L361, 0), 3)</f>
        <v/>
      </c>
      <c r="Q361" s="20">
        <f>ROUND(Q360 + IF(AND(E361=12, F361&lt;&gt;"ASTM A416"), L361, 0), 3)</f>
        <v/>
      </c>
      <c r="R361" s="20">
        <f>ROUND(R360 + IF(AND(E361=14, F361&lt;&gt;"ASTM A416"), L361, 0), 3)</f>
        <v/>
      </c>
      <c r="S361" s="20">
        <f>ROUND(S360 + IF(AND(E361=16, F361&lt;&gt;"ASTM A416"), L361, 0), 3)</f>
        <v/>
      </c>
      <c r="T361" s="20">
        <f>ROUND(T360 + IF(AND(E361=18, F361&lt;&gt;"ASTM A416"), L361, 0), 3)</f>
        <v/>
      </c>
      <c r="U361" s="20">
        <f>ROUND(U360 + IF(AND(E361=20, F361&lt;&gt;"ASTM A416"), L361, 0), 3)</f>
        <v/>
      </c>
      <c r="V361" s="20">
        <f>ROUND(V360 + IF(AND(E361=22, F361&lt;&gt;"ASTM A416"), L361, 0), 3)</f>
        <v/>
      </c>
      <c r="W361" s="20">
        <f>ROUND(W360 + IF(AND(E361=25, F361&lt;&gt;"ASTM A416"), L361, 0), 3)</f>
        <v/>
      </c>
      <c r="X361" s="20">
        <f>ROUND(X360 + IF(AND(E361=28, F361&lt;&gt;"ASTM A416"), L361, 0), 3)</f>
        <v/>
      </c>
      <c r="Y361" s="20">
        <f>ROUND(Y360 + IF(AND(E361=32, F361&lt;&gt;"ASTM A416"), L361, 0), 3)</f>
        <v/>
      </c>
      <c r="Z361" s="20">
        <f>ROUND(Z360 + IF(F361="ASTM A416", L361, 0), 3)</f>
        <v/>
      </c>
      <c r="AA361" s="11">
        <f>IF(INT(P361/20)&gt;INT(P360/20), "Lần " &amp; INT(P361/20), "")</f>
        <v/>
      </c>
      <c r="AB361" s="11">
        <f>IF(INT(Q361/20)&gt;INT(Q360/20), "Lần " &amp; INT(Q361/20), "")</f>
        <v/>
      </c>
      <c r="AC361" s="11">
        <f>IF(INT(R361/20)&gt;INT(R360/20), "Lần " &amp; INT(R361/20), "")</f>
        <v/>
      </c>
      <c r="AD361" s="11">
        <f>IF(INT(S361/20)&gt;INT(S360/20), "Lần " &amp; INT(S361/20), "")</f>
        <v/>
      </c>
      <c r="AE361" s="11">
        <f>IF(INT(T361/20)&gt;INT(T360/20), "Lần " &amp; INT(T361/20), "")</f>
        <v/>
      </c>
      <c r="AF361" s="11">
        <f>IF(INT(U361/20)&gt;INT(U360/20), "Lần " &amp; INT(U361/20), "")</f>
        <v/>
      </c>
      <c r="AG361" s="11">
        <f>IF(INT(V361/20)&gt;INT(V360/20), "Lần " &amp; INT(V361/20), "")</f>
        <v/>
      </c>
      <c r="AH361" s="11">
        <f>IF(INT(W361/20)&gt;INT(W360/20), "Lần " &amp; INT(W361/20), "")</f>
        <v/>
      </c>
      <c r="AI361" s="11">
        <f>IF(INT(X361/20)&gt;INT(X360/20), "Lần " &amp; INT(X361/20), "")</f>
        <v/>
      </c>
      <c r="AJ361" s="11">
        <f>IF(INT(Y361/20)&gt;INT(Y360/20), "Lần " &amp; INT(Y361/20), "")</f>
        <v/>
      </c>
      <c r="AK361" s="11">
        <f>IF(INT(Z361/20)&gt;INT(Z360/20), "Lần " &amp; INT(Z361/20), "")</f>
        <v/>
      </c>
      <c r="AL361" s="6" t="inlineStr">
        <is>
          <t>ĐẠT TCVN 1651:2018</t>
        </is>
      </c>
    </row>
    <row r="362" ht="19" customHeight="1">
      <c r="A362" s="6" t="n">
        <v>336</v>
      </c>
      <c r="B362" s="7" t="inlineStr">
        <is>
          <t>Cọc khoan nhồi C4 Mố M2 (D1.2m, L=36.0m)</t>
        </is>
      </c>
      <c r="C362" s="7" t="inlineStr">
        <is>
          <t>Thép đai xoắn lồng cọc</t>
        </is>
      </c>
      <c r="D362" s="18" t="inlineStr">
        <is>
          <t>P1B</t>
        </is>
      </c>
      <c r="E362" s="19" t="n">
        <v>10</v>
      </c>
      <c r="F362" s="6" t="inlineStr">
        <is>
          <t>CB240-T</t>
        </is>
      </c>
      <c r="G362" s="7" t="inlineStr">
        <is>
          <t>Đai xoắn tròn</t>
        </is>
      </c>
      <c r="H362" s="20" t="n">
        <v>164.938</v>
      </c>
      <c r="I362" s="21" t="n">
        <v>1</v>
      </c>
      <c r="J362" s="22" t="n">
        <v>0.617</v>
      </c>
      <c r="K362" s="9">
        <f>ROUND(H362*I362*J362, 2)</f>
        <v/>
      </c>
      <c r="L362" s="23">
        <f>ROUND(K362/1000, 3)</f>
        <v/>
      </c>
      <c r="M362" s="8" t="n"/>
      <c r="N362" s="6" t="n"/>
      <c r="O362" s="24">
        <f>IF(AND(E362&lt;=10, F362&lt;&gt;"ASTM A416", INT(P362/20)&gt;INT(P361/20)), "TN Ø10 (Lần " &amp; INT(P362/20) &amp; ")", IF(AND(E362=12, INT(Q362/20)&gt;INT(Q361/20)), "TN Ø12 (Lần " &amp; INT(Q362/20) &amp; ")", IF(AND(E362=14, INT(R362/20)&gt;INT(R361/20)), "TN Ø14 (Lần " &amp; INT(R362/20) &amp; ")", IF(AND(E362=16, INT(S362/20)&gt;INT(S361/20)), "TN Ø16 (Lần " &amp; INT(S362/20) &amp; ")", IF(AND(E362=18, INT(T362/20)&gt;INT(T361/20)), "TN Ø18 (Lần " &amp; INT(T362/20) &amp; ")", IF(AND(E362=20, INT(U362/20)&gt;INT(U361/20)), "TN Ø20 (Lần " &amp; INT(U362/20) &amp; ")", IF(AND(E362=22, INT(V362/20)&gt;INT(V361/20)), "TN Ø22 (Lần " &amp; INT(V362/20) &amp; ")", IF(AND(E362=25, INT(W362/20)&gt;INT(W361/20)), "TN Ø25 (Lần " &amp; INT(W362/20) &amp; ")", IF(AND(E362=28, INT(X362/20)&gt;INT(X361/20)), "TN Ø28 (Lần " &amp; INT(X362/20) &amp; ")", IF(AND(E362=32, INT(Y362/20)&gt;INT(Y361/20)), "TN Ø32 (Lần " &amp; INT(Y362/20) &amp; ")", IF(AND(F362="ASTM A416", INT(Z362/20)&gt;INT(Z361/20)), "TN Cáp 15.2 (Lần " &amp; INT(Z362/20) &amp; ")", "")))))))))))</f>
        <v/>
      </c>
      <c r="P362" s="20">
        <f>ROUND(P361 + IF(AND(E362&lt;=10, F362&lt;&gt;"ASTM A416"), L362, 0), 3)</f>
        <v/>
      </c>
      <c r="Q362" s="20">
        <f>ROUND(Q361 + IF(AND(E362=12, F362&lt;&gt;"ASTM A416"), L362, 0), 3)</f>
        <v/>
      </c>
      <c r="R362" s="20">
        <f>ROUND(R361 + IF(AND(E362=14, F362&lt;&gt;"ASTM A416"), L362, 0), 3)</f>
        <v/>
      </c>
      <c r="S362" s="20">
        <f>ROUND(S361 + IF(AND(E362=16, F362&lt;&gt;"ASTM A416"), L362, 0), 3)</f>
        <v/>
      </c>
      <c r="T362" s="20">
        <f>ROUND(T361 + IF(AND(E362=18, F362&lt;&gt;"ASTM A416"), L362, 0), 3)</f>
        <v/>
      </c>
      <c r="U362" s="20">
        <f>ROUND(U361 + IF(AND(E362=20, F362&lt;&gt;"ASTM A416"), L362, 0), 3)</f>
        <v/>
      </c>
      <c r="V362" s="20">
        <f>ROUND(V361 + IF(AND(E362=22, F362&lt;&gt;"ASTM A416"), L362, 0), 3)</f>
        <v/>
      </c>
      <c r="W362" s="20">
        <f>ROUND(W361 + IF(AND(E362=25, F362&lt;&gt;"ASTM A416"), L362, 0), 3)</f>
        <v/>
      </c>
      <c r="X362" s="20">
        <f>ROUND(X361 + IF(AND(E362=28, F362&lt;&gt;"ASTM A416"), L362, 0), 3)</f>
        <v/>
      </c>
      <c r="Y362" s="20">
        <f>ROUND(Y361 + IF(AND(E362=32, F362&lt;&gt;"ASTM A416"), L362, 0), 3)</f>
        <v/>
      </c>
      <c r="Z362" s="20">
        <f>ROUND(Z361 + IF(F362="ASTM A416", L362, 0), 3)</f>
        <v/>
      </c>
      <c r="AA362" s="11">
        <f>IF(INT(P362/20)&gt;INT(P361/20), "Lần " &amp; INT(P362/20), "")</f>
        <v/>
      </c>
      <c r="AB362" s="11">
        <f>IF(INT(Q362/20)&gt;INT(Q361/20), "Lần " &amp; INT(Q362/20), "")</f>
        <v/>
      </c>
      <c r="AC362" s="11">
        <f>IF(INT(R362/20)&gt;INT(R361/20), "Lần " &amp; INT(R362/20), "")</f>
        <v/>
      </c>
      <c r="AD362" s="11">
        <f>IF(INT(S362/20)&gt;INT(S361/20), "Lần " &amp; INT(S362/20), "")</f>
        <v/>
      </c>
      <c r="AE362" s="11">
        <f>IF(INT(T362/20)&gt;INT(T361/20), "Lần " &amp; INT(T362/20), "")</f>
        <v/>
      </c>
      <c r="AF362" s="11">
        <f>IF(INT(U362/20)&gt;INT(U361/20), "Lần " &amp; INT(U362/20), "")</f>
        <v/>
      </c>
      <c r="AG362" s="11">
        <f>IF(INT(V362/20)&gt;INT(V361/20), "Lần " &amp; INT(V362/20), "")</f>
        <v/>
      </c>
      <c r="AH362" s="11">
        <f>IF(INT(W362/20)&gt;INT(W361/20), "Lần " &amp; INT(W362/20), "")</f>
        <v/>
      </c>
      <c r="AI362" s="11">
        <f>IF(INT(X362/20)&gt;INT(X361/20), "Lần " &amp; INT(X362/20), "")</f>
        <v/>
      </c>
      <c r="AJ362" s="11">
        <f>IF(INT(Y362/20)&gt;INT(Y361/20), "Lần " &amp; INT(Y362/20), "")</f>
        <v/>
      </c>
      <c r="AK362" s="11">
        <f>IF(INT(Z362/20)&gt;INT(Z361/20), "Lần " &amp; INT(Z362/20), "")</f>
        <v/>
      </c>
      <c r="AL362" s="6" t="inlineStr">
        <is>
          <t>ĐẠT TCVN 1651:2018</t>
        </is>
      </c>
    </row>
    <row r="363" ht="19" customHeight="1">
      <c r="A363" s="6" t="n">
        <v>337</v>
      </c>
      <c r="B363" s="7" t="inlineStr">
        <is>
          <t>Cọc khoan nhồi C4 Mố M2 (D1.2m, L=36.0m)</t>
        </is>
      </c>
      <c r="C363" s="7" t="inlineStr">
        <is>
          <t>Thép đai xoắn lồng cọc</t>
        </is>
      </c>
      <c r="D363" s="18" t="inlineStr">
        <is>
          <t>P1C</t>
        </is>
      </c>
      <c r="E363" s="19" t="n">
        <v>10</v>
      </c>
      <c r="F363" s="6" t="inlineStr">
        <is>
          <t>CB240-T</t>
        </is>
      </c>
      <c r="G363" s="7" t="inlineStr">
        <is>
          <t>Đai xoắn tròn</t>
        </is>
      </c>
      <c r="H363" s="20" t="n">
        <v>3.592</v>
      </c>
      <c r="I363" s="21" t="n">
        <v>2</v>
      </c>
      <c r="J363" s="22" t="n">
        <v>0.617</v>
      </c>
      <c r="K363" s="9">
        <f>ROUND(H363*I363*J363, 2)</f>
        <v/>
      </c>
      <c r="L363" s="23">
        <f>ROUND(K363/1000, 3)</f>
        <v/>
      </c>
      <c r="M363" s="8" t="n"/>
      <c r="N363" s="6" t="n"/>
      <c r="O363" s="24">
        <f>IF(AND(E363&lt;=10, F363&lt;&gt;"ASTM A416", INT(P363/20)&gt;INT(P362/20)), "TN Ø10 (Lần " &amp; INT(P363/20) &amp; ")", IF(AND(E363=12, INT(Q363/20)&gt;INT(Q362/20)), "TN Ø12 (Lần " &amp; INT(Q363/20) &amp; ")", IF(AND(E363=14, INT(R363/20)&gt;INT(R362/20)), "TN Ø14 (Lần " &amp; INT(R363/20) &amp; ")", IF(AND(E363=16, INT(S363/20)&gt;INT(S362/20)), "TN Ø16 (Lần " &amp; INT(S363/20) &amp; ")", IF(AND(E363=18, INT(T363/20)&gt;INT(T362/20)), "TN Ø18 (Lần " &amp; INT(T363/20) &amp; ")", IF(AND(E363=20, INT(U363/20)&gt;INT(U362/20)), "TN Ø20 (Lần " &amp; INT(U363/20) &amp; ")", IF(AND(E363=22, INT(V363/20)&gt;INT(V362/20)), "TN Ø22 (Lần " &amp; INT(V363/20) &amp; ")", IF(AND(E363=25, INT(W363/20)&gt;INT(W362/20)), "TN Ø25 (Lần " &amp; INT(W363/20) &amp; ")", IF(AND(E363=28, INT(X363/20)&gt;INT(X362/20)), "TN Ø28 (Lần " &amp; INT(X363/20) &amp; ")", IF(AND(E363=32, INT(Y363/20)&gt;INT(Y362/20)), "TN Ø32 (Lần " &amp; INT(Y363/20) &amp; ")", IF(AND(F363="ASTM A416", INT(Z363/20)&gt;INT(Z362/20)), "TN Cáp 15.2 (Lần " &amp; INT(Z363/20) &amp; ")", "")))))))))))</f>
        <v/>
      </c>
      <c r="P363" s="20">
        <f>ROUND(P362 + IF(AND(E363&lt;=10, F363&lt;&gt;"ASTM A416"), L363, 0), 3)</f>
        <v/>
      </c>
      <c r="Q363" s="20">
        <f>ROUND(Q362 + IF(AND(E363=12, F363&lt;&gt;"ASTM A416"), L363, 0), 3)</f>
        <v/>
      </c>
      <c r="R363" s="20">
        <f>ROUND(R362 + IF(AND(E363=14, F363&lt;&gt;"ASTM A416"), L363, 0), 3)</f>
        <v/>
      </c>
      <c r="S363" s="20">
        <f>ROUND(S362 + IF(AND(E363=16, F363&lt;&gt;"ASTM A416"), L363, 0), 3)</f>
        <v/>
      </c>
      <c r="T363" s="20">
        <f>ROUND(T362 + IF(AND(E363=18, F363&lt;&gt;"ASTM A416"), L363, 0), 3)</f>
        <v/>
      </c>
      <c r="U363" s="20">
        <f>ROUND(U362 + IF(AND(E363=20, F363&lt;&gt;"ASTM A416"), L363, 0), 3)</f>
        <v/>
      </c>
      <c r="V363" s="20">
        <f>ROUND(V362 + IF(AND(E363=22, F363&lt;&gt;"ASTM A416"), L363, 0), 3)</f>
        <v/>
      </c>
      <c r="W363" s="20">
        <f>ROUND(W362 + IF(AND(E363=25, F363&lt;&gt;"ASTM A416"), L363, 0), 3)</f>
        <v/>
      </c>
      <c r="X363" s="20">
        <f>ROUND(X362 + IF(AND(E363=28, F363&lt;&gt;"ASTM A416"), L363, 0), 3)</f>
        <v/>
      </c>
      <c r="Y363" s="20">
        <f>ROUND(Y362 + IF(AND(E363=32, F363&lt;&gt;"ASTM A416"), L363, 0), 3)</f>
        <v/>
      </c>
      <c r="Z363" s="20">
        <f>ROUND(Z362 + IF(F363="ASTM A416", L363, 0), 3)</f>
        <v/>
      </c>
      <c r="AA363" s="11">
        <f>IF(INT(P363/20)&gt;INT(P362/20), "Lần " &amp; INT(P363/20), "")</f>
        <v/>
      </c>
      <c r="AB363" s="11">
        <f>IF(INT(Q363/20)&gt;INT(Q362/20), "Lần " &amp; INT(Q363/20), "")</f>
        <v/>
      </c>
      <c r="AC363" s="11">
        <f>IF(INT(R363/20)&gt;INT(R362/20), "Lần " &amp; INT(R363/20), "")</f>
        <v/>
      </c>
      <c r="AD363" s="11">
        <f>IF(INT(S363/20)&gt;INT(S362/20), "Lần " &amp; INT(S363/20), "")</f>
        <v/>
      </c>
      <c r="AE363" s="11">
        <f>IF(INT(T363/20)&gt;INT(T362/20), "Lần " &amp; INT(T363/20), "")</f>
        <v/>
      </c>
      <c r="AF363" s="11">
        <f>IF(INT(U363/20)&gt;INT(U362/20), "Lần " &amp; INT(U363/20), "")</f>
        <v/>
      </c>
      <c r="AG363" s="11">
        <f>IF(INT(V363/20)&gt;INT(V362/20), "Lần " &amp; INT(V363/20), "")</f>
        <v/>
      </c>
      <c r="AH363" s="11">
        <f>IF(INT(W363/20)&gt;INT(W362/20), "Lần " &amp; INT(W363/20), "")</f>
        <v/>
      </c>
      <c r="AI363" s="11">
        <f>IF(INT(X363/20)&gt;INT(X362/20), "Lần " &amp; INT(X363/20), "")</f>
        <v/>
      </c>
      <c r="AJ363" s="11">
        <f>IF(INT(Y363/20)&gt;INT(Y362/20), "Lần " &amp; INT(Y363/20), "")</f>
        <v/>
      </c>
      <c r="AK363" s="11">
        <f>IF(INT(Z363/20)&gt;INT(Z362/20), "Lần " &amp; INT(Z363/20), "")</f>
        <v/>
      </c>
      <c r="AL363" s="6" t="inlineStr">
        <is>
          <t>ĐẠT TCVN 1651:2018</t>
        </is>
      </c>
    </row>
    <row r="364" ht="19" customHeight="1">
      <c r="A364" s="6" t="n">
        <v>338</v>
      </c>
      <c r="B364" s="7" t="inlineStr">
        <is>
          <t>Cọc khoan nhồi C4 Mố M2 (D1.2m, L=36.0m)</t>
        </is>
      </c>
      <c r="C364" s="7" t="inlineStr">
        <is>
          <t>Thép đai xoắn lồng cọc</t>
        </is>
      </c>
      <c r="D364" s="18" t="inlineStr">
        <is>
          <t>P1D</t>
        </is>
      </c>
      <c r="E364" s="19" t="n">
        <v>10</v>
      </c>
      <c r="F364" s="6" t="inlineStr">
        <is>
          <t>CB240-T</t>
        </is>
      </c>
      <c r="G364" s="7" t="inlineStr">
        <is>
          <t>Đai xoắn tròn</t>
        </is>
      </c>
      <c r="H364" s="20" t="n">
        <v>23.007</v>
      </c>
      <c r="I364" s="21" t="n">
        <v>1</v>
      </c>
      <c r="J364" s="22" t="n">
        <v>0.617</v>
      </c>
      <c r="K364" s="9">
        <f>ROUND(H364*I364*J364, 2)</f>
        <v/>
      </c>
      <c r="L364" s="23">
        <f>ROUND(K364/1000, 3)</f>
        <v/>
      </c>
      <c r="M364" s="8" t="n"/>
      <c r="N364" s="6" t="n"/>
      <c r="O364" s="24">
        <f>IF(AND(E364&lt;=10, F364&lt;&gt;"ASTM A416", INT(P364/20)&gt;INT(P363/20)), "TN Ø10 (Lần " &amp; INT(P364/20) &amp; ")", IF(AND(E364=12, INT(Q364/20)&gt;INT(Q363/20)), "TN Ø12 (Lần " &amp; INT(Q364/20) &amp; ")", IF(AND(E364=14, INT(R364/20)&gt;INT(R363/20)), "TN Ø14 (Lần " &amp; INT(R364/20) &amp; ")", IF(AND(E364=16, INT(S364/20)&gt;INT(S363/20)), "TN Ø16 (Lần " &amp; INT(S364/20) &amp; ")", IF(AND(E364=18, INT(T364/20)&gt;INT(T363/20)), "TN Ø18 (Lần " &amp; INT(T364/20) &amp; ")", IF(AND(E364=20, INT(U364/20)&gt;INT(U363/20)), "TN Ø20 (Lần " &amp; INT(U364/20) &amp; ")", IF(AND(E364=22, INT(V364/20)&gt;INT(V363/20)), "TN Ø22 (Lần " &amp; INT(V364/20) &amp; ")", IF(AND(E364=25, INT(W364/20)&gt;INT(W363/20)), "TN Ø25 (Lần " &amp; INT(W364/20) &amp; ")", IF(AND(E364=28, INT(X364/20)&gt;INT(X363/20)), "TN Ø28 (Lần " &amp; INT(X364/20) &amp; ")", IF(AND(E364=32, INT(Y364/20)&gt;INT(Y363/20)), "TN Ø32 (Lần " &amp; INT(Y364/20) &amp; ")", IF(AND(F364="ASTM A416", INT(Z364/20)&gt;INT(Z363/20)), "TN Cáp 15.2 (Lần " &amp; INT(Z364/20) &amp; ")", "")))))))))))</f>
        <v/>
      </c>
      <c r="P364" s="20">
        <f>ROUND(P363 + IF(AND(E364&lt;=10, F364&lt;&gt;"ASTM A416"), L364, 0), 3)</f>
        <v/>
      </c>
      <c r="Q364" s="20">
        <f>ROUND(Q363 + IF(AND(E364=12, F364&lt;&gt;"ASTM A416"), L364, 0), 3)</f>
        <v/>
      </c>
      <c r="R364" s="20">
        <f>ROUND(R363 + IF(AND(E364=14, F364&lt;&gt;"ASTM A416"), L364, 0), 3)</f>
        <v/>
      </c>
      <c r="S364" s="20">
        <f>ROUND(S363 + IF(AND(E364=16, F364&lt;&gt;"ASTM A416"), L364, 0), 3)</f>
        <v/>
      </c>
      <c r="T364" s="20">
        <f>ROUND(T363 + IF(AND(E364=18, F364&lt;&gt;"ASTM A416"), L364, 0), 3)</f>
        <v/>
      </c>
      <c r="U364" s="20">
        <f>ROUND(U363 + IF(AND(E364=20, F364&lt;&gt;"ASTM A416"), L364, 0), 3)</f>
        <v/>
      </c>
      <c r="V364" s="20">
        <f>ROUND(V363 + IF(AND(E364=22, F364&lt;&gt;"ASTM A416"), L364, 0), 3)</f>
        <v/>
      </c>
      <c r="W364" s="20">
        <f>ROUND(W363 + IF(AND(E364=25, F364&lt;&gt;"ASTM A416"), L364, 0), 3)</f>
        <v/>
      </c>
      <c r="X364" s="20">
        <f>ROUND(X363 + IF(AND(E364=28, F364&lt;&gt;"ASTM A416"), L364, 0), 3)</f>
        <v/>
      </c>
      <c r="Y364" s="20">
        <f>ROUND(Y363 + IF(AND(E364=32, F364&lt;&gt;"ASTM A416"), L364, 0), 3)</f>
        <v/>
      </c>
      <c r="Z364" s="20">
        <f>ROUND(Z363 + IF(F364="ASTM A416", L364, 0), 3)</f>
        <v/>
      </c>
      <c r="AA364" s="11">
        <f>IF(INT(P364/20)&gt;INT(P363/20), "Lần " &amp; INT(P364/20), "")</f>
        <v/>
      </c>
      <c r="AB364" s="11">
        <f>IF(INT(Q364/20)&gt;INT(Q363/20), "Lần " &amp; INT(Q364/20), "")</f>
        <v/>
      </c>
      <c r="AC364" s="11">
        <f>IF(INT(R364/20)&gt;INT(R363/20), "Lần " &amp; INT(R364/20), "")</f>
        <v/>
      </c>
      <c r="AD364" s="11">
        <f>IF(INT(S364/20)&gt;INT(S363/20), "Lần " &amp; INT(S364/20), "")</f>
        <v/>
      </c>
      <c r="AE364" s="11">
        <f>IF(INT(T364/20)&gt;INT(T363/20), "Lần " &amp; INT(T364/20), "")</f>
        <v/>
      </c>
      <c r="AF364" s="11">
        <f>IF(INT(U364/20)&gt;INT(U363/20), "Lần " &amp; INT(U364/20), "")</f>
        <v/>
      </c>
      <c r="AG364" s="11">
        <f>IF(INT(V364/20)&gt;INT(V363/20), "Lần " &amp; INT(V364/20), "")</f>
        <v/>
      </c>
      <c r="AH364" s="11">
        <f>IF(INT(W364/20)&gt;INT(W363/20), "Lần " &amp; INT(W364/20), "")</f>
        <v/>
      </c>
      <c r="AI364" s="11">
        <f>IF(INT(X364/20)&gt;INT(X363/20), "Lần " &amp; INT(X364/20), "")</f>
        <v/>
      </c>
      <c r="AJ364" s="11">
        <f>IF(INT(Y364/20)&gt;INT(Y363/20), "Lần " &amp; INT(Y364/20), "")</f>
        <v/>
      </c>
      <c r="AK364" s="11">
        <f>IF(INT(Z364/20)&gt;INT(Z363/20), "Lần " &amp; INT(Z364/20), "")</f>
        <v/>
      </c>
      <c r="AL364" s="6" t="inlineStr">
        <is>
          <t>ĐẠT TCVN 1651:2018</t>
        </is>
      </c>
    </row>
    <row r="365" ht="19" customHeight="1">
      <c r="A365" s="6" t="n">
        <v>339</v>
      </c>
      <c r="B365" s="7" t="inlineStr">
        <is>
          <t>Cọc khoan nhồi C4 Mố M2 (D1.2m, L=36.0m)</t>
        </is>
      </c>
      <c r="C365" s="7" t="inlineStr">
        <is>
          <t>Cốt thép chủ chịu lực cọc</t>
        </is>
      </c>
      <c r="D365" s="18" t="inlineStr">
        <is>
          <t>P2A</t>
        </is>
      </c>
      <c r="E365" s="19" t="n">
        <v>28</v>
      </c>
      <c r="F365" s="6" t="inlineStr">
        <is>
          <t>CB400-V</t>
        </is>
      </c>
      <c r="G365" s="7" t="inlineStr">
        <is>
          <t>Thanh thẳng nối ren/hàn</t>
        </is>
      </c>
      <c r="H365" s="20" t="n">
        <v>2.966</v>
      </c>
      <c r="I365" s="21" t="n">
        <v>5</v>
      </c>
      <c r="J365" s="22" t="n">
        <v>4.83</v>
      </c>
      <c r="K365" s="9">
        <f>ROUND(H365*I365*J365, 2)</f>
        <v/>
      </c>
      <c r="L365" s="23">
        <f>ROUND(K365/1000, 3)</f>
        <v/>
      </c>
      <c r="M365" s="8" t="n"/>
      <c r="N365" s="6" t="n"/>
      <c r="O365" s="24">
        <f>IF(AND(E365&lt;=10, F365&lt;&gt;"ASTM A416", INT(P365/20)&gt;INT(P364/20)), "TN Ø10 (Lần " &amp; INT(P365/20) &amp; ")", IF(AND(E365=12, INT(Q365/20)&gt;INT(Q364/20)), "TN Ø12 (Lần " &amp; INT(Q365/20) &amp; ")", IF(AND(E365=14, INT(R365/20)&gt;INT(R364/20)), "TN Ø14 (Lần " &amp; INT(R365/20) &amp; ")", IF(AND(E365=16, INT(S365/20)&gt;INT(S364/20)), "TN Ø16 (Lần " &amp; INT(S365/20) &amp; ")", IF(AND(E365=18, INT(T365/20)&gt;INT(T364/20)), "TN Ø18 (Lần " &amp; INT(T365/20) &amp; ")", IF(AND(E365=20, INT(U365/20)&gt;INT(U364/20)), "TN Ø20 (Lần " &amp; INT(U365/20) &amp; ")", IF(AND(E365=22, INT(V365/20)&gt;INT(V364/20)), "TN Ø22 (Lần " &amp; INT(V365/20) &amp; ")", IF(AND(E365=25, INT(W365/20)&gt;INT(W364/20)), "TN Ø25 (Lần " &amp; INT(W365/20) &amp; ")", IF(AND(E365=28, INT(X365/20)&gt;INT(X364/20)), "TN Ø28 (Lần " &amp; INT(X365/20) &amp; ")", IF(AND(E365=32, INT(Y365/20)&gt;INT(Y364/20)), "TN Ø32 (Lần " &amp; INT(Y365/20) &amp; ")", IF(AND(F365="ASTM A416", INT(Z365/20)&gt;INT(Z364/20)), "TN Cáp 15.2 (Lần " &amp; INT(Z365/20) &amp; ")", "")))))))))))</f>
        <v/>
      </c>
      <c r="P365" s="20">
        <f>ROUND(P364 + IF(AND(E365&lt;=10, F365&lt;&gt;"ASTM A416"), L365, 0), 3)</f>
        <v/>
      </c>
      <c r="Q365" s="20">
        <f>ROUND(Q364 + IF(AND(E365=12, F365&lt;&gt;"ASTM A416"), L365, 0), 3)</f>
        <v/>
      </c>
      <c r="R365" s="20">
        <f>ROUND(R364 + IF(AND(E365=14, F365&lt;&gt;"ASTM A416"), L365, 0), 3)</f>
        <v/>
      </c>
      <c r="S365" s="20">
        <f>ROUND(S364 + IF(AND(E365=16, F365&lt;&gt;"ASTM A416"), L365, 0), 3)</f>
        <v/>
      </c>
      <c r="T365" s="20">
        <f>ROUND(T364 + IF(AND(E365=18, F365&lt;&gt;"ASTM A416"), L365, 0), 3)</f>
        <v/>
      </c>
      <c r="U365" s="20">
        <f>ROUND(U364 + IF(AND(E365=20, F365&lt;&gt;"ASTM A416"), L365, 0), 3)</f>
        <v/>
      </c>
      <c r="V365" s="20">
        <f>ROUND(V364 + IF(AND(E365=22, F365&lt;&gt;"ASTM A416"), L365, 0), 3)</f>
        <v/>
      </c>
      <c r="W365" s="20">
        <f>ROUND(W364 + IF(AND(E365=25, F365&lt;&gt;"ASTM A416"), L365, 0), 3)</f>
        <v/>
      </c>
      <c r="X365" s="20">
        <f>ROUND(X364 + IF(AND(E365=28, F365&lt;&gt;"ASTM A416"), L365, 0), 3)</f>
        <v/>
      </c>
      <c r="Y365" s="20">
        <f>ROUND(Y364 + IF(AND(E365=32, F365&lt;&gt;"ASTM A416"), L365, 0), 3)</f>
        <v/>
      </c>
      <c r="Z365" s="20">
        <f>ROUND(Z364 + IF(F365="ASTM A416", L365, 0), 3)</f>
        <v/>
      </c>
      <c r="AA365" s="11">
        <f>IF(INT(P365/20)&gt;INT(P364/20), "Lần " &amp; INT(P365/20), "")</f>
        <v/>
      </c>
      <c r="AB365" s="11">
        <f>IF(INT(Q365/20)&gt;INT(Q364/20), "Lần " &amp; INT(Q365/20), "")</f>
        <v/>
      </c>
      <c r="AC365" s="11">
        <f>IF(INT(R365/20)&gt;INT(R364/20), "Lần " &amp; INT(R365/20), "")</f>
        <v/>
      </c>
      <c r="AD365" s="11">
        <f>IF(INT(S365/20)&gt;INT(S364/20), "Lần " &amp; INT(S365/20), "")</f>
        <v/>
      </c>
      <c r="AE365" s="11">
        <f>IF(INT(T365/20)&gt;INT(T364/20), "Lần " &amp; INT(T365/20), "")</f>
        <v/>
      </c>
      <c r="AF365" s="11">
        <f>IF(INT(U365/20)&gt;INT(U364/20), "Lần " &amp; INT(U365/20), "")</f>
        <v/>
      </c>
      <c r="AG365" s="11">
        <f>IF(INT(V365/20)&gt;INT(V364/20), "Lần " &amp; INT(V365/20), "")</f>
        <v/>
      </c>
      <c r="AH365" s="11">
        <f>IF(INT(W365/20)&gt;INT(W364/20), "Lần " &amp; INT(W365/20), "")</f>
        <v/>
      </c>
      <c r="AI365" s="11">
        <f>IF(INT(X365/20)&gt;INT(X364/20), "Lần " &amp; INT(X365/20), "")</f>
        <v/>
      </c>
      <c r="AJ365" s="11">
        <f>IF(INT(Y365/20)&gt;INT(Y364/20), "Lần " &amp; INT(Y365/20), "")</f>
        <v/>
      </c>
      <c r="AK365" s="11">
        <f>IF(INT(Z365/20)&gt;INT(Z364/20), "Lần " &amp; INT(Z365/20), "")</f>
        <v/>
      </c>
      <c r="AL365" s="6" t="inlineStr">
        <is>
          <t>ĐẠT TCVN 1651:2018</t>
        </is>
      </c>
    </row>
    <row r="366" ht="19" customHeight="1">
      <c r="A366" s="6" t="n">
        <v>340</v>
      </c>
      <c r="B366" s="7" t="inlineStr">
        <is>
          <t>Cọc khoan nhồi C4 Mố M2 (D1.2m, L=36.0m)</t>
        </is>
      </c>
      <c r="C366" s="7" t="inlineStr">
        <is>
          <t>Cốt thép chủ chịu lực cọc</t>
        </is>
      </c>
      <c r="D366" s="18" t="inlineStr">
        <is>
          <t>P2B</t>
        </is>
      </c>
      <c r="E366" s="19" t="n">
        <v>25</v>
      </c>
      <c r="F366" s="6" t="inlineStr">
        <is>
          <t>CB400-V</t>
        </is>
      </c>
      <c r="G366" s="7" t="inlineStr">
        <is>
          <t>Thanh thẳng nối ren/hàn</t>
        </is>
      </c>
      <c r="H366" s="20" t="n">
        <v>2.985</v>
      </c>
      <c r="I366" s="21" t="n">
        <v>10</v>
      </c>
      <c r="J366" s="22" t="n">
        <v>3.85</v>
      </c>
      <c r="K366" s="9">
        <f>ROUND(H366*I366*J366, 2)</f>
        <v/>
      </c>
      <c r="L366" s="23">
        <f>ROUND(K366/1000, 3)</f>
        <v/>
      </c>
      <c r="M366" s="8" t="n"/>
      <c r="N366" s="6" t="n"/>
      <c r="O366" s="24">
        <f>IF(AND(E366&lt;=10, F366&lt;&gt;"ASTM A416", INT(P366/20)&gt;INT(P365/20)), "TN Ø10 (Lần " &amp; INT(P366/20) &amp; ")", IF(AND(E366=12, INT(Q366/20)&gt;INT(Q365/20)), "TN Ø12 (Lần " &amp; INT(Q366/20) &amp; ")", IF(AND(E366=14, INT(R366/20)&gt;INT(R365/20)), "TN Ø14 (Lần " &amp; INT(R366/20) &amp; ")", IF(AND(E366=16, INT(S366/20)&gt;INT(S365/20)), "TN Ø16 (Lần " &amp; INT(S366/20) &amp; ")", IF(AND(E366=18, INT(T366/20)&gt;INT(T365/20)), "TN Ø18 (Lần " &amp; INT(T366/20) &amp; ")", IF(AND(E366=20, INT(U366/20)&gt;INT(U365/20)), "TN Ø20 (Lần " &amp; INT(U366/20) &amp; ")", IF(AND(E366=22, INT(V366/20)&gt;INT(V365/20)), "TN Ø22 (Lần " &amp; INT(V366/20) &amp; ")", IF(AND(E366=25, INT(W366/20)&gt;INT(W365/20)), "TN Ø25 (Lần " &amp; INT(W366/20) &amp; ")", IF(AND(E366=28, INT(X366/20)&gt;INT(X365/20)), "TN Ø28 (Lần " &amp; INT(X366/20) &amp; ")", IF(AND(E366=32, INT(Y366/20)&gt;INT(Y365/20)), "TN Ø32 (Lần " &amp; INT(Y366/20) &amp; ")", IF(AND(F366="ASTM A416", INT(Z366/20)&gt;INT(Z365/20)), "TN Cáp 15.2 (Lần " &amp; INT(Z366/20) &amp; ")", "")))))))))))</f>
        <v/>
      </c>
      <c r="P366" s="20">
        <f>ROUND(P365 + IF(AND(E366&lt;=10, F366&lt;&gt;"ASTM A416"), L366, 0), 3)</f>
        <v/>
      </c>
      <c r="Q366" s="20">
        <f>ROUND(Q365 + IF(AND(E366=12, F366&lt;&gt;"ASTM A416"), L366, 0), 3)</f>
        <v/>
      </c>
      <c r="R366" s="20">
        <f>ROUND(R365 + IF(AND(E366=14, F366&lt;&gt;"ASTM A416"), L366, 0), 3)</f>
        <v/>
      </c>
      <c r="S366" s="20">
        <f>ROUND(S365 + IF(AND(E366=16, F366&lt;&gt;"ASTM A416"), L366, 0), 3)</f>
        <v/>
      </c>
      <c r="T366" s="20">
        <f>ROUND(T365 + IF(AND(E366=18, F366&lt;&gt;"ASTM A416"), L366, 0), 3)</f>
        <v/>
      </c>
      <c r="U366" s="20">
        <f>ROUND(U365 + IF(AND(E366=20, F366&lt;&gt;"ASTM A416"), L366, 0), 3)</f>
        <v/>
      </c>
      <c r="V366" s="20">
        <f>ROUND(V365 + IF(AND(E366=22, F366&lt;&gt;"ASTM A416"), L366, 0), 3)</f>
        <v/>
      </c>
      <c r="W366" s="20">
        <f>ROUND(W365 + IF(AND(E366=25, F366&lt;&gt;"ASTM A416"), L366, 0), 3)</f>
        <v/>
      </c>
      <c r="X366" s="20">
        <f>ROUND(X365 + IF(AND(E366=28, F366&lt;&gt;"ASTM A416"), L366, 0), 3)</f>
        <v/>
      </c>
      <c r="Y366" s="20">
        <f>ROUND(Y365 + IF(AND(E366=32, F366&lt;&gt;"ASTM A416"), L366, 0), 3)</f>
        <v/>
      </c>
      <c r="Z366" s="20">
        <f>ROUND(Z365 + IF(F366="ASTM A416", L366, 0), 3)</f>
        <v/>
      </c>
      <c r="AA366" s="11">
        <f>IF(INT(P366/20)&gt;INT(P365/20), "Lần " &amp; INT(P366/20), "")</f>
        <v/>
      </c>
      <c r="AB366" s="11">
        <f>IF(INT(Q366/20)&gt;INT(Q365/20), "Lần " &amp; INT(Q366/20), "")</f>
        <v/>
      </c>
      <c r="AC366" s="11">
        <f>IF(INT(R366/20)&gt;INT(R365/20), "Lần " &amp; INT(R366/20), "")</f>
        <v/>
      </c>
      <c r="AD366" s="11">
        <f>IF(INT(S366/20)&gt;INT(S365/20), "Lần " &amp; INT(S366/20), "")</f>
        <v/>
      </c>
      <c r="AE366" s="11">
        <f>IF(INT(T366/20)&gt;INT(T365/20), "Lần " &amp; INT(T366/20), "")</f>
        <v/>
      </c>
      <c r="AF366" s="11">
        <f>IF(INT(U366/20)&gt;INT(U365/20), "Lần " &amp; INT(U366/20), "")</f>
        <v/>
      </c>
      <c r="AG366" s="11">
        <f>IF(INT(V366/20)&gt;INT(V365/20), "Lần " &amp; INT(V366/20), "")</f>
        <v/>
      </c>
      <c r="AH366" s="11">
        <f>IF(INT(W366/20)&gt;INT(W365/20), "Lần " &amp; INT(W366/20), "")</f>
        <v/>
      </c>
      <c r="AI366" s="11">
        <f>IF(INT(X366/20)&gt;INT(X365/20), "Lần " &amp; INT(X366/20), "")</f>
        <v/>
      </c>
      <c r="AJ366" s="11">
        <f>IF(INT(Y366/20)&gt;INT(Y365/20), "Lần " &amp; INT(Y366/20), "")</f>
        <v/>
      </c>
      <c r="AK366" s="11">
        <f>IF(INT(Z366/20)&gt;INT(Z365/20), "Lần " &amp; INT(Z366/20), "")</f>
        <v/>
      </c>
      <c r="AL366" s="6" t="inlineStr">
        <is>
          <t>ĐẠT TCVN 1651:2018</t>
        </is>
      </c>
    </row>
    <row r="367" ht="19" customHeight="1">
      <c r="A367" s="6" t="n">
        <v>341</v>
      </c>
      <c r="B367" s="7" t="inlineStr">
        <is>
          <t>Cọc khoan nhồi C4 Mố M2 (D1.2m, L=36.0m)</t>
        </is>
      </c>
      <c r="C367" s="7" t="inlineStr">
        <is>
          <t>Cốt thép chủ chịu lực cọc</t>
        </is>
      </c>
      <c r="D367" s="18" t="inlineStr">
        <is>
          <t>P3</t>
        </is>
      </c>
      <c r="E367" s="19" t="n">
        <v>28</v>
      </c>
      <c r="F367" s="6" t="inlineStr">
        <is>
          <t>CB400-V</t>
        </is>
      </c>
      <c r="G367" s="7" t="inlineStr">
        <is>
          <t>Thanh thẳng nối ren/hàn</t>
        </is>
      </c>
      <c r="H367" s="20" t="n">
        <v>10.7</v>
      </c>
      <c r="I367" s="21" t="n">
        <v>12</v>
      </c>
      <c r="J367" s="22" t="n">
        <v>4.83</v>
      </c>
      <c r="K367" s="9">
        <f>ROUND(H367*I367*J367, 2)</f>
        <v/>
      </c>
      <c r="L367" s="23">
        <f>ROUND(K367/1000, 3)</f>
        <v/>
      </c>
      <c r="M367" s="8" t="n"/>
      <c r="N367" s="6" t="n"/>
      <c r="O367" s="24">
        <f>IF(AND(E367&lt;=10, F367&lt;&gt;"ASTM A416", INT(P367/20)&gt;INT(P366/20)), "TN Ø10 (Lần " &amp; INT(P367/20) &amp; ")", IF(AND(E367=12, INT(Q367/20)&gt;INT(Q366/20)), "TN Ø12 (Lần " &amp; INT(Q367/20) &amp; ")", IF(AND(E367=14, INT(R367/20)&gt;INT(R366/20)), "TN Ø14 (Lần " &amp; INT(R367/20) &amp; ")", IF(AND(E367=16, INT(S367/20)&gt;INT(S366/20)), "TN Ø16 (Lần " &amp; INT(S367/20) &amp; ")", IF(AND(E367=18, INT(T367/20)&gt;INT(T366/20)), "TN Ø18 (Lần " &amp; INT(T367/20) &amp; ")", IF(AND(E367=20, INT(U367/20)&gt;INT(U366/20)), "TN Ø20 (Lần " &amp; INT(U367/20) &amp; ")", IF(AND(E367=22, INT(V367/20)&gt;INT(V366/20)), "TN Ø22 (Lần " &amp; INT(V367/20) &amp; ")", IF(AND(E367=25, INT(W367/20)&gt;INT(W366/20)), "TN Ø25 (Lần " &amp; INT(W367/20) &amp; ")", IF(AND(E367=28, INT(X367/20)&gt;INT(X366/20)), "TN Ø28 (Lần " &amp; INT(X367/20) &amp; ")", IF(AND(E367=32, INT(Y367/20)&gt;INT(Y366/20)), "TN Ø32 (Lần " &amp; INT(Y367/20) &amp; ")", IF(AND(F367="ASTM A416", INT(Z367/20)&gt;INT(Z366/20)), "TN Cáp 15.2 (Lần " &amp; INT(Z367/20) &amp; ")", "")))))))))))</f>
        <v/>
      </c>
      <c r="P367" s="20">
        <f>ROUND(P366 + IF(AND(E367&lt;=10, F367&lt;&gt;"ASTM A416"), L367, 0), 3)</f>
        <v/>
      </c>
      <c r="Q367" s="20">
        <f>ROUND(Q366 + IF(AND(E367=12, F367&lt;&gt;"ASTM A416"), L367, 0), 3)</f>
        <v/>
      </c>
      <c r="R367" s="20">
        <f>ROUND(R366 + IF(AND(E367=14, F367&lt;&gt;"ASTM A416"), L367, 0), 3)</f>
        <v/>
      </c>
      <c r="S367" s="20">
        <f>ROUND(S366 + IF(AND(E367=16, F367&lt;&gt;"ASTM A416"), L367, 0), 3)</f>
        <v/>
      </c>
      <c r="T367" s="20">
        <f>ROUND(T366 + IF(AND(E367=18, F367&lt;&gt;"ASTM A416"), L367, 0), 3)</f>
        <v/>
      </c>
      <c r="U367" s="20">
        <f>ROUND(U366 + IF(AND(E367=20, F367&lt;&gt;"ASTM A416"), L367, 0), 3)</f>
        <v/>
      </c>
      <c r="V367" s="20">
        <f>ROUND(V366 + IF(AND(E367=22, F367&lt;&gt;"ASTM A416"), L367, 0), 3)</f>
        <v/>
      </c>
      <c r="W367" s="20">
        <f>ROUND(W366 + IF(AND(E367=25, F367&lt;&gt;"ASTM A416"), L367, 0), 3)</f>
        <v/>
      </c>
      <c r="X367" s="20">
        <f>ROUND(X366 + IF(AND(E367=28, F367&lt;&gt;"ASTM A416"), L367, 0), 3)</f>
        <v/>
      </c>
      <c r="Y367" s="20">
        <f>ROUND(Y366 + IF(AND(E367=32, F367&lt;&gt;"ASTM A416"), L367, 0), 3)</f>
        <v/>
      </c>
      <c r="Z367" s="20">
        <f>ROUND(Z366 + IF(F367="ASTM A416", L367, 0), 3)</f>
        <v/>
      </c>
      <c r="AA367" s="11">
        <f>IF(INT(P367/20)&gt;INT(P366/20), "Lần " &amp; INT(P367/20), "")</f>
        <v/>
      </c>
      <c r="AB367" s="11">
        <f>IF(INT(Q367/20)&gt;INT(Q366/20), "Lần " &amp; INT(Q367/20), "")</f>
        <v/>
      </c>
      <c r="AC367" s="11">
        <f>IF(INT(R367/20)&gt;INT(R366/20), "Lần " &amp; INT(R367/20), "")</f>
        <v/>
      </c>
      <c r="AD367" s="11">
        <f>IF(INT(S367/20)&gt;INT(S366/20), "Lần " &amp; INT(S367/20), "")</f>
        <v/>
      </c>
      <c r="AE367" s="11">
        <f>IF(INT(T367/20)&gt;INT(T366/20), "Lần " &amp; INT(T367/20), "")</f>
        <v/>
      </c>
      <c r="AF367" s="11">
        <f>IF(INT(U367/20)&gt;INT(U366/20), "Lần " &amp; INT(U367/20), "")</f>
        <v/>
      </c>
      <c r="AG367" s="11">
        <f>IF(INT(V367/20)&gt;INT(V366/20), "Lần " &amp; INT(V367/20), "")</f>
        <v/>
      </c>
      <c r="AH367" s="11">
        <f>IF(INT(W367/20)&gt;INT(W366/20), "Lần " &amp; INT(W367/20), "")</f>
        <v/>
      </c>
      <c r="AI367" s="11">
        <f>IF(INT(X367/20)&gt;INT(X366/20), "Lần " &amp; INT(X367/20), "")</f>
        <v/>
      </c>
      <c r="AJ367" s="11">
        <f>IF(INT(Y367/20)&gt;INT(Y366/20), "Lần " &amp; INT(Y367/20), "")</f>
        <v/>
      </c>
      <c r="AK367" s="11">
        <f>IF(INT(Z367/20)&gt;INT(Z366/20), "Lần " &amp; INT(Z367/20), "")</f>
        <v/>
      </c>
      <c r="AL367" s="6" t="inlineStr">
        <is>
          <t>ĐẠT TCVN 1651:2018</t>
        </is>
      </c>
    </row>
    <row r="368" ht="19" customHeight="1">
      <c r="A368" s="6" t="n">
        <v>342</v>
      </c>
      <c r="B368" s="7" t="inlineStr">
        <is>
          <t>Cọc khoan nhồi C4 Mố M2 (D1.2m, L=36.0m)</t>
        </is>
      </c>
      <c r="C368" s="7" t="inlineStr">
        <is>
          <t>Cốt thép chủ chịu lực cọc</t>
        </is>
      </c>
      <c r="D368" s="18" t="inlineStr">
        <is>
          <t>P4</t>
        </is>
      </c>
      <c r="E368" s="19" t="n">
        <v>28</v>
      </c>
      <c r="F368" s="6" t="inlineStr">
        <is>
          <t>CB400-V</t>
        </is>
      </c>
      <c r="G368" s="7" t="inlineStr">
        <is>
          <t>Thanh thẳng nối ren/hàn</t>
        </is>
      </c>
      <c r="H368" s="20" t="n">
        <v>11.7</v>
      </c>
      <c r="I368" s="21" t="n">
        <v>12</v>
      </c>
      <c r="J368" s="22" t="n">
        <v>4.83</v>
      </c>
      <c r="K368" s="9">
        <f>ROUND(H368*I368*J368, 2)</f>
        <v/>
      </c>
      <c r="L368" s="23">
        <f>ROUND(K368/1000, 3)</f>
        <v/>
      </c>
      <c r="M368" s="8" t="n"/>
      <c r="N368" s="6" t="n"/>
      <c r="O368" s="24">
        <f>IF(AND(E368&lt;=10, F368&lt;&gt;"ASTM A416", INT(P368/20)&gt;INT(P367/20)), "TN Ø10 (Lần " &amp; INT(P368/20) &amp; ")", IF(AND(E368=12, INT(Q368/20)&gt;INT(Q367/20)), "TN Ø12 (Lần " &amp; INT(Q368/20) &amp; ")", IF(AND(E368=14, INT(R368/20)&gt;INT(R367/20)), "TN Ø14 (Lần " &amp; INT(R368/20) &amp; ")", IF(AND(E368=16, INT(S368/20)&gt;INT(S367/20)), "TN Ø16 (Lần " &amp; INT(S368/20) &amp; ")", IF(AND(E368=18, INT(T368/20)&gt;INT(T367/20)), "TN Ø18 (Lần " &amp; INT(T368/20) &amp; ")", IF(AND(E368=20, INT(U368/20)&gt;INT(U367/20)), "TN Ø20 (Lần " &amp; INT(U368/20) &amp; ")", IF(AND(E368=22, INT(V368/20)&gt;INT(V367/20)), "TN Ø22 (Lần " &amp; INT(V368/20) &amp; ")", IF(AND(E368=25, INT(W368/20)&gt;INT(W367/20)), "TN Ø25 (Lần " &amp; INT(W368/20) &amp; ")", IF(AND(E368=28, INT(X368/20)&gt;INT(X367/20)), "TN Ø28 (Lần " &amp; INT(X368/20) &amp; ")", IF(AND(E368=32, INT(Y368/20)&gt;INT(Y367/20)), "TN Ø32 (Lần " &amp; INT(Y368/20) &amp; ")", IF(AND(F368="ASTM A416", INT(Z368/20)&gt;INT(Z367/20)), "TN Cáp 15.2 (Lần " &amp; INT(Z368/20) &amp; ")", "")))))))))))</f>
        <v/>
      </c>
      <c r="P368" s="20">
        <f>ROUND(P367 + IF(AND(E368&lt;=10, F368&lt;&gt;"ASTM A416"), L368, 0), 3)</f>
        <v/>
      </c>
      <c r="Q368" s="20">
        <f>ROUND(Q367 + IF(AND(E368=12, F368&lt;&gt;"ASTM A416"), L368, 0), 3)</f>
        <v/>
      </c>
      <c r="R368" s="20">
        <f>ROUND(R367 + IF(AND(E368=14, F368&lt;&gt;"ASTM A416"), L368, 0), 3)</f>
        <v/>
      </c>
      <c r="S368" s="20">
        <f>ROUND(S367 + IF(AND(E368=16, F368&lt;&gt;"ASTM A416"), L368, 0), 3)</f>
        <v/>
      </c>
      <c r="T368" s="20">
        <f>ROUND(T367 + IF(AND(E368=18, F368&lt;&gt;"ASTM A416"), L368, 0), 3)</f>
        <v/>
      </c>
      <c r="U368" s="20">
        <f>ROUND(U367 + IF(AND(E368=20, F368&lt;&gt;"ASTM A416"), L368, 0), 3)</f>
        <v/>
      </c>
      <c r="V368" s="20">
        <f>ROUND(V367 + IF(AND(E368=22, F368&lt;&gt;"ASTM A416"), L368, 0), 3)</f>
        <v/>
      </c>
      <c r="W368" s="20">
        <f>ROUND(W367 + IF(AND(E368=25, F368&lt;&gt;"ASTM A416"), L368, 0), 3)</f>
        <v/>
      </c>
      <c r="X368" s="20">
        <f>ROUND(X367 + IF(AND(E368=28, F368&lt;&gt;"ASTM A416"), L368, 0), 3)</f>
        <v/>
      </c>
      <c r="Y368" s="20">
        <f>ROUND(Y367 + IF(AND(E368=32, F368&lt;&gt;"ASTM A416"), L368, 0), 3)</f>
        <v/>
      </c>
      <c r="Z368" s="20">
        <f>ROUND(Z367 + IF(F368="ASTM A416", L368, 0), 3)</f>
        <v/>
      </c>
      <c r="AA368" s="11">
        <f>IF(INT(P368/20)&gt;INT(P367/20), "Lần " &amp; INT(P368/20), "")</f>
        <v/>
      </c>
      <c r="AB368" s="11">
        <f>IF(INT(Q368/20)&gt;INT(Q367/20), "Lần " &amp; INT(Q368/20), "")</f>
        <v/>
      </c>
      <c r="AC368" s="11">
        <f>IF(INT(R368/20)&gt;INT(R367/20), "Lần " &amp; INT(R368/20), "")</f>
        <v/>
      </c>
      <c r="AD368" s="11">
        <f>IF(INT(S368/20)&gt;INT(S367/20), "Lần " &amp; INT(S368/20), "")</f>
        <v/>
      </c>
      <c r="AE368" s="11">
        <f>IF(INT(T368/20)&gt;INT(T367/20), "Lần " &amp; INT(T368/20), "")</f>
        <v/>
      </c>
      <c r="AF368" s="11">
        <f>IF(INT(U368/20)&gt;INT(U367/20), "Lần " &amp; INT(U368/20), "")</f>
        <v/>
      </c>
      <c r="AG368" s="11">
        <f>IF(INT(V368/20)&gt;INT(V367/20), "Lần " &amp; INT(V368/20), "")</f>
        <v/>
      </c>
      <c r="AH368" s="11">
        <f>IF(INT(W368/20)&gt;INT(W367/20), "Lần " &amp; INT(W368/20), "")</f>
        <v/>
      </c>
      <c r="AI368" s="11">
        <f>IF(INT(X368/20)&gt;INT(X367/20), "Lần " &amp; INT(X368/20), "")</f>
        <v/>
      </c>
      <c r="AJ368" s="11">
        <f>IF(INT(Y368/20)&gt;INT(Y367/20), "Lần " &amp; INT(Y368/20), "")</f>
        <v/>
      </c>
      <c r="AK368" s="11">
        <f>IF(INT(Z368/20)&gt;INT(Z367/20), "Lần " &amp; INT(Z368/20), "")</f>
        <v/>
      </c>
      <c r="AL368" s="6" t="inlineStr">
        <is>
          <t>ĐẠT TCVN 1651:2018</t>
        </is>
      </c>
    </row>
    <row r="369" ht="19" customHeight="1">
      <c r="A369" s="6" t="n">
        <v>343</v>
      </c>
      <c r="B369" s="7" t="inlineStr">
        <is>
          <t>Cọc khoan nhồi C4 Mố M2 (D1.2m, L=36.0m)</t>
        </is>
      </c>
      <c r="C369" s="7" t="inlineStr">
        <is>
          <t>Cốt thép chủ chịu lực cọc</t>
        </is>
      </c>
      <c r="D369" s="18" t="inlineStr">
        <is>
          <t>P5</t>
        </is>
      </c>
      <c r="E369" s="19" t="n">
        <v>25</v>
      </c>
      <c r="F369" s="6" t="inlineStr">
        <is>
          <t>CB400-V</t>
        </is>
      </c>
      <c r="G369" s="7" t="inlineStr">
        <is>
          <t>Thanh thẳng nối ren/hàn</t>
        </is>
      </c>
      <c r="H369" s="20" t="n">
        <v>11.7</v>
      </c>
      <c r="I369" s="21" t="n">
        <v>48</v>
      </c>
      <c r="J369" s="22" t="n">
        <v>3.85</v>
      </c>
      <c r="K369" s="9">
        <f>ROUND(H369*I369*J369, 2)</f>
        <v/>
      </c>
      <c r="L369" s="23">
        <f>ROUND(K369/1000, 3)</f>
        <v/>
      </c>
      <c r="M369" s="8" t="n"/>
      <c r="N369" s="6" t="n"/>
      <c r="O369" s="24">
        <f>IF(AND(E369&lt;=10, F369&lt;&gt;"ASTM A416", INT(P369/20)&gt;INT(P368/20)), "TN Ø10 (Lần " &amp; INT(P369/20) &amp; ")", IF(AND(E369=12, INT(Q369/20)&gt;INT(Q368/20)), "TN Ø12 (Lần " &amp; INT(Q369/20) &amp; ")", IF(AND(E369=14, INT(R369/20)&gt;INT(R368/20)), "TN Ø14 (Lần " &amp; INT(R369/20) &amp; ")", IF(AND(E369=16, INT(S369/20)&gt;INT(S368/20)), "TN Ø16 (Lần " &amp; INT(S369/20) &amp; ")", IF(AND(E369=18, INT(T369/20)&gt;INT(T368/20)), "TN Ø18 (Lần " &amp; INT(T369/20) &amp; ")", IF(AND(E369=20, INT(U369/20)&gt;INT(U368/20)), "TN Ø20 (Lần " &amp; INT(U369/20) &amp; ")", IF(AND(E369=22, INT(V369/20)&gt;INT(V368/20)), "TN Ø22 (Lần " &amp; INT(V369/20) &amp; ")", IF(AND(E369=25, INT(W369/20)&gt;INT(W368/20)), "TN Ø25 (Lần " &amp; INT(W369/20) &amp; ")", IF(AND(E369=28, INT(X369/20)&gt;INT(X368/20)), "TN Ø28 (Lần " &amp; INT(X369/20) &amp; ")", IF(AND(E369=32, INT(Y369/20)&gt;INT(Y368/20)), "TN Ø32 (Lần " &amp; INT(Y369/20) &amp; ")", IF(AND(F369="ASTM A416", INT(Z369/20)&gt;INT(Z368/20)), "TN Cáp 15.2 (Lần " &amp; INT(Z369/20) &amp; ")", "")))))))))))</f>
        <v/>
      </c>
      <c r="P369" s="20">
        <f>ROUND(P368 + IF(AND(E369&lt;=10, F369&lt;&gt;"ASTM A416"), L369, 0), 3)</f>
        <v/>
      </c>
      <c r="Q369" s="20">
        <f>ROUND(Q368 + IF(AND(E369=12, F369&lt;&gt;"ASTM A416"), L369, 0), 3)</f>
        <v/>
      </c>
      <c r="R369" s="20">
        <f>ROUND(R368 + IF(AND(E369=14, F369&lt;&gt;"ASTM A416"), L369, 0), 3)</f>
        <v/>
      </c>
      <c r="S369" s="20">
        <f>ROUND(S368 + IF(AND(E369=16, F369&lt;&gt;"ASTM A416"), L369, 0), 3)</f>
        <v/>
      </c>
      <c r="T369" s="20">
        <f>ROUND(T368 + IF(AND(E369=18, F369&lt;&gt;"ASTM A416"), L369, 0), 3)</f>
        <v/>
      </c>
      <c r="U369" s="20">
        <f>ROUND(U368 + IF(AND(E369=20, F369&lt;&gt;"ASTM A416"), L369, 0), 3)</f>
        <v/>
      </c>
      <c r="V369" s="20">
        <f>ROUND(V368 + IF(AND(E369=22, F369&lt;&gt;"ASTM A416"), L369, 0), 3)</f>
        <v/>
      </c>
      <c r="W369" s="20">
        <f>ROUND(W368 + IF(AND(E369=25, F369&lt;&gt;"ASTM A416"), L369, 0), 3)</f>
        <v/>
      </c>
      <c r="X369" s="20">
        <f>ROUND(X368 + IF(AND(E369=28, F369&lt;&gt;"ASTM A416"), L369, 0), 3)</f>
        <v/>
      </c>
      <c r="Y369" s="20">
        <f>ROUND(Y368 + IF(AND(E369=32, F369&lt;&gt;"ASTM A416"), L369, 0), 3)</f>
        <v/>
      </c>
      <c r="Z369" s="20">
        <f>ROUND(Z368 + IF(F369="ASTM A416", L369, 0), 3)</f>
        <v/>
      </c>
      <c r="AA369" s="11">
        <f>IF(INT(P369/20)&gt;INT(P368/20), "Lần " &amp; INT(P369/20), "")</f>
        <v/>
      </c>
      <c r="AB369" s="11">
        <f>IF(INT(Q369/20)&gt;INT(Q368/20), "Lần " &amp; INT(Q369/20), "")</f>
        <v/>
      </c>
      <c r="AC369" s="11">
        <f>IF(INT(R369/20)&gt;INT(R368/20), "Lần " &amp; INT(R369/20), "")</f>
        <v/>
      </c>
      <c r="AD369" s="11">
        <f>IF(INT(S369/20)&gt;INT(S368/20), "Lần " &amp; INT(S369/20), "")</f>
        <v/>
      </c>
      <c r="AE369" s="11">
        <f>IF(INT(T369/20)&gt;INT(T368/20), "Lần " &amp; INT(T369/20), "")</f>
        <v/>
      </c>
      <c r="AF369" s="11">
        <f>IF(INT(U369/20)&gt;INT(U368/20), "Lần " &amp; INT(U369/20), "")</f>
        <v/>
      </c>
      <c r="AG369" s="11">
        <f>IF(INT(V369/20)&gt;INT(V368/20), "Lần " &amp; INT(V369/20), "")</f>
        <v/>
      </c>
      <c r="AH369" s="11">
        <f>IF(INT(W369/20)&gt;INT(W368/20), "Lần " &amp; INT(W369/20), "")</f>
        <v/>
      </c>
      <c r="AI369" s="11">
        <f>IF(INT(X369/20)&gt;INT(X368/20), "Lần " &amp; INT(X369/20), "")</f>
        <v/>
      </c>
      <c r="AJ369" s="11">
        <f>IF(INT(Y369/20)&gt;INT(Y368/20), "Lần " &amp; INT(Y369/20), "")</f>
        <v/>
      </c>
      <c r="AK369" s="11">
        <f>IF(INT(Z369/20)&gt;INT(Z368/20), "Lần " &amp; INT(Z369/20), "")</f>
        <v/>
      </c>
      <c r="AL369" s="6" t="inlineStr">
        <is>
          <t>ĐẠT TCVN 1651:2018</t>
        </is>
      </c>
    </row>
    <row r="370" ht="19" customHeight="1">
      <c r="A370" s="6" t="n">
        <v>344</v>
      </c>
      <c r="B370" s="7" t="inlineStr">
        <is>
          <t>Cọc khoan nhồi C4 Mố M2 (D1.2m, L=36.0m)</t>
        </is>
      </c>
      <c r="C370" s="7" t="inlineStr">
        <is>
          <t>Cốt thép chủ chịu lực cọc</t>
        </is>
      </c>
      <c r="D370" s="18" t="inlineStr">
        <is>
          <t>P6</t>
        </is>
      </c>
      <c r="E370" s="19" t="n">
        <v>25</v>
      </c>
      <c r="F370" s="6" t="inlineStr">
        <is>
          <t>CB400-V</t>
        </is>
      </c>
      <c r="G370" s="7" t="inlineStr">
        <is>
          <t>Thanh thẳng nối ren/hàn</t>
        </is>
      </c>
      <c r="H370" s="20" t="n">
        <v>5.153</v>
      </c>
      <c r="I370" s="21" t="n">
        <v>12</v>
      </c>
      <c r="J370" s="22" t="n">
        <v>3.85</v>
      </c>
      <c r="K370" s="9">
        <f>ROUND(H370*I370*J370, 2)</f>
        <v/>
      </c>
      <c r="L370" s="23">
        <f>ROUND(K370/1000, 3)</f>
        <v/>
      </c>
      <c r="M370" s="8" t="n"/>
      <c r="N370" s="6" t="n"/>
      <c r="O370" s="24">
        <f>IF(AND(E370&lt;=10, F370&lt;&gt;"ASTM A416", INT(P370/20)&gt;INT(P369/20)), "TN Ø10 (Lần " &amp; INT(P370/20) &amp; ")", IF(AND(E370=12, INT(Q370/20)&gt;INT(Q369/20)), "TN Ø12 (Lần " &amp; INT(Q370/20) &amp; ")", IF(AND(E370=14, INT(R370/20)&gt;INT(R369/20)), "TN Ø14 (Lần " &amp; INT(R370/20) &amp; ")", IF(AND(E370=16, INT(S370/20)&gt;INT(S369/20)), "TN Ø16 (Lần " &amp; INT(S370/20) &amp; ")", IF(AND(E370=18, INT(T370/20)&gt;INT(T369/20)), "TN Ø18 (Lần " &amp; INT(T370/20) &amp; ")", IF(AND(E370=20, INT(U370/20)&gt;INT(U369/20)), "TN Ø20 (Lần " &amp; INT(U370/20) &amp; ")", IF(AND(E370=22, INT(V370/20)&gt;INT(V369/20)), "TN Ø22 (Lần " &amp; INT(V370/20) &amp; ")", IF(AND(E370=25, INT(W370/20)&gt;INT(W369/20)), "TN Ø25 (Lần " &amp; INT(W370/20) &amp; ")", IF(AND(E370=28, INT(X370/20)&gt;INT(X369/20)), "TN Ø28 (Lần " &amp; INT(X370/20) &amp; ")", IF(AND(E370=32, INT(Y370/20)&gt;INT(Y369/20)), "TN Ø32 (Lần " &amp; INT(Y370/20) &amp; ")", IF(AND(F370="ASTM A416", INT(Z370/20)&gt;INT(Z369/20)), "TN Cáp 15.2 (Lần " &amp; INT(Z370/20) &amp; ")", "")))))))))))</f>
        <v/>
      </c>
      <c r="P370" s="20">
        <f>ROUND(P369 + IF(AND(E370&lt;=10, F370&lt;&gt;"ASTM A416"), L370, 0), 3)</f>
        <v/>
      </c>
      <c r="Q370" s="20">
        <f>ROUND(Q369 + IF(AND(E370=12, F370&lt;&gt;"ASTM A416"), L370, 0), 3)</f>
        <v/>
      </c>
      <c r="R370" s="20">
        <f>ROUND(R369 + IF(AND(E370=14, F370&lt;&gt;"ASTM A416"), L370, 0), 3)</f>
        <v/>
      </c>
      <c r="S370" s="20">
        <f>ROUND(S369 + IF(AND(E370=16, F370&lt;&gt;"ASTM A416"), L370, 0), 3)</f>
        <v/>
      </c>
      <c r="T370" s="20">
        <f>ROUND(T369 + IF(AND(E370=18, F370&lt;&gt;"ASTM A416"), L370, 0), 3)</f>
        <v/>
      </c>
      <c r="U370" s="20">
        <f>ROUND(U369 + IF(AND(E370=20, F370&lt;&gt;"ASTM A416"), L370, 0), 3)</f>
        <v/>
      </c>
      <c r="V370" s="20">
        <f>ROUND(V369 + IF(AND(E370=22, F370&lt;&gt;"ASTM A416"), L370, 0), 3)</f>
        <v/>
      </c>
      <c r="W370" s="20">
        <f>ROUND(W369 + IF(AND(E370=25, F370&lt;&gt;"ASTM A416"), L370, 0), 3)</f>
        <v/>
      </c>
      <c r="X370" s="20">
        <f>ROUND(X369 + IF(AND(E370=28, F370&lt;&gt;"ASTM A416"), L370, 0), 3)</f>
        <v/>
      </c>
      <c r="Y370" s="20">
        <f>ROUND(Y369 + IF(AND(E370=32, F370&lt;&gt;"ASTM A416"), L370, 0), 3)</f>
        <v/>
      </c>
      <c r="Z370" s="20">
        <f>ROUND(Z369 + IF(F370="ASTM A416", L370, 0), 3)</f>
        <v/>
      </c>
      <c r="AA370" s="11">
        <f>IF(INT(P370/20)&gt;INT(P369/20), "Lần " &amp; INT(P370/20), "")</f>
        <v/>
      </c>
      <c r="AB370" s="11">
        <f>IF(INT(Q370/20)&gt;INT(Q369/20), "Lần " &amp; INT(Q370/20), "")</f>
        <v/>
      </c>
      <c r="AC370" s="11">
        <f>IF(INT(R370/20)&gt;INT(R369/20), "Lần " &amp; INT(R370/20), "")</f>
        <v/>
      </c>
      <c r="AD370" s="11">
        <f>IF(INT(S370/20)&gt;INT(S369/20), "Lần " &amp; INT(S370/20), "")</f>
        <v/>
      </c>
      <c r="AE370" s="11">
        <f>IF(INT(T370/20)&gt;INT(T369/20), "Lần " &amp; INT(T370/20), "")</f>
        <v/>
      </c>
      <c r="AF370" s="11">
        <f>IF(INT(U370/20)&gt;INT(U369/20), "Lần " &amp; INT(U370/20), "")</f>
        <v/>
      </c>
      <c r="AG370" s="11">
        <f>IF(INT(V370/20)&gt;INT(V369/20), "Lần " &amp; INT(V370/20), "")</f>
        <v/>
      </c>
      <c r="AH370" s="11">
        <f>IF(INT(W370/20)&gt;INT(W369/20), "Lần " &amp; INT(W370/20), "")</f>
        <v/>
      </c>
      <c r="AI370" s="11">
        <f>IF(INT(X370/20)&gt;INT(X369/20), "Lần " &amp; INT(X370/20), "")</f>
        <v/>
      </c>
      <c r="AJ370" s="11">
        <f>IF(INT(Y370/20)&gt;INT(Y369/20), "Lần " &amp; INT(Y370/20), "")</f>
        <v/>
      </c>
      <c r="AK370" s="11">
        <f>IF(INT(Z370/20)&gt;INT(Z369/20), "Lần " &amp; INT(Z370/20), "")</f>
        <v/>
      </c>
      <c r="AL370" s="6" t="inlineStr">
        <is>
          <t>ĐẠT TCVN 1651:2018</t>
        </is>
      </c>
    </row>
    <row r="371" ht="19" customHeight="1">
      <c r="A371" s="6" t="n">
        <v>345</v>
      </c>
      <c r="B371" s="7" t="inlineStr">
        <is>
          <t>Cọc khoan nhồi C4 Mố M2 (D1.2m, L=36.0m)</t>
        </is>
      </c>
      <c r="C371" s="7" t="inlineStr">
        <is>
          <t>Cốt thép chủ chịu lực cọc</t>
        </is>
      </c>
      <c r="D371" s="18" t="inlineStr">
        <is>
          <t>P7</t>
        </is>
      </c>
      <c r="E371" s="19" t="n">
        <v>25</v>
      </c>
      <c r="F371" s="6" t="inlineStr">
        <is>
          <t>CB400-V</t>
        </is>
      </c>
      <c r="G371" s="7" t="inlineStr">
        <is>
          <t>Thanh thẳng nối ren/hàn</t>
        </is>
      </c>
      <c r="H371" s="20" t="n">
        <v>6.153</v>
      </c>
      <c r="I371" s="21" t="n">
        <v>12</v>
      </c>
      <c r="J371" s="22" t="n">
        <v>3.85</v>
      </c>
      <c r="K371" s="9">
        <f>ROUND(H371*I371*J371, 2)</f>
        <v/>
      </c>
      <c r="L371" s="23">
        <f>ROUND(K371/1000, 3)</f>
        <v/>
      </c>
      <c r="M371" s="8" t="n"/>
      <c r="N371" s="6" t="n"/>
      <c r="O371" s="24">
        <f>IF(AND(E371&lt;=10, F371&lt;&gt;"ASTM A416", INT(P371/20)&gt;INT(P370/20)), "TN Ø10 (Lần " &amp; INT(P371/20) &amp; ")", IF(AND(E371=12, INT(Q371/20)&gt;INT(Q370/20)), "TN Ø12 (Lần " &amp; INT(Q371/20) &amp; ")", IF(AND(E371=14, INT(R371/20)&gt;INT(R370/20)), "TN Ø14 (Lần " &amp; INT(R371/20) &amp; ")", IF(AND(E371=16, INT(S371/20)&gt;INT(S370/20)), "TN Ø16 (Lần " &amp; INT(S371/20) &amp; ")", IF(AND(E371=18, INT(T371/20)&gt;INT(T370/20)), "TN Ø18 (Lần " &amp; INT(T371/20) &amp; ")", IF(AND(E371=20, INT(U371/20)&gt;INT(U370/20)), "TN Ø20 (Lần " &amp; INT(U371/20) &amp; ")", IF(AND(E371=22, INT(V371/20)&gt;INT(V370/20)), "TN Ø22 (Lần " &amp; INT(V371/20) &amp; ")", IF(AND(E371=25, INT(W371/20)&gt;INT(W370/20)), "TN Ø25 (Lần " &amp; INT(W371/20) &amp; ")", IF(AND(E371=28, INT(X371/20)&gt;INT(X370/20)), "TN Ø28 (Lần " &amp; INT(X371/20) &amp; ")", IF(AND(E371=32, INT(Y371/20)&gt;INT(Y370/20)), "TN Ø32 (Lần " &amp; INT(Y371/20) &amp; ")", IF(AND(F371="ASTM A416", INT(Z371/20)&gt;INT(Z370/20)), "TN Cáp 15.2 (Lần " &amp; INT(Z371/20) &amp; ")", "")))))))))))</f>
        <v/>
      </c>
      <c r="P371" s="20">
        <f>ROUND(P370 + IF(AND(E371&lt;=10, F371&lt;&gt;"ASTM A416"), L371, 0), 3)</f>
        <v/>
      </c>
      <c r="Q371" s="20">
        <f>ROUND(Q370 + IF(AND(E371=12, F371&lt;&gt;"ASTM A416"), L371, 0), 3)</f>
        <v/>
      </c>
      <c r="R371" s="20">
        <f>ROUND(R370 + IF(AND(E371=14, F371&lt;&gt;"ASTM A416"), L371, 0), 3)</f>
        <v/>
      </c>
      <c r="S371" s="20">
        <f>ROUND(S370 + IF(AND(E371=16, F371&lt;&gt;"ASTM A416"), L371, 0), 3)</f>
        <v/>
      </c>
      <c r="T371" s="20">
        <f>ROUND(T370 + IF(AND(E371=18, F371&lt;&gt;"ASTM A416"), L371, 0), 3)</f>
        <v/>
      </c>
      <c r="U371" s="20">
        <f>ROUND(U370 + IF(AND(E371=20, F371&lt;&gt;"ASTM A416"), L371, 0), 3)</f>
        <v/>
      </c>
      <c r="V371" s="20">
        <f>ROUND(V370 + IF(AND(E371=22, F371&lt;&gt;"ASTM A416"), L371, 0), 3)</f>
        <v/>
      </c>
      <c r="W371" s="20">
        <f>ROUND(W370 + IF(AND(E371=25, F371&lt;&gt;"ASTM A416"), L371, 0), 3)</f>
        <v/>
      </c>
      <c r="X371" s="20">
        <f>ROUND(X370 + IF(AND(E371=28, F371&lt;&gt;"ASTM A416"), L371, 0), 3)</f>
        <v/>
      </c>
      <c r="Y371" s="20">
        <f>ROUND(Y370 + IF(AND(E371=32, F371&lt;&gt;"ASTM A416"), L371, 0), 3)</f>
        <v/>
      </c>
      <c r="Z371" s="20">
        <f>ROUND(Z370 + IF(F371="ASTM A416", L371, 0), 3)</f>
        <v/>
      </c>
      <c r="AA371" s="11">
        <f>IF(INT(P371/20)&gt;INT(P370/20), "Lần " &amp; INT(P371/20), "")</f>
        <v/>
      </c>
      <c r="AB371" s="11">
        <f>IF(INT(Q371/20)&gt;INT(Q370/20), "Lần " &amp; INT(Q371/20), "")</f>
        <v/>
      </c>
      <c r="AC371" s="11">
        <f>IF(INT(R371/20)&gt;INT(R370/20), "Lần " &amp; INT(R371/20), "")</f>
        <v/>
      </c>
      <c r="AD371" s="11">
        <f>IF(INT(S371/20)&gt;INT(S370/20), "Lần " &amp; INT(S371/20), "")</f>
        <v/>
      </c>
      <c r="AE371" s="11">
        <f>IF(INT(T371/20)&gt;INT(T370/20), "Lần " &amp; INT(T371/20), "")</f>
        <v/>
      </c>
      <c r="AF371" s="11">
        <f>IF(INT(U371/20)&gt;INT(U370/20), "Lần " &amp; INT(U371/20), "")</f>
        <v/>
      </c>
      <c r="AG371" s="11">
        <f>IF(INT(V371/20)&gt;INT(V370/20), "Lần " &amp; INT(V371/20), "")</f>
        <v/>
      </c>
      <c r="AH371" s="11">
        <f>IF(INT(W371/20)&gt;INT(W370/20), "Lần " &amp; INT(W371/20), "")</f>
        <v/>
      </c>
      <c r="AI371" s="11">
        <f>IF(INT(X371/20)&gt;INT(X370/20), "Lần " &amp; INT(X371/20), "")</f>
        <v/>
      </c>
      <c r="AJ371" s="11">
        <f>IF(INT(Y371/20)&gt;INT(Y370/20), "Lần " &amp; INT(Y371/20), "")</f>
        <v/>
      </c>
      <c r="AK371" s="11">
        <f>IF(INT(Z371/20)&gt;INT(Z370/20), "Lần " &amp; INT(Z371/20), "")</f>
        <v/>
      </c>
      <c r="AL371" s="6" t="inlineStr">
        <is>
          <t>ĐẠT TCVN 1651:2018</t>
        </is>
      </c>
    </row>
    <row r="372" ht="19" customHeight="1">
      <c r="A372" s="6" t="n">
        <v>346</v>
      </c>
      <c r="B372" s="7" t="inlineStr">
        <is>
          <t>Cọc khoan nhồi C4 Mố M2 (D1.2m, L=36.0m)</t>
        </is>
      </c>
      <c r="C372" s="7" t="inlineStr">
        <is>
          <t>Đai tăng cường / Con kê bảo vệ</t>
        </is>
      </c>
      <c r="D372" s="18" t="inlineStr">
        <is>
          <t>P8</t>
        </is>
      </c>
      <c r="E372" s="19" t="n">
        <v>12</v>
      </c>
      <c r="F372" s="6" t="inlineStr">
        <is>
          <t>CB400-V</t>
        </is>
      </c>
      <c r="G372" s="7" t="inlineStr">
        <is>
          <t>Móc neo / Vòng đai</t>
        </is>
      </c>
      <c r="H372" s="20" t="n">
        <v>0.647</v>
      </c>
      <c r="I372" s="21" t="n">
        <v>15</v>
      </c>
      <c r="J372" s="22" t="n">
        <v>0.888</v>
      </c>
      <c r="K372" s="9">
        <f>ROUND(H372*I372*J372, 2)</f>
        <v/>
      </c>
      <c r="L372" s="23">
        <f>ROUND(K372/1000, 3)</f>
        <v/>
      </c>
      <c r="M372" s="8" t="n"/>
      <c r="N372" s="6" t="n"/>
      <c r="O372" s="24">
        <f>IF(AND(E372&lt;=10, F372&lt;&gt;"ASTM A416", INT(P372/20)&gt;INT(P371/20)), "TN Ø10 (Lần " &amp; INT(P372/20) &amp; ")", IF(AND(E372=12, INT(Q372/20)&gt;INT(Q371/20)), "TN Ø12 (Lần " &amp; INT(Q372/20) &amp; ")", IF(AND(E372=14, INT(R372/20)&gt;INT(R371/20)), "TN Ø14 (Lần " &amp; INT(R372/20) &amp; ")", IF(AND(E372=16, INT(S372/20)&gt;INT(S371/20)), "TN Ø16 (Lần " &amp; INT(S372/20) &amp; ")", IF(AND(E372=18, INT(T372/20)&gt;INT(T371/20)), "TN Ø18 (Lần " &amp; INT(T372/20) &amp; ")", IF(AND(E372=20, INT(U372/20)&gt;INT(U371/20)), "TN Ø20 (Lần " &amp; INT(U372/20) &amp; ")", IF(AND(E372=22, INT(V372/20)&gt;INT(V371/20)), "TN Ø22 (Lần " &amp; INT(V372/20) &amp; ")", IF(AND(E372=25, INT(W372/20)&gt;INT(W371/20)), "TN Ø25 (Lần " &amp; INT(W372/20) &amp; ")", IF(AND(E372=28, INT(X372/20)&gt;INT(X371/20)), "TN Ø28 (Lần " &amp; INT(X372/20) &amp; ")", IF(AND(E372=32, INT(Y372/20)&gt;INT(Y371/20)), "TN Ø32 (Lần " &amp; INT(Y372/20) &amp; ")", IF(AND(F372="ASTM A416", INT(Z372/20)&gt;INT(Z371/20)), "TN Cáp 15.2 (Lần " &amp; INT(Z372/20) &amp; ")", "")))))))))))</f>
        <v/>
      </c>
      <c r="P372" s="20">
        <f>ROUND(P371 + IF(AND(E372&lt;=10, F372&lt;&gt;"ASTM A416"), L372, 0), 3)</f>
        <v/>
      </c>
      <c r="Q372" s="20">
        <f>ROUND(Q371 + IF(AND(E372=12, F372&lt;&gt;"ASTM A416"), L372, 0), 3)</f>
        <v/>
      </c>
      <c r="R372" s="20">
        <f>ROUND(R371 + IF(AND(E372=14, F372&lt;&gt;"ASTM A416"), L372, 0), 3)</f>
        <v/>
      </c>
      <c r="S372" s="20">
        <f>ROUND(S371 + IF(AND(E372=16, F372&lt;&gt;"ASTM A416"), L372, 0), 3)</f>
        <v/>
      </c>
      <c r="T372" s="20">
        <f>ROUND(T371 + IF(AND(E372=18, F372&lt;&gt;"ASTM A416"), L372, 0), 3)</f>
        <v/>
      </c>
      <c r="U372" s="20">
        <f>ROUND(U371 + IF(AND(E372=20, F372&lt;&gt;"ASTM A416"), L372, 0), 3)</f>
        <v/>
      </c>
      <c r="V372" s="20">
        <f>ROUND(V371 + IF(AND(E372=22, F372&lt;&gt;"ASTM A416"), L372, 0), 3)</f>
        <v/>
      </c>
      <c r="W372" s="20">
        <f>ROUND(W371 + IF(AND(E372=25, F372&lt;&gt;"ASTM A416"), L372, 0), 3)</f>
        <v/>
      </c>
      <c r="X372" s="20">
        <f>ROUND(X371 + IF(AND(E372=28, F372&lt;&gt;"ASTM A416"), L372, 0), 3)</f>
        <v/>
      </c>
      <c r="Y372" s="20">
        <f>ROUND(Y371 + IF(AND(E372=32, F372&lt;&gt;"ASTM A416"), L372, 0), 3)</f>
        <v/>
      </c>
      <c r="Z372" s="20">
        <f>ROUND(Z371 + IF(F372="ASTM A416", L372, 0), 3)</f>
        <v/>
      </c>
      <c r="AA372" s="11">
        <f>IF(INT(P372/20)&gt;INT(P371/20), "Lần " &amp; INT(P372/20), "")</f>
        <v/>
      </c>
      <c r="AB372" s="11">
        <f>IF(INT(Q372/20)&gt;INT(Q371/20), "Lần " &amp; INT(Q372/20), "")</f>
        <v/>
      </c>
      <c r="AC372" s="11">
        <f>IF(INT(R372/20)&gt;INT(R371/20), "Lần " &amp; INT(R372/20), "")</f>
        <v/>
      </c>
      <c r="AD372" s="11">
        <f>IF(INT(S372/20)&gt;INT(S371/20), "Lần " &amp; INT(S372/20), "")</f>
        <v/>
      </c>
      <c r="AE372" s="11">
        <f>IF(INT(T372/20)&gt;INT(T371/20), "Lần " &amp; INT(T372/20), "")</f>
        <v/>
      </c>
      <c r="AF372" s="11">
        <f>IF(INT(U372/20)&gt;INT(U371/20), "Lần " &amp; INT(U372/20), "")</f>
        <v/>
      </c>
      <c r="AG372" s="11">
        <f>IF(INT(V372/20)&gt;INT(V371/20), "Lần " &amp; INT(V372/20), "")</f>
        <v/>
      </c>
      <c r="AH372" s="11">
        <f>IF(INT(W372/20)&gt;INT(W371/20), "Lần " &amp; INT(W372/20), "")</f>
        <v/>
      </c>
      <c r="AI372" s="11">
        <f>IF(INT(X372/20)&gt;INT(X371/20), "Lần " &amp; INT(X372/20), "")</f>
        <v/>
      </c>
      <c r="AJ372" s="11">
        <f>IF(INT(Y372/20)&gt;INT(Y371/20), "Lần " &amp; INT(Y372/20), "")</f>
        <v/>
      </c>
      <c r="AK372" s="11">
        <f>IF(INT(Z372/20)&gt;INT(Z371/20), "Lần " &amp; INT(Z372/20), "")</f>
        <v/>
      </c>
      <c r="AL372" s="6" t="inlineStr">
        <is>
          <t>ĐẠT TCVN 1651:2018</t>
        </is>
      </c>
    </row>
    <row r="373" ht="19" customHeight="1">
      <c r="A373" s="6" t="n">
        <v>347</v>
      </c>
      <c r="B373" s="7" t="inlineStr">
        <is>
          <t>Cọc khoan nhồi C4 Mố M2 (D1.2m, L=36.0m)</t>
        </is>
      </c>
      <c r="C373" s="7" t="inlineStr">
        <is>
          <t>Đai tăng cường / Con kê bảo vệ</t>
        </is>
      </c>
      <c r="D373" s="18" t="inlineStr">
        <is>
          <t>P9</t>
        </is>
      </c>
      <c r="E373" s="19" t="n">
        <v>12</v>
      </c>
      <c r="F373" s="6" t="inlineStr">
        <is>
          <t>CB400-V</t>
        </is>
      </c>
      <c r="G373" s="7" t="inlineStr">
        <is>
          <t>Móc neo / Vòng đai</t>
        </is>
      </c>
      <c r="H373" s="20" t="n">
        <v>0.379</v>
      </c>
      <c r="I373" s="21" t="n">
        <v>45</v>
      </c>
      <c r="J373" s="22" t="n">
        <v>0.888</v>
      </c>
      <c r="K373" s="9">
        <f>ROUND(H373*I373*J373, 2)</f>
        <v/>
      </c>
      <c r="L373" s="23">
        <f>ROUND(K373/1000, 3)</f>
        <v/>
      </c>
      <c r="M373" s="8" t="n"/>
      <c r="N373" s="6" t="n"/>
      <c r="O373" s="24">
        <f>IF(AND(E373&lt;=10, F373&lt;&gt;"ASTM A416", INT(P373/20)&gt;INT(P372/20)), "TN Ø10 (Lần " &amp; INT(P373/20) &amp; ")", IF(AND(E373=12, INT(Q373/20)&gt;INT(Q372/20)), "TN Ø12 (Lần " &amp; INT(Q373/20) &amp; ")", IF(AND(E373=14, INT(R373/20)&gt;INT(R372/20)), "TN Ø14 (Lần " &amp; INT(R373/20) &amp; ")", IF(AND(E373=16, INT(S373/20)&gt;INT(S372/20)), "TN Ø16 (Lần " &amp; INT(S373/20) &amp; ")", IF(AND(E373=18, INT(T373/20)&gt;INT(T372/20)), "TN Ø18 (Lần " &amp; INT(T373/20) &amp; ")", IF(AND(E373=20, INT(U373/20)&gt;INT(U372/20)), "TN Ø20 (Lần " &amp; INT(U373/20) &amp; ")", IF(AND(E373=22, INT(V373/20)&gt;INT(V372/20)), "TN Ø22 (Lần " &amp; INT(V373/20) &amp; ")", IF(AND(E373=25, INT(W373/20)&gt;INT(W372/20)), "TN Ø25 (Lần " &amp; INT(W373/20) &amp; ")", IF(AND(E373=28, INT(X373/20)&gt;INT(X372/20)), "TN Ø28 (Lần " &amp; INT(X373/20) &amp; ")", IF(AND(E373=32, INT(Y373/20)&gt;INT(Y372/20)), "TN Ø32 (Lần " &amp; INT(Y373/20) &amp; ")", IF(AND(F373="ASTM A416", INT(Z373/20)&gt;INT(Z372/20)), "TN Cáp 15.2 (Lần " &amp; INT(Z373/20) &amp; ")", "")))))))))))</f>
        <v/>
      </c>
      <c r="P373" s="20">
        <f>ROUND(P372 + IF(AND(E373&lt;=10, F373&lt;&gt;"ASTM A416"), L373, 0), 3)</f>
        <v/>
      </c>
      <c r="Q373" s="20">
        <f>ROUND(Q372 + IF(AND(E373=12, F373&lt;&gt;"ASTM A416"), L373, 0), 3)</f>
        <v/>
      </c>
      <c r="R373" s="20">
        <f>ROUND(R372 + IF(AND(E373=14, F373&lt;&gt;"ASTM A416"), L373, 0), 3)</f>
        <v/>
      </c>
      <c r="S373" s="20">
        <f>ROUND(S372 + IF(AND(E373=16, F373&lt;&gt;"ASTM A416"), L373, 0), 3)</f>
        <v/>
      </c>
      <c r="T373" s="20">
        <f>ROUND(T372 + IF(AND(E373=18, F373&lt;&gt;"ASTM A416"), L373, 0), 3)</f>
        <v/>
      </c>
      <c r="U373" s="20">
        <f>ROUND(U372 + IF(AND(E373=20, F373&lt;&gt;"ASTM A416"), L373, 0), 3)</f>
        <v/>
      </c>
      <c r="V373" s="20">
        <f>ROUND(V372 + IF(AND(E373=22, F373&lt;&gt;"ASTM A416"), L373, 0), 3)</f>
        <v/>
      </c>
      <c r="W373" s="20">
        <f>ROUND(W372 + IF(AND(E373=25, F373&lt;&gt;"ASTM A416"), L373, 0), 3)</f>
        <v/>
      </c>
      <c r="X373" s="20">
        <f>ROUND(X372 + IF(AND(E373=28, F373&lt;&gt;"ASTM A416"), L373, 0), 3)</f>
        <v/>
      </c>
      <c r="Y373" s="20">
        <f>ROUND(Y372 + IF(AND(E373=32, F373&lt;&gt;"ASTM A416"), L373, 0), 3)</f>
        <v/>
      </c>
      <c r="Z373" s="20">
        <f>ROUND(Z372 + IF(F373="ASTM A416", L373, 0), 3)</f>
        <v/>
      </c>
      <c r="AA373" s="11">
        <f>IF(INT(P373/20)&gt;INT(P372/20), "Lần " &amp; INT(P373/20), "")</f>
        <v/>
      </c>
      <c r="AB373" s="11">
        <f>IF(INT(Q373/20)&gt;INT(Q372/20), "Lần " &amp; INT(Q373/20), "")</f>
        <v/>
      </c>
      <c r="AC373" s="11">
        <f>IF(INT(R373/20)&gt;INT(R372/20), "Lần " &amp; INT(R373/20), "")</f>
        <v/>
      </c>
      <c r="AD373" s="11">
        <f>IF(INT(S373/20)&gt;INT(S372/20), "Lần " &amp; INT(S373/20), "")</f>
        <v/>
      </c>
      <c r="AE373" s="11">
        <f>IF(INT(T373/20)&gt;INT(T372/20), "Lần " &amp; INT(T373/20), "")</f>
        <v/>
      </c>
      <c r="AF373" s="11">
        <f>IF(INT(U373/20)&gt;INT(U372/20), "Lần " &amp; INT(U373/20), "")</f>
        <v/>
      </c>
      <c r="AG373" s="11">
        <f>IF(INT(V373/20)&gt;INT(V372/20), "Lần " &amp; INT(V373/20), "")</f>
        <v/>
      </c>
      <c r="AH373" s="11">
        <f>IF(INT(W373/20)&gt;INT(W372/20), "Lần " &amp; INT(W373/20), "")</f>
        <v/>
      </c>
      <c r="AI373" s="11">
        <f>IF(INT(X373/20)&gt;INT(X372/20), "Lần " &amp; INT(X373/20), "")</f>
        <v/>
      </c>
      <c r="AJ373" s="11">
        <f>IF(INT(Y373/20)&gt;INT(Y372/20), "Lần " &amp; INT(Y373/20), "")</f>
        <v/>
      </c>
      <c r="AK373" s="11">
        <f>IF(INT(Z373/20)&gt;INT(Z372/20), "Lần " &amp; INT(Z373/20), "")</f>
        <v/>
      </c>
      <c r="AL373" s="6" t="inlineStr">
        <is>
          <t>ĐẠT TCVN 1651:2018</t>
        </is>
      </c>
    </row>
    <row r="374" ht="19" customHeight="1">
      <c r="A374" s="6" t="n">
        <v>348</v>
      </c>
      <c r="B374" s="7" t="inlineStr">
        <is>
          <t>Cọc khoan nhồi C4 Mố M2 (D1.2m, L=36.0m)</t>
        </is>
      </c>
      <c r="C374" s="7" t="inlineStr">
        <is>
          <t>Thép đai xoắn lồng cọc</t>
        </is>
      </c>
      <c r="D374" s="18" t="inlineStr">
        <is>
          <t>P10</t>
        </is>
      </c>
      <c r="E374" s="19" t="n">
        <v>20</v>
      </c>
      <c r="F374" s="6" t="inlineStr">
        <is>
          <t>CB400-V</t>
        </is>
      </c>
      <c r="G374" s="7" t="inlineStr">
        <is>
          <t>Đai xoắn tròn</t>
        </is>
      </c>
      <c r="H374" s="20" t="n">
        <v>2.057</v>
      </c>
      <c r="I374" s="21" t="n">
        <v>1</v>
      </c>
      <c r="J374" s="22" t="n">
        <v>2.47</v>
      </c>
      <c r="K374" s="9">
        <f>ROUND(H374*I374*J374, 2)</f>
        <v/>
      </c>
      <c r="L374" s="23">
        <f>ROUND(K374/1000, 3)</f>
        <v/>
      </c>
      <c r="M374" s="8" t="n"/>
      <c r="N374" s="6" t="n"/>
      <c r="O374" s="24">
        <f>IF(AND(E374&lt;=10, F374&lt;&gt;"ASTM A416", INT(P374/20)&gt;INT(P373/20)), "TN Ø10 (Lần " &amp; INT(P374/20) &amp; ")", IF(AND(E374=12, INT(Q374/20)&gt;INT(Q373/20)), "TN Ø12 (Lần " &amp; INT(Q374/20) &amp; ")", IF(AND(E374=14, INT(R374/20)&gt;INT(R373/20)), "TN Ø14 (Lần " &amp; INT(R374/20) &amp; ")", IF(AND(E374=16, INT(S374/20)&gt;INT(S373/20)), "TN Ø16 (Lần " &amp; INT(S374/20) &amp; ")", IF(AND(E374=18, INT(T374/20)&gt;INT(T373/20)), "TN Ø18 (Lần " &amp; INT(T374/20) &amp; ")", IF(AND(E374=20, INT(U374/20)&gt;INT(U373/20)), "TN Ø20 (Lần " &amp; INT(U374/20) &amp; ")", IF(AND(E374=22, INT(V374/20)&gt;INT(V373/20)), "TN Ø22 (Lần " &amp; INT(V374/20) &amp; ")", IF(AND(E374=25, INT(W374/20)&gt;INT(W373/20)), "TN Ø25 (Lần " &amp; INT(W374/20) &amp; ")", IF(AND(E374=28, INT(X374/20)&gt;INT(X373/20)), "TN Ø28 (Lần " &amp; INT(X374/20) &amp; ")", IF(AND(E374=32, INT(Y374/20)&gt;INT(Y373/20)), "TN Ø32 (Lần " &amp; INT(Y374/20) &amp; ")", IF(AND(F374="ASTM A416", INT(Z374/20)&gt;INT(Z373/20)), "TN Cáp 15.2 (Lần " &amp; INT(Z374/20) &amp; ")", "")))))))))))</f>
        <v/>
      </c>
      <c r="P374" s="20">
        <f>ROUND(P373 + IF(AND(E374&lt;=10, F374&lt;&gt;"ASTM A416"), L374, 0), 3)</f>
        <v/>
      </c>
      <c r="Q374" s="20">
        <f>ROUND(Q373 + IF(AND(E374=12, F374&lt;&gt;"ASTM A416"), L374, 0), 3)</f>
        <v/>
      </c>
      <c r="R374" s="20">
        <f>ROUND(R373 + IF(AND(E374=14, F374&lt;&gt;"ASTM A416"), L374, 0), 3)</f>
        <v/>
      </c>
      <c r="S374" s="20">
        <f>ROUND(S373 + IF(AND(E374=16, F374&lt;&gt;"ASTM A416"), L374, 0), 3)</f>
        <v/>
      </c>
      <c r="T374" s="20">
        <f>ROUND(T373 + IF(AND(E374=18, F374&lt;&gt;"ASTM A416"), L374, 0), 3)</f>
        <v/>
      </c>
      <c r="U374" s="20">
        <f>ROUND(U373 + IF(AND(E374=20, F374&lt;&gt;"ASTM A416"), L374, 0), 3)</f>
        <v/>
      </c>
      <c r="V374" s="20">
        <f>ROUND(V373 + IF(AND(E374=22, F374&lt;&gt;"ASTM A416"), L374, 0), 3)</f>
        <v/>
      </c>
      <c r="W374" s="20">
        <f>ROUND(W373 + IF(AND(E374=25, F374&lt;&gt;"ASTM A416"), L374, 0), 3)</f>
        <v/>
      </c>
      <c r="X374" s="20">
        <f>ROUND(X373 + IF(AND(E374=28, F374&lt;&gt;"ASTM A416"), L374, 0), 3)</f>
        <v/>
      </c>
      <c r="Y374" s="20">
        <f>ROUND(Y373 + IF(AND(E374=32, F374&lt;&gt;"ASTM A416"), L374, 0), 3)</f>
        <v/>
      </c>
      <c r="Z374" s="20">
        <f>ROUND(Z373 + IF(F374="ASTM A416", L374, 0), 3)</f>
        <v/>
      </c>
      <c r="AA374" s="11">
        <f>IF(INT(P374/20)&gt;INT(P373/20), "Lần " &amp; INT(P374/20), "")</f>
        <v/>
      </c>
      <c r="AB374" s="11">
        <f>IF(INT(Q374/20)&gt;INT(Q373/20), "Lần " &amp; INT(Q374/20), "")</f>
        <v/>
      </c>
      <c r="AC374" s="11">
        <f>IF(INT(R374/20)&gt;INT(R373/20), "Lần " &amp; INT(R374/20), "")</f>
        <v/>
      </c>
      <c r="AD374" s="11">
        <f>IF(INT(S374/20)&gt;INT(S373/20), "Lần " &amp; INT(S374/20), "")</f>
        <v/>
      </c>
      <c r="AE374" s="11">
        <f>IF(INT(T374/20)&gt;INT(T373/20), "Lần " &amp; INT(T374/20), "")</f>
        <v/>
      </c>
      <c r="AF374" s="11">
        <f>IF(INT(U374/20)&gt;INT(U373/20), "Lần " &amp; INT(U374/20), "")</f>
        <v/>
      </c>
      <c r="AG374" s="11">
        <f>IF(INT(V374/20)&gt;INT(V373/20), "Lần " &amp; INT(V374/20), "")</f>
        <v/>
      </c>
      <c r="AH374" s="11">
        <f>IF(INT(W374/20)&gt;INT(W373/20), "Lần " &amp; INT(W374/20), "")</f>
        <v/>
      </c>
      <c r="AI374" s="11">
        <f>IF(INT(X374/20)&gt;INT(X373/20), "Lần " &amp; INT(X374/20), "")</f>
        <v/>
      </c>
      <c r="AJ374" s="11">
        <f>IF(INT(Y374/20)&gt;INT(Y373/20), "Lần " &amp; INT(Y374/20), "")</f>
        <v/>
      </c>
      <c r="AK374" s="11">
        <f>IF(INT(Z374/20)&gt;INT(Z373/20), "Lần " &amp; INT(Z374/20), "")</f>
        <v/>
      </c>
      <c r="AL374" s="6" t="inlineStr">
        <is>
          <t>ĐẠT TCVN 1651:2018</t>
        </is>
      </c>
    </row>
    <row r="375" ht="19" customHeight="1">
      <c r="A375" s="6" t="n">
        <v>349</v>
      </c>
      <c r="B375" s="7" t="inlineStr">
        <is>
          <t>Cọc khoan nhồi C4 Mố M2 (D1.2m, L=36.0m)</t>
        </is>
      </c>
      <c r="C375" s="7" t="inlineStr">
        <is>
          <t>Thanh thép treo lồng cọc</t>
        </is>
      </c>
      <c r="D375" s="18" t="inlineStr">
        <is>
          <t>P11</t>
        </is>
      </c>
      <c r="E375" s="19" t="n">
        <v>16</v>
      </c>
      <c r="F375" s="6" t="inlineStr">
        <is>
          <t>CB400-V</t>
        </is>
      </c>
      <c r="G375" s="7" t="inlineStr">
        <is>
          <t>Thanh treo lồng (bảng phụ tr.66)</t>
        </is>
      </c>
      <c r="H375" s="20" t="n">
        <v>2.484</v>
      </c>
      <c r="I375" s="21" t="n">
        <v>4</v>
      </c>
      <c r="J375" s="22" t="n">
        <v>1.58</v>
      </c>
      <c r="K375" s="9">
        <f>ROUND(H375*I375*J375, 2)</f>
        <v/>
      </c>
      <c r="L375" s="23">
        <f>ROUND(K375/1000, 3)</f>
        <v/>
      </c>
      <c r="M375" s="8" t="n"/>
      <c r="N375" s="6" t="n"/>
      <c r="O375" s="24">
        <f>IF(AND(E375&lt;=10, F375&lt;&gt;"ASTM A416", INT(P375/20)&gt;INT(P374/20)), "TN Ø10 (Lần " &amp; INT(P375/20) &amp; ")", IF(AND(E375=12, INT(Q375/20)&gt;INT(Q374/20)), "TN Ø12 (Lần " &amp; INT(Q375/20) &amp; ")", IF(AND(E375=14, INT(R375/20)&gt;INT(R374/20)), "TN Ø14 (Lần " &amp; INT(R375/20) &amp; ")", IF(AND(E375=16, INT(S375/20)&gt;INT(S374/20)), "TN Ø16 (Lần " &amp; INT(S375/20) &amp; ")", IF(AND(E375=18, INT(T375/20)&gt;INT(T374/20)), "TN Ø18 (Lần " &amp; INT(T375/20) &amp; ")", IF(AND(E375=20, INT(U375/20)&gt;INT(U374/20)), "TN Ø20 (Lần " &amp; INT(U375/20) &amp; ")", IF(AND(E375=22, INT(V375/20)&gt;INT(V374/20)), "TN Ø22 (Lần " &amp; INT(V375/20) &amp; ")", IF(AND(E375=25, INT(W375/20)&gt;INT(W374/20)), "TN Ø25 (Lần " &amp; INT(W375/20) &amp; ")", IF(AND(E375=28, INT(X375/20)&gt;INT(X374/20)), "TN Ø28 (Lần " &amp; INT(X375/20) &amp; ")", IF(AND(E375=32, INT(Y375/20)&gt;INT(Y374/20)), "TN Ø32 (Lần " &amp; INT(Y375/20) &amp; ")", IF(AND(F375="ASTM A416", INT(Z375/20)&gt;INT(Z374/20)), "TN Cáp 15.2 (Lần " &amp; INT(Z375/20) &amp; ")", "")))))))))))</f>
        <v/>
      </c>
      <c r="P375" s="20">
        <f>ROUND(P374 + IF(AND(E375&lt;=10, F375&lt;&gt;"ASTM A416"), L375, 0), 3)</f>
        <v/>
      </c>
      <c r="Q375" s="20">
        <f>ROUND(Q374 + IF(AND(E375=12, F375&lt;&gt;"ASTM A416"), L375, 0), 3)</f>
        <v/>
      </c>
      <c r="R375" s="20">
        <f>ROUND(R374 + IF(AND(E375=14, F375&lt;&gt;"ASTM A416"), L375, 0), 3)</f>
        <v/>
      </c>
      <c r="S375" s="20">
        <f>ROUND(S374 + IF(AND(E375=16, F375&lt;&gt;"ASTM A416"), L375, 0), 3)</f>
        <v/>
      </c>
      <c r="T375" s="20">
        <f>ROUND(T374 + IF(AND(E375=18, F375&lt;&gt;"ASTM A416"), L375, 0), 3)</f>
        <v/>
      </c>
      <c r="U375" s="20">
        <f>ROUND(U374 + IF(AND(E375=20, F375&lt;&gt;"ASTM A416"), L375, 0), 3)</f>
        <v/>
      </c>
      <c r="V375" s="20">
        <f>ROUND(V374 + IF(AND(E375=22, F375&lt;&gt;"ASTM A416"), L375, 0), 3)</f>
        <v/>
      </c>
      <c r="W375" s="20">
        <f>ROUND(W374 + IF(AND(E375=25, F375&lt;&gt;"ASTM A416"), L375, 0), 3)</f>
        <v/>
      </c>
      <c r="X375" s="20">
        <f>ROUND(X374 + IF(AND(E375=28, F375&lt;&gt;"ASTM A416"), L375, 0), 3)</f>
        <v/>
      </c>
      <c r="Y375" s="20">
        <f>ROUND(Y374 + IF(AND(E375=32, F375&lt;&gt;"ASTM A416"), L375, 0), 3)</f>
        <v/>
      </c>
      <c r="Z375" s="20">
        <f>ROUND(Z374 + IF(F375="ASTM A416", L375, 0), 3)</f>
        <v/>
      </c>
      <c r="AA375" s="11">
        <f>IF(INT(P375/20)&gt;INT(P374/20), "Lần " &amp; INT(P375/20), "")</f>
        <v/>
      </c>
      <c r="AB375" s="11">
        <f>IF(INT(Q375/20)&gt;INT(Q374/20), "Lần " &amp; INT(Q375/20), "")</f>
        <v/>
      </c>
      <c r="AC375" s="11">
        <f>IF(INT(R375/20)&gt;INT(R374/20), "Lần " &amp; INT(R375/20), "")</f>
        <v/>
      </c>
      <c r="AD375" s="11">
        <f>IF(INT(S375/20)&gt;INT(S374/20), "Lần " &amp; INT(S375/20), "")</f>
        <v/>
      </c>
      <c r="AE375" s="11">
        <f>IF(INT(T375/20)&gt;INT(T374/20), "Lần " &amp; INT(T375/20), "")</f>
        <v/>
      </c>
      <c r="AF375" s="11">
        <f>IF(INT(U375/20)&gt;INT(U374/20), "Lần " &amp; INT(U375/20), "")</f>
        <v/>
      </c>
      <c r="AG375" s="11">
        <f>IF(INT(V375/20)&gt;INT(V374/20), "Lần " &amp; INT(V375/20), "")</f>
        <v/>
      </c>
      <c r="AH375" s="11">
        <f>IF(INT(W375/20)&gt;INT(W374/20), "Lần " &amp; INT(W375/20), "")</f>
        <v/>
      </c>
      <c r="AI375" s="11">
        <f>IF(INT(X375/20)&gt;INT(X374/20), "Lần " &amp; INT(X375/20), "")</f>
        <v/>
      </c>
      <c r="AJ375" s="11">
        <f>IF(INT(Y375/20)&gt;INT(Y374/20), "Lần " &amp; INT(Y375/20), "")</f>
        <v/>
      </c>
      <c r="AK375" s="11">
        <f>IF(INT(Z375/20)&gt;INT(Z374/20), "Lần " &amp; INT(Z375/20), "")</f>
        <v/>
      </c>
      <c r="AL375" s="6" t="inlineStr">
        <is>
          <t>ĐẠT TCVN 1651:2018</t>
        </is>
      </c>
    </row>
    <row r="376" ht="19" customHeight="1">
      <c r="A376" s="6" t="n">
        <v>350</v>
      </c>
      <c r="B376" s="7" t="inlineStr">
        <is>
          <t>Cọc khoan nhồi C4 Mố M2 (D1.2m, L=36.0m)</t>
        </is>
      </c>
      <c r="C376" s="7" t="inlineStr">
        <is>
          <t>Thép đai xoắn lồng cọc</t>
        </is>
      </c>
      <c r="D376" s="18" t="inlineStr">
        <is>
          <t>P12</t>
        </is>
      </c>
      <c r="E376" s="19" t="n">
        <v>20</v>
      </c>
      <c r="F376" s="6" t="inlineStr">
        <is>
          <t>CB400-V</t>
        </is>
      </c>
      <c r="G376" s="7" t="inlineStr">
        <is>
          <t>Đai xoắn tròn</t>
        </is>
      </c>
      <c r="H376" s="20" t="n">
        <v>0.583</v>
      </c>
      <c r="I376" s="21" t="n">
        <v>60</v>
      </c>
      <c r="J376" s="22" t="n">
        <v>2.47</v>
      </c>
      <c r="K376" s="9">
        <f>ROUND(H376*I376*J376, 2)</f>
        <v/>
      </c>
      <c r="L376" s="23">
        <f>ROUND(K376/1000, 3)</f>
        <v/>
      </c>
      <c r="M376" s="8" t="n"/>
      <c r="N376" s="6" t="n"/>
      <c r="O376" s="24">
        <f>IF(AND(E376&lt;=10, F376&lt;&gt;"ASTM A416", INT(P376/20)&gt;INT(P375/20)), "TN Ø10 (Lần " &amp; INT(P376/20) &amp; ")", IF(AND(E376=12, INT(Q376/20)&gt;INT(Q375/20)), "TN Ø12 (Lần " &amp; INT(Q376/20) &amp; ")", IF(AND(E376=14, INT(R376/20)&gt;INT(R375/20)), "TN Ø14 (Lần " &amp; INT(R376/20) &amp; ")", IF(AND(E376=16, INT(S376/20)&gt;INT(S375/20)), "TN Ø16 (Lần " &amp; INT(S376/20) &amp; ")", IF(AND(E376=18, INT(T376/20)&gt;INT(T375/20)), "TN Ø18 (Lần " &amp; INT(T376/20) &amp; ")", IF(AND(E376=20, INT(U376/20)&gt;INT(U375/20)), "TN Ø20 (Lần " &amp; INT(U376/20) &amp; ")", IF(AND(E376=22, INT(V376/20)&gt;INT(V375/20)), "TN Ø22 (Lần " &amp; INT(V376/20) &amp; ")", IF(AND(E376=25, INT(W376/20)&gt;INT(W375/20)), "TN Ø25 (Lần " &amp; INT(W376/20) &amp; ")", IF(AND(E376=28, INT(X376/20)&gt;INT(X375/20)), "TN Ø28 (Lần " &amp; INT(X376/20) &amp; ")", IF(AND(E376=32, INT(Y376/20)&gt;INT(Y375/20)), "TN Ø32 (Lần " &amp; INT(Y376/20) &amp; ")", IF(AND(F376="ASTM A416", INT(Z376/20)&gt;INT(Z375/20)), "TN Cáp 15.2 (Lần " &amp; INT(Z376/20) &amp; ")", "")))))))))))</f>
        <v/>
      </c>
      <c r="P376" s="20">
        <f>ROUND(P375 + IF(AND(E376&lt;=10, F376&lt;&gt;"ASTM A416"), L376, 0), 3)</f>
        <v/>
      </c>
      <c r="Q376" s="20">
        <f>ROUND(Q375 + IF(AND(E376=12, F376&lt;&gt;"ASTM A416"), L376, 0), 3)</f>
        <v/>
      </c>
      <c r="R376" s="20">
        <f>ROUND(R375 + IF(AND(E376=14, F376&lt;&gt;"ASTM A416"), L376, 0), 3)</f>
        <v/>
      </c>
      <c r="S376" s="20">
        <f>ROUND(S375 + IF(AND(E376=16, F376&lt;&gt;"ASTM A416"), L376, 0), 3)</f>
        <v/>
      </c>
      <c r="T376" s="20">
        <f>ROUND(T375 + IF(AND(E376=18, F376&lt;&gt;"ASTM A416"), L376, 0), 3)</f>
        <v/>
      </c>
      <c r="U376" s="20">
        <f>ROUND(U375 + IF(AND(E376=20, F376&lt;&gt;"ASTM A416"), L376, 0), 3)</f>
        <v/>
      </c>
      <c r="V376" s="20">
        <f>ROUND(V375 + IF(AND(E376=22, F376&lt;&gt;"ASTM A416"), L376, 0), 3)</f>
        <v/>
      </c>
      <c r="W376" s="20">
        <f>ROUND(W375 + IF(AND(E376=25, F376&lt;&gt;"ASTM A416"), L376, 0), 3)</f>
        <v/>
      </c>
      <c r="X376" s="20">
        <f>ROUND(X375 + IF(AND(E376=28, F376&lt;&gt;"ASTM A416"), L376, 0), 3)</f>
        <v/>
      </c>
      <c r="Y376" s="20">
        <f>ROUND(Y375 + IF(AND(E376=32, F376&lt;&gt;"ASTM A416"), L376, 0), 3)</f>
        <v/>
      </c>
      <c r="Z376" s="20">
        <f>ROUND(Z375 + IF(F376="ASTM A416", L376, 0), 3)</f>
        <v/>
      </c>
      <c r="AA376" s="11">
        <f>IF(INT(P376/20)&gt;INT(P375/20), "Lần " &amp; INT(P376/20), "")</f>
        <v/>
      </c>
      <c r="AB376" s="11">
        <f>IF(INT(Q376/20)&gt;INT(Q375/20), "Lần " &amp; INT(Q376/20), "")</f>
        <v/>
      </c>
      <c r="AC376" s="11">
        <f>IF(INT(R376/20)&gt;INT(R375/20), "Lần " &amp; INT(R376/20), "")</f>
        <v/>
      </c>
      <c r="AD376" s="11">
        <f>IF(INT(S376/20)&gt;INT(S375/20), "Lần " &amp; INT(S376/20), "")</f>
        <v/>
      </c>
      <c r="AE376" s="11">
        <f>IF(INT(T376/20)&gt;INT(T375/20), "Lần " &amp; INT(T376/20), "")</f>
        <v/>
      </c>
      <c r="AF376" s="11">
        <f>IF(INT(U376/20)&gt;INT(U375/20), "Lần " &amp; INT(U376/20), "")</f>
        <v/>
      </c>
      <c r="AG376" s="11">
        <f>IF(INT(V376/20)&gt;INT(V375/20), "Lần " &amp; INT(V376/20), "")</f>
        <v/>
      </c>
      <c r="AH376" s="11">
        <f>IF(INT(W376/20)&gt;INT(W375/20), "Lần " &amp; INT(W376/20), "")</f>
        <v/>
      </c>
      <c r="AI376" s="11">
        <f>IF(INT(X376/20)&gt;INT(X375/20), "Lần " &amp; INT(X376/20), "")</f>
        <v/>
      </c>
      <c r="AJ376" s="11">
        <f>IF(INT(Y376/20)&gt;INT(Y375/20), "Lần " &amp; INT(Y376/20), "")</f>
        <v/>
      </c>
      <c r="AK376" s="11">
        <f>IF(INT(Z376/20)&gt;INT(Z375/20), "Lần " &amp; INT(Z376/20), "")</f>
        <v/>
      </c>
      <c r="AL376" s="6" t="inlineStr">
        <is>
          <t>ĐẠT TCVN 1651:2018</t>
        </is>
      </c>
    </row>
    <row r="377" ht="20" customHeight="1">
      <c r="A377" s="17" t="inlineStr">
        <is>
          <t>--- CỌC KHOAN NHỒI C5 MỐ M2 (D1.2M, L=36.0M) ---</t>
        </is>
      </c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5" t="n"/>
      <c r="AE377" s="5" t="n"/>
      <c r="AF377" s="5" t="n"/>
      <c r="AG377" s="5" t="n"/>
      <c r="AH377" s="5" t="n"/>
      <c r="AI377" s="5" t="n"/>
      <c r="AJ377" s="5" t="n"/>
      <c r="AK377" s="5" t="n"/>
      <c r="AL377" s="5" t="n"/>
    </row>
    <row r="378" ht="19" customHeight="1">
      <c r="A378" s="6" t="n">
        <v>351</v>
      </c>
      <c r="B378" s="7" t="inlineStr">
        <is>
          <t>Cọc khoan nhồi C5 Mố M2 (D1.2m, L=36.0m)</t>
        </is>
      </c>
      <c r="C378" s="7" t="inlineStr">
        <is>
          <t>Thép đai xoắn lồng cọc</t>
        </is>
      </c>
      <c r="D378" s="18" t="inlineStr">
        <is>
          <t>P1</t>
        </is>
      </c>
      <c r="E378" s="19" t="n">
        <v>10</v>
      </c>
      <c r="F378" s="6" t="inlineStr">
        <is>
          <t>CB240-T</t>
        </is>
      </c>
      <c r="G378" s="7" t="inlineStr">
        <is>
          <t>Đai xoắn tròn</t>
        </is>
      </c>
      <c r="H378" s="20" t="n">
        <v>96.887</v>
      </c>
      <c r="I378" s="21" t="n">
        <v>1</v>
      </c>
      <c r="J378" s="22" t="n">
        <v>0.617</v>
      </c>
      <c r="K378" s="9">
        <f>ROUND(H378*I378*J378, 2)</f>
        <v/>
      </c>
      <c r="L378" s="23">
        <f>ROUND(K378/1000, 3)</f>
        <v/>
      </c>
      <c r="M378" s="8" t="n"/>
      <c r="N378" s="6" t="n"/>
      <c r="O378" s="24">
        <f>IF(AND(E378&lt;=10, F378&lt;&gt;"ASTM A416", INT(P378/20)&gt;INT(P376/20)), "TN Ø10 (Lần " &amp; INT(P378/20) &amp; ")", IF(AND(E378=12, INT(Q378/20)&gt;INT(Q376/20)), "TN Ø12 (Lần " &amp; INT(Q378/20) &amp; ")", IF(AND(E378=14, INT(R378/20)&gt;INT(R376/20)), "TN Ø14 (Lần " &amp; INT(R378/20) &amp; ")", IF(AND(E378=16, INT(S378/20)&gt;INT(S376/20)), "TN Ø16 (Lần " &amp; INT(S378/20) &amp; ")", IF(AND(E378=18, INT(T378/20)&gt;INT(T376/20)), "TN Ø18 (Lần " &amp; INT(T378/20) &amp; ")", IF(AND(E378=20, INT(U378/20)&gt;INT(U376/20)), "TN Ø20 (Lần " &amp; INT(U378/20) &amp; ")", IF(AND(E378=22, INT(V378/20)&gt;INT(V376/20)), "TN Ø22 (Lần " &amp; INT(V378/20) &amp; ")", IF(AND(E378=25, INT(W378/20)&gt;INT(W376/20)), "TN Ø25 (Lần " &amp; INT(W378/20) &amp; ")", IF(AND(E378=28, INT(X378/20)&gt;INT(X376/20)), "TN Ø28 (Lần " &amp; INT(X378/20) &amp; ")", IF(AND(E378=32, INT(Y378/20)&gt;INT(Y376/20)), "TN Ø32 (Lần " &amp; INT(Y378/20) &amp; ")", IF(AND(F378="ASTM A416", INT(Z378/20)&gt;INT(Z376/20)), "TN Cáp 15.2 (Lần " &amp; INT(Z378/20) &amp; ")", "")))))))))))</f>
        <v/>
      </c>
      <c r="P378" s="20">
        <f>ROUND(P376 + IF(AND(E378&lt;=10, F378&lt;&gt;"ASTM A416"), L378, 0), 3)</f>
        <v/>
      </c>
      <c r="Q378" s="20">
        <f>ROUND(Q376 + IF(AND(E378=12, F378&lt;&gt;"ASTM A416"), L378, 0), 3)</f>
        <v/>
      </c>
      <c r="R378" s="20">
        <f>ROUND(R376 + IF(AND(E378=14, F378&lt;&gt;"ASTM A416"), L378, 0), 3)</f>
        <v/>
      </c>
      <c r="S378" s="20">
        <f>ROUND(S376 + IF(AND(E378=16, F378&lt;&gt;"ASTM A416"), L378, 0), 3)</f>
        <v/>
      </c>
      <c r="T378" s="20">
        <f>ROUND(T376 + IF(AND(E378=18, F378&lt;&gt;"ASTM A416"), L378, 0), 3)</f>
        <v/>
      </c>
      <c r="U378" s="20">
        <f>ROUND(U376 + IF(AND(E378=20, F378&lt;&gt;"ASTM A416"), L378, 0), 3)</f>
        <v/>
      </c>
      <c r="V378" s="20">
        <f>ROUND(V376 + IF(AND(E378=22, F378&lt;&gt;"ASTM A416"), L378, 0), 3)</f>
        <v/>
      </c>
      <c r="W378" s="20">
        <f>ROUND(W376 + IF(AND(E378=25, F378&lt;&gt;"ASTM A416"), L378, 0), 3)</f>
        <v/>
      </c>
      <c r="X378" s="20">
        <f>ROUND(X376 + IF(AND(E378=28, F378&lt;&gt;"ASTM A416"), L378, 0), 3)</f>
        <v/>
      </c>
      <c r="Y378" s="20">
        <f>ROUND(Y376 + IF(AND(E378=32, F378&lt;&gt;"ASTM A416"), L378, 0), 3)</f>
        <v/>
      </c>
      <c r="Z378" s="20">
        <f>ROUND(Z376 + IF(F378="ASTM A416", L378, 0), 3)</f>
        <v/>
      </c>
      <c r="AA378" s="11">
        <f>IF(INT(P378/20)&gt;INT(P376/20), "Lần " &amp; INT(P378/20), "")</f>
        <v/>
      </c>
      <c r="AB378" s="11">
        <f>IF(INT(Q378/20)&gt;INT(Q376/20), "Lần " &amp; INT(Q378/20), "")</f>
        <v/>
      </c>
      <c r="AC378" s="11">
        <f>IF(INT(R378/20)&gt;INT(R376/20), "Lần " &amp; INT(R378/20), "")</f>
        <v/>
      </c>
      <c r="AD378" s="11">
        <f>IF(INT(S378/20)&gt;INT(S376/20), "Lần " &amp; INT(S378/20), "")</f>
        <v/>
      </c>
      <c r="AE378" s="11">
        <f>IF(INT(T378/20)&gt;INT(T376/20), "Lần " &amp; INT(T378/20), "")</f>
        <v/>
      </c>
      <c r="AF378" s="11">
        <f>IF(INT(U378/20)&gt;INT(U376/20), "Lần " &amp; INT(U378/20), "")</f>
        <v/>
      </c>
      <c r="AG378" s="11">
        <f>IF(INT(V378/20)&gt;INT(V376/20), "Lần " &amp; INT(V378/20), "")</f>
        <v/>
      </c>
      <c r="AH378" s="11">
        <f>IF(INT(W378/20)&gt;INT(W376/20), "Lần " &amp; INT(W378/20), "")</f>
        <v/>
      </c>
      <c r="AI378" s="11">
        <f>IF(INT(X378/20)&gt;INT(X376/20), "Lần " &amp; INT(X378/20), "")</f>
        <v/>
      </c>
      <c r="AJ378" s="11">
        <f>IF(INT(Y378/20)&gt;INT(Y376/20), "Lần " &amp; INT(Y378/20), "")</f>
        <v/>
      </c>
      <c r="AK378" s="11">
        <f>IF(INT(Z378/20)&gt;INT(Z376/20), "Lần " &amp; INT(Z378/20), "")</f>
        <v/>
      </c>
      <c r="AL378" s="6" t="inlineStr">
        <is>
          <t>ĐẠT TCVN 1651:2018</t>
        </is>
      </c>
    </row>
    <row r="379" ht="19" customHeight="1">
      <c r="A379" s="6" t="n">
        <v>352</v>
      </c>
      <c r="B379" s="7" t="inlineStr">
        <is>
          <t>Cọc khoan nhồi C5 Mố M2 (D1.2m, L=36.0m)</t>
        </is>
      </c>
      <c r="C379" s="7" t="inlineStr">
        <is>
          <t>Thép đai xoắn lồng cọc</t>
        </is>
      </c>
      <c r="D379" s="18" t="inlineStr">
        <is>
          <t>P1A</t>
        </is>
      </c>
      <c r="E379" s="19" t="n">
        <v>10</v>
      </c>
      <c r="F379" s="6" t="inlineStr">
        <is>
          <t>CB240-T</t>
        </is>
      </c>
      <c r="G379" s="7" t="inlineStr">
        <is>
          <t>Đai xoắn tròn</t>
        </is>
      </c>
      <c r="H379" s="20" t="n">
        <v>390.776</v>
      </c>
      <c r="I379" s="21" t="n">
        <v>1</v>
      </c>
      <c r="J379" s="22" t="n">
        <v>0.617</v>
      </c>
      <c r="K379" s="9">
        <f>ROUND(H379*I379*J379, 2)</f>
        <v/>
      </c>
      <c r="L379" s="23">
        <f>ROUND(K379/1000, 3)</f>
        <v/>
      </c>
      <c r="M379" s="8" t="n"/>
      <c r="N379" s="6" t="n"/>
      <c r="O379" s="24">
        <f>IF(AND(E379&lt;=10, F379&lt;&gt;"ASTM A416", INT(P379/20)&gt;INT(P378/20)), "TN Ø10 (Lần " &amp; INT(P379/20) &amp; ")", IF(AND(E379=12, INT(Q379/20)&gt;INT(Q378/20)), "TN Ø12 (Lần " &amp; INT(Q379/20) &amp; ")", IF(AND(E379=14, INT(R379/20)&gt;INT(R378/20)), "TN Ø14 (Lần " &amp; INT(R379/20) &amp; ")", IF(AND(E379=16, INT(S379/20)&gt;INT(S378/20)), "TN Ø16 (Lần " &amp; INT(S379/20) &amp; ")", IF(AND(E379=18, INT(T379/20)&gt;INT(T378/20)), "TN Ø18 (Lần " &amp; INT(T379/20) &amp; ")", IF(AND(E379=20, INT(U379/20)&gt;INT(U378/20)), "TN Ø20 (Lần " &amp; INT(U379/20) &amp; ")", IF(AND(E379=22, INT(V379/20)&gt;INT(V378/20)), "TN Ø22 (Lần " &amp; INT(V379/20) &amp; ")", IF(AND(E379=25, INT(W379/20)&gt;INT(W378/20)), "TN Ø25 (Lần " &amp; INT(W379/20) &amp; ")", IF(AND(E379=28, INT(X379/20)&gt;INT(X378/20)), "TN Ø28 (Lần " &amp; INT(X379/20) &amp; ")", IF(AND(E379=32, INT(Y379/20)&gt;INT(Y378/20)), "TN Ø32 (Lần " &amp; INT(Y379/20) &amp; ")", IF(AND(F379="ASTM A416", INT(Z379/20)&gt;INT(Z378/20)), "TN Cáp 15.2 (Lần " &amp; INT(Z379/20) &amp; ")", "")))))))))))</f>
        <v/>
      </c>
      <c r="P379" s="20">
        <f>ROUND(P378 + IF(AND(E379&lt;=10, F379&lt;&gt;"ASTM A416"), L379, 0), 3)</f>
        <v/>
      </c>
      <c r="Q379" s="20">
        <f>ROUND(Q378 + IF(AND(E379=12, F379&lt;&gt;"ASTM A416"), L379, 0), 3)</f>
        <v/>
      </c>
      <c r="R379" s="20">
        <f>ROUND(R378 + IF(AND(E379=14, F379&lt;&gt;"ASTM A416"), L379, 0), 3)</f>
        <v/>
      </c>
      <c r="S379" s="20">
        <f>ROUND(S378 + IF(AND(E379=16, F379&lt;&gt;"ASTM A416"), L379, 0), 3)</f>
        <v/>
      </c>
      <c r="T379" s="20">
        <f>ROUND(T378 + IF(AND(E379=18, F379&lt;&gt;"ASTM A416"), L379, 0), 3)</f>
        <v/>
      </c>
      <c r="U379" s="20">
        <f>ROUND(U378 + IF(AND(E379=20, F379&lt;&gt;"ASTM A416"), L379, 0), 3)</f>
        <v/>
      </c>
      <c r="V379" s="20">
        <f>ROUND(V378 + IF(AND(E379=22, F379&lt;&gt;"ASTM A416"), L379, 0), 3)</f>
        <v/>
      </c>
      <c r="W379" s="20">
        <f>ROUND(W378 + IF(AND(E379=25, F379&lt;&gt;"ASTM A416"), L379, 0), 3)</f>
        <v/>
      </c>
      <c r="X379" s="20">
        <f>ROUND(X378 + IF(AND(E379=28, F379&lt;&gt;"ASTM A416"), L379, 0), 3)</f>
        <v/>
      </c>
      <c r="Y379" s="20">
        <f>ROUND(Y378 + IF(AND(E379=32, F379&lt;&gt;"ASTM A416"), L379, 0), 3)</f>
        <v/>
      </c>
      <c r="Z379" s="20">
        <f>ROUND(Z378 + IF(F379="ASTM A416", L379, 0), 3)</f>
        <v/>
      </c>
      <c r="AA379" s="11">
        <f>IF(INT(P379/20)&gt;INT(P378/20), "Lần " &amp; INT(P379/20), "")</f>
        <v/>
      </c>
      <c r="AB379" s="11">
        <f>IF(INT(Q379/20)&gt;INT(Q378/20), "Lần " &amp; INT(Q379/20), "")</f>
        <v/>
      </c>
      <c r="AC379" s="11">
        <f>IF(INT(R379/20)&gt;INT(R378/20), "Lần " &amp; INT(R379/20), "")</f>
        <v/>
      </c>
      <c r="AD379" s="11">
        <f>IF(INT(S379/20)&gt;INT(S378/20), "Lần " &amp; INT(S379/20), "")</f>
        <v/>
      </c>
      <c r="AE379" s="11">
        <f>IF(INT(T379/20)&gt;INT(T378/20), "Lần " &amp; INT(T379/20), "")</f>
        <v/>
      </c>
      <c r="AF379" s="11">
        <f>IF(INT(U379/20)&gt;INT(U378/20), "Lần " &amp; INT(U379/20), "")</f>
        <v/>
      </c>
      <c r="AG379" s="11">
        <f>IF(INT(V379/20)&gt;INT(V378/20), "Lần " &amp; INT(V379/20), "")</f>
        <v/>
      </c>
      <c r="AH379" s="11">
        <f>IF(INT(W379/20)&gt;INT(W378/20), "Lần " &amp; INT(W379/20), "")</f>
        <v/>
      </c>
      <c r="AI379" s="11">
        <f>IF(INT(X379/20)&gt;INT(X378/20), "Lần " &amp; INT(X379/20), "")</f>
        <v/>
      </c>
      <c r="AJ379" s="11">
        <f>IF(INT(Y379/20)&gt;INT(Y378/20), "Lần " &amp; INT(Y379/20), "")</f>
        <v/>
      </c>
      <c r="AK379" s="11">
        <f>IF(INT(Z379/20)&gt;INT(Z378/20), "Lần " &amp; INT(Z379/20), "")</f>
        <v/>
      </c>
      <c r="AL379" s="6" t="inlineStr">
        <is>
          <t>ĐẠT TCVN 1651:2018</t>
        </is>
      </c>
    </row>
    <row r="380" ht="19" customHeight="1">
      <c r="A380" s="6" t="n">
        <v>353</v>
      </c>
      <c r="B380" s="7" t="inlineStr">
        <is>
          <t>Cọc khoan nhồi C5 Mố M2 (D1.2m, L=36.0m)</t>
        </is>
      </c>
      <c r="C380" s="7" t="inlineStr">
        <is>
          <t>Thép đai xoắn lồng cọc</t>
        </is>
      </c>
      <c r="D380" s="18" t="inlineStr">
        <is>
          <t>P1B</t>
        </is>
      </c>
      <c r="E380" s="19" t="n">
        <v>10</v>
      </c>
      <c r="F380" s="6" t="inlineStr">
        <is>
          <t>CB240-T</t>
        </is>
      </c>
      <c r="G380" s="7" t="inlineStr">
        <is>
          <t>Đai xoắn tròn</t>
        </is>
      </c>
      <c r="H380" s="20" t="n">
        <v>164.938</v>
      </c>
      <c r="I380" s="21" t="n">
        <v>1</v>
      </c>
      <c r="J380" s="22" t="n">
        <v>0.617</v>
      </c>
      <c r="K380" s="9">
        <f>ROUND(H380*I380*J380, 2)</f>
        <v/>
      </c>
      <c r="L380" s="23">
        <f>ROUND(K380/1000, 3)</f>
        <v/>
      </c>
      <c r="M380" s="8" t="n"/>
      <c r="N380" s="6" t="n"/>
      <c r="O380" s="24">
        <f>IF(AND(E380&lt;=10, F380&lt;&gt;"ASTM A416", INT(P380/20)&gt;INT(P379/20)), "TN Ø10 (Lần " &amp; INT(P380/20) &amp; ")", IF(AND(E380=12, INT(Q380/20)&gt;INT(Q379/20)), "TN Ø12 (Lần " &amp; INT(Q380/20) &amp; ")", IF(AND(E380=14, INT(R380/20)&gt;INT(R379/20)), "TN Ø14 (Lần " &amp; INT(R380/20) &amp; ")", IF(AND(E380=16, INT(S380/20)&gt;INT(S379/20)), "TN Ø16 (Lần " &amp; INT(S380/20) &amp; ")", IF(AND(E380=18, INT(T380/20)&gt;INT(T379/20)), "TN Ø18 (Lần " &amp; INT(T380/20) &amp; ")", IF(AND(E380=20, INT(U380/20)&gt;INT(U379/20)), "TN Ø20 (Lần " &amp; INT(U380/20) &amp; ")", IF(AND(E380=22, INT(V380/20)&gt;INT(V379/20)), "TN Ø22 (Lần " &amp; INT(V380/20) &amp; ")", IF(AND(E380=25, INT(W380/20)&gt;INT(W379/20)), "TN Ø25 (Lần " &amp; INT(W380/20) &amp; ")", IF(AND(E380=28, INT(X380/20)&gt;INT(X379/20)), "TN Ø28 (Lần " &amp; INT(X380/20) &amp; ")", IF(AND(E380=32, INT(Y380/20)&gt;INT(Y379/20)), "TN Ø32 (Lần " &amp; INT(Y380/20) &amp; ")", IF(AND(F380="ASTM A416", INT(Z380/20)&gt;INT(Z379/20)), "TN Cáp 15.2 (Lần " &amp; INT(Z380/20) &amp; ")", "")))))))))))</f>
        <v/>
      </c>
      <c r="P380" s="20">
        <f>ROUND(P379 + IF(AND(E380&lt;=10, F380&lt;&gt;"ASTM A416"), L380, 0), 3)</f>
        <v/>
      </c>
      <c r="Q380" s="20">
        <f>ROUND(Q379 + IF(AND(E380=12, F380&lt;&gt;"ASTM A416"), L380, 0), 3)</f>
        <v/>
      </c>
      <c r="R380" s="20">
        <f>ROUND(R379 + IF(AND(E380=14, F380&lt;&gt;"ASTM A416"), L380, 0), 3)</f>
        <v/>
      </c>
      <c r="S380" s="20">
        <f>ROUND(S379 + IF(AND(E380=16, F380&lt;&gt;"ASTM A416"), L380, 0), 3)</f>
        <v/>
      </c>
      <c r="T380" s="20">
        <f>ROUND(T379 + IF(AND(E380=18, F380&lt;&gt;"ASTM A416"), L380, 0), 3)</f>
        <v/>
      </c>
      <c r="U380" s="20">
        <f>ROUND(U379 + IF(AND(E380=20, F380&lt;&gt;"ASTM A416"), L380, 0), 3)</f>
        <v/>
      </c>
      <c r="V380" s="20">
        <f>ROUND(V379 + IF(AND(E380=22, F380&lt;&gt;"ASTM A416"), L380, 0), 3)</f>
        <v/>
      </c>
      <c r="W380" s="20">
        <f>ROUND(W379 + IF(AND(E380=25, F380&lt;&gt;"ASTM A416"), L380, 0), 3)</f>
        <v/>
      </c>
      <c r="X380" s="20">
        <f>ROUND(X379 + IF(AND(E380=28, F380&lt;&gt;"ASTM A416"), L380, 0), 3)</f>
        <v/>
      </c>
      <c r="Y380" s="20">
        <f>ROUND(Y379 + IF(AND(E380=32, F380&lt;&gt;"ASTM A416"), L380, 0), 3)</f>
        <v/>
      </c>
      <c r="Z380" s="20">
        <f>ROUND(Z379 + IF(F380="ASTM A416", L380, 0), 3)</f>
        <v/>
      </c>
      <c r="AA380" s="11">
        <f>IF(INT(P380/20)&gt;INT(P379/20), "Lần " &amp; INT(P380/20), "")</f>
        <v/>
      </c>
      <c r="AB380" s="11">
        <f>IF(INT(Q380/20)&gt;INT(Q379/20), "Lần " &amp; INT(Q380/20), "")</f>
        <v/>
      </c>
      <c r="AC380" s="11">
        <f>IF(INT(R380/20)&gt;INT(R379/20), "Lần " &amp; INT(R380/20), "")</f>
        <v/>
      </c>
      <c r="AD380" s="11">
        <f>IF(INT(S380/20)&gt;INT(S379/20), "Lần " &amp; INT(S380/20), "")</f>
        <v/>
      </c>
      <c r="AE380" s="11">
        <f>IF(INT(T380/20)&gt;INT(T379/20), "Lần " &amp; INT(T380/20), "")</f>
        <v/>
      </c>
      <c r="AF380" s="11">
        <f>IF(INT(U380/20)&gt;INT(U379/20), "Lần " &amp; INT(U380/20), "")</f>
        <v/>
      </c>
      <c r="AG380" s="11">
        <f>IF(INT(V380/20)&gt;INT(V379/20), "Lần " &amp; INT(V380/20), "")</f>
        <v/>
      </c>
      <c r="AH380" s="11">
        <f>IF(INT(W380/20)&gt;INT(W379/20), "Lần " &amp; INT(W380/20), "")</f>
        <v/>
      </c>
      <c r="AI380" s="11">
        <f>IF(INT(X380/20)&gt;INT(X379/20), "Lần " &amp; INT(X380/20), "")</f>
        <v/>
      </c>
      <c r="AJ380" s="11">
        <f>IF(INT(Y380/20)&gt;INT(Y379/20), "Lần " &amp; INT(Y380/20), "")</f>
        <v/>
      </c>
      <c r="AK380" s="11">
        <f>IF(INT(Z380/20)&gt;INT(Z379/20), "Lần " &amp; INT(Z380/20), "")</f>
        <v/>
      </c>
      <c r="AL380" s="6" t="inlineStr">
        <is>
          <t>ĐẠT TCVN 1651:2018</t>
        </is>
      </c>
    </row>
    <row r="381" ht="19" customHeight="1">
      <c r="A381" s="6" t="n">
        <v>354</v>
      </c>
      <c r="B381" s="7" t="inlineStr">
        <is>
          <t>Cọc khoan nhồi C5 Mố M2 (D1.2m, L=36.0m)</t>
        </is>
      </c>
      <c r="C381" s="7" t="inlineStr">
        <is>
          <t>Thép đai xoắn lồng cọc</t>
        </is>
      </c>
      <c r="D381" s="18" t="inlineStr">
        <is>
          <t>P1C</t>
        </is>
      </c>
      <c r="E381" s="19" t="n">
        <v>10</v>
      </c>
      <c r="F381" s="6" t="inlineStr">
        <is>
          <t>CB240-T</t>
        </is>
      </c>
      <c r="G381" s="7" t="inlineStr">
        <is>
          <t>Đai xoắn tròn</t>
        </is>
      </c>
      <c r="H381" s="20" t="n">
        <v>3.592</v>
      </c>
      <c r="I381" s="21" t="n">
        <v>2</v>
      </c>
      <c r="J381" s="22" t="n">
        <v>0.617</v>
      </c>
      <c r="K381" s="9">
        <f>ROUND(H381*I381*J381, 2)</f>
        <v/>
      </c>
      <c r="L381" s="23">
        <f>ROUND(K381/1000, 3)</f>
        <v/>
      </c>
      <c r="M381" s="8" t="n"/>
      <c r="N381" s="6" t="n"/>
      <c r="O381" s="24">
        <f>IF(AND(E381&lt;=10, F381&lt;&gt;"ASTM A416", INT(P381/20)&gt;INT(P380/20)), "TN Ø10 (Lần " &amp; INT(P381/20) &amp; ")", IF(AND(E381=12, INT(Q381/20)&gt;INT(Q380/20)), "TN Ø12 (Lần " &amp; INT(Q381/20) &amp; ")", IF(AND(E381=14, INT(R381/20)&gt;INT(R380/20)), "TN Ø14 (Lần " &amp; INT(R381/20) &amp; ")", IF(AND(E381=16, INT(S381/20)&gt;INT(S380/20)), "TN Ø16 (Lần " &amp; INT(S381/20) &amp; ")", IF(AND(E381=18, INT(T381/20)&gt;INT(T380/20)), "TN Ø18 (Lần " &amp; INT(T381/20) &amp; ")", IF(AND(E381=20, INT(U381/20)&gt;INT(U380/20)), "TN Ø20 (Lần " &amp; INT(U381/20) &amp; ")", IF(AND(E381=22, INT(V381/20)&gt;INT(V380/20)), "TN Ø22 (Lần " &amp; INT(V381/20) &amp; ")", IF(AND(E381=25, INT(W381/20)&gt;INT(W380/20)), "TN Ø25 (Lần " &amp; INT(W381/20) &amp; ")", IF(AND(E381=28, INT(X381/20)&gt;INT(X380/20)), "TN Ø28 (Lần " &amp; INT(X381/20) &amp; ")", IF(AND(E381=32, INT(Y381/20)&gt;INT(Y380/20)), "TN Ø32 (Lần " &amp; INT(Y381/20) &amp; ")", IF(AND(F381="ASTM A416", INT(Z381/20)&gt;INT(Z380/20)), "TN Cáp 15.2 (Lần " &amp; INT(Z381/20) &amp; ")", "")))))))))))</f>
        <v/>
      </c>
      <c r="P381" s="20">
        <f>ROUND(P380 + IF(AND(E381&lt;=10, F381&lt;&gt;"ASTM A416"), L381, 0), 3)</f>
        <v/>
      </c>
      <c r="Q381" s="20">
        <f>ROUND(Q380 + IF(AND(E381=12, F381&lt;&gt;"ASTM A416"), L381, 0), 3)</f>
        <v/>
      </c>
      <c r="R381" s="20">
        <f>ROUND(R380 + IF(AND(E381=14, F381&lt;&gt;"ASTM A416"), L381, 0), 3)</f>
        <v/>
      </c>
      <c r="S381" s="20">
        <f>ROUND(S380 + IF(AND(E381=16, F381&lt;&gt;"ASTM A416"), L381, 0), 3)</f>
        <v/>
      </c>
      <c r="T381" s="20">
        <f>ROUND(T380 + IF(AND(E381=18, F381&lt;&gt;"ASTM A416"), L381, 0), 3)</f>
        <v/>
      </c>
      <c r="U381" s="20">
        <f>ROUND(U380 + IF(AND(E381=20, F381&lt;&gt;"ASTM A416"), L381, 0), 3)</f>
        <v/>
      </c>
      <c r="V381" s="20">
        <f>ROUND(V380 + IF(AND(E381=22, F381&lt;&gt;"ASTM A416"), L381, 0), 3)</f>
        <v/>
      </c>
      <c r="W381" s="20">
        <f>ROUND(W380 + IF(AND(E381=25, F381&lt;&gt;"ASTM A416"), L381, 0), 3)</f>
        <v/>
      </c>
      <c r="X381" s="20">
        <f>ROUND(X380 + IF(AND(E381=28, F381&lt;&gt;"ASTM A416"), L381, 0), 3)</f>
        <v/>
      </c>
      <c r="Y381" s="20">
        <f>ROUND(Y380 + IF(AND(E381=32, F381&lt;&gt;"ASTM A416"), L381, 0), 3)</f>
        <v/>
      </c>
      <c r="Z381" s="20">
        <f>ROUND(Z380 + IF(F381="ASTM A416", L381, 0), 3)</f>
        <v/>
      </c>
      <c r="AA381" s="11">
        <f>IF(INT(P381/20)&gt;INT(P380/20), "Lần " &amp; INT(P381/20), "")</f>
        <v/>
      </c>
      <c r="AB381" s="11">
        <f>IF(INT(Q381/20)&gt;INT(Q380/20), "Lần " &amp; INT(Q381/20), "")</f>
        <v/>
      </c>
      <c r="AC381" s="11">
        <f>IF(INT(R381/20)&gt;INT(R380/20), "Lần " &amp; INT(R381/20), "")</f>
        <v/>
      </c>
      <c r="AD381" s="11">
        <f>IF(INT(S381/20)&gt;INT(S380/20), "Lần " &amp; INT(S381/20), "")</f>
        <v/>
      </c>
      <c r="AE381" s="11">
        <f>IF(INT(T381/20)&gt;INT(T380/20), "Lần " &amp; INT(T381/20), "")</f>
        <v/>
      </c>
      <c r="AF381" s="11">
        <f>IF(INT(U381/20)&gt;INT(U380/20), "Lần " &amp; INT(U381/20), "")</f>
        <v/>
      </c>
      <c r="AG381" s="11">
        <f>IF(INT(V381/20)&gt;INT(V380/20), "Lần " &amp; INT(V381/20), "")</f>
        <v/>
      </c>
      <c r="AH381" s="11">
        <f>IF(INT(W381/20)&gt;INT(W380/20), "Lần " &amp; INT(W381/20), "")</f>
        <v/>
      </c>
      <c r="AI381" s="11">
        <f>IF(INT(X381/20)&gt;INT(X380/20), "Lần " &amp; INT(X381/20), "")</f>
        <v/>
      </c>
      <c r="AJ381" s="11">
        <f>IF(INT(Y381/20)&gt;INT(Y380/20), "Lần " &amp; INT(Y381/20), "")</f>
        <v/>
      </c>
      <c r="AK381" s="11">
        <f>IF(INT(Z381/20)&gt;INT(Z380/20), "Lần " &amp; INT(Z381/20), "")</f>
        <v/>
      </c>
      <c r="AL381" s="6" t="inlineStr">
        <is>
          <t>ĐẠT TCVN 1651:2018</t>
        </is>
      </c>
    </row>
    <row r="382" ht="19" customHeight="1">
      <c r="A382" s="6" t="n">
        <v>355</v>
      </c>
      <c r="B382" s="7" t="inlineStr">
        <is>
          <t>Cọc khoan nhồi C5 Mố M2 (D1.2m, L=36.0m)</t>
        </is>
      </c>
      <c r="C382" s="7" t="inlineStr">
        <is>
          <t>Thép đai xoắn lồng cọc</t>
        </is>
      </c>
      <c r="D382" s="18" t="inlineStr">
        <is>
          <t>P1D</t>
        </is>
      </c>
      <c r="E382" s="19" t="n">
        <v>10</v>
      </c>
      <c r="F382" s="6" t="inlineStr">
        <is>
          <t>CB240-T</t>
        </is>
      </c>
      <c r="G382" s="7" t="inlineStr">
        <is>
          <t>Đai xoắn tròn</t>
        </is>
      </c>
      <c r="H382" s="20" t="n">
        <v>23.007</v>
      </c>
      <c r="I382" s="21" t="n">
        <v>1</v>
      </c>
      <c r="J382" s="22" t="n">
        <v>0.617</v>
      </c>
      <c r="K382" s="9">
        <f>ROUND(H382*I382*J382, 2)</f>
        <v/>
      </c>
      <c r="L382" s="23">
        <f>ROUND(K382/1000, 3)</f>
        <v/>
      </c>
      <c r="M382" s="8" t="n"/>
      <c r="N382" s="6" t="n"/>
      <c r="O382" s="24">
        <f>IF(AND(E382&lt;=10, F382&lt;&gt;"ASTM A416", INT(P382/20)&gt;INT(P381/20)), "TN Ø10 (Lần " &amp; INT(P382/20) &amp; ")", IF(AND(E382=12, INT(Q382/20)&gt;INT(Q381/20)), "TN Ø12 (Lần " &amp; INT(Q382/20) &amp; ")", IF(AND(E382=14, INT(R382/20)&gt;INT(R381/20)), "TN Ø14 (Lần " &amp; INT(R382/20) &amp; ")", IF(AND(E382=16, INT(S382/20)&gt;INT(S381/20)), "TN Ø16 (Lần " &amp; INT(S382/20) &amp; ")", IF(AND(E382=18, INT(T382/20)&gt;INT(T381/20)), "TN Ø18 (Lần " &amp; INT(T382/20) &amp; ")", IF(AND(E382=20, INT(U382/20)&gt;INT(U381/20)), "TN Ø20 (Lần " &amp; INT(U382/20) &amp; ")", IF(AND(E382=22, INT(V382/20)&gt;INT(V381/20)), "TN Ø22 (Lần " &amp; INT(V382/20) &amp; ")", IF(AND(E382=25, INT(W382/20)&gt;INT(W381/20)), "TN Ø25 (Lần " &amp; INT(W382/20) &amp; ")", IF(AND(E382=28, INT(X382/20)&gt;INT(X381/20)), "TN Ø28 (Lần " &amp; INT(X382/20) &amp; ")", IF(AND(E382=32, INT(Y382/20)&gt;INT(Y381/20)), "TN Ø32 (Lần " &amp; INT(Y382/20) &amp; ")", IF(AND(F382="ASTM A416", INT(Z382/20)&gt;INT(Z381/20)), "TN Cáp 15.2 (Lần " &amp; INT(Z382/20) &amp; ")", "")))))))))))</f>
        <v/>
      </c>
      <c r="P382" s="20">
        <f>ROUND(P381 + IF(AND(E382&lt;=10, F382&lt;&gt;"ASTM A416"), L382, 0), 3)</f>
        <v/>
      </c>
      <c r="Q382" s="20">
        <f>ROUND(Q381 + IF(AND(E382=12, F382&lt;&gt;"ASTM A416"), L382, 0), 3)</f>
        <v/>
      </c>
      <c r="R382" s="20">
        <f>ROUND(R381 + IF(AND(E382=14, F382&lt;&gt;"ASTM A416"), L382, 0), 3)</f>
        <v/>
      </c>
      <c r="S382" s="20">
        <f>ROUND(S381 + IF(AND(E382=16, F382&lt;&gt;"ASTM A416"), L382, 0), 3)</f>
        <v/>
      </c>
      <c r="T382" s="20">
        <f>ROUND(T381 + IF(AND(E382=18, F382&lt;&gt;"ASTM A416"), L382, 0), 3)</f>
        <v/>
      </c>
      <c r="U382" s="20">
        <f>ROUND(U381 + IF(AND(E382=20, F382&lt;&gt;"ASTM A416"), L382, 0), 3)</f>
        <v/>
      </c>
      <c r="V382" s="20">
        <f>ROUND(V381 + IF(AND(E382=22, F382&lt;&gt;"ASTM A416"), L382, 0), 3)</f>
        <v/>
      </c>
      <c r="W382" s="20">
        <f>ROUND(W381 + IF(AND(E382=25, F382&lt;&gt;"ASTM A416"), L382, 0), 3)</f>
        <v/>
      </c>
      <c r="X382" s="20">
        <f>ROUND(X381 + IF(AND(E382=28, F382&lt;&gt;"ASTM A416"), L382, 0), 3)</f>
        <v/>
      </c>
      <c r="Y382" s="20">
        <f>ROUND(Y381 + IF(AND(E382=32, F382&lt;&gt;"ASTM A416"), L382, 0), 3)</f>
        <v/>
      </c>
      <c r="Z382" s="20">
        <f>ROUND(Z381 + IF(F382="ASTM A416", L382, 0), 3)</f>
        <v/>
      </c>
      <c r="AA382" s="11">
        <f>IF(INT(P382/20)&gt;INT(P381/20), "Lần " &amp; INT(P382/20), "")</f>
        <v/>
      </c>
      <c r="AB382" s="11">
        <f>IF(INT(Q382/20)&gt;INT(Q381/20), "Lần " &amp; INT(Q382/20), "")</f>
        <v/>
      </c>
      <c r="AC382" s="11">
        <f>IF(INT(R382/20)&gt;INT(R381/20), "Lần " &amp; INT(R382/20), "")</f>
        <v/>
      </c>
      <c r="AD382" s="11">
        <f>IF(INT(S382/20)&gt;INT(S381/20), "Lần " &amp; INT(S382/20), "")</f>
        <v/>
      </c>
      <c r="AE382" s="11">
        <f>IF(INT(T382/20)&gt;INT(T381/20), "Lần " &amp; INT(T382/20), "")</f>
        <v/>
      </c>
      <c r="AF382" s="11">
        <f>IF(INT(U382/20)&gt;INT(U381/20), "Lần " &amp; INT(U382/20), "")</f>
        <v/>
      </c>
      <c r="AG382" s="11">
        <f>IF(INT(V382/20)&gt;INT(V381/20), "Lần " &amp; INT(V382/20), "")</f>
        <v/>
      </c>
      <c r="AH382" s="11">
        <f>IF(INT(W382/20)&gt;INT(W381/20), "Lần " &amp; INT(W382/20), "")</f>
        <v/>
      </c>
      <c r="AI382" s="11">
        <f>IF(INT(X382/20)&gt;INT(X381/20), "Lần " &amp; INT(X382/20), "")</f>
        <v/>
      </c>
      <c r="AJ382" s="11">
        <f>IF(INT(Y382/20)&gt;INT(Y381/20), "Lần " &amp; INT(Y382/20), "")</f>
        <v/>
      </c>
      <c r="AK382" s="11">
        <f>IF(INT(Z382/20)&gt;INT(Z381/20), "Lần " &amp; INT(Z382/20), "")</f>
        <v/>
      </c>
      <c r="AL382" s="6" t="inlineStr">
        <is>
          <t>ĐẠT TCVN 1651:2018</t>
        </is>
      </c>
    </row>
    <row r="383" ht="19" customHeight="1">
      <c r="A383" s="6" t="n">
        <v>356</v>
      </c>
      <c r="B383" s="7" t="inlineStr">
        <is>
          <t>Cọc khoan nhồi C5 Mố M2 (D1.2m, L=36.0m)</t>
        </is>
      </c>
      <c r="C383" s="7" t="inlineStr">
        <is>
          <t>Cốt thép chủ chịu lực cọc</t>
        </is>
      </c>
      <c r="D383" s="18" t="inlineStr">
        <is>
          <t>P2A</t>
        </is>
      </c>
      <c r="E383" s="19" t="n">
        <v>28</v>
      </c>
      <c r="F383" s="6" t="inlineStr">
        <is>
          <t>CB400-V</t>
        </is>
      </c>
      <c r="G383" s="7" t="inlineStr">
        <is>
          <t>Thanh thẳng nối ren/hàn</t>
        </is>
      </c>
      <c r="H383" s="20" t="n">
        <v>2.966</v>
      </c>
      <c r="I383" s="21" t="n">
        <v>5</v>
      </c>
      <c r="J383" s="22" t="n">
        <v>4.83</v>
      </c>
      <c r="K383" s="9">
        <f>ROUND(H383*I383*J383, 2)</f>
        <v/>
      </c>
      <c r="L383" s="23">
        <f>ROUND(K383/1000, 3)</f>
        <v/>
      </c>
      <c r="M383" s="8" t="n"/>
      <c r="N383" s="6" t="n"/>
      <c r="O383" s="24">
        <f>IF(AND(E383&lt;=10, F383&lt;&gt;"ASTM A416", INT(P383/20)&gt;INT(P382/20)), "TN Ø10 (Lần " &amp; INT(P383/20) &amp; ")", IF(AND(E383=12, INT(Q383/20)&gt;INT(Q382/20)), "TN Ø12 (Lần " &amp; INT(Q383/20) &amp; ")", IF(AND(E383=14, INT(R383/20)&gt;INT(R382/20)), "TN Ø14 (Lần " &amp; INT(R383/20) &amp; ")", IF(AND(E383=16, INT(S383/20)&gt;INT(S382/20)), "TN Ø16 (Lần " &amp; INT(S383/20) &amp; ")", IF(AND(E383=18, INT(T383/20)&gt;INT(T382/20)), "TN Ø18 (Lần " &amp; INT(T383/20) &amp; ")", IF(AND(E383=20, INT(U383/20)&gt;INT(U382/20)), "TN Ø20 (Lần " &amp; INT(U383/20) &amp; ")", IF(AND(E383=22, INT(V383/20)&gt;INT(V382/20)), "TN Ø22 (Lần " &amp; INT(V383/20) &amp; ")", IF(AND(E383=25, INT(W383/20)&gt;INT(W382/20)), "TN Ø25 (Lần " &amp; INT(W383/20) &amp; ")", IF(AND(E383=28, INT(X383/20)&gt;INT(X382/20)), "TN Ø28 (Lần " &amp; INT(X383/20) &amp; ")", IF(AND(E383=32, INT(Y383/20)&gt;INT(Y382/20)), "TN Ø32 (Lần " &amp; INT(Y383/20) &amp; ")", IF(AND(F383="ASTM A416", INT(Z383/20)&gt;INT(Z382/20)), "TN Cáp 15.2 (Lần " &amp; INT(Z383/20) &amp; ")", "")))))))))))</f>
        <v/>
      </c>
      <c r="P383" s="20">
        <f>ROUND(P382 + IF(AND(E383&lt;=10, F383&lt;&gt;"ASTM A416"), L383, 0), 3)</f>
        <v/>
      </c>
      <c r="Q383" s="20">
        <f>ROUND(Q382 + IF(AND(E383=12, F383&lt;&gt;"ASTM A416"), L383, 0), 3)</f>
        <v/>
      </c>
      <c r="R383" s="20">
        <f>ROUND(R382 + IF(AND(E383=14, F383&lt;&gt;"ASTM A416"), L383, 0), 3)</f>
        <v/>
      </c>
      <c r="S383" s="20">
        <f>ROUND(S382 + IF(AND(E383=16, F383&lt;&gt;"ASTM A416"), L383, 0), 3)</f>
        <v/>
      </c>
      <c r="T383" s="20">
        <f>ROUND(T382 + IF(AND(E383=18, F383&lt;&gt;"ASTM A416"), L383, 0), 3)</f>
        <v/>
      </c>
      <c r="U383" s="20">
        <f>ROUND(U382 + IF(AND(E383=20, F383&lt;&gt;"ASTM A416"), L383, 0), 3)</f>
        <v/>
      </c>
      <c r="V383" s="20">
        <f>ROUND(V382 + IF(AND(E383=22, F383&lt;&gt;"ASTM A416"), L383, 0), 3)</f>
        <v/>
      </c>
      <c r="W383" s="20">
        <f>ROUND(W382 + IF(AND(E383=25, F383&lt;&gt;"ASTM A416"), L383, 0), 3)</f>
        <v/>
      </c>
      <c r="X383" s="20">
        <f>ROUND(X382 + IF(AND(E383=28, F383&lt;&gt;"ASTM A416"), L383, 0), 3)</f>
        <v/>
      </c>
      <c r="Y383" s="20">
        <f>ROUND(Y382 + IF(AND(E383=32, F383&lt;&gt;"ASTM A416"), L383, 0), 3)</f>
        <v/>
      </c>
      <c r="Z383" s="20">
        <f>ROUND(Z382 + IF(F383="ASTM A416", L383, 0), 3)</f>
        <v/>
      </c>
      <c r="AA383" s="11">
        <f>IF(INT(P383/20)&gt;INT(P382/20), "Lần " &amp; INT(P383/20), "")</f>
        <v/>
      </c>
      <c r="AB383" s="11">
        <f>IF(INT(Q383/20)&gt;INT(Q382/20), "Lần " &amp; INT(Q383/20), "")</f>
        <v/>
      </c>
      <c r="AC383" s="11">
        <f>IF(INT(R383/20)&gt;INT(R382/20), "Lần " &amp; INT(R383/20), "")</f>
        <v/>
      </c>
      <c r="AD383" s="11">
        <f>IF(INT(S383/20)&gt;INT(S382/20), "Lần " &amp; INT(S383/20), "")</f>
        <v/>
      </c>
      <c r="AE383" s="11">
        <f>IF(INT(T383/20)&gt;INT(T382/20), "Lần " &amp; INT(T383/20), "")</f>
        <v/>
      </c>
      <c r="AF383" s="11">
        <f>IF(INT(U383/20)&gt;INT(U382/20), "Lần " &amp; INT(U383/20), "")</f>
        <v/>
      </c>
      <c r="AG383" s="11">
        <f>IF(INT(V383/20)&gt;INT(V382/20), "Lần " &amp; INT(V383/20), "")</f>
        <v/>
      </c>
      <c r="AH383" s="11">
        <f>IF(INT(W383/20)&gt;INT(W382/20), "Lần " &amp; INT(W383/20), "")</f>
        <v/>
      </c>
      <c r="AI383" s="11">
        <f>IF(INT(X383/20)&gt;INT(X382/20), "Lần " &amp; INT(X383/20), "")</f>
        <v/>
      </c>
      <c r="AJ383" s="11">
        <f>IF(INT(Y383/20)&gt;INT(Y382/20), "Lần " &amp; INT(Y383/20), "")</f>
        <v/>
      </c>
      <c r="AK383" s="11">
        <f>IF(INT(Z383/20)&gt;INT(Z382/20), "Lần " &amp; INT(Z383/20), "")</f>
        <v/>
      </c>
      <c r="AL383" s="6" t="inlineStr">
        <is>
          <t>ĐẠT TCVN 1651:2018</t>
        </is>
      </c>
    </row>
    <row r="384" ht="19" customHeight="1">
      <c r="A384" s="6" t="n">
        <v>357</v>
      </c>
      <c r="B384" s="7" t="inlineStr">
        <is>
          <t>Cọc khoan nhồi C5 Mố M2 (D1.2m, L=36.0m)</t>
        </is>
      </c>
      <c r="C384" s="7" t="inlineStr">
        <is>
          <t>Cốt thép chủ chịu lực cọc</t>
        </is>
      </c>
      <c r="D384" s="18" t="inlineStr">
        <is>
          <t>P2B</t>
        </is>
      </c>
      <c r="E384" s="19" t="n">
        <v>25</v>
      </c>
      <c r="F384" s="6" t="inlineStr">
        <is>
          <t>CB400-V</t>
        </is>
      </c>
      <c r="G384" s="7" t="inlineStr">
        <is>
          <t>Thanh thẳng nối ren/hàn</t>
        </is>
      </c>
      <c r="H384" s="20" t="n">
        <v>2.985</v>
      </c>
      <c r="I384" s="21" t="n">
        <v>10</v>
      </c>
      <c r="J384" s="22" t="n">
        <v>3.85</v>
      </c>
      <c r="K384" s="9">
        <f>ROUND(H384*I384*J384, 2)</f>
        <v/>
      </c>
      <c r="L384" s="23">
        <f>ROUND(K384/1000, 3)</f>
        <v/>
      </c>
      <c r="M384" s="8" t="n"/>
      <c r="N384" s="6" t="n"/>
      <c r="O384" s="24">
        <f>IF(AND(E384&lt;=10, F384&lt;&gt;"ASTM A416", INT(P384/20)&gt;INT(P383/20)), "TN Ø10 (Lần " &amp; INT(P384/20) &amp; ")", IF(AND(E384=12, INT(Q384/20)&gt;INT(Q383/20)), "TN Ø12 (Lần " &amp; INT(Q384/20) &amp; ")", IF(AND(E384=14, INT(R384/20)&gt;INT(R383/20)), "TN Ø14 (Lần " &amp; INT(R384/20) &amp; ")", IF(AND(E384=16, INT(S384/20)&gt;INT(S383/20)), "TN Ø16 (Lần " &amp; INT(S384/20) &amp; ")", IF(AND(E384=18, INT(T384/20)&gt;INT(T383/20)), "TN Ø18 (Lần " &amp; INT(T384/20) &amp; ")", IF(AND(E384=20, INT(U384/20)&gt;INT(U383/20)), "TN Ø20 (Lần " &amp; INT(U384/20) &amp; ")", IF(AND(E384=22, INT(V384/20)&gt;INT(V383/20)), "TN Ø22 (Lần " &amp; INT(V384/20) &amp; ")", IF(AND(E384=25, INT(W384/20)&gt;INT(W383/20)), "TN Ø25 (Lần " &amp; INT(W384/20) &amp; ")", IF(AND(E384=28, INT(X384/20)&gt;INT(X383/20)), "TN Ø28 (Lần " &amp; INT(X384/20) &amp; ")", IF(AND(E384=32, INT(Y384/20)&gt;INT(Y383/20)), "TN Ø32 (Lần " &amp; INT(Y384/20) &amp; ")", IF(AND(F384="ASTM A416", INT(Z384/20)&gt;INT(Z383/20)), "TN Cáp 15.2 (Lần " &amp; INT(Z384/20) &amp; ")", "")))))))))))</f>
        <v/>
      </c>
      <c r="P384" s="20">
        <f>ROUND(P383 + IF(AND(E384&lt;=10, F384&lt;&gt;"ASTM A416"), L384, 0), 3)</f>
        <v/>
      </c>
      <c r="Q384" s="20">
        <f>ROUND(Q383 + IF(AND(E384=12, F384&lt;&gt;"ASTM A416"), L384, 0), 3)</f>
        <v/>
      </c>
      <c r="R384" s="20">
        <f>ROUND(R383 + IF(AND(E384=14, F384&lt;&gt;"ASTM A416"), L384, 0), 3)</f>
        <v/>
      </c>
      <c r="S384" s="20">
        <f>ROUND(S383 + IF(AND(E384=16, F384&lt;&gt;"ASTM A416"), L384, 0), 3)</f>
        <v/>
      </c>
      <c r="T384" s="20">
        <f>ROUND(T383 + IF(AND(E384=18, F384&lt;&gt;"ASTM A416"), L384, 0), 3)</f>
        <v/>
      </c>
      <c r="U384" s="20">
        <f>ROUND(U383 + IF(AND(E384=20, F384&lt;&gt;"ASTM A416"), L384, 0), 3)</f>
        <v/>
      </c>
      <c r="V384" s="20">
        <f>ROUND(V383 + IF(AND(E384=22, F384&lt;&gt;"ASTM A416"), L384, 0), 3)</f>
        <v/>
      </c>
      <c r="W384" s="20">
        <f>ROUND(W383 + IF(AND(E384=25, F384&lt;&gt;"ASTM A416"), L384, 0), 3)</f>
        <v/>
      </c>
      <c r="X384" s="20">
        <f>ROUND(X383 + IF(AND(E384=28, F384&lt;&gt;"ASTM A416"), L384, 0), 3)</f>
        <v/>
      </c>
      <c r="Y384" s="20">
        <f>ROUND(Y383 + IF(AND(E384=32, F384&lt;&gt;"ASTM A416"), L384, 0), 3)</f>
        <v/>
      </c>
      <c r="Z384" s="20">
        <f>ROUND(Z383 + IF(F384="ASTM A416", L384, 0), 3)</f>
        <v/>
      </c>
      <c r="AA384" s="11">
        <f>IF(INT(P384/20)&gt;INT(P383/20), "Lần " &amp; INT(P384/20), "")</f>
        <v/>
      </c>
      <c r="AB384" s="11">
        <f>IF(INT(Q384/20)&gt;INT(Q383/20), "Lần " &amp; INT(Q384/20), "")</f>
        <v/>
      </c>
      <c r="AC384" s="11">
        <f>IF(INT(R384/20)&gt;INT(R383/20), "Lần " &amp; INT(R384/20), "")</f>
        <v/>
      </c>
      <c r="AD384" s="11">
        <f>IF(INT(S384/20)&gt;INT(S383/20), "Lần " &amp; INT(S384/20), "")</f>
        <v/>
      </c>
      <c r="AE384" s="11">
        <f>IF(INT(T384/20)&gt;INT(T383/20), "Lần " &amp; INT(T384/20), "")</f>
        <v/>
      </c>
      <c r="AF384" s="11">
        <f>IF(INT(U384/20)&gt;INT(U383/20), "Lần " &amp; INT(U384/20), "")</f>
        <v/>
      </c>
      <c r="AG384" s="11">
        <f>IF(INT(V384/20)&gt;INT(V383/20), "Lần " &amp; INT(V384/20), "")</f>
        <v/>
      </c>
      <c r="AH384" s="11">
        <f>IF(INT(W384/20)&gt;INT(W383/20), "Lần " &amp; INT(W384/20), "")</f>
        <v/>
      </c>
      <c r="AI384" s="11">
        <f>IF(INT(X384/20)&gt;INT(X383/20), "Lần " &amp; INT(X384/20), "")</f>
        <v/>
      </c>
      <c r="AJ384" s="11">
        <f>IF(INT(Y384/20)&gt;INT(Y383/20), "Lần " &amp; INT(Y384/20), "")</f>
        <v/>
      </c>
      <c r="AK384" s="11">
        <f>IF(INT(Z384/20)&gt;INT(Z383/20), "Lần " &amp; INT(Z384/20), "")</f>
        <v/>
      </c>
      <c r="AL384" s="6" t="inlineStr">
        <is>
          <t>ĐẠT TCVN 1651:2018</t>
        </is>
      </c>
    </row>
    <row r="385" ht="19" customHeight="1">
      <c r="A385" s="6" t="n">
        <v>358</v>
      </c>
      <c r="B385" s="7" t="inlineStr">
        <is>
          <t>Cọc khoan nhồi C5 Mố M2 (D1.2m, L=36.0m)</t>
        </is>
      </c>
      <c r="C385" s="7" t="inlineStr">
        <is>
          <t>Cốt thép chủ chịu lực cọc</t>
        </is>
      </c>
      <c r="D385" s="18" t="inlineStr">
        <is>
          <t>P3</t>
        </is>
      </c>
      <c r="E385" s="19" t="n">
        <v>28</v>
      </c>
      <c r="F385" s="6" t="inlineStr">
        <is>
          <t>CB400-V</t>
        </is>
      </c>
      <c r="G385" s="7" t="inlineStr">
        <is>
          <t>Thanh thẳng nối ren/hàn</t>
        </is>
      </c>
      <c r="H385" s="20" t="n">
        <v>10.7</v>
      </c>
      <c r="I385" s="21" t="n">
        <v>12</v>
      </c>
      <c r="J385" s="22" t="n">
        <v>4.83</v>
      </c>
      <c r="K385" s="9">
        <f>ROUND(H385*I385*J385, 2)</f>
        <v/>
      </c>
      <c r="L385" s="23">
        <f>ROUND(K385/1000, 3)</f>
        <v/>
      </c>
      <c r="M385" s="8" t="n"/>
      <c r="N385" s="6" t="n"/>
      <c r="O385" s="24">
        <f>IF(AND(E385&lt;=10, F385&lt;&gt;"ASTM A416", INT(P385/20)&gt;INT(P384/20)), "TN Ø10 (Lần " &amp; INT(P385/20) &amp; ")", IF(AND(E385=12, INT(Q385/20)&gt;INT(Q384/20)), "TN Ø12 (Lần " &amp; INT(Q385/20) &amp; ")", IF(AND(E385=14, INT(R385/20)&gt;INT(R384/20)), "TN Ø14 (Lần " &amp; INT(R385/20) &amp; ")", IF(AND(E385=16, INT(S385/20)&gt;INT(S384/20)), "TN Ø16 (Lần " &amp; INT(S385/20) &amp; ")", IF(AND(E385=18, INT(T385/20)&gt;INT(T384/20)), "TN Ø18 (Lần " &amp; INT(T385/20) &amp; ")", IF(AND(E385=20, INT(U385/20)&gt;INT(U384/20)), "TN Ø20 (Lần " &amp; INT(U385/20) &amp; ")", IF(AND(E385=22, INT(V385/20)&gt;INT(V384/20)), "TN Ø22 (Lần " &amp; INT(V385/20) &amp; ")", IF(AND(E385=25, INT(W385/20)&gt;INT(W384/20)), "TN Ø25 (Lần " &amp; INT(W385/20) &amp; ")", IF(AND(E385=28, INT(X385/20)&gt;INT(X384/20)), "TN Ø28 (Lần " &amp; INT(X385/20) &amp; ")", IF(AND(E385=32, INT(Y385/20)&gt;INT(Y384/20)), "TN Ø32 (Lần " &amp; INT(Y385/20) &amp; ")", IF(AND(F385="ASTM A416", INT(Z385/20)&gt;INT(Z384/20)), "TN Cáp 15.2 (Lần " &amp; INT(Z385/20) &amp; ")", "")))))))))))</f>
        <v/>
      </c>
      <c r="P385" s="20">
        <f>ROUND(P384 + IF(AND(E385&lt;=10, F385&lt;&gt;"ASTM A416"), L385, 0), 3)</f>
        <v/>
      </c>
      <c r="Q385" s="20">
        <f>ROUND(Q384 + IF(AND(E385=12, F385&lt;&gt;"ASTM A416"), L385, 0), 3)</f>
        <v/>
      </c>
      <c r="R385" s="20">
        <f>ROUND(R384 + IF(AND(E385=14, F385&lt;&gt;"ASTM A416"), L385, 0), 3)</f>
        <v/>
      </c>
      <c r="S385" s="20">
        <f>ROUND(S384 + IF(AND(E385=16, F385&lt;&gt;"ASTM A416"), L385, 0), 3)</f>
        <v/>
      </c>
      <c r="T385" s="20">
        <f>ROUND(T384 + IF(AND(E385=18, F385&lt;&gt;"ASTM A416"), L385, 0), 3)</f>
        <v/>
      </c>
      <c r="U385" s="20">
        <f>ROUND(U384 + IF(AND(E385=20, F385&lt;&gt;"ASTM A416"), L385, 0), 3)</f>
        <v/>
      </c>
      <c r="V385" s="20">
        <f>ROUND(V384 + IF(AND(E385=22, F385&lt;&gt;"ASTM A416"), L385, 0), 3)</f>
        <v/>
      </c>
      <c r="W385" s="20">
        <f>ROUND(W384 + IF(AND(E385=25, F385&lt;&gt;"ASTM A416"), L385, 0), 3)</f>
        <v/>
      </c>
      <c r="X385" s="20">
        <f>ROUND(X384 + IF(AND(E385=28, F385&lt;&gt;"ASTM A416"), L385, 0), 3)</f>
        <v/>
      </c>
      <c r="Y385" s="20">
        <f>ROUND(Y384 + IF(AND(E385=32, F385&lt;&gt;"ASTM A416"), L385, 0), 3)</f>
        <v/>
      </c>
      <c r="Z385" s="20">
        <f>ROUND(Z384 + IF(F385="ASTM A416", L385, 0), 3)</f>
        <v/>
      </c>
      <c r="AA385" s="11">
        <f>IF(INT(P385/20)&gt;INT(P384/20), "Lần " &amp; INT(P385/20), "")</f>
        <v/>
      </c>
      <c r="AB385" s="11">
        <f>IF(INT(Q385/20)&gt;INT(Q384/20), "Lần " &amp; INT(Q385/20), "")</f>
        <v/>
      </c>
      <c r="AC385" s="11">
        <f>IF(INT(R385/20)&gt;INT(R384/20), "Lần " &amp; INT(R385/20), "")</f>
        <v/>
      </c>
      <c r="AD385" s="11">
        <f>IF(INT(S385/20)&gt;INT(S384/20), "Lần " &amp; INT(S385/20), "")</f>
        <v/>
      </c>
      <c r="AE385" s="11">
        <f>IF(INT(T385/20)&gt;INT(T384/20), "Lần " &amp; INT(T385/20), "")</f>
        <v/>
      </c>
      <c r="AF385" s="11">
        <f>IF(INT(U385/20)&gt;INT(U384/20), "Lần " &amp; INT(U385/20), "")</f>
        <v/>
      </c>
      <c r="AG385" s="11">
        <f>IF(INT(V385/20)&gt;INT(V384/20), "Lần " &amp; INT(V385/20), "")</f>
        <v/>
      </c>
      <c r="AH385" s="11">
        <f>IF(INT(W385/20)&gt;INT(W384/20), "Lần " &amp; INT(W385/20), "")</f>
        <v/>
      </c>
      <c r="AI385" s="11">
        <f>IF(INT(X385/20)&gt;INT(X384/20), "Lần " &amp; INT(X385/20), "")</f>
        <v/>
      </c>
      <c r="AJ385" s="11">
        <f>IF(INT(Y385/20)&gt;INT(Y384/20), "Lần " &amp; INT(Y385/20), "")</f>
        <v/>
      </c>
      <c r="AK385" s="11">
        <f>IF(INT(Z385/20)&gt;INT(Z384/20), "Lần " &amp; INT(Z385/20), "")</f>
        <v/>
      </c>
      <c r="AL385" s="6" t="inlineStr">
        <is>
          <t>ĐẠT TCVN 1651:2018</t>
        </is>
      </c>
    </row>
    <row r="386" ht="19" customHeight="1">
      <c r="A386" s="6" t="n">
        <v>359</v>
      </c>
      <c r="B386" s="7" t="inlineStr">
        <is>
          <t>Cọc khoan nhồi C5 Mố M2 (D1.2m, L=36.0m)</t>
        </is>
      </c>
      <c r="C386" s="7" t="inlineStr">
        <is>
          <t>Cốt thép chủ chịu lực cọc</t>
        </is>
      </c>
      <c r="D386" s="18" t="inlineStr">
        <is>
          <t>P4</t>
        </is>
      </c>
      <c r="E386" s="19" t="n">
        <v>28</v>
      </c>
      <c r="F386" s="6" t="inlineStr">
        <is>
          <t>CB400-V</t>
        </is>
      </c>
      <c r="G386" s="7" t="inlineStr">
        <is>
          <t>Thanh thẳng nối ren/hàn</t>
        </is>
      </c>
      <c r="H386" s="20" t="n">
        <v>11.7</v>
      </c>
      <c r="I386" s="21" t="n">
        <v>12</v>
      </c>
      <c r="J386" s="22" t="n">
        <v>4.83</v>
      </c>
      <c r="K386" s="9">
        <f>ROUND(H386*I386*J386, 2)</f>
        <v/>
      </c>
      <c r="L386" s="23">
        <f>ROUND(K386/1000, 3)</f>
        <v/>
      </c>
      <c r="M386" s="8" t="n"/>
      <c r="N386" s="6" t="n"/>
      <c r="O386" s="24">
        <f>IF(AND(E386&lt;=10, F386&lt;&gt;"ASTM A416", INT(P386/20)&gt;INT(P385/20)), "TN Ø10 (Lần " &amp; INT(P386/20) &amp; ")", IF(AND(E386=12, INT(Q386/20)&gt;INT(Q385/20)), "TN Ø12 (Lần " &amp; INT(Q386/20) &amp; ")", IF(AND(E386=14, INT(R386/20)&gt;INT(R385/20)), "TN Ø14 (Lần " &amp; INT(R386/20) &amp; ")", IF(AND(E386=16, INT(S386/20)&gt;INT(S385/20)), "TN Ø16 (Lần " &amp; INT(S386/20) &amp; ")", IF(AND(E386=18, INT(T386/20)&gt;INT(T385/20)), "TN Ø18 (Lần " &amp; INT(T386/20) &amp; ")", IF(AND(E386=20, INT(U386/20)&gt;INT(U385/20)), "TN Ø20 (Lần " &amp; INT(U386/20) &amp; ")", IF(AND(E386=22, INT(V386/20)&gt;INT(V385/20)), "TN Ø22 (Lần " &amp; INT(V386/20) &amp; ")", IF(AND(E386=25, INT(W386/20)&gt;INT(W385/20)), "TN Ø25 (Lần " &amp; INT(W386/20) &amp; ")", IF(AND(E386=28, INT(X386/20)&gt;INT(X385/20)), "TN Ø28 (Lần " &amp; INT(X386/20) &amp; ")", IF(AND(E386=32, INT(Y386/20)&gt;INT(Y385/20)), "TN Ø32 (Lần " &amp; INT(Y386/20) &amp; ")", IF(AND(F386="ASTM A416", INT(Z386/20)&gt;INT(Z385/20)), "TN Cáp 15.2 (Lần " &amp; INT(Z386/20) &amp; ")", "")))))))))))</f>
        <v/>
      </c>
      <c r="P386" s="20">
        <f>ROUND(P385 + IF(AND(E386&lt;=10, F386&lt;&gt;"ASTM A416"), L386, 0), 3)</f>
        <v/>
      </c>
      <c r="Q386" s="20">
        <f>ROUND(Q385 + IF(AND(E386=12, F386&lt;&gt;"ASTM A416"), L386, 0), 3)</f>
        <v/>
      </c>
      <c r="R386" s="20">
        <f>ROUND(R385 + IF(AND(E386=14, F386&lt;&gt;"ASTM A416"), L386, 0), 3)</f>
        <v/>
      </c>
      <c r="S386" s="20">
        <f>ROUND(S385 + IF(AND(E386=16, F386&lt;&gt;"ASTM A416"), L386, 0), 3)</f>
        <v/>
      </c>
      <c r="T386" s="20">
        <f>ROUND(T385 + IF(AND(E386=18, F386&lt;&gt;"ASTM A416"), L386, 0), 3)</f>
        <v/>
      </c>
      <c r="U386" s="20">
        <f>ROUND(U385 + IF(AND(E386=20, F386&lt;&gt;"ASTM A416"), L386, 0), 3)</f>
        <v/>
      </c>
      <c r="V386" s="20">
        <f>ROUND(V385 + IF(AND(E386=22, F386&lt;&gt;"ASTM A416"), L386, 0), 3)</f>
        <v/>
      </c>
      <c r="W386" s="20">
        <f>ROUND(W385 + IF(AND(E386=25, F386&lt;&gt;"ASTM A416"), L386, 0), 3)</f>
        <v/>
      </c>
      <c r="X386" s="20">
        <f>ROUND(X385 + IF(AND(E386=28, F386&lt;&gt;"ASTM A416"), L386, 0), 3)</f>
        <v/>
      </c>
      <c r="Y386" s="20">
        <f>ROUND(Y385 + IF(AND(E386=32, F386&lt;&gt;"ASTM A416"), L386, 0), 3)</f>
        <v/>
      </c>
      <c r="Z386" s="20">
        <f>ROUND(Z385 + IF(F386="ASTM A416", L386, 0), 3)</f>
        <v/>
      </c>
      <c r="AA386" s="11">
        <f>IF(INT(P386/20)&gt;INT(P385/20), "Lần " &amp; INT(P386/20), "")</f>
        <v/>
      </c>
      <c r="AB386" s="11">
        <f>IF(INT(Q386/20)&gt;INT(Q385/20), "Lần " &amp; INT(Q386/20), "")</f>
        <v/>
      </c>
      <c r="AC386" s="11">
        <f>IF(INT(R386/20)&gt;INT(R385/20), "Lần " &amp; INT(R386/20), "")</f>
        <v/>
      </c>
      <c r="AD386" s="11">
        <f>IF(INT(S386/20)&gt;INT(S385/20), "Lần " &amp; INT(S386/20), "")</f>
        <v/>
      </c>
      <c r="AE386" s="11">
        <f>IF(INT(T386/20)&gt;INT(T385/20), "Lần " &amp; INT(T386/20), "")</f>
        <v/>
      </c>
      <c r="AF386" s="11">
        <f>IF(INT(U386/20)&gt;INT(U385/20), "Lần " &amp; INT(U386/20), "")</f>
        <v/>
      </c>
      <c r="AG386" s="11">
        <f>IF(INT(V386/20)&gt;INT(V385/20), "Lần " &amp; INT(V386/20), "")</f>
        <v/>
      </c>
      <c r="AH386" s="11">
        <f>IF(INT(W386/20)&gt;INT(W385/20), "Lần " &amp; INT(W386/20), "")</f>
        <v/>
      </c>
      <c r="AI386" s="11">
        <f>IF(INT(X386/20)&gt;INT(X385/20), "Lần " &amp; INT(X386/20), "")</f>
        <v/>
      </c>
      <c r="AJ386" s="11">
        <f>IF(INT(Y386/20)&gt;INT(Y385/20), "Lần " &amp; INT(Y386/20), "")</f>
        <v/>
      </c>
      <c r="AK386" s="11">
        <f>IF(INT(Z386/20)&gt;INT(Z385/20), "Lần " &amp; INT(Z386/20), "")</f>
        <v/>
      </c>
      <c r="AL386" s="6" t="inlineStr">
        <is>
          <t>ĐẠT TCVN 1651:2018</t>
        </is>
      </c>
    </row>
    <row r="387" ht="19" customHeight="1">
      <c r="A387" s="6" t="n">
        <v>360</v>
      </c>
      <c r="B387" s="7" t="inlineStr">
        <is>
          <t>Cọc khoan nhồi C5 Mố M2 (D1.2m, L=36.0m)</t>
        </is>
      </c>
      <c r="C387" s="7" t="inlineStr">
        <is>
          <t>Cốt thép chủ chịu lực cọc</t>
        </is>
      </c>
      <c r="D387" s="18" t="inlineStr">
        <is>
          <t>P5</t>
        </is>
      </c>
      <c r="E387" s="19" t="n">
        <v>25</v>
      </c>
      <c r="F387" s="6" t="inlineStr">
        <is>
          <t>CB400-V</t>
        </is>
      </c>
      <c r="G387" s="7" t="inlineStr">
        <is>
          <t>Thanh thẳng nối ren/hàn</t>
        </is>
      </c>
      <c r="H387" s="20" t="n">
        <v>11.7</v>
      </c>
      <c r="I387" s="21" t="n">
        <v>48</v>
      </c>
      <c r="J387" s="22" t="n">
        <v>3.85</v>
      </c>
      <c r="K387" s="9">
        <f>ROUND(H387*I387*J387, 2)</f>
        <v/>
      </c>
      <c r="L387" s="23">
        <f>ROUND(K387/1000, 3)</f>
        <v/>
      </c>
      <c r="M387" s="8" t="n"/>
      <c r="N387" s="6" t="n"/>
      <c r="O387" s="24">
        <f>IF(AND(E387&lt;=10, F387&lt;&gt;"ASTM A416", INT(P387/20)&gt;INT(P386/20)), "TN Ø10 (Lần " &amp; INT(P387/20) &amp; ")", IF(AND(E387=12, INT(Q387/20)&gt;INT(Q386/20)), "TN Ø12 (Lần " &amp; INT(Q387/20) &amp; ")", IF(AND(E387=14, INT(R387/20)&gt;INT(R386/20)), "TN Ø14 (Lần " &amp; INT(R387/20) &amp; ")", IF(AND(E387=16, INT(S387/20)&gt;INT(S386/20)), "TN Ø16 (Lần " &amp; INT(S387/20) &amp; ")", IF(AND(E387=18, INT(T387/20)&gt;INT(T386/20)), "TN Ø18 (Lần " &amp; INT(T387/20) &amp; ")", IF(AND(E387=20, INT(U387/20)&gt;INT(U386/20)), "TN Ø20 (Lần " &amp; INT(U387/20) &amp; ")", IF(AND(E387=22, INT(V387/20)&gt;INT(V386/20)), "TN Ø22 (Lần " &amp; INT(V387/20) &amp; ")", IF(AND(E387=25, INT(W387/20)&gt;INT(W386/20)), "TN Ø25 (Lần " &amp; INT(W387/20) &amp; ")", IF(AND(E387=28, INT(X387/20)&gt;INT(X386/20)), "TN Ø28 (Lần " &amp; INT(X387/20) &amp; ")", IF(AND(E387=32, INT(Y387/20)&gt;INT(Y386/20)), "TN Ø32 (Lần " &amp; INT(Y387/20) &amp; ")", IF(AND(F387="ASTM A416", INT(Z387/20)&gt;INT(Z386/20)), "TN Cáp 15.2 (Lần " &amp; INT(Z387/20) &amp; ")", "")))))))))))</f>
        <v/>
      </c>
      <c r="P387" s="20">
        <f>ROUND(P386 + IF(AND(E387&lt;=10, F387&lt;&gt;"ASTM A416"), L387, 0), 3)</f>
        <v/>
      </c>
      <c r="Q387" s="20">
        <f>ROUND(Q386 + IF(AND(E387=12, F387&lt;&gt;"ASTM A416"), L387, 0), 3)</f>
        <v/>
      </c>
      <c r="R387" s="20">
        <f>ROUND(R386 + IF(AND(E387=14, F387&lt;&gt;"ASTM A416"), L387, 0), 3)</f>
        <v/>
      </c>
      <c r="S387" s="20">
        <f>ROUND(S386 + IF(AND(E387=16, F387&lt;&gt;"ASTM A416"), L387, 0), 3)</f>
        <v/>
      </c>
      <c r="T387" s="20">
        <f>ROUND(T386 + IF(AND(E387=18, F387&lt;&gt;"ASTM A416"), L387, 0), 3)</f>
        <v/>
      </c>
      <c r="U387" s="20">
        <f>ROUND(U386 + IF(AND(E387=20, F387&lt;&gt;"ASTM A416"), L387, 0), 3)</f>
        <v/>
      </c>
      <c r="V387" s="20">
        <f>ROUND(V386 + IF(AND(E387=22, F387&lt;&gt;"ASTM A416"), L387, 0), 3)</f>
        <v/>
      </c>
      <c r="W387" s="20">
        <f>ROUND(W386 + IF(AND(E387=25, F387&lt;&gt;"ASTM A416"), L387, 0), 3)</f>
        <v/>
      </c>
      <c r="X387" s="20">
        <f>ROUND(X386 + IF(AND(E387=28, F387&lt;&gt;"ASTM A416"), L387, 0), 3)</f>
        <v/>
      </c>
      <c r="Y387" s="20">
        <f>ROUND(Y386 + IF(AND(E387=32, F387&lt;&gt;"ASTM A416"), L387, 0), 3)</f>
        <v/>
      </c>
      <c r="Z387" s="20">
        <f>ROUND(Z386 + IF(F387="ASTM A416", L387, 0), 3)</f>
        <v/>
      </c>
      <c r="AA387" s="11">
        <f>IF(INT(P387/20)&gt;INT(P386/20), "Lần " &amp; INT(P387/20), "")</f>
        <v/>
      </c>
      <c r="AB387" s="11">
        <f>IF(INT(Q387/20)&gt;INT(Q386/20), "Lần " &amp; INT(Q387/20), "")</f>
        <v/>
      </c>
      <c r="AC387" s="11">
        <f>IF(INT(R387/20)&gt;INT(R386/20), "Lần " &amp; INT(R387/20), "")</f>
        <v/>
      </c>
      <c r="AD387" s="11">
        <f>IF(INT(S387/20)&gt;INT(S386/20), "Lần " &amp; INT(S387/20), "")</f>
        <v/>
      </c>
      <c r="AE387" s="11">
        <f>IF(INT(T387/20)&gt;INT(T386/20), "Lần " &amp; INT(T387/20), "")</f>
        <v/>
      </c>
      <c r="AF387" s="11">
        <f>IF(INT(U387/20)&gt;INT(U386/20), "Lần " &amp; INT(U387/20), "")</f>
        <v/>
      </c>
      <c r="AG387" s="11">
        <f>IF(INT(V387/20)&gt;INT(V386/20), "Lần " &amp; INT(V387/20), "")</f>
        <v/>
      </c>
      <c r="AH387" s="11">
        <f>IF(INT(W387/20)&gt;INT(W386/20), "Lần " &amp; INT(W387/20), "")</f>
        <v/>
      </c>
      <c r="AI387" s="11">
        <f>IF(INT(X387/20)&gt;INT(X386/20), "Lần " &amp; INT(X387/20), "")</f>
        <v/>
      </c>
      <c r="AJ387" s="11">
        <f>IF(INT(Y387/20)&gt;INT(Y386/20), "Lần " &amp; INT(Y387/20), "")</f>
        <v/>
      </c>
      <c r="AK387" s="11">
        <f>IF(INT(Z387/20)&gt;INT(Z386/20), "Lần " &amp; INT(Z387/20), "")</f>
        <v/>
      </c>
      <c r="AL387" s="6" t="inlineStr">
        <is>
          <t>ĐẠT TCVN 1651:2018</t>
        </is>
      </c>
    </row>
    <row r="388" ht="19" customHeight="1">
      <c r="A388" s="6" t="n">
        <v>361</v>
      </c>
      <c r="B388" s="7" t="inlineStr">
        <is>
          <t>Cọc khoan nhồi C5 Mố M2 (D1.2m, L=36.0m)</t>
        </is>
      </c>
      <c r="C388" s="7" t="inlineStr">
        <is>
          <t>Cốt thép chủ chịu lực cọc</t>
        </is>
      </c>
      <c r="D388" s="18" t="inlineStr">
        <is>
          <t>P6</t>
        </is>
      </c>
      <c r="E388" s="19" t="n">
        <v>25</v>
      </c>
      <c r="F388" s="6" t="inlineStr">
        <is>
          <t>CB400-V</t>
        </is>
      </c>
      <c r="G388" s="7" t="inlineStr">
        <is>
          <t>Thanh thẳng nối ren/hàn</t>
        </is>
      </c>
      <c r="H388" s="20" t="n">
        <v>5.153</v>
      </c>
      <c r="I388" s="21" t="n">
        <v>12</v>
      </c>
      <c r="J388" s="22" t="n">
        <v>3.85</v>
      </c>
      <c r="K388" s="9">
        <f>ROUND(H388*I388*J388, 2)</f>
        <v/>
      </c>
      <c r="L388" s="23">
        <f>ROUND(K388/1000, 3)</f>
        <v/>
      </c>
      <c r="M388" s="8" t="n"/>
      <c r="N388" s="6" t="n"/>
      <c r="O388" s="24">
        <f>IF(AND(E388&lt;=10, F388&lt;&gt;"ASTM A416", INT(P388/20)&gt;INT(P387/20)), "TN Ø10 (Lần " &amp; INT(P388/20) &amp; ")", IF(AND(E388=12, INT(Q388/20)&gt;INT(Q387/20)), "TN Ø12 (Lần " &amp; INT(Q388/20) &amp; ")", IF(AND(E388=14, INT(R388/20)&gt;INT(R387/20)), "TN Ø14 (Lần " &amp; INT(R388/20) &amp; ")", IF(AND(E388=16, INT(S388/20)&gt;INT(S387/20)), "TN Ø16 (Lần " &amp; INT(S388/20) &amp; ")", IF(AND(E388=18, INT(T388/20)&gt;INT(T387/20)), "TN Ø18 (Lần " &amp; INT(T388/20) &amp; ")", IF(AND(E388=20, INT(U388/20)&gt;INT(U387/20)), "TN Ø20 (Lần " &amp; INT(U388/20) &amp; ")", IF(AND(E388=22, INT(V388/20)&gt;INT(V387/20)), "TN Ø22 (Lần " &amp; INT(V388/20) &amp; ")", IF(AND(E388=25, INT(W388/20)&gt;INT(W387/20)), "TN Ø25 (Lần " &amp; INT(W388/20) &amp; ")", IF(AND(E388=28, INT(X388/20)&gt;INT(X387/20)), "TN Ø28 (Lần " &amp; INT(X388/20) &amp; ")", IF(AND(E388=32, INT(Y388/20)&gt;INT(Y387/20)), "TN Ø32 (Lần " &amp; INT(Y388/20) &amp; ")", IF(AND(F388="ASTM A416", INT(Z388/20)&gt;INT(Z387/20)), "TN Cáp 15.2 (Lần " &amp; INT(Z388/20) &amp; ")", "")))))))))))</f>
        <v/>
      </c>
      <c r="P388" s="20">
        <f>ROUND(P387 + IF(AND(E388&lt;=10, F388&lt;&gt;"ASTM A416"), L388, 0), 3)</f>
        <v/>
      </c>
      <c r="Q388" s="20">
        <f>ROUND(Q387 + IF(AND(E388=12, F388&lt;&gt;"ASTM A416"), L388, 0), 3)</f>
        <v/>
      </c>
      <c r="R388" s="20">
        <f>ROUND(R387 + IF(AND(E388=14, F388&lt;&gt;"ASTM A416"), L388, 0), 3)</f>
        <v/>
      </c>
      <c r="S388" s="20">
        <f>ROUND(S387 + IF(AND(E388=16, F388&lt;&gt;"ASTM A416"), L388, 0), 3)</f>
        <v/>
      </c>
      <c r="T388" s="20">
        <f>ROUND(T387 + IF(AND(E388=18, F388&lt;&gt;"ASTM A416"), L388, 0), 3)</f>
        <v/>
      </c>
      <c r="U388" s="20">
        <f>ROUND(U387 + IF(AND(E388=20, F388&lt;&gt;"ASTM A416"), L388, 0), 3)</f>
        <v/>
      </c>
      <c r="V388" s="20">
        <f>ROUND(V387 + IF(AND(E388=22, F388&lt;&gt;"ASTM A416"), L388, 0), 3)</f>
        <v/>
      </c>
      <c r="W388" s="20">
        <f>ROUND(W387 + IF(AND(E388=25, F388&lt;&gt;"ASTM A416"), L388, 0), 3)</f>
        <v/>
      </c>
      <c r="X388" s="20">
        <f>ROUND(X387 + IF(AND(E388=28, F388&lt;&gt;"ASTM A416"), L388, 0), 3)</f>
        <v/>
      </c>
      <c r="Y388" s="20">
        <f>ROUND(Y387 + IF(AND(E388=32, F388&lt;&gt;"ASTM A416"), L388, 0), 3)</f>
        <v/>
      </c>
      <c r="Z388" s="20">
        <f>ROUND(Z387 + IF(F388="ASTM A416", L388, 0), 3)</f>
        <v/>
      </c>
      <c r="AA388" s="11">
        <f>IF(INT(P388/20)&gt;INT(P387/20), "Lần " &amp; INT(P388/20), "")</f>
        <v/>
      </c>
      <c r="AB388" s="11">
        <f>IF(INT(Q388/20)&gt;INT(Q387/20), "Lần " &amp; INT(Q388/20), "")</f>
        <v/>
      </c>
      <c r="AC388" s="11">
        <f>IF(INT(R388/20)&gt;INT(R387/20), "Lần " &amp; INT(R388/20), "")</f>
        <v/>
      </c>
      <c r="AD388" s="11">
        <f>IF(INT(S388/20)&gt;INT(S387/20), "Lần " &amp; INT(S388/20), "")</f>
        <v/>
      </c>
      <c r="AE388" s="11">
        <f>IF(INT(T388/20)&gt;INT(T387/20), "Lần " &amp; INT(T388/20), "")</f>
        <v/>
      </c>
      <c r="AF388" s="11">
        <f>IF(INT(U388/20)&gt;INT(U387/20), "Lần " &amp; INT(U388/20), "")</f>
        <v/>
      </c>
      <c r="AG388" s="11">
        <f>IF(INT(V388/20)&gt;INT(V387/20), "Lần " &amp; INT(V388/20), "")</f>
        <v/>
      </c>
      <c r="AH388" s="11">
        <f>IF(INT(W388/20)&gt;INT(W387/20), "Lần " &amp; INT(W388/20), "")</f>
        <v/>
      </c>
      <c r="AI388" s="11">
        <f>IF(INT(X388/20)&gt;INT(X387/20), "Lần " &amp; INT(X388/20), "")</f>
        <v/>
      </c>
      <c r="AJ388" s="11">
        <f>IF(INT(Y388/20)&gt;INT(Y387/20), "Lần " &amp; INT(Y388/20), "")</f>
        <v/>
      </c>
      <c r="AK388" s="11">
        <f>IF(INT(Z388/20)&gt;INT(Z387/20), "Lần " &amp; INT(Z388/20), "")</f>
        <v/>
      </c>
      <c r="AL388" s="6" t="inlineStr">
        <is>
          <t>ĐẠT TCVN 1651:2018</t>
        </is>
      </c>
    </row>
    <row r="389" ht="19" customHeight="1">
      <c r="A389" s="6" t="n">
        <v>362</v>
      </c>
      <c r="B389" s="7" t="inlineStr">
        <is>
          <t>Cọc khoan nhồi C5 Mố M2 (D1.2m, L=36.0m)</t>
        </is>
      </c>
      <c r="C389" s="7" t="inlineStr">
        <is>
          <t>Cốt thép chủ chịu lực cọc</t>
        </is>
      </c>
      <c r="D389" s="18" t="inlineStr">
        <is>
          <t>P7</t>
        </is>
      </c>
      <c r="E389" s="19" t="n">
        <v>25</v>
      </c>
      <c r="F389" s="6" t="inlineStr">
        <is>
          <t>CB400-V</t>
        </is>
      </c>
      <c r="G389" s="7" t="inlineStr">
        <is>
          <t>Thanh thẳng nối ren/hàn</t>
        </is>
      </c>
      <c r="H389" s="20" t="n">
        <v>6.153</v>
      </c>
      <c r="I389" s="21" t="n">
        <v>12</v>
      </c>
      <c r="J389" s="22" t="n">
        <v>3.85</v>
      </c>
      <c r="K389" s="9">
        <f>ROUND(H389*I389*J389, 2)</f>
        <v/>
      </c>
      <c r="L389" s="23">
        <f>ROUND(K389/1000, 3)</f>
        <v/>
      </c>
      <c r="M389" s="8" t="n"/>
      <c r="N389" s="6" t="n"/>
      <c r="O389" s="24">
        <f>IF(AND(E389&lt;=10, F389&lt;&gt;"ASTM A416", INT(P389/20)&gt;INT(P388/20)), "TN Ø10 (Lần " &amp; INT(P389/20) &amp; ")", IF(AND(E389=12, INT(Q389/20)&gt;INT(Q388/20)), "TN Ø12 (Lần " &amp; INT(Q389/20) &amp; ")", IF(AND(E389=14, INT(R389/20)&gt;INT(R388/20)), "TN Ø14 (Lần " &amp; INT(R389/20) &amp; ")", IF(AND(E389=16, INT(S389/20)&gt;INT(S388/20)), "TN Ø16 (Lần " &amp; INT(S389/20) &amp; ")", IF(AND(E389=18, INT(T389/20)&gt;INT(T388/20)), "TN Ø18 (Lần " &amp; INT(T389/20) &amp; ")", IF(AND(E389=20, INT(U389/20)&gt;INT(U388/20)), "TN Ø20 (Lần " &amp; INT(U389/20) &amp; ")", IF(AND(E389=22, INT(V389/20)&gt;INT(V388/20)), "TN Ø22 (Lần " &amp; INT(V389/20) &amp; ")", IF(AND(E389=25, INT(W389/20)&gt;INT(W388/20)), "TN Ø25 (Lần " &amp; INT(W389/20) &amp; ")", IF(AND(E389=28, INT(X389/20)&gt;INT(X388/20)), "TN Ø28 (Lần " &amp; INT(X389/20) &amp; ")", IF(AND(E389=32, INT(Y389/20)&gt;INT(Y388/20)), "TN Ø32 (Lần " &amp; INT(Y389/20) &amp; ")", IF(AND(F389="ASTM A416", INT(Z389/20)&gt;INT(Z388/20)), "TN Cáp 15.2 (Lần " &amp; INT(Z389/20) &amp; ")", "")))))))))))</f>
        <v/>
      </c>
      <c r="P389" s="20">
        <f>ROUND(P388 + IF(AND(E389&lt;=10, F389&lt;&gt;"ASTM A416"), L389, 0), 3)</f>
        <v/>
      </c>
      <c r="Q389" s="20">
        <f>ROUND(Q388 + IF(AND(E389=12, F389&lt;&gt;"ASTM A416"), L389, 0), 3)</f>
        <v/>
      </c>
      <c r="R389" s="20">
        <f>ROUND(R388 + IF(AND(E389=14, F389&lt;&gt;"ASTM A416"), L389, 0), 3)</f>
        <v/>
      </c>
      <c r="S389" s="20">
        <f>ROUND(S388 + IF(AND(E389=16, F389&lt;&gt;"ASTM A416"), L389, 0), 3)</f>
        <v/>
      </c>
      <c r="T389" s="20">
        <f>ROUND(T388 + IF(AND(E389=18, F389&lt;&gt;"ASTM A416"), L389, 0), 3)</f>
        <v/>
      </c>
      <c r="U389" s="20">
        <f>ROUND(U388 + IF(AND(E389=20, F389&lt;&gt;"ASTM A416"), L389, 0), 3)</f>
        <v/>
      </c>
      <c r="V389" s="20">
        <f>ROUND(V388 + IF(AND(E389=22, F389&lt;&gt;"ASTM A416"), L389, 0), 3)</f>
        <v/>
      </c>
      <c r="W389" s="20">
        <f>ROUND(W388 + IF(AND(E389=25, F389&lt;&gt;"ASTM A416"), L389, 0), 3)</f>
        <v/>
      </c>
      <c r="X389" s="20">
        <f>ROUND(X388 + IF(AND(E389=28, F389&lt;&gt;"ASTM A416"), L389, 0), 3)</f>
        <v/>
      </c>
      <c r="Y389" s="20">
        <f>ROUND(Y388 + IF(AND(E389=32, F389&lt;&gt;"ASTM A416"), L389, 0), 3)</f>
        <v/>
      </c>
      <c r="Z389" s="20">
        <f>ROUND(Z388 + IF(F389="ASTM A416", L389, 0), 3)</f>
        <v/>
      </c>
      <c r="AA389" s="11">
        <f>IF(INT(P389/20)&gt;INT(P388/20), "Lần " &amp; INT(P389/20), "")</f>
        <v/>
      </c>
      <c r="AB389" s="11">
        <f>IF(INT(Q389/20)&gt;INT(Q388/20), "Lần " &amp; INT(Q389/20), "")</f>
        <v/>
      </c>
      <c r="AC389" s="11">
        <f>IF(INT(R389/20)&gt;INT(R388/20), "Lần " &amp; INT(R389/20), "")</f>
        <v/>
      </c>
      <c r="AD389" s="11">
        <f>IF(INT(S389/20)&gt;INT(S388/20), "Lần " &amp; INT(S389/20), "")</f>
        <v/>
      </c>
      <c r="AE389" s="11">
        <f>IF(INT(T389/20)&gt;INT(T388/20), "Lần " &amp; INT(T389/20), "")</f>
        <v/>
      </c>
      <c r="AF389" s="11">
        <f>IF(INT(U389/20)&gt;INT(U388/20), "Lần " &amp; INT(U389/20), "")</f>
        <v/>
      </c>
      <c r="AG389" s="11">
        <f>IF(INT(V389/20)&gt;INT(V388/20), "Lần " &amp; INT(V389/20), "")</f>
        <v/>
      </c>
      <c r="AH389" s="11">
        <f>IF(INT(W389/20)&gt;INT(W388/20), "Lần " &amp; INT(W389/20), "")</f>
        <v/>
      </c>
      <c r="AI389" s="11">
        <f>IF(INT(X389/20)&gt;INT(X388/20), "Lần " &amp; INT(X389/20), "")</f>
        <v/>
      </c>
      <c r="AJ389" s="11">
        <f>IF(INT(Y389/20)&gt;INT(Y388/20), "Lần " &amp; INT(Y389/20), "")</f>
        <v/>
      </c>
      <c r="AK389" s="11">
        <f>IF(INT(Z389/20)&gt;INT(Z388/20), "Lần " &amp; INT(Z389/20), "")</f>
        <v/>
      </c>
      <c r="AL389" s="6" t="inlineStr">
        <is>
          <t>ĐẠT TCVN 1651:2018</t>
        </is>
      </c>
    </row>
    <row r="390" ht="19" customHeight="1">
      <c r="A390" s="6" t="n">
        <v>363</v>
      </c>
      <c r="B390" s="7" t="inlineStr">
        <is>
          <t>Cọc khoan nhồi C5 Mố M2 (D1.2m, L=36.0m)</t>
        </is>
      </c>
      <c r="C390" s="7" t="inlineStr">
        <is>
          <t>Đai tăng cường / Con kê bảo vệ</t>
        </is>
      </c>
      <c r="D390" s="18" t="inlineStr">
        <is>
          <t>P8</t>
        </is>
      </c>
      <c r="E390" s="19" t="n">
        <v>12</v>
      </c>
      <c r="F390" s="6" t="inlineStr">
        <is>
          <t>CB400-V</t>
        </is>
      </c>
      <c r="G390" s="7" t="inlineStr">
        <is>
          <t>Móc neo / Vòng đai</t>
        </is>
      </c>
      <c r="H390" s="20" t="n">
        <v>0.647</v>
      </c>
      <c r="I390" s="21" t="n">
        <v>15</v>
      </c>
      <c r="J390" s="22" t="n">
        <v>0.888</v>
      </c>
      <c r="K390" s="9">
        <f>ROUND(H390*I390*J390, 2)</f>
        <v/>
      </c>
      <c r="L390" s="23">
        <f>ROUND(K390/1000, 3)</f>
        <v/>
      </c>
      <c r="M390" s="8" t="n"/>
      <c r="N390" s="6" t="n"/>
      <c r="O390" s="24">
        <f>IF(AND(E390&lt;=10, F390&lt;&gt;"ASTM A416", INT(P390/20)&gt;INT(P389/20)), "TN Ø10 (Lần " &amp; INT(P390/20) &amp; ")", IF(AND(E390=12, INT(Q390/20)&gt;INT(Q389/20)), "TN Ø12 (Lần " &amp; INT(Q390/20) &amp; ")", IF(AND(E390=14, INT(R390/20)&gt;INT(R389/20)), "TN Ø14 (Lần " &amp; INT(R390/20) &amp; ")", IF(AND(E390=16, INT(S390/20)&gt;INT(S389/20)), "TN Ø16 (Lần " &amp; INT(S390/20) &amp; ")", IF(AND(E390=18, INT(T390/20)&gt;INT(T389/20)), "TN Ø18 (Lần " &amp; INT(T390/20) &amp; ")", IF(AND(E390=20, INT(U390/20)&gt;INT(U389/20)), "TN Ø20 (Lần " &amp; INT(U390/20) &amp; ")", IF(AND(E390=22, INT(V390/20)&gt;INT(V389/20)), "TN Ø22 (Lần " &amp; INT(V390/20) &amp; ")", IF(AND(E390=25, INT(W390/20)&gt;INT(W389/20)), "TN Ø25 (Lần " &amp; INT(W390/20) &amp; ")", IF(AND(E390=28, INT(X390/20)&gt;INT(X389/20)), "TN Ø28 (Lần " &amp; INT(X390/20) &amp; ")", IF(AND(E390=32, INT(Y390/20)&gt;INT(Y389/20)), "TN Ø32 (Lần " &amp; INT(Y390/20) &amp; ")", IF(AND(F390="ASTM A416", INT(Z390/20)&gt;INT(Z389/20)), "TN Cáp 15.2 (Lần " &amp; INT(Z390/20) &amp; ")", "")))))))))))</f>
        <v/>
      </c>
      <c r="P390" s="20">
        <f>ROUND(P389 + IF(AND(E390&lt;=10, F390&lt;&gt;"ASTM A416"), L390, 0), 3)</f>
        <v/>
      </c>
      <c r="Q390" s="20">
        <f>ROUND(Q389 + IF(AND(E390=12, F390&lt;&gt;"ASTM A416"), L390, 0), 3)</f>
        <v/>
      </c>
      <c r="R390" s="20">
        <f>ROUND(R389 + IF(AND(E390=14, F390&lt;&gt;"ASTM A416"), L390, 0), 3)</f>
        <v/>
      </c>
      <c r="S390" s="20">
        <f>ROUND(S389 + IF(AND(E390=16, F390&lt;&gt;"ASTM A416"), L390, 0), 3)</f>
        <v/>
      </c>
      <c r="T390" s="20">
        <f>ROUND(T389 + IF(AND(E390=18, F390&lt;&gt;"ASTM A416"), L390, 0), 3)</f>
        <v/>
      </c>
      <c r="U390" s="20">
        <f>ROUND(U389 + IF(AND(E390=20, F390&lt;&gt;"ASTM A416"), L390, 0), 3)</f>
        <v/>
      </c>
      <c r="V390" s="20">
        <f>ROUND(V389 + IF(AND(E390=22, F390&lt;&gt;"ASTM A416"), L390, 0), 3)</f>
        <v/>
      </c>
      <c r="W390" s="20">
        <f>ROUND(W389 + IF(AND(E390=25, F390&lt;&gt;"ASTM A416"), L390, 0), 3)</f>
        <v/>
      </c>
      <c r="X390" s="20">
        <f>ROUND(X389 + IF(AND(E390=28, F390&lt;&gt;"ASTM A416"), L390, 0), 3)</f>
        <v/>
      </c>
      <c r="Y390" s="20">
        <f>ROUND(Y389 + IF(AND(E390=32, F390&lt;&gt;"ASTM A416"), L390, 0), 3)</f>
        <v/>
      </c>
      <c r="Z390" s="20">
        <f>ROUND(Z389 + IF(F390="ASTM A416", L390, 0), 3)</f>
        <v/>
      </c>
      <c r="AA390" s="11">
        <f>IF(INT(P390/20)&gt;INT(P389/20), "Lần " &amp; INT(P390/20), "")</f>
        <v/>
      </c>
      <c r="AB390" s="11">
        <f>IF(INT(Q390/20)&gt;INT(Q389/20), "Lần " &amp; INT(Q390/20), "")</f>
        <v/>
      </c>
      <c r="AC390" s="11">
        <f>IF(INT(R390/20)&gt;INT(R389/20), "Lần " &amp; INT(R390/20), "")</f>
        <v/>
      </c>
      <c r="AD390" s="11">
        <f>IF(INT(S390/20)&gt;INT(S389/20), "Lần " &amp; INT(S390/20), "")</f>
        <v/>
      </c>
      <c r="AE390" s="11">
        <f>IF(INT(T390/20)&gt;INT(T389/20), "Lần " &amp; INT(T390/20), "")</f>
        <v/>
      </c>
      <c r="AF390" s="11">
        <f>IF(INT(U390/20)&gt;INT(U389/20), "Lần " &amp; INT(U390/20), "")</f>
        <v/>
      </c>
      <c r="AG390" s="11">
        <f>IF(INT(V390/20)&gt;INT(V389/20), "Lần " &amp; INT(V390/20), "")</f>
        <v/>
      </c>
      <c r="AH390" s="11">
        <f>IF(INT(W390/20)&gt;INT(W389/20), "Lần " &amp; INT(W390/20), "")</f>
        <v/>
      </c>
      <c r="AI390" s="11">
        <f>IF(INT(X390/20)&gt;INT(X389/20), "Lần " &amp; INT(X390/20), "")</f>
        <v/>
      </c>
      <c r="AJ390" s="11">
        <f>IF(INT(Y390/20)&gt;INT(Y389/20), "Lần " &amp; INT(Y390/20), "")</f>
        <v/>
      </c>
      <c r="AK390" s="11">
        <f>IF(INT(Z390/20)&gt;INT(Z389/20), "Lần " &amp; INT(Z390/20), "")</f>
        <v/>
      </c>
      <c r="AL390" s="6" t="inlineStr">
        <is>
          <t>ĐẠT TCVN 1651:2018</t>
        </is>
      </c>
    </row>
    <row r="391" ht="19" customHeight="1">
      <c r="A391" s="6" t="n">
        <v>364</v>
      </c>
      <c r="B391" s="7" t="inlineStr">
        <is>
          <t>Cọc khoan nhồi C5 Mố M2 (D1.2m, L=36.0m)</t>
        </is>
      </c>
      <c r="C391" s="7" t="inlineStr">
        <is>
          <t>Đai tăng cường / Con kê bảo vệ</t>
        </is>
      </c>
      <c r="D391" s="18" t="inlineStr">
        <is>
          <t>P9</t>
        </is>
      </c>
      <c r="E391" s="19" t="n">
        <v>12</v>
      </c>
      <c r="F391" s="6" t="inlineStr">
        <is>
          <t>CB400-V</t>
        </is>
      </c>
      <c r="G391" s="7" t="inlineStr">
        <is>
          <t>Móc neo / Vòng đai</t>
        </is>
      </c>
      <c r="H391" s="20" t="n">
        <v>0.379</v>
      </c>
      <c r="I391" s="21" t="n">
        <v>45</v>
      </c>
      <c r="J391" s="22" t="n">
        <v>0.888</v>
      </c>
      <c r="K391" s="9">
        <f>ROUND(H391*I391*J391, 2)</f>
        <v/>
      </c>
      <c r="L391" s="23">
        <f>ROUND(K391/1000, 3)</f>
        <v/>
      </c>
      <c r="M391" s="8" t="n"/>
      <c r="N391" s="6" t="n"/>
      <c r="O391" s="24">
        <f>IF(AND(E391&lt;=10, F391&lt;&gt;"ASTM A416", INT(P391/20)&gt;INT(P390/20)), "TN Ø10 (Lần " &amp; INT(P391/20) &amp; ")", IF(AND(E391=12, INT(Q391/20)&gt;INT(Q390/20)), "TN Ø12 (Lần " &amp; INT(Q391/20) &amp; ")", IF(AND(E391=14, INT(R391/20)&gt;INT(R390/20)), "TN Ø14 (Lần " &amp; INT(R391/20) &amp; ")", IF(AND(E391=16, INT(S391/20)&gt;INT(S390/20)), "TN Ø16 (Lần " &amp; INT(S391/20) &amp; ")", IF(AND(E391=18, INT(T391/20)&gt;INT(T390/20)), "TN Ø18 (Lần " &amp; INT(T391/20) &amp; ")", IF(AND(E391=20, INT(U391/20)&gt;INT(U390/20)), "TN Ø20 (Lần " &amp; INT(U391/20) &amp; ")", IF(AND(E391=22, INT(V391/20)&gt;INT(V390/20)), "TN Ø22 (Lần " &amp; INT(V391/20) &amp; ")", IF(AND(E391=25, INT(W391/20)&gt;INT(W390/20)), "TN Ø25 (Lần " &amp; INT(W391/20) &amp; ")", IF(AND(E391=28, INT(X391/20)&gt;INT(X390/20)), "TN Ø28 (Lần " &amp; INT(X391/20) &amp; ")", IF(AND(E391=32, INT(Y391/20)&gt;INT(Y390/20)), "TN Ø32 (Lần " &amp; INT(Y391/20) &amp; ")", IF(AND(F391="ASTM A416", INT(Z391/20)&gt;INT(Z390/20)), "TN Cáp 15.2 (Lần " &amp; INT(Z391/20) &amp; ")", "")))))))))))</f>
        <v/>
      </c>
      <c r="P391" s="20">
        <f>ROUND(P390 + IF(AND(E391&lt;=10, F391&lt;&gt;"ASTM A416"), L391, 0), 3)</f>
        <v/>
      </c>
      <c r="Q391" s="20">
        <f>ROUND(Q390 + IF(AND(E391=12, F391&lt;&gt;"ASTM A416"), L391, 0), 3)</f>
        <v/>
      </c>
      <c r="R391" s="20">
        <f>ROUND(R390 + IF(AND(E391=14, F391&lt;&gt;"ASTM A416"), L391, 0), 3)</f>
        <v/>
      </c>
      <c r="S391" s="20">
        <f>ROUND(S390 + IF(AND(E391=16, F391&lt;&gt;"ASTM A416"), L391, 0), 3)</f>
        <v/>
      </c>
      <c r="T391" s="20">
        <f>ROUND(T390 + IF(AND(E391=18, F391&lt;&gt;"ASTM A416"), L391, 0), 3)</f>
        <v/>
      </c>
      <c r="U391" s="20">
        <f>ROUND(U390 + IF(AND(E391=20, F391&lt;&gt;"ASTM A416"), L391, 0), 3)</f>
        <v/>
      </c>
      <c r="V391" s="20">
        <f>ROUND(V390 + IF(AND(E391=22, F391&lt;&gt;"ASTM A416"), L391, 0), 3)</f>
        <v/>
      </c>
      <c r="W391" s="20">
        <f>ROUND(W390 + IF(AND(E391=25, F391&lt;&gt;"ASTM A416"), L391, 0), 3)</f>
        <v/>
      </c>
      <c r="X391" s="20">
        <f>ROUND(X390 + IF(AND(E391=28, F391&lt;&gt;"ASTM A416"), L391, 0), 3)</f>
        <v/>
      </c>
      <c r="Y391" s="20">
        <f>ROUND(Y390 + IF(AND(E391=32, F391&lt;&gt;"ASTM A416"), L391, 0), 3)</f>
        <v/>
      </c>
      <c r="Z391" s="20">
        <f>ROUND(Z390 + IF(F391="ASTM A416", L391, 0), 3)</f>
        <v/>
      </c>
      <c r="AA391" s="11">
        <f>IF(INT(P391/20)&gt;INT(P390/20), "Lần " &amp; INT(P391/20), "")</f>
        <v/>
      </c>
      <c r="AB391" s="11">
        <f>IF(INT(Q391/20)&gt;INT(Q390/20), "Lần " &amp; INT(Q391/20), "")</f>
        <v/>
      </c>
      <c r="AC391" s="11">
        <f>IF(INT(R391/20)&gt;INT(R390/20), "Lần " &amp; INT(R391/20), "")</f>
        <v/>
      </c>
      <c r="AD391" s="11">
        <f>IF(INT(S391/20)&gt;INT(S390/20), "Lần " &amp; INT(S391/20), "")</f>
        <v/>
      </c>
      <c r="AE391" s="11">
        <f>IF(INT(T391/20)&gt;INT(T390/20), "Lần " &amp; INT(T391/20), "")</f>
        <v/>
      </c>
      <c r="AF391" s="11">
        <f>IF(INT(U391/20)&gt;INT(U390/20), "Lần " &amp; INT(U391/20), "")</f>
        <v/>
      </c>
      <c r="AG391" s="11">
        <f>IF(INT(V391/20)&gt;INT(V390/20), "Lần " &amp; INT(V391/20), "")</f>
        <v/>
      </c>
      <c r="AH391" s="11">
        <f>IF(INT(W391/20)&gt;INT(W390/20), "Lần " &amp; INT(W391/20), "")</f>
        <v/>
      </c>
      <c r="AI391" s="11">
        <f>IF(INT(X391/20)&gt;INT(X390/20), "Lần " &amp; INT(X391/20), "")</f>
        <v/>
      </c>
      <c r="AJ391" s="11">
        <f>IF(INT(Y391/20)&gt;INT(Y390/20), "Lần " &amp; INT(Y391/20), "")</f>
        <v/>
      </c>
      <c r="AK391" s="11">
        <f>IF(INT(Z391/20)&gt;INT(Z390/20), "Lần " &amp; INT(Z391/20), "")</f>
        <v/>
      </c>
      <c r="AL391" s="6" t="inlineStr">
        <is>
          <t>ĐẠT TCVN 1651:2018</t>
        </is>
      </c>
    </row>
    <row r="392" ht="19" customHeight="1">
      <c r="A392" s="6" t="n">
        <v>365</v>
      </c>
      <c r="B392" s="7" t="inlineStr">
        <is>
          <t>Cọc khoan nhồi C5 Mố M2 (D1.2m, L=36.0m)</t>
        </is>
      </c>
      <c r="C392" s="7" t="inlineStr">
        <is>
          <t>Thép đai xoắn lồng cọc</t>
        </is>
      </c>
      <c r="D392" s="18" t="inlineStr">
        <is>
          <t>P10</t>
        </is>
      </c>
      <c r="E392" s="19" t="n">
        <v>20</v>
      </c>
      <c r="F392" s="6" t="inlineStr">
        <is>
          <t>CB400-V</t>
        </is>
      </c>
      <c r="G392" s="7" t="inlineStr">
        <is>
          <t>Đai xoắn tròn</t>
        </is>
      </c>
      <c r="H392" s="20" t="n">
        <v>2.057</v>
      </c>
      <c r="I392" s="21" t="n">
        <v>1</v>
      </c>
      <c r="J392" s="22" t="n">
        <v>2.47</v>
      </c>
      <c r="K392" s="9">
        <f>ROUND(H392*I392*J392, 2)</f>
        <v/>
      </c>
      <c r="L392" s="23">
        <f>ROUND(K392/1000, 3)</f>
        <v/>
      </c>
      <c r="M392" s="8" t="n"/>
      <c r="N392" s="6" t="n"/>
      <c r="O392" s="24">
        <f>IF(AND(E392&lt;=10, F392&lt;&gt;"ASTM A416", INT(P392/20)&gt;INT(P391/20)), "TN Ø10 (Lần " &amp; INT(P392/20) &amp; ")", IF(AND(E392=12, INT(Q392/20)&gt;INT(Q391/20)), "TN Ø12 (Lần " &amp; INT(Q392/20) &amp; ")", IF(AND(E392=14, INT(R392/20)&gt;INT(R391/20)), "TN Ø14 (Lần " &amp; INT(R392/20) &amp; ")", IF(AND(E392=16, INT(S392/20)&gt;INT(S391/20)), "TN Ø16 (Lần " &amp; INT(S392/20) &amp; ")", IF(AND(E392=18, INT(T392/20)&gt;INT(T391/20)), "TN Ø18 (Lần " &amp; INT(T392/20) &amp; ")", IF(AND(E392=20, INT(U392/20)&gt;INT(U391/20)), "TN Ø20 (Lần " &amp; INT(U392/20) &amp; ")", IF(AND(E392=22, INT(V392/20)&gt;INT(V391/20)), "TN Ø22 (Lần " &amp; INT(V392/20) &amp; ")", IF(AND(E392=25, INT(W392/20)&gt;INT(W391/20)), "TN Ø25 (Lần " &amp; INT(W392/20) &amp; ")", IF(AND(E392=28, INT(X392/20)&gt;INT(X391/20)), "TN Ø28 (Lần " &amp; INT(X392/20) &amp; ")", IF(AND(E392=32, INT(Y392/20)&gt;INT(Y391/20)), "TN Ø32 (Lần " &amp; INT(Y392/20) &amp; ")", IF(AND(F392="ASTM A416", INT(Z392/20)&gt;INT(Z391/20)), "TN Cáp 15.2 (Lần " &amp; INT(Z392/20) &amp; ")", "")))))))))))</f>
        <v/>
      </c>
      <c r="P392" s="20">
        <f>ROUND(P391 + IF(AND(E392&lt;=10, F392&lt;&gt;"ASTM A416"), L392, 0), 3)</f>
        <v/>
      </c>
      <c r="Q392" s="20">
        <f>ROUND(Q391 + IF(AND(E392=12, F392&lt;&gt;"ASTM A416"), L392, 0), 3)</f>
        <v/>
      </c>
      <c r="R392" s="20">
        <f>ROUND(R391 + IF(AND(E392=14, F392&lt;&gt;"ASTM A416"), L392, 0), 3)</f>
        <v/>
      </c>
      <c r="S392" s="20">
        <f>ROUND(S391 + IF(AND(E392=16, F392&lt;&gt;"ASTM A416"), L392, 0), 3)</f>
        <v/>
      </c>
      <c r="T392" s="20">
        <f>ROUND(T391 + IF(AND(E392=18, F392&lt;&gt;"ASTM A416"), L392, 0), 3)</f>
        <v/>
      </c>
      <c r="U392" s="20">
        <f>ROUND(U391 + IF(AND(E392=20, F392&lt;&gt;"ASTM A416"), L392, 0), 3)</f>
        <v/>
      </c>
      <c r="V392" s="20">
        <f>ROUND(V391 + IF(AND(E392=22, F392&lt;&gt;"ASTM A416"), L392, 0), 3)</f>
        <v/>
      </c>
      <c r="W392" s="20">
        <f>ROUND(W391 + IF(AND(E392=25, F392&lt;&gt;"ASTM A416"), L392, 0), 3)</f>
        <v/>
      </c>
      <c r="X392" s="20">
        <f>ROUND(X391 + IF(AND(E392=28, F392&lt;&gt;"ASTM A416"), L392, 0), 3)</f>
        <v/>
      </c>
      <c r="Y392" s="20">
        <f>ROUND(Y391 + IF(AND(E392=32, F392&lt;&gt;"ASTM A416"), L392, 0), 3)</f>
        <v/>
      </c>
      <c r="Z392" s="20">
        <f>ROUND(Z391 + IF(F392="ASTM A416", L392, 0), 3)</f>
        <v/>
      </c>
      <c r="AA392" s="11">
        <f>IF(INT(P392/20)&gt;INT(P391/20), "Lần " &amp; INT(P392/20), "")</f>
        <v/>
      </c>
      <c r="AB392" s="11">
        <f>IF(INT(Q392/20)&gt;INT(Q391/20), "Lần " &amp; INT(Q392/20), "")</f>
        <v/>
      </c>
      <c r="AC392" s="11">
        <f>IF(INT(R392/20)&gt;INT(R391/20), "Lần " &amp; INT(R392/20), "")</f>
        <v/>
      </c>
      <c r="AD392" s="11">
        <f>IF(INT(S392/20)&gt;INT(S391/20), "Lần " &amp; INT(S392/20), "")</f>
        <v/>
      </c>
      <c r="AE392" s="11">
        <f>IF(INT(T392/20)&gt;INT(T391/20), "Lần " &amp; INT(T392/20), "")</f>
        <v/>
      </c>
      <c r="AF392" s="11">
        <f>IF(INT(U392/20)&gt;INT(U391/20), "Lần " &amp; INT(U392/20), "")</f>
        <v/>
      </c>
      <c r="AG392" s="11">
        <f>IF(INT(V392/20)&gt;INT(V391/20), "Lần " &amp; INT(V392/20), "")</f>
        <v/>
      </c>
      <c r="AH392" s="11">
        <f>IF(INT(W392/20)&gt;INT(W391/20), "Lần " &amp; INT(W392/20), "")</f>
        <v/>
      </c>
      <c r="AI392" s="11">
        <f>IF(INT(X392/20)&gt;INT(X391/20), "Lần " &amp; INT(X392/20), "")</f>
        <v/>
      </c>
      <c r="AJ392" s="11">
        <f>IF(INT(Y392/20)&gt;INT(Y391/20), "Lần " &amp; INT(Y392/20), "")</f>
        <v/>
      </c>
      <c r="AK392" s="11">
        <f>IF(INT(Z392/20)&gt;INT(Z391/20), "Lần " &amp; INT(Z392/20), "")</f>
        <v/>
      </c>
      <c r="AL392" s="6" t="inlineStr">
        <is>
          <t>ĐẠT TCVN 1651:2018</t>
        </is>
      </c>
    </row>
    <row r="393" ht="19" customHeight="1">
      <c r="A393" s="6" t="n">
        <v>366</v>
      </c>
      <c r="B393" s="7" t="inlineStr">
        <is>
          <t>Cọc khoan nhồi C5 Mố M2 (D1.2m, L=36.0m)</t>
        </is>
      </c>
      <c r="C393" s="7" t="inlineStr">
        <is>
          <t>Thanh thép treo lồng cọc</t>
        </is>
      </c>
      <c r="D393" s="18" t="inlineStr">
        <is>
          <t>P11</t>
        </is>
      </c>
      <c r="E393" s="19" t="n">
        <v>16</v>
      </c>
      <c r="F393" s="6" t="inlineStr">
        <is>
          <t>CB400-V</t>
        </is>
      </c>
      <c r="G393" s="7" t="inlineStr">
        <is>
          <t>Thanh treo lồng (bảng phụ tr.66)</t>
        </is>
      </c>
      <c r="H393" s="20" t="n">
        <v>2.484</v>
      </c>
      <c r="I393" s="21" t="n">
        <v>4</v>
      </c>
      <c r="J393" s="22" t="n">
        <v>1.58</v>
      </c>
      <c r="K393" s="9">
        <f>ROUND(H393*I393*J393, 2)</f>
        <v/>
      </c>
      <c r="L393" s="23">
        <f>ROUND(K393/1000, 3)</f>
        <v/>
      </c>
      <c r="M393" s="8" t="n"/>
      <c r="N393" s="6" t="n"/>
      <c r="O393" s="24">
        <f>IF(AND(E393&lt;=10, F393&lt;&gt;"ASTM A416", INT(P393/20)&gt;INT(P392/20)), "TN Ø10 (Lần " &amp; INT(P393/20) &amp; ")", IF(AND(E393=12, INT(Q393/20)&gt;INT(Q392/20)), "TN Ø12 (Lần " &amp; INT(Q393/20) &amp; ")", IF(AND(E393=14, INT(R393/20)&gt;INT(R392/20)), "TN Ø14 (Lần " &amp; INT(R393/20) &amp; ")", IF(AND(E393=16, INT(S393/20)&gt;INT(S392/20)), "TN Ø16 (Lần " &amp; INT(S393/20) &amp; ")", IF(AND(E393=18, INT(T393/20)&gt;INT(T392/20)), "TN Ø18 (Lần " &amp; INT(T393/20) &amp; ")", IF(AND(E393=20, INT(U393/20)&gt;INT(U392/20)), "TN Ø20 (Lần " &amp; INT(U393/20) &amp; ")", IF(AND(E393=22, INT(V393/20)&gt;INT(V392/20)), "TN Ø22 (Lần " &amp; INT(V393/20) &amp; ")", IF(AND(E393=25, INT(W393/20)&gt;INT(W392/20)), "TN Ø25 (Lần " &amp; INT(W393/20) &amp; ")", IF(AND(E393=28, INT(X393/20)&gt;INT(X392/20)), "TN Ø28 (Lần " &amp; INT(X393/20) &amp; ")", IF(AND(E393=32, INT(Y393/20)&gt;INT(Y392/20)), "TN Ø32 (Lần " &amp; INT(Y393/20) &amp; ")", IF(AND(F393="ASTM A416", INT(Z393/20)&gt;INT(Z392/20)), "TN Cáp 15.2 (Lần " &amp; INT(Z393/20) &amp; ")", "")))))))))))</f>
        <v/>
      </c>
      <c r="P393" s="20">
        <f>ROUND(P392 + IF(AND(E393&lt;=10, F393&lt;&gt;"ASTM A416"), L393, 0), 3)</f>
        <v/>
      </c>
      <c r="Q393" s="20">
        <f>ROUND(Q392 + IF(AND(E393=12, F393&lt;&gt;"ASTM A416"), L393, 0), 3)</f>
        <v/>
      </c>
      <c r="R393" s="20">
        <f>ROUND(R392 + IF(AND(E393=14, F393&lt;&gt;"ASTM A416"), L393, 0), 3)</f>
        <v/>
      </c>
      <c r="S393" s="20">
        <f>ROUND(S392 + IF(AND(E393=16, F393&lt;&gt;"ASTM A416"), L393, 0), 3)</f>
        <v/>
      </c>
      <c r="T393" s="20">
        <f>ROUND(T392 + IF(AND(E393=18, F393&lt;&gt;"ASTM A416"), L393, 0), 3)</f>
        <v/>
      </c>
      <c r="U393" s="20">
        <f>ROUND(U392 + IF(AND(E393=20, F393&lt;&gt;"ASTM A416"), L393, 0), 3)</f>
        <v/>
      </c>
      <c r="V393" s="20">
        <f>ROUND(V392 + IF(AND(E393=22, F393&lt;&gt;"ASTM A416"), L393, 0), 3)</f>
        <v/>
      </c>
      <c r="W393" s="20">
        <f>ROUND(W392 + IF(AND(E393=25, F393&lt;&gt;"ASTM A416"), L393, 0), 3)</f>
        <v/>
      </c>
      <c r="X393" s="20">
        <f>ROUND(X392 + IF(AND(E393=28, F393&lt;&gt;"ASTM A416"), L393, 0), 3)</f>
        <v/>
      </c>
      <c r="Y393" s="20">
        <f>ROUND(Y392 + IF(AND(E393=32, F393&lt;&gt;"ASTM A416"), L393, 0), 3)</f>
        <v/>
      </c>
      <c r="Z393" s="20">
        <f>ROUND(Z392 + IF(F393="ASTM A416", L393, 0), 3)</f>
        <v/>
      </c>
      <c r="AA393" s="11">
        <f>IF(INT(P393/20)&gt;INT(P392/20), "Lần " &amp; INT(P393/20), "")</f>
        <v/>
      </c>
      <c r="AB393" s="11">
        <f>IF(INT(Q393/20)&gt;INT(Q392/20), "Lần " &amp; INT(Q393/20), "")</f>
        <v/>
      </c>
      <c r="AC393" s="11">
        <f>IF(INT(R393/20)&gt;INT(R392/20), "Lần " &amp; INT(R393/20), "")</f>
        <v/>
      </c>
      <c r="AD393" s="11">
        <f>IF(INT(S393/20)&gt;INT(S392/20), "Lần " &amp; INT(S393/20), "")</f>
        <v/>
      </c>
      <c r="AE393" s="11">
        <f>IF(INT(T393/20)&gt;INT(T392/20), "Lần " &amp; INT(T393/20), "")</f>
        <v/>
      </c>
      <c r="AF393" s="11">
        <f>IF(INT(U393/20)&gt;INT(U392/20), "Lần " &amp; INT(U393/20), "")</f>
        <v/>
      </c>
      <c r="AG393" s="11">
        <f>IF(INT(V393/20)&gt;INT(V392/20), "Lần " &amp; INT(V393/20), "")</f>
        <v/>
      </c>
      <c r="AH393" s="11">
        <f>IF(INT(W393/20)&gt;INT(W392/20), "Lần " &amp; INT(W393/20), "")</f>
        <v/>
      </c>
      <c r="AI393" s="11">
        <f>IF(INT(X393/20)&gt;INT(X392/20), "Lần " &amp; INT(X393/20), "")</f>
        <v/>
      </c>
      <c r="AJ393" s="11">
        <f>IF(INT(Y393/20)&gt;INT(Y392/20), "Lần " &amp; INT(Y393/20), "")</f>
        <v/>
      </c>
      <c r="AK393" s="11">
        <f>IF(INT(Z393/20)&gt;INT(Z392/20), "Lần " &amp; INT(Z393/20), "")</f>
        <v/>
      </c>
      <c r="AL393" s="6" t="inlineStr">
        <is>
          <t>ĐẠT TCVN 1651:2018</t>
        </is>
      </c>
    </row>
    <row r="394" ht="19" customHeight="1">
      <c r="A394" s="6" t="n">
        <v>367</v>
      </c>
      <c r="B394" s="7" t="inlineStr">
        <is>
          <t>Cọc khoan nhồi C5 Mố M2 (D1.2m, L=36.0m)</t>
        </is>
      </c>
      <c r="C394" s="7" t="inlineStr">
        <is>
          <t>Thép đai xoắn lồng cọc</t>
        </is>
      </c>
      <c r="D394" s="18" t="inlineStr">
        <is>
          <t>P12</t>
        </is>
      </c>
      <c r="E394" s="19" t="n">
        <v>20</v>
      </c>
      <c r="F394" s="6" t="inlineStr">
        <is>
          <t>CB400-V</t>
        </is>
      </c>
      <c r="G394" s="7" t="inlineStr">
        <is>
          <t>Đai xoắn tròn</t>
        </is>
      </c>
      <c r="H394" s="20" t="n">
        <v>0.583</v>
      </c>
      <c r="I394" s="21" t="n">
        <v>60</v>
      </c>
      <c r="J394" s="22" t="n">
        <v>2.47</v>
      </c>
      <c r="K394" s="9">
        <f>ROUND(H394*I394*J394, 2)</f>
        <v/>
      </c>
      <c r="L394" s="23">
        <f>ROUND(K394/1000, 3)</f>
        <v/>
      </c>
      <c r="M394" s="8" t="n"/>
      <c r="N394" s="6" t="n"/>
      <c r="O394" s="24">
        <f>IF(AND(E394&lt;=10, F394&lt;&gt;"ASTM A416", INT(P394/20)&gt;INT(P393/20)), "TN Ø10 (Lần " &amp; INT(P394/20) &amp; ")", IF(AND(E394=12, INT(Q394/20)&gt;INT(Q393/20)), "TN Ø12 (Lần " &amp; INT(Q394/20) &amp; ")", IF(AND(E394=14, INT(R394/20)&gt;INT(R393/20)), "TN Ø14 (Lần " &amp; INT(R394/20) &amp; ")", IF(AND(E394=16, INT(S394/20)&gt;INT(S393/20)), "TN Ø16 (Lần " &amp; INT(S394/20) &amp; ")", IF(AND(E394=18, INT(T394/20)&gt;INT(T393/20)), "TN Ø18 (Lần " &amp; INT(T394/20) &amp; ")", IF(AND(E394=20, INT(U394/20)&gt;INT(U393/20)), "TN Ø20 (Lần " &amp; INT(U394/20) &amp; ")", IF(AND(E394=22, INT(V394/20)&gt;INT(V393/20)), "TN Ø22 (Lần " &amp; INT(V394/20) &amp; ")", IF(AND(E394=25, INT(W394/20)&gt;INT(W393/20)), "TN Ø25 (Lần " &amp; INT(W394/20) &amp; ")", IF(AND(E394=28, INT(X394/20)&gt;INT(X393/20)), "TN Ø28 (Lần " &amp; INT(X394/20) &amp; ")", IF(AND(E394=32, INT(Y394/20)&gt;INT(Y393/20)), "TN Ø32 (Lần " &amp; INT(Y394/20) &amp; ")", IF(AND(F394="ASTM A416", INT(Z394/20)&gt;INT(Z393/20)), "TN Cáp 15.2 (Lần " &amp; INT(Z394/20) &amp; ")", "")))))))))))</f>
        <v/>
      </c>
      <c r="P394" s="20">
        <f>ROUND(P393 + IF(AND(E394&lt;=10, F394&lt;&gt;"ASTM A416"), L394, 0), 3)</f>
        <v/>
      </c>
      <c r="Q394" s="20">
        <f>ROUND(Q393 + IF(AND(E394=12, F394&lt;&gt;"ASTM A416"), L394, 0), 3)</f>
        <v/>
      </c>
      <c r="R394" s="20">
        <f>ROUND(R393 + IF(AND(E394=14, F394&lt;&gt;"ASTM A416"), L394, 0), 3)</f>
        <v/>
      </c>
      <c r="S394" s="20">
        <f>ROUND(S393 + IF(AND(E394=16, F394&lt;&gt;"ASTM A416"), L394, 0), 3)</f>
        <v/>
      </c>
      <c r="T394" s="20">
        <f>ROUND(T393 + IF(AND(E394=18, F394&lt;&gt;"ASTM A416"), L394, 0), 3)</f>
        <v/>
      </c>
      <c r="U394" s="20">
        <f>ROUND(U393 + IF(AND(E394=20, F394&lt;&gt;"ASTM A416"), L394, 0), 3)</f>
        <v/>
      </c>
      <c r="V394" s="20">
        <f>ROUND(V393 + IF(AND(E394=22, F394&lt;&gt;"ASTM A416"), L394, 0), 3)</f>
        <v/>
      </c>
      <c r="W394" s="20">
        <f>ROUND(W393 + IF(AND(E394=25, F394&lt;&gt;"ASTM A416"), L394, 0), 3)</f>
        <v/>
      </c>
      <c r="X394" s="20">
        <f>ROUND(X393 + IF(AND(E394=28, F394&lt;&gt;"ASTM A416"), L394, 0), 3)</f>
        <v/>
      </c>
      <c r="Y394" s="20">
        <f>ROUND(Y393 + IF(AND(E394=32, F394&lt;&gt;"ASTM A416"), L394, 0), 3)</f>
        <v/>
      </c>
      <c r="Z394" s="20">
        <f>ROUND(Z393 + IF(F394="ASTM A416", L394, 0), 3)</f>
        <v/>
      </c>
      <c r="AA394" s="11">
        <f>IF(INT(P394/20)&gt;INT(P393/20), "Lần " &amp; INT(P394/20), "")</f>
        <v/>
      </c>
      <c r="AB394" s="11">
        <f>IF(INT(Q394/20)&gt;INT(Q393/20), "Lần " &amp; INT(Q394/20), "")</f>
        <v/>
      </c>
      <c r="AC394" s="11">
        <f>IF(INT(R394/20)&gt;INT(R393/20), "Lần " &amp; INT(R394/20), "")</f>
        <v/>
      </c>
      <c r="AD394" s="11">
        <f>IF(INT(S394/20)&gt;INT(S393/20), "Lần " &amp; INT(S394/20), "")</f>
        <v/>
      </c>
      <c r="AE394" s="11">
        <f>IF(INT(T394/20)&gt;INT(T393/20), "Lần " &amp; INT(T394/20), "")</f>
        <v/>
      </c>
      <c r="AF394" s="11">
        <f>IF(INT(U394/20)&gt;INT(U393/20), "Lần " &amp; INT(U394/20), "")</f>
        <v/>
      </c>
      <c r="AG394" s="11">
        <f>IF(INT(V394/20)&gt;INT(V393/20), "Lần " &amp; INT(V394/20), "")</f>
        <v/>
      </c>
      <c r="AH394" s="11">
        <f>IF(INT(W394/20)&gt;INT(W393/20), "Lần " &amp; INT(W394/20), "")</f>
        <v/>
      </c>
      <c r="AI394" s="11">
        <f>IF(INT(X394/20)&gt;INT(X393/20), "Lần " &amp; INT(X394/20), "")</f>
        <v/>
      </c>
      <c r="AJ394" s="11">
        <f>IF(INT(Y394/20)&gt;INT(Y393/20), "Lần " &amp; INT(Y394/20), "")</f>
        <v/>
      </c>
      <c r="AK394" s="11">
        <f>IF(INT(Z394/20)&gt;INT(Z393/20), "Lần " &amp; INT(Z394/20), "")</f>
        <v/>
      </c>
      <c r="AL394" s="6" t="inlineStr">
        <is>
          <t>ĐẠT TCVN 1651:2018</t>
        </is>
      </c>
    </row>
    <row r="395" ht="20" customHeight="1">
      <c r="A395" s="17" t="inlineStr">
        <is>
          <t>--- CỌC KHOAN NHỒI C6 MỐ M2 (D1.2M, L=36.0M) ---</t>
        </is>
      </c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  <c r="AD395" s="5" t="n"/>
      <c r="AE395" s="5" t="n"/>
      <c r="AF395" s="5" t="n"/>
      <c r="AG395" s="5" t="n"/>
      <c r="AH395" s="5" t="n"/>
      <c r="AI395" s="5" t="n"/>
      <c r="AJ395" s="5" t="n"/>
      <c r="AK395" s="5" t="n"/>
      <c r="AL395" s="5" t="n"/>
    </row>
    <row r="396" ht="19" customHeight="1">
      <c r="A396" s="6" t="n">
        <v>368</v>
      </c>
      <c r="B396" s="7" t="inlineStr">
        <is>
          <t>Cọc khoan nhồi C6 Mố M2 (D1.2m, L=36.0m)</t>
        </is>
      </c>
      <c r="C396" s="7" t="inlineStr">
        <is>
          <t>Thép đai xoắn lồng cọc</t>
        </is>
      </c>
      <c r="D396" s="18" t="inlineStr">
        <is>
          <t>P1</t>
        </is>
      </c>
      <c r="E396" s="19" t="n">
        <v>10</v>
      </c>
      <c r="F396" s="6" t="inlineStr">
        <is>
          <t>CB240-T</t>
        </is>
      </c>
      <c r="G396" s="7" t="inlineStr">
        <is>
          <t>Đai xoắn tròn</t>
        </is>
      </c>
      <c r="H396" s="20" t="n">
        <v>96.887</v>
      </c>
      <c r="I396" s="21" t="n">
        <v>1</v>
      </c>
      <c r="J396" s="22" t="n">
        <v>0.617</v>
      </c>
      <c r="K396" s="9">
        <f>ROUND(H396*I396*J396, 2)</f>
        <v/>
      </c>
      <c r="L396" s="23">
        <f>ROUND(K396/1000, 3)</f>
        <v/>
      </c>
      <c r="M396" s="8" t="n"/>
      <c r="N396" s="6" t="n"/>
      <c r="O396" s="24">
        <f>IF(AND(E396&lt;=10, F396&lt;&gt;"ASTM A416", INT(P396/20)&gt;INT(P394/20)), "TN Ø10 (Lần " &amp; INT(P396/20) &amp; ")", IF(AND(E396=12, INT(Q396/20)&gt;INT(Q394/20)), "TN Ø12 (Lần " &amp; INT(Q396/20) &amp; ")", IF(AND(E396=14, INT(R396/20)&gt;INT(R394/20)), "TN Ø14 (Lần " &amp; INT(R396/20) &amp; ")", IF(AND(E396=16, INT(S396/20)&gt;INT(S394/20)), "TN Ø16 (Lần " &amp; INT(S396/20) &amp; ")", IF(AND(E396=18, INT(T396/20)&gt;INT(T394/20)), "TN Ø18 (Lần " &amp; INT(T396/20) &amp; ")", IF(AND(E396=20, INT(U396/20)&gt;INT(U394/20)), "TN Ø20 (Lần " &amp; INT(U396/20) &amp; ")", IF(AND(E396=22, INT(V396/20)&gt;INT(V394/20)), "TN Ø22 (Lần " &amp; INT(V396/20) &amp; ")", IF(AND(E396=25, INT(W396/20)&gt;INT(W394/20)), "TN Ø25 (Lần " &amp; INT(W396/20) &amp; ")", IF(AND(E396=28, INT(X396/20)&gt;INT(X394/20)), "TN Ø28 (Lần " &amp; INT(X396/20) &amp; ")", IF(AND(E396=32, INT(Y396/20)&gt;INT(Y394/20)), "TN Ø32 (Lần " &amp; INT(Y396/20) &amp; ")", IF(AND(F396="ASTM A416", INT(Z396/20)&gt;INT(Z394/20)), "TN Cáp 15.2 (Lần " &amp; INT(Z396/20) &amp; ")", "")))))))))))</f>
        <v/>
      </c>
      <c r="P396" s="20">
        <f>ROUND(P394 + IF(AND(E396&lt;=10, F396&lt;&gt;"ASTM A416"), L396, 0), 3)</f>
        <v/>
      </c>
      <c r="Q396" s="20">
        <f>ROUND(Q394 + IF(AND(E396=12, F396&lt;&gt;"ASTM A416"), L396, 0), 3)</f>
        <v/>
      </c>
      <c r="R396" s="20">
        <f>ROUND(R394 + IF(AND(E396=14, F396&lt;&gt;"ASTM A416"), L396, 0), 3)</f>
        <v/>
      </c>
      <c r="S396" s="20">
        <f>ROUND(S394 + IF(AND(E396=16, F396&lt;&gt;"ASTM A416"), L396, 0), 3)</f>
        <v/>
      </c>
      <c r="T396" s="20">
        <f>ROUND(T394 + IF(AND(E396=18, F396&lt;&gt;"ASTM A416"), L396, 0), 3)</f>
        <v/>
      </c>
      <c r="U396" s="20">
        <f>ROUND(U394 + IF(AND(E396=20, F396&lt;&gt;"ASTM A416"), L396, 0), 3)</f>
        <v/>
      </c>
      <c r="V396" s="20">
        <f>ROUND(V394 + IF(AND(E396=22, F396&lt;&gt;"ASTM A416"), L396, 0), 3)</f>
        <v/>
      </c>
      <c r="W396" s="20">
        <f>ROUND(W394 + IF(AND(E396=25, F396&lt;&gt;"ASTM A416"), L396, 0), 3)</f>
        <v/>
      </c>
      <c r="X396" s="20">
        <f>ROUND(X394 + IF(AND(E396=28, F396&lt;&gt;"ASTM A416"), L396, 0), 3)</f>
        <v/>
      </c>
      <c r="Y396" s="20">
        <f>ROUND(Y394 + IF(AND(E396=32, F396&lt;&gt;"ASTM A416"), L396, 0), 3)</f>
        <v/>
      </c>
      <c r="Z396" s="20">
        <f>ROUND(Z394 + IF(F396="ASTM A416", L396, 0), 3)</f>
        <v/>
      </c>
      <c r="AA396" s="11">
        <f>IF(INT(P396/20)&gt;INT(P394/20), "Lần " &amp; INT(P396/20), "")</f>
        <v/>
      </c>
      <c r="AB396" s="11">
        <f>IF(INT(Q396/20)&gt;INT(Q394/20), "Lần " &amp; INT(Q396/20), "")</f>
        <v/>
      </c>
      <c r="AC396" s="11">
        <f>IF(INT(R396/20)&gt;INT(R394/20), "Lần " &amp; INT(R396/20), "")</f>
        <v/>
      </c>
      <c r="AD396" s="11">
        <f>IF(INT(S396/20)&gt;INT(S394/20), "Lần " &amp; INT(S396/20), "")</f>
        <v/>
      </c>
      <c r="AE396" s="11">
        <f>IF(INT(T396/20)&gt;INT(T394/20), "Lần " &amp; INT(T396/20), "")</f>
        <v/>
      </c>
      <c r="AF396" s="11">
        <f>IF(INT(U396/20)&gt;INT(U394/20), "Lần " &amp; INT(U396/20), "")</f>
        <v/>
      </c>
      <c r="AG396" s="11">
        <f>IF(INT(V396/20)&gt;INT(V394/20), "Lần " &amp; INT(V396/20), "")</f>
        <v/>
      </c>
      <c r="AH396" s="11">
        <f>IF(INT(W396/20)&gt;INT(W394/20), "Lần " &amp; INT(W396/20), "")</f>
        <v/>
      </c>
      <c r="AI396" s="11">
        <f>IF(INT(X396/20)&gt;INT(X394/20), "Lần " &amp; INT(X396/20), "")</f>
        <v/>
      </c>
      <c r="AJ396" s="11">
        <f>IF(INT(Y396/20)&gt;INT(Y394/20), "Lần " &amp; INT(Y396/20), "")</f>
        <v/>
      </c>
      <c r="AK396" s="11">
        <f>IF(INT(Z396/20)&gt;INT(Z394/20), "Lần " &amp; INT(Z396/20), "")</f>
        <v/>
      </c>
      <c r="AL396" s="6" t="inlineStr">
        <is>
          <t>ĐẠT TCVN 1651:2018</t>
        </is>
      </c>
    </row>
    <row r="397" ht="19" customHeight="1">
      <c r="A397" s="6" t="n">
        <v>369</v>
      </c>
      <c r="B397" s="7" t="inlineStr">
        <is>
          <t>Cọc khoan nhồi C6 Mố M2 (D1.2m, L=36.0m)</t>
        </is>
      </c>
      <c r="C397" s="7" t="inlineStr">
        <is>
          <t>Thép đai xoắn lồng cọc</t>
        </is>
      </c>
      <c r="D397" s="18" t="inlineStr">
        <is>
          <t>P1A</t>
        </is>
      </c>
      <c r="E397" s="19" t="n">
        <v>10</v>
      </c>
      <c r="F397" s="6" t="inlineStr">
        <is>
          <t>CB240-T</t>
        </is>
      </c>
      <c r="G397" s="7" t="inlineStr">
        <is>
          <t>Đai xoắn tròn</t>
        </is>
      </c>
      <c r="H397" s="20" t="n">
        <v>390.776</v>
      </c>
      <c r="I397" s="21" t="n">
        <v>1</v>
      </c>
      <c r="J397" s="22" t="n">
        <v>0.617</v>
      </c>
      <c r="K397" s="9">
        <f>ROUND(H397*I397*J397, 2)</f>
        <v/>
      </c>
      <c r="L397" s="23">
        <f>ROUND(K397/1000, 3)</f>
        <v/>
      </c>
      <c r="M397" s="8" t="n"/>
      <c r="N397" s="6" t="n"/>
      <c r="O397" s="24">
        <f>IF(AND(E397&lt;=10, F397&lt;&gt;"ASTM A416", INT(P397/20)&gt;INT(P396/20)), "TN Ø10 (Lần " &amp; INT(P397/20) &amp; ")", IF(AND(E397=12, INT(Q397/20)&gt;INT(Q396/20)), "TN Ø12 (Lần " &amp; INT(Q397/20) &amp; ")", IF(AND(E397=14, INT(R397/20)&gt;INT(R396/20)), "TN Ø14 (Lần " &amp; INT(R397/20) &amp; ")", IF(AND(E397=16, INT(S397/20)&gt;INT(S396/20)), "TN Ø16 (Lần " &amp; INT(S397/20) &amp; ")", IF(AND(E397=18, INT(T397/20)&gt;INT(T396/20)), "TN Ø18 (Lần " &amp; INT(T397/20) &amp; ")", IF(AND(E397=20, INT(U397/20)&gt;INT(U396/20)), "TN Ø20 (Lần " &amp; INT(U397/20) &amp; ")", IF(AND(E397=22, INT(V397/20)&gt;INT(V396/20)), "TN Ø22 (Lần " &amp; INT(V397/20) &amp; ")", IF(AND(E397=25, INT(W397/20)&gt;INT(W396/20)), "TN Ø25 (Lần " &amp; INT(W397/20) &amp; ")", IF(AND(E397=28, INT(X397/20)&gt;INT(X396/20)), "TN Ø28 (Lần " &amp; INT(X397/20) &amp; ")", IF(AND(E397=32, INT(Y397/20)&gt;INT(Y396/20)), "TN Ø32 (Lần " &amp; INT(Y397/20) &amp; ")", IF(AND(F397="ASTM A416", INT(Z397/20)&gt;INT(Z396/20)), "TN Cáp 15.2 (Lần " &amp; INT(Z397/20) &amp; ")", "")))))))))))</f>
        <v/>
      </c>
      <c r="P397" s="20">
        <f>ROUND(P396 + IF(AND(E397&lt;=10, F397&lt;&gt;"ASTM A416"), L397, 0), 3)</f>
        <v/>
      </c>
      <c r="Q397" s="20">
        <f>ROUND(Q396 + IF(AND(E397=12, F397&lt;&gt;"ASTM A416"), L397, 0), 3)</f>
        <v/>
      </c>
      <c r="R397" s="20">
        <f>ROUND(R396 + IF(AND(E397=14, F397&lt;&gt;"ASTM A416"), L397, 0), 3)</f>
        <v/>
      </c>
      <c r="S397" s="20">
        <f>ROUND(S396 + IF(AND(E397=16, F397&lt;&gt;"ASTM A416"), L397, 0), 3)</f>
        <v/>
      </c>
      <c r="T397" s="20">
        <f>ROUND(T396 + IF(AND(E397=18, F397&lt;&gt;"ASTM A416"), L397, 0), 3)</f>
        <v/>
      </c>
      <c r="U397" s="20">
        <f>ROUND(U396 + IF(AND(E397=20, F397&lt;&gt;"ASTM A416"), L397, 0), 3)</f>
        <v/>
      </c>
      <c r="V397" s="20">
        <f>ROUND(V396 + IF(AND(E397=22, F397&lt;&gt;"ASTM A416"), L397, 0), 3)</f>
        <v/>
      </c>
      <c r="W397" s="20">
        <f>ROUND(W396 + IF(AND(E397=25, F397&lt;&gt;"ASTM A416"), L397, 0), 3)</f>
        <v/>
      </c>
      <c r="X397" s="20">
        <f>ROUND(X396 + IF(AND(E397=28, F397&lt;&gt;"ASTM A416"), L397, 0), 3)</f>
        <v/>
      </c>
      <c r="Y397" s="20">
        <f>ROUND(Y396 + IF(AND(E397=32, F397&lt;&gt;"ASTM A416"), L397, 0), 3)</f>
        <v/>
      </c>
      <c r="Z397" s="20">
        <f>ROUND(Z396 + IF(F397="ASTM A416", L397, 0), 3)</f>
        <v/>
      </c>
      <c r="AA397" s="11">
        <f>IF(INT(P397/20)&gt;INT(P396/20), "Lần " &amp; INT(P397/20), "")</f>
        <v/>
      </c>
      <c r="AB397" s="11">
        <f>IF(INT(Q397/20)&gt;INT(Q396/20), "Lần " &amp; INT(Q397/20), "")</f>
        <v/>
      </c>
      <c r="AC397" s="11">
        <f>IF(INT(R397/20)&gt;INT(R396/20), "Lần " &amp; INT(R397/20), "")</f>
        <v/>
      </c>
      <c r="AD397" s="11">
        <f>IF(INT(S397/20)&gt;INT(S396/20), "Lần " &amp; INT(S397/20), "")</f>
        <v/>
      </c>
      <c r="AE397" s="11">
        <f>IF(INT(T397/20)&gt;INT(T396/20), "Lần " &amp; INT(T397/20), "")</f>
        <v/>
      </c>
      <c r="AF397" s="11">
        <f>IF(INT(U397/20)&gt;INT(U396/20), "Lần " &amp; INT(U397/20), "")</f>
        <v/>
      </c>
      <c r="AG397" s="11">
        <f>IF(INT(V397/20)&gt;INT(V396/20), "Lần " &amp; INT(V397/20), "")</f>
        <v/>
      </c>
      <c r="AH397" s="11">
        <f>IF(INT(W397/20)&gt;INT(W396/20), "Lần " &amp; INT(W397/20), "")</f>
        <v/>
      </c>
      <c r="AI397" s="11">
        <f>IF(INT(X397/20)&gt;INT(X396/20), "Lần " &amp; INT(X397/20), "")</f>
        <v/>
      </c>
      <c r="AJ397" s="11">
        <f>IF(INT(Y397/20)&gt;INT(Y396/20), "Lần " &amp; INT(Y397/20), "")</f>
        <v/>
      </c>
      <c r="AK397" s="11">
        <f>IF(INT(Z397/20)&gt;INT(Z396/20), "Lần " &amp; INT(Z397/20), "")</f>
        <v/>
      </c>
      <c r="AL397" s="6" t="inlineStr">
        <is>
          <t>ĐẠT TCVN 1651:2018</t>
        </is>
      </c>
    </row>
    <row r="398" ht="19" customHeight="1">
      <c r="A398" s="6" t="n">
        <v>370</v>
      </c>
      <c r="B398" s="7" t="inlineStr">
        <is>
          <t>Cọc khoan nhồi C6 Mố M2 (D1.2m, L=36.0m)</t>
        </is>
      </c>
      <c r="C398" s="7" t="inlineStr">
        <is>
          <t>Thép đai xoắn lồng cọc</t>
        </is>
      </c>
      <c r="D398" s="18" t="inlineStr">
        <is>
          <t>P1B</t>
        </is>
      </c>
      <c r="E398" s="19" t="n">
        <v>10</v>
      </c>
      <c r="F398" s="6" t="inlineStr">
        <is>
          <t>CB240-T</t>
        </is>
      </c>
      <c r="G398" s="7" t="inlineStr">
        <is>
          <t>Đai xoắn tròn</t>
        </is>
      </c>
      <c r="H398" s="20" t="n">
        <v>164.938</v>
      </c>
      <c r="I398" s="21" t="n">
        <v>1</v>
      </c>
      <c r="J398" s="22" t="n">
        <v>0.617</v>
      </c>
      <c r="K398" s="9">
        <f>ROUND(H398*I398*J398, 2)</f>
        <v/>
      </c>
      <c r="L398" s="23">
        <f>ROUND(K398/1000, 3)</f>
        <v/>
      </c>
      <c r="M398" s="8" t="n"/>
      <c r="N398" s="6" t="n"/>
      <c r="O398" s="24">
        <f>IF(AND(E398&lt;=10, F398&lt;&gt;"ASTM A416", INT(P398/20)&gt;INT(P397/20)), "TN Ø10 (Lần " &amp; INT(P398/20) &amp; ")", IF(AND(E398=12, INT(Q398/20)&gt;INT(Q397/20)), "TN Ø12 (Lần " &amp; INT(Q398/20) &amp; ")", IF(AND(E398=14, INT(R398/20)&gt;INT(R397/20)), "TN Ø14 (Lần " &amp; INT(R398/20) &amp; ")", IF(AND(E398=16, INT(S398/20)&gt;INT(S397/20)), "TN Ø16 (Lần " &amp; INT(S398/20) &amp; ")", IF(AND(E398=18, INT(T398/20)&gt;INT(T397/20)), "TN Ø18 (Lần " &amp; INT(T398/20) &amp; ")", IF(AND(E398=20, INT(U398/20)&gt;INT(U397/20)), "TN Ø20 (Lần " &amp; INT(U398/20) &amp; ")", IF(AND(E398=22, INT(V398/20)&gt;INT(V397/20)), "TN Ø22 (Lần " &amp; INT(V398/20) &amp; ")", IF(AND(E398=25, INT(W398/20)&gt;INT(W397/20)), "TN Ø25 (Lần " &amp; INT(W398/20) &amp; ")", IF(AND(E398=28, INT(X398/20)&gt;INT(X397/20)), "TN Ø28 (Lần " &amp; INT(X398/20) &amp; ")", IF(AND(E398=32, INT(Y398/20)&gt;INT(Y397/20)), "TN Ø32 (Lần " &amp; INT(Y398/20) &amp; ")", IF(AND(F398="ASTM A416", INT(Z398/20)&gt;INT(Z397/20)), "TN Cáp 15.2 (Lần " &amp; INT(Z398/20) &amp; ")", "")))))))))))</f>
        <v/>
      </c>
      <c r="P398" s="20">
        <f>ROUND(P397 + IF(AND(E398&lt;=10, F398&lt;&gt;"ASTM A416"), L398, 0), 3)</f>
        <v/>
      </c>
      <c r="Q398" s="20">
        <f>ROUND(Q397 + IF(AND(E398=12, F398&lt;&gt;"ASTM A416"), L398, 0), 3)</f>
        <v/>
      </c>
      <c r="R398" s="20">
        <f>ROUND(R397 + IF(AND(E398=14, F398&lt;&gt;"ASTM A416"), L398, 0), 3)</f>
        <v/>
      </c>
      <c r="S398" s="20">
        <f>ROUND(S397 + IF(AND(E398=16, F398&lt;&gt;"ASTM A416"), L398, 0), 3)</f>
        <v/>
      </c>
      <c r="T398" s="20">
        <f>ROUND(T397 + IF(AND(E398=18, F398&lt;&gt;"ASTM A416"), L398, 0), 3)</f>
        <v/>
      </c>
      <c r="U398" s="20">
        <f>ROUND(U397 + IF(AND(E398=20, F398&lt;&gt;"ASTM A416"), L398, 0), 3)</f>
        <v/>
      </c>
      <c r="V398" s="20">
        <f>ROUND(V397 + IF(AND(E398=22, F398&lt;&gt;"ASTM A416"), L398, 0), 3)</f>
        <v/>
      </c>
      <c r="W398" s="20">
        <f>ROUND(W397 + IF(AND(E398=25, F398&lt;&gt;"ASTM A416"), L398, 0), 3)</f>
        <v/>
      </c>
      <c r="X398" s="20">
        <f>ROUND(X397 + IF(AND(E398=28, F398&lt;&gt;"ASTM A416"), L398, 0), 3)</f>
        <v/>
      </c>
      <c r="Y398" s="20">
        <f>ROUND(Y397 + IF(AND(E398=32, F398&lt;&gt;"ASTM A416"), L398, 0), 3)</f>
        <v/>
      </c>
      <c r="Z398" s="20">
        <f>ROUND(Z397 + IF(F398="ASTM A416", L398, 0), 3)</f>
        <v/>
      </c>
      <c r="AA398" s="11">
        <f>IF(INT(P398/20)&gt;INT(P397/20), "Lần " &amp; INT(P398/20), "")</f>
        <v/>
      </c>
      <c r="AB398" s="11">
        <f>IF(INT(Q398/20)&gt;INT(Q397/20), "Lần " &amp; INT(Q398/20), "")</f>
        <v/>
      </c>
      <c r="AC398" s="11">
        <f>IF(INT(R398/20)&gt;INT(R397/20), "Lần " &amp; INT(R398/20), "")</f>
        <v/>
      </c>
      <c r="AD398" s="11">
        <f>IF(INT(S398/20)&gt;INT(S397/20), "Lần " &amp; INT(S398/20), "")</f>
        <v/>
      </c>
      <c r="AE398" s="11">
        <f>IF(INT(T398/20)&gt;INT(T397/20), "Lần " &amp; INT(T398/20), "")</f>
        <v/>
      </c>
      <c r="AF398" s="11">
        <f>IF(INT(U398/20)&gt;INT(U397/20), "Lần " &amp; INT(U398/20), "")</f>
        <v/>
      </c>
      <c r="AG398" s="11">
        <f>IF(INT(V398/20)&gt;INT(V397/20), "Lần " &amp; INT(V398/20), "")</f>
        <v/>
      </c>
      <c r="AH398" s="11">
        <f>IF(INT(W398/20)&gt;INT(W397/20), "Lần " &amp; INT(W398/20), "")</f>
        <v/>
      </c>
      <c r="AI398" s="11">
        <f>IF(INT(X398/20)&gt;INT(X397/20), "Lần " &amp; INT(X398/20), "")</f>
        <v/>
      </c>
      <c r="AJ398" s="11">
        <f>IF(INT(Y398/20)&gt;INT(Y397/20), "Lần " &amp; INT(Y398/20), "")</f>
        <v/>
      </c>
      <c r="AK398" s="11">
        <f>IF(INT(Z398/20)&gt;INT(Z397/20), "Lần " &amp; INT(Z398/20), "")</f>
        <v/>
      </c>
      <c r="AL398" s="6" t="inlineStr">
        <is>
          <t>ĐẠT TCVN 1651:2018</t>
        </is>
      </c>
    </row>
    <row r="399" ht="19" customHeight="1">
      <c r="A399" s="6" t="n">
        <v>371</v>
      </c>
      <c r="B399" s="7" t="inlineStr">
        <is>
          <t>Cọc khoan nhồi C6 Mố M2 (D1.2m, L=36.0m)</t>
        </is>
      </c>
      <c r="C399" s="7" t="inlineStr">
        <is>
          <t>Thép đai xoắn lồng cọc</t>
        </is>
      </c>
      <c r="D399" s="18" t="inlineStr">
        <is>
          <t>P1C</t>
        </is>
      </c>
      <c r="E399" s="19" t="n">
        <v>10</v>
      </c>
      <c r="F399" s="6" t="inlineStr">
        <is>
          <t>CB240-T</t>
        </is>
      </c>
      <c r="G399" s="7" t="inlineStr">
        <is>
          <t>Đai xoắn tròn</t>
        </is>
      </c>
      <c r="H399" s="20" t="n">
        <v>3.592</v>
      </c>
      <c r="I399" s="21" t="n">
        <v>2</v>
      </c>
      <c r="J399" s="22" t="n">
        <v>0.617</v>
      </c>
      <c r="K399" s="9">
        <f>ROUND(H399*I399*J399, 2)</f>
        <v/>
      </c>
      <c r="L399" s="23">
        <f>ROUND(K399/1000, 3)</f>
        <v/>
      </c>
      <c r="M399" s="8" t="n"/>
      <c r="N399" s="6" t="n"/>
      <c r="O399" s="24">
        <f>IF(AND(E399&lt;=10, F399&lt;&gt;"ASTM A416", INT(P399/20)&gt;INT(P398/20)), "TN Ø10 (Lần " &amp; INT(P399/20) &amp; ")", IF(AND(E399=12, INT(Q399/20)&gt;INT(Q398/20)), "TN Ø12 (Lần " &amp; INT(Q399/20) &amp; ")", IF(AND(E399=14, INT(R399/20)&gt;INT(R398/20)), "TN Ø14 (Lần " &amp; INT(R399/20) &amp; ")", IF(AND(E399=16, INT(S399/20)&gt;INT(S398/20)), "TN Ø16 (Lần " &amp; INT(S399/20) &amp; ")", IF(AND(E399=18, INT(T399/20)&gt;INT(T398/20)), "TN Ø18 (Lần " &amp; INT(T399/20) &amp; ")", IF(AND(E399=20, INT(U399/20)&gt;INT(U398/20)), "TN Ø20 (Lần " &amp; INT(U399/20) &amp; ")", IF(AND(E399=22, INT(V399/20)&gt;INT(V398/20)), "TN Ø22 (Lần " &amp; INT(V399/20) &amp; ")", IF(AND(E399=25, INT(W399/20)&gt;INT(W398/20)), "TN Ø25 (Lần " &amp; INT(W399/20) &amp; ")", IF(AND(E399=28, INT(X399/20)&gt;INT(X398/20)), "TN Ø28 (Lần " &amp; INT(X399/20) &amp; ")", IF(AND(E399=32, INT(Y399/20)&gt;INT(Y398/20)), "TN Ø32 (Lần " &amp; INT(Y399/20) &amp; ")", IF(AND(F399="ASTM A416", INT(Z399/20)&gt;INT(Z398/20)), "TN Cáp 15.2 (Lần " &amp; INT(Z399/20) &amp; ")", "")))))))))))</f>
        <v/>
      </c>
      <c r="P399" s="20">
        <f>ROUND(P398 + IF(AND(E399&lt;=10, F399&lt;&gt;"ASTM A416"), L399, 0), 3)</f>
        <v/>
      </c>
      <c r="Q399" s="20">
        <f>ROUND(Q398 + IF(AND(E399=12, F399&lt;&gt;"ASTM A416"), L399, 0), 3)</f>
        <v/>
      </c>
      <c r="R399" s="20">
        <f>ROUND(R398 + IF(AND(E399=14, F399&lt;&gt;"ASTM A416"), L399, 0), 3)</f>
        <v/>
      </c>
      <c r="S399" s="20">
        <f>ROUND(S398 + IF(AND(E399=16, F399&lt;&gt;"ASTM A416"), L399, 0), 3)</f>
        <v/>
      </c>
      <c r="T399" s="20">
        <f>ROUND(T398 + IF(AND(E399=18, F399&lt;&gt;"ASTM A416"), L399, 0), 3)</f>
        <v/>
      </c>
      <c r="U399" s="20">
        <f>ROUND(U398 + IF(AND(E399=20, F399&lt;&gt;"ASTM A416"), L399, 0), 3)</f>
        <v/>
      </c>
      <c r="V399" s="20">
        <f>ROUND(V398 + IF(AND(E399=22, F399&lt;&gt;"ASTM A416"), L399, 0), 3)</f>
        <v/>
      </c>
      <c r="W399" s="20">
        <f>ROUND(W398 + IF(AND(E399=25, F399&lt;&gt;"ASTM A416"), L399, 0), 3)</f>
        <v/>
      </c>
      <c r="X399" s="20">
        <f>ROUND(X398 + IF(AND(E399=28, F399&lt;&gt;"ASTM A416"), L399, 0), 3)</f>
        <v/>
      </c>
      <c r="Y399" s="20">
        <f>ROUND(Y398 + IF(AND(E399=32, F399&lt;&gt;"ASTM A416"), L399, 0), 3)</f>
        <v/>
      </c>
      <c r="Z399" s="20">
        <f>ROUND(Z398 + IF(F399="ASTM A416", L399, 0), 3)</f>
        <v/>
      </c>
      <c r="AA399" s="11">
        <f>IF(INT(P399/20)&gt;INT(P398/20), "Lần " &amp; INT(P399/20), "")</f>
        <v/>
      </c>
      <c r="AB399" s="11">
        <f>IF(INT(Q399/20)&gt;INT(Q398/20), "Lần " &amp; INT(Q399/20), "")</f>
        <v/>
      </c>
      <c r="AC399" s="11">
        <f>IF(INT(R399/20)&gt;INT(R398/20), "Lần " &amp; INT(R399/20), "")</f>
        <v/>
      </c>
      <c r="AD399" s="11">
        <f>IF(INT(S399/20)&gt;INT(S398/20), "Lần " &amp; INT(S399/20), "")</f>
        <v/>
      </c>
      <c r="AE399" s="11">
        <f>IF(INT(T399/20)&gt;INT(T398/20), "Lần " &amp; INT(T399/20), "")</f>
        <v/>
      </c>
      <c r="AF399" s="11">
        <f>IF(INT(U399/20)&gt;INT(U398/20), "Lần " &amp; INT(U399/20), "")</f>
        <v/>
      </c>
      <c r="AG399" s="11">
        <f>IF(INT(V399/20)&gt;INT(V398/20), "Lần " &amp; INT(V399/20), "")</f>
        <v/>
      </c>
      <c r="AH399" s="11">
        <f>IF(INT(W399/20)&gt;INT(W398/20), "Lần " &amp; INT(W399/20), "")</f>
        <v/>
      </c>
      <c r="AI399" s="11">
        <f>IF(INT(X399/20)&gt;INT(X398/20), "Lần " &amp; INT(X399/20), "")</f>
        <v/>
      </c>
      <c r="AJ399" s="11">
        <f>IF(INT(Y399/20)&gt;INT(Y398/20), "Lần " &amp; INT(Y399/20), "")</f>
        <v/>
      </c>
      <c r="AK399" s="11">
        <f>IF(INT(Z399/20)&gt;INT(Z398/20), "Lần " &amp; INT(Z399/20), "")</f>
        <v/>
      </c>
      <c r="AL399" s="6" t="inlineStr">
        <is>
          <t>ĐẠT TCVN 1651:2018</t>
        </is>
      </c>
    </row>
    <row r="400" ht="19" customHeight="1">
      <c r="A400" s="6" t="n">
        <v>372</v>
      </c>
      <c r="B400" s="7" t="inlineStr">
        <is>
          <t>Cọc khoan nhồi C6 Mố M2 (D1.2m, L=36.0m)</t>
        </is>
      </c>
      <c r="C400" s="7" t="inlineStr">
        <is>
          <t>Thép đai xoắn lồng cọc</t>
        </is>
      </c>
      <c r="D400" s="18" t="inlineStr">
        <is>
          <t>P1D</t>
        </is>
      </c>
      <c r="E400" s="19" t="n">
        <v>10</v>
      </c>
      <c r="F400" s="6" t="inlineStr">
        <is>
          <t>CB240-T</t>
        </is>
      </c>
      <c r="G400" s="7" t="inlineStr">
        <is>
          <t>Đai xoắn tròn</t>
        </is>
      </c>
      <c r="H400" s="20" t="n">
        <v>23.007</v>
      </c>
      <c r="I400" s="21" t="n">
        <v>1</v>
      </c>
      <c r="J400" s="22" t="n">
        <v>0.617</v>
      </c>
      <c r="K400" s="9">
        <f>ROUND(H400*I400*J400, 2)</f>
        <v/>
      </c>
      <c r="L400" s="23">
        <f>ROUND(K400/1000, 3)</f>
        <v/>
      </c>
      <c r="M400" s="8" t="n"/>
      <c r="N400" s="6" t="n"/>
      <c r="O400" s="24">
        <f>IF(AND(E400&lt;=10, F400&lt;&gt;"ASTM A416", INT(P400/20)&gt;INT(P399/20)), "TN Ø10 (Lần " &amp; INT(P400/20) &amp; ")", IF(AND(E400=12, INT(Q400/20)&gt;INT(Q399/20)), "TN Ø12 (Lần " &amp; INT(Q400/20) &amp; ")", IF(AND(E400=14, INT(R400/20)&gt;INT(R399/20)), "TN Ø14 (Lần " &amp; INT(R400/20) &amp; ")", IF(AND(E400=16, INT(S400/20)&gt;INT(S399/20)), "TN Ø16 (Lần " &amp; INT(S400/20) &amp; ")", IF(AND(E400=18, INT(T400/20)&gt;INT(T399/20)), "TN Ø18 (Lần " &amp; INT(T400/20) &amp; ")", IF(AND(E400=20, INT(U400/20)&gt;INT(U399/20)), "TN Ø20 (Lần " &amp; INT(U400/20) &amp; ")", IF(AND(E400=22, INT(V400/20)&gt;INT(V399/20)), "TN Ø22 (Lần " &amp; INT(V400/20) &amp; ")", IF(AND(E400=25, INT(W400/20)&gt;INT(W399/20)), "TN Ø25 (Lần " &amp; INT(W400/20) &amp; ")", IF(AND(E400=28, INT(X400/20)&gt;INT(X399/20)), "TN Ø28 (Lần " &amp; INT(X400/20) &amp; ")", IF(AND(E400=32, INT(Y400/20)&gt;INT(Y399/20)), "TN Ø32 (Lần " &amp; INT(Y400/20) &amp; ")", IF(AND(F400="ASTM A416", INT(Z400/20)&gt;INT(Z399/20)), "TN Cáp 15.2 (Lần " &amp; INT(Z400/20) &amp; ")", "")))))))))))</f>
        <v/>
      </c>
      <c r="P400" s="20">
        <f>ROUND(P399 + IF(AND(E400&lt;=10, F400&lt;&gt;"ASTM A416"), L400, 0), 3)</f>
        <v/>
      </c>
      <c r="Q400" s="20">
        <f>ROUND(Q399 + IF(AND(E400=12, F400&lt;&gt;"ASTM A416"), L400, 0), 3)</f>
        <v/>
      </c>
      <c r="R400" s="20">
        <f>ROUND(R399 + IF(AND(E400=14, F400&lt;&gt;"ASTM A416"), L400, 0), 3)</f>
        <v/>
      </c>
      <c r="S400" s="20">
        <f>ROUND(S399 + IF(AND(E400=16, F400&lt;&gt;"ASTM A416"), L400, 0), 3)</f>
        <v/>
      </c>
      <c r="T400" s="20">
        <f>ROUND(T399 + IF(AND(E400=18, F400&lt;&gt;"ASTM A416"), L400, 0), 3)</f>
        <v/>
      </c>
      <c r="U400" s="20">
        <f>ROUND(U399 + IF(AND(E400=20, F400&lt;&gt;"ASTM A416"), L400, 0), 3)</f>
        <v/>
      </c>
      <c r="V400" s="20">
        <f>ROUND(V399 + IF(AND(E400=22, F400&lt;&gt;"ASTM A416"), L400, 0), 3)</f>
        <v/>
      </c>
      <c r="W400" s="20">
        <f>ROUND(W399 + IF(AND(E400=25, F400&lt;&gt;"ASTM A416"), L400, 0), 3)</f>
        <v/>
      </c>
      <c r="X400" s="20">
        <f>ROUND(X399 + IF(AND(E400=28, F400&lt;&gt;"ASTM A416"), L400, 0), 3)</f>
        <v/>
      </c>
      <c r="Y400" s="20">
        <f>ROUND(Y399 + IF(AND(E400=32, F400&lt;&gt;"ASTM A416"), L400, 0), 3)</f>
        <v/>
      </c>
      <c r="Z400" s="20">
        <f>ROUND(Z399 + IF(F400="ASTM A416", L400, 0), 3)</f>
        <v/>
      </c>
      <c r="AA400" s="11">
        <f>IF(INT(P400/20)&gt;INT(P399/20), "Lần " &amp; INT(P400/20), "")</f>
        <v/>
      </c>
      <c r="AB400" s="11">
        <f>IF(INT(Q400/20)&gt;INT(Q399/20), "Lần " &amp; INT(Q400/20), "")</f>
        <v/>
      </c>
      <c r="AC400" s="11">
        <f>IF(INT(R400/20)&gt;INT(R399/20), "Lần " &amp; INT(R400/20), "")</f>
        <v/>
      </c>
      <c r="AD400" s="11">
        <f>IF(INT(S400/20)&gt;INT(S399/20), "Lần " &amp; INT(S400/20), "")</f>
        <v/>
      </c>
      <c r="AE400" s="11">
        <f>IF(INT(T400/20)&gt;INT(T399/20), "Lần " &amp; INT(T400/20), "")</f>
        <v/>
      </c>
      <c r="AF400" s="11">
        <f>IF(INT(U400/20)&gt;INT(U399/20), "Lần " &amp; INT(U400/20), "")</f>
        <v/>
      </c>
      <c r="AG400" s="11">
        <f>IF(INT(V400/20)&gt;INT(V399/20), "Lần " &amp; INT(V400/20), "")</f>
        <v/>
      </c>
      <c r="AH400" s="11">
        <f>IF(INT(W400/20)&gt;INT(W399/20), "Lần " &amp; INT(W400/20), "")</f>
        <v/>
      </c>
      <c r="AI400" s="11">
        <f>IF(INT(X400/20)&gt;INT(X399/20), "Lần " &amp; INT(X400/20), "")</f>
        <v/>
      </c>
      <c r="AJ400" s="11">
        <f>IF(INT(Y400/20)&gt;INT(Y399/20), "Lần " &amp; INT(Y400/20), "")</f>
        <v/>
      </c>
      <c r="AK400" s="11">
        <f>IF(INT(Z400/20)&gt;INT(Z399/20), "Lần " &amp; INT(Z400/20), "")</f>
        <v/>
      </c>
      <c r="AL400" s="6" t="inlineStr">
        <is>
          <t>ĐẠT TCVN 1651:2018</t>
        </is>
      </c>
    </row>
    <row r="401" ht="19" customHeight="1">
      <c r="A401" s="6" t="n">
        <v>373</v>
      </c>
      <c r="B401" s="7" t="inlineStr">
        <is>
          <t>Cọc khoan nhồi C6 Mố M2 (D1.2m, L=36.0m)</t>
        </is>
      </c>
      <c r="C401" s="7" t="inlineStr">
        <is>
          <t>Cốt thép chủ chịu lực cọc</t>
        </is>
      </c>
      <c r="D401" s="18" t="inlineStr">
        <is>
          <t>P2A</t>
        </is>
      </c>
      <c r="E401" s="19" t="n">
        <v>28</v>
      </c>
      <c r="F401" s="6" t="inlineStr">
        <is>
          <t>CB400-V</t>
        </is>
      </c>
      <c r="G401" s="7" t="inlineStr">
        <is>
          <t>Thanh thẳng nối ren/hàn</t>
        </is>
      </c>
      <c r="H401" s="20" t="n">
        <v>2.966</v>
      </c>
      <c r="I401" s="21" t="n">
        <v>5</v>
      </c>
      <c r="J401" s="22" t="n">
        <v>4.83</v>
      </c>
      <c r="K401" s="9">
        <f>ROUND(H401*I401*J401, 2)</f>
        <v/>
      </c>
      <c r="L401" s="23">
        <f>ROUND(K401/1000, 3)</f>
        <v/>
      </c>
      <c r="M401" s="8" t="n"/>
      <c r="N401" s="6" t="n"/>
      <c r="O401" s="24">
        <f>IF(AND(E401&lt;=10, F401&lt;&gt;"ASTM A416", INT(P401/20)&gt;INT(P400/20)), "TN Ø10 (Lần " &amp; INT(P401/20) &amp; ")", IF(AND(E401=12, INT(Q401/20)&gt;INT(Q400/20)), "TN Ø12 (Lần " &amp; INT(Q401/20) &amp; ")", IF(AND(E401=14, INT(R401/20)&gt;INT(R400/20)), "TN Ø14 (Lần " &amp; INT(R401/20) &amp; ")", IF(AND(E401=16, INT(S401/20)&gt;INT(S400/20)), "TN Ø16 (Lần " &amp; INT(S401/20) &amp; ")", IF(AND(E401=18, INT(T401/20)&gt;INT(T400/20)), "TN Ø18 (Lần " &amp; INT(T401/20) &amp; ")", IF(AND(E401=20, INT(U401/20)&gt;INT(U400/20)), "TN Ø20 (Lần " &amp; INT(U401/20) &amp; ")", IF(AND(E401=22, INT(V401/20)&gt;INT(V400/20)), "TN Ø22 (Lần " &amp; INT(V401/20) &amp; ")", IF(AND(E401=25, INT(W401/20)&gt;INT(W400/20)), "TN Ø25 (Lần " &amp; INT(W401/20) &amp; ")", IF(AND(E401=28, INT(X401/20)&gt;INT(X400/20)), "TN Ø28 (Lần " &amp; INT(X401/20) &amp; ")", IF(AND(E401=32, INT(Y401/20)&gt;INT(Y400/20)), "TN Ø32 (Lần " &amp; INT(Y401/20) &amp; ")", IF(AND(F401="ASTM A416", INT(Z401/20)&gt;INT(Z400/20)), "TN Cáp 15.2 (Lần " &amp; INT(Z401/20) &amp; ")", "")))))))))))</f>
        <v/>
      </c>
      <c r="P401" s="20">
        <f>ROUND(P400 + IF(AND(E401&lt;=10, F401&lt;&gt;"ASTM A416"), L401, 0), 3)</f>
        <v/>
      </c>
      <c r="Q401" s="20">
        <f>ROUND(Q400 + IF(AND(E401=12, F401&lt;&gt;"ASTM A416"), L401, 0), 3)</f>
        <v/>
      </c>
      <c r="R401" s="20">
        <f>ROUND(R400 + IF(AND(E401=14, F401&lt;&gt;"ASTM A416"), L401, 0), 3)</f>
        <v/>
      </c>
      <c r="S401" s="20">
        <f>ROUND(S400 + IF(AND(E401=16, F401&lt;&gt;"ASTM A416"), L401, 0), 3)</f>
        <v/>
      </c>
      <c r="T401" s="20">
        <f>ROUND(T400 + IF(AND(E401=18, F401&lt;&gt;"ASTM A416"), L401, 0), 3)</f>
        <v/>
      </c>
      <c r="U401" s="20">
        <f>ROUND(U400 + IF(AND(E401=20, F401&lt;&gt;"ASTM A416"), L401, 0), 3)</f>
        <v/>
      </c>
      <c r="V401" s="20">
        <f>ROUND(V400 + IF(AND(E401=22, F401&lt;&gt;"ASTM A416"), L401, 0), 3)</f>
        <v/>
      </c>
      <c r="W401" s="20">
        <f>ROUND(W400 + IF(AND(E401=25, F401&lt;&gt;"ASTM A416"), L401, 0), 3)</f>
        <v/>
      </c>
      <c r="X401" s="20">
        <f>ROUND(X400 + IF(AND(E401=28, F401&lt;&gt;"ASTM A416"), L401, 0), 3)</f>
        <v/>
      </c>
      <c r="Y401" s="20">
        <f>ROUND(Y400 + IF(AND(E401=32, F401&lt;&gt;"ASTM A416"), L401, 0), 3)</f>
        <v/>
      </c>
      <c r="Z401" s="20">
        <f>ROUND(Z400 + IF(F401="ASTM A416", L401, 0), 3)</f>
        <v/>
      </c>
      <c r="AA401" s="11">
        <f>IF(INT(P401/20)&gt;INT(P400/20), "Lần " &amp; INT(P401/20), "")</f>
        <v/>
      </c>
      <c r="AB401" s="11">
        <f>IF(INT(Q401/20)&gt;INT(Q400/20), "Lần " &amp; INT(Q401/20), "")</f>
        <v/>
      </c>
      <c r="AC401" s="11">
        <f>IF(INT(R401/20)&gt;INT(R400/20), "Lần " &amp; INT(R401/20), "")</f>
        <v/>
      </c>
      <c r="AD401" s="11">
        <f>IF(INT(S401/20)&gt;INT(S400/20), "Lần " &amp; INT(S401/20), "")</f>
        <v/>
      </c>
      <c r="AE401" s="11">
        <f>IF(INT(T401/20)&gt;INT(T400/20), "Lần " &amp; INT(T401/20), "")</f>
        <v/>
      </c>
      <c r="AF401" s="11">
        <f>IF(INT(U401/20)&gt;INT(U400/20), "Lần " &amp; INT(U401/20), "")</f>
        <v/>
      </c>
      <c r="AG401" s="11">
        <f>IF(INT(V401/20)&gt;INT(V400/20), "Lần " &amp; INT(V401/20), "")</f>
        <v/>
      </c>
      <c r="AH401" s="11">
        <f>IF(INT(W401/20)&gt;INT(W400/20), "Lần " &amp; INT(W401/20), "")</f>
        <v/>
      </c>
      <c r="AI401" s="11">
        <f>IF(INT(X401/20)&gt;INT(X400/20), "Lần " &amp; INT(X401/20), "")</f>
        <v/>
      </c>
      <c r="AJ401" s="11">
        <f>IF(INT(Y401/20)&gt;INT(Y400/20), "Lần " &amp; INT(Y401/20), "")</f>
        <v/>
      </c>
      <c r="AK401" s="11">
        <f>IF(INT(Z401/20)&gt;INT(Z400/20), "Lần " &amp; INT(Z401/20), "")</f>
        <v/>
      </c>
      <c r="AL401" s="6" t="inlineStr">
        <is>
          <t>ĐẠT TCVN 1651:2018</t>
        </is>
      </c>
    </row>
    <row r="402" ht="19" customHeight="1">
      <c r="A402" s="6" t="n">
        <v>374</v>
      </c>
      <c r="B402" s="7" t="inlineStr">
        <is>
          <t>Cọc khoan nhồi C6 Mố M2 (D1.2m, L=36.0m)</t>
        </is>
      </c>
      <c r="C402" s="7" t="inlineStr">
        <is>
          <t>Cốt thép chủ chịu lực cọc</t>
        </is>
      </c>
      <c r="D402" s="18" t="inlineStr">
        <is>
          <t>P2B</t>
        </is>
      </c>
      <c r="E402" s="19" t="n">
        <v>25</v>
      </c>
      <c r="F402" s="6" t="inlineStr">
        <is>
          <t>CB400-V</t>
        </is>
      </c>
      <c r="G402" s="7" t="inlineStr">
        <is>
          <t>Thanh thẳng nối ren/hàn</t>
        </is>
      </c>
      <c r="H402" s="20" t="n">
        <v>2.985</v>
      </c>
      <c r="I402" s="21" t="n">
        <v>10</v>
      </c>
      <c r="J402" s="22" t="n">
        <v>3.85</v>
      </c>
      <c r="K402" s="9">
        <f>ROUND(H402*I402*J402, 2)</f>
        <v/>
      </c>
      <c r="L402" s="23">
        <f>ROUND(K402/1000, 3)</f>
        <v/>
      </c>
      <c r="M402" s="8" t="n"/>
      <c r="N402" s="6" t="n"/>
      <c r="O402" s="24">
        <f>IF(AND(E402&lt;=10, F402&lt;&gt;"ASTM A416", INT(P402/20)&gt;INT(P401/20)), "TN Ø10 (Lần " &amp; INT(P402/20) &amp; ")", IF(AND(E402=12, INT(Q402/20)&gt;INT(Q401/20)), "TN Ø12 (Lần " &amp; INT(Q402/20) &amp; ")", IF(AND(E402=14, INT(R402/20)&gt;INT(R401/20)), "TN Ø14 (Lần " &amp; INT(R402/20) &amp; ")", IF(AND(E402=16, INT(S402/20)&gt;INT(S401/20)), "TN Ø16 (Lần " &amp; INT(S402/20) &amp; ")", IF(AND(E402=18, INT(T402/20)&gt;INT(T401/20)), "TN Ø18 (Lần " &amp; INT(T402/20) &amp; ")", IF(AND(E402=20, INT(U402/20)&gt;INT(U401/20)), "TN Ø20 (Lần " &amp; INT(U402/20) &amp; ")", IF(AND(E402=22, INT(V402/20)&gt;INT(V401/20)), "TN Ø22 (Lần " &amp; INT(V402/20) &amp; ")", IF(AND(E402=25, INT(W402/20)&gt;INT(W401/20)), "TN Ø25 (Lần " &amp; INT(W402/20) &amp; ")", IF(AND(E402=28, INT(X402/20)&gt;INT(X401/20)), "TN Ø28 (Lần " &amp; INT(X402/20) &amp; ")", IF(AND(E402=32, INT(Y402/20)&gt;INT(Y401/20)), "TN Ø32 (Lần " &amp; INT(Y402/20) &amp; ")", IF(AND(F402="ASTM A416", INT(Z402/20)&gt;INT(Z401/20)), "TN Cáp 15.2 (Lần " &amp; INT(Z402/20) &amp; ")", "")))))))))))</f>
        <v/>
      </c>
      <c r="P402" s="20">
        <f>ROUND(P401 + IF(AND(E402&lt;=10, F402&lt;&gt;"ASTM A416"), L402, 0), 3)</f>
        <v/>
      </c>
      <c r="Q402" s="20">
        <f>ROUND(Q401 + IF(AND(E402=12, F402&lt;&gt;"ASTM A416"), L402, 0), 3)</f>
        <v/>
      </c>
      <c r="R402" s="20">
        <f>ROUND(R401 + IF(AND(E402=14, F402&lt;&gt;"ASTM A416"), L402, 0), 3)</f>
        <v/>
      </c>
      <c r="S402" s="20">
        <f>ROUND(S401 + IF(AND(E402=16, F402&lt;&gt;"ASTM A416"), L402, 0), 3)</f>
        <v/>
      </c>
      <c r="T402" s="20">
        <f>ROUND(T401 + IF(AND(E402=18, F402&lt;&gt;"ASTM A416"), L402, 0), 3)</f>
        <v/>
      </c>
      <c r="U402" s="20">
        <f>ROUND(U401 + IF(AND(E402=20, F402&lt;&gt;"ASTM A416"), L402, 0), 3)</f>
        <v/>
      </c>
      <c r="V402" s="20">
        <f>ROUND(V401 + IF(AND(E402=22, F402&lt;&gt;"ASTM A416"), L402, 0), 3)</f>
        <v/>
      </c>
      <c r="W402" s="20">
        <f>ROUND(W401 + IF(AND(E402=25, F402&lt;&gt;"ASTM A416"), L402, 0), 3)</f>
        <v/>
      </c>
      <c r="X402" s="20">
        <f>ROUND(X401 + IF(AND(E402=28, F402&lt;&gt;"ASTM A416"), L402, 0), 3)</f>
        <v/>
      </c>
      <c r="Y402" s="20">
        <f>ROUND(Y401 + IF(AND(E402=32, F402&lt;&gt;"ASTM A416"), L402, 0), 3)</f>
        <v/>
      </c>
      <c r="Z402" s="20">
        <f>ROUND(Z401 + IF(F402="ASTM A416", L402, 0), 3)</f>
        <v/>
      </c>
      <c r="AA402" s="11">
        <f>IF(INT(P402/20)&gt;INT(P401/20), "Lần " &amp; INT(P402/20), "")</f>
        <v/>
      </c>
      <c r="AB402" s="11">
        <f>IF(INT(Q402/20)&gt;INT(Q401/20), "Lần " &amp; INT(Q402/20), "")</f>
        <v/>
      </c>
      <c r="AC402" s="11">
        <f>IF(INT(R402/20)&gt;INT(R401/20), "Lần " &amp; INT(R402/20), "")</f>
        <v/>
      </c>
      <c r="AD402" s="11">
        <f>IF(INT(S402/20)&gt;INT(S401/20), "Lần " &amp; INT(S402/20), "")</f>
        <v/>
      </c>
      <c r="AE402" s="11">
        <f>IF(INT(T402/20)&gt;INT(T401/20), "Lần " &amp; INT(T402/20), "")</f>
        <v/>
      </c>
      <c r="AF402" s="11">
        <f>IF(INT(U402/20)&gt;INT(U401/20), "Lần " &amp; INT(U402/20), "")</f>
        <v/>
      </c>
      <c r="AG402" s="11">
        <f>IF(INT(V402/20)&gt;INT(V401/20), "Lần " &amp; INT(V402/20), "")</f>
        <v/>
      </c>
      <c r="AH402" s="11">
        <f>IF(INT(W402/20)&gt;INT(W401/20), "Lần " &amp; INT(W402/20), "")</f>
        <v/>
      </c>
      <c r="AI402" s="11">
        <f>IF(INT(X402/20)&gt;INT(X401/20), "Lần " &amp; INT(X402/20), "")</f>
        <v/>
      </c>
      <c r="AJ402" s="11">
        <f>IF(INT(Y402/20)&gt;INT(Y401/20), "Lần " &amp; INT(Y402/20), "")</f>
        <v/>
      </c>
      <c r="AK402" s="11">
        <f>IF(INT(Z402/20)&gt;INT(Z401/20), "Lần " &amp; INT(Z402/20), "")</f>
        <v/>
      </c>
      <c r="AL402" s="6" t="inlineStr">
        <is>
          <t>ĐẠT TCVN 1651:2018</t>
        </is>
      </c>
    </row>
    <row r="403" ht="19" customHeight="1">
      <c r="A403" s="6" t="n">
        <v>375</v>
      </c>
      <c r="B403" s="7" t="inlineStr">
        <is>
          <t>Cọc khoan nhồi C6 Mố M2 (D1.2m, L=36.0m)</t>
        </is>
      </c>
      <c r="C403" s="7" t="inlineStr">
        <is>
          <t>Cốt thép chủ chịu lực cọc</t>
        </is>
      </c>
      <c r="D403" s="18" t="inlineStr">
        <is>
          <t>P3</t>
        </is>
      </c>
      <c r="E403" s="19" t="n">
        <v>28</v>
      </c>
      <c r="F403" s="6" t="inlineStr">
        <is>
          <t>CB400-V</t>
        </is>
      </c>
      <c r="G403" s="7" t="inlineStr">
        <is>
          <t>Thanh thẳng nối ren/hàn</t>
        </is>
      </c>
      <c r="H403" s="20" t="n">
        <v>10.7</v>
      </c>
      <c r="I403" s="21" t="n">
        <v>12</v>
      </c>
      <c r="J403" s="22" t="n">
        <v>4.83</v>
      </c>
      <c r="K403" s="9">
        <f>ROUND(H403*I403*J403, 2)</f>
        <v/>
      </c>
      <c r="L403" s="23">
        <f>ROUND(K403/1000, 3)</f>
        <v/>
      </c>
      <c r="M403" s="8" t="n"/>
      <c r="N403" s="6" t="n"/>
      <c r="O403" s="24">
        <f>IF(AND(E403&lt;=10, F403&lt;&gt;"ASTM A416", INT(P403/20)&gt;INT(P402/20)), "TN Ø10 (Lần " &amp; INT(P403/20) &amp; ")", IF(AND(E403=12, INT(Q403/20)&gt;INT(Q402/20)), "TN Ø12 (Lần " &amp; INT(Q403/20) &amp; ")", IF(AND(E403=14, INT(R403/20)&gt;INT(R402/20)), "TN Ø14 (Lần " &amp; INT(R403/20) &amp; ")", IF(AND(E403=16, INT(S403/20)&gt;INT(S402/20)), "TN Ø16 (Lần " &amp; INT(S403/20) &amp; ")", IF(AND(E403=18, INT(T403/20)&gt;INT(T402/20)), "TN Ø18 (Lần " &amp; INT(T403/20) &amp; ")", IF(AND(E403=20, INT(U403/20)&gt;INT(U402/20)), "TN Ø20 (Lần " &amp; INT(U403/20) &amp; ")", IF(AND(E403=22, INT(V403/20)&gt;INT(V402/20)), "TN Ø22 (Lần " &amp; INT(V403/20) &amp; ")", IF(AND(E403=25, INT(W403/20)&gt;INT(W402/20)), "TN Ø25 (Lần " &amp; INT(W403/20) &amp; ")", IF(AND(E403=28, INT(X403/20)&gt;INT(X402/20)), "TN Ø28 (Lần " &amp; INT(X403/20) &amp; ")", IF(AND(E403=32, INT(Y403/20)&gt;INT(Y402/20)), "TN Ø32 (Lần " &amp; INT(Y403/20) &amp; ")", IF(AND(F403="ASTM A416", INT(Z403/20)&gt;INT(Z402/20)), "TN Cáp 15.2 (Lần " &amp; INT(Z403/20) &amp; ")", "")))))))))))</f>
        <v/>
      </c>
      <c r="P403" s="20">
        <f>ROUND(P402 + IF(AND(E403&lt;=10, F403&lt;&gt;"ASTM A416"), L403, 0), 3)</f>
        <v/>
      </c>
      <c r="Q403" s="20">
        <f>ROUND(Q402 + IF(AND(E403=12, F403&lt;&gt;"ASTM A416"), L403, 0), 3)</f>
        <v/>
      </c>
      <c r="R403" s="20">
        <f>ROUND(R402 + IF(AND(E403=14, F403&lt;&gt;"ASTM A416"), L403, 0), 3)</f>
        <v/>
      </c>
      <c r="S403" s="20">
        <f>ROUND(S402 + IF(AND(E403=16, F403&lt;&gt;"ASTM A416"), L403, 0), 3)</f>
        <v/>
      </c>
      <c r="T403" s="20">
        <f>ROUND(T402 + IF(AND(E403=18, F403&lt;&gt;"ASTM A416"), L403, 0), 3)</f>
        <v/>
      </c>
      <c r="U403" s="20">
        <f>ROUND(U402 + IF(AND(E403=20, F403&lt;&gt;"ASTM A416"), L403, 0), 3)</f>
        <v/>
      </c>
      <c r="V403" s="20">
        <f>ROUND(V402 + IF(AND(E403=22, F403&lt;&gt;"ASTM A416"), L403, 0), 3)</f>
        <v/>
      </c>
      <c r="W403" s="20">
        <f>ROUND(W402 + IF(AND(E403=25, F403&lt;&gt;"ASTM A416"), L403, 0), 3)</f>
        <v/>
      </c>
      <c r="X403" s="20">
        <f>ROUND(X402 + IF(AND(E403=28, F403&lt;&gt;"ASTM A416"), L403, 0), 3)</f>
        <v/>
      </c>
      <c r="Y403" s="20">
        <f>ROUND(Y402 + IF(AND(E403=32, F403&lt;&gt;"ASTM A416"), L403, 0), 3)</f>
        <v/>
      </c>
      <c r="Z403" s="20">
        <f>ROUND(Z402 + IF(F403="ASTM A416", L403, 0), 3)</f>
        <v/>
      </c>
      <c r="AA403" s="11">
        <f>IF(INT(P403/20)&gt;INT(P402/20), "Lần " &amp; INT(P403/20), "")</f>
        <v/>
      </c>
      <c r="AB403" s="11">
        <f>IF(INT(Q403/20)&gt;INT(Q402/20), "Lần " &amp; INT(Q403/20), "")</f>
        <v/>
      </c>
      <c r="AC403" s="11">
        <f>IF(INT(R403/20)&gt;INT(R402/20), "Lần " &amp; INT(R403/20), "")</f>
        <v/>
      </c>
      <c r="AD403" s="11">
        <f>IF(INT(S403/20)&gt;INT(S402/20), "Lần " &amp; INT(S403/20), "")</f>
        <v/>
      </c>
      <c r="AE403" s="11">
        <f>IF(INT(T403/20)&gt;INT(T402/20), "Lần " &amp; INT(T403/20), "")</f>
        <v/>
      </c>
      <c r="AF403" s="11">
        <f>IF(INT(U403/20)&gt;INT(U402/20), "Lần " &amp; INT(U403/20), "")</f>
        <v/>
      </c>
      <c r="AG403" s="11">
        <f>IF(INT(V403/20)&gt;INT(V402/20), "Lần " &amp; INT(V403/20), "")</f>
        <v/>
      </c>
      <c r="AH403" s="11">
        <f>IF(INT(W403/20)&gt;INT(W402/20), "Lần " &amp; INT(W403/20), "")</f>
        <v/>
      </c>
      <c r="AI403" s="11">
        <f>IF(INT(X403/20)&gt;INT(X402/20), "Lần " &amp; INT(X403/20), "")</f>
        <v/>
      </c>
      <c r="AJ403" s="11">
        <f>IF(INT(Y403/20)&gt;INT(Y402/20), "Lần " &amp; INT(Y403/20), "")</f>
        <v/>
      </c>
      <c r="AK403" s="11">
        <f>IF(INT(Z403/20)&gt;INT(Z402/20), "Lần " &amp; INT(Z403/20), "")</f>
        <v/>
      </c>
      <c r="AL403" s="6" t="inlineStr">
        <is>
          <t>ĐẠT TCVN 1651:2018</t>
        </is>
      </c>
    </row>
    <row r="404" ht="19" customHeight="1">
      <c r="A404" s="6" t="n">
        <v>376</v>
      </c>
      <c r="B404" s="7" t="inlineStr">
        <is>
          <t>Cọc khoan nhồi C6 Mố M2 (D1.2m, L=36.0m)</t>
        </is>
      </c>
      <c r="C404" s="7" t="inlineStr">
        <is>
          <t>Cốt thép chủ chịu lực cọc</t>
        </is>
      </c>
      <c r="D404" s="18" t="inlineStr">
        <is>
          <t>P4</t>
        </is>
      </c>
      <c r="E404" s="19" t="n">
        <v>28</v>
      </c>
      <c r="F404" s="6" t="inlineStr">
        <is>
          <t>CB400-V</t>
        </is>
      </c>
      <c r="G404" s="7" t="inlineStr">
        <is>
          <t>Thanh thẳng nối ren/hàn</t>
        </is>
      </c>
      <c r="H404" s="20" t="n">
        <v>11.7</v>
      </c>
      <c r="I404" s="21" t="n">
        <v>12</v>
      </c>
      <c r="J404" s="22" t="n">
        <v>4.83</v>
      </c>
      <c r="K404" s="9">
        <f>ROUND(H404*I404*J404, 2)</f>
        <v/>
      </c>
      <c r="L404" s="23">
        <f>ROUND(K404/1000, 3)</f>
        <v/>
      </c>
      <c r="M404" s="8" t="n"/>
      <c r="N404" s="6" t="n"/>
      <c r="O404" s="24">
        <f>IF(AND(E404&lt;=10, F404&lt;&gt;"ASTM A416", INT(P404/20)&gt;INT(P403/20)), "TN Ø10 (Lần " &amp; INT(P404/20) &amp; ")", IF(AND(E404=12, INT(Q404/20)&gt;INT(Q403/20)), "TN Ø12 (Lần " &amp; INT(Q404/20) &amp; ")", IF(AND(E404=14, INT(R404/20)&gt;INT(R403/20)), "TN Ø14 (Lần " &amp; INT(R404/20) &amp; ")", IF(AND(E404=16, INT(S404/20)&gt;INT(S403/20)), "TN Ø16 (Lần " &amp; INT(S404/20) &amp; ")", IF(AND(E404=18, INT(T404/20)&gt;INT(T403/20)), "TN Ø18 (Lần " &amp; INT(T404/20) &amp; ")", IF(AND(E404=20, INT(U404/20)&gt;INT(U403/20)), "TN Ø20 (Lần " &amp; INT(U404/20) &amp; ")", IF(AND(E404=22, INT(V404/20)&gt;INT(V403/20)), "TN Ø22 (Lần " &amp; INT(V404/20) &amp; ")", IF(AND(E404=25, INT(W404/20)&gt;INT(W403/20)), "TN Ø25 (Lần " &amp; INT(W404/20) &amp; ")", IF(AND(E404=28, INT(X404/20)&gt;INT(X403/20)), "TN Ø28 (Lần " &amp; INT(X404/20) &amp; ")", IF(AND(E404=32, INT(Y404/20)&gt;INT(Y403/20)), "TN Ø32 (Lần " &amp; INT(Y404/20) &amp; ")", IF(AND(F404="ASTM A416", INT(Z404/20)&gt;INT(Z403/20)), "TN Cáp 15.2 (Lần " &amp; INT(Z404/20) &amp; ")", "")))))))))))</f>
        <v/>
      </c>
      <c r="P404" s="20">
        <f>ROUND(P403 + IF(AND(E404&lt;=10, F404&lt;&gt;"ASTM A416"), L404, 0), 3)</f>
        <v/>
      </c>
      <c r="Q404" s="20">
        <f>ROUND(Q403 + IF(AND(E404=12, F404&lt;&gt;"ASTM A416"), L404, 0), 3)</f>
        <v/>
      </c>
      <c r="R404" s="20">
        <f>ROUND(R403 + IF(AND(E404=14, F404&lt;&gt;"ASTM A416"), L404, 0), 3)</f>
        <v/>
      </c>
      <c r="S404" s="20">
        <f>ROUND(S403 + IF(AND(E404=16, F404&lt;&gt;"ASTM A416"), L404, 0), 3)</f>
        <v/>
      </c>
      <c r="T404" s="20">
        <f>ROUND(T403 + IF(AND(E404=18, F404&lt;&gt;"ASTM A416"), L404, 0), 3)</f>
        <v/>
      </c>
      <c r="U404" s="20">
        <f>ROUND(U403 + IF(AND(E404=20, F404&lt;&gt;"ASTM A416"), L404, 0), 3)</f>
        <v/>
      </c>
      <c r="V404" s="20">
        <f>ROUND(V403 + IF(AND(E404=22, F404&lt;&gt;"ASTM A416"), L404, 0), 3)</f>
        <v/>
      </c>
      <c r="W404" s="20">
        <f>ROUND(W403 + IF(AND(E404=25, F404&lt;&gt;"ASTM A416"), L404, 0), 3)</f>
        <v/>
      </c>
      <c r="X404" s="20">
        <f>ROUND(X403 + IF(AND(E404=28, F404&lt;&gt;"ASTM A416"), L404, 0), 3)</f>
        <v/>
      </c>
      <c r="Y404" s="20">
        <f>ROUND(Y403 + IF(AND(E404=32, F404&lt;&gt;"ASTM A416"), L404, 0), 3)</f>
        <v/>
      </c>
      <c r="Z404" s="20">
        <f>ROUND(Z403 + IF(F404="ASTM A416", L404, 0), 3)</f>
        <v/>
      </c>
      <c r="AA404" s="11">
        <f>IF(INT(P404/20)&gt;INT(P403/20), "Lần " &amp; INT(P404/20), "")</f>
        <v/>
      </c>
      <c r="AB404" s="11">
        <f>IF(INT(Q404/20)&gt;INT(Q403/20), "Lần " &amp; INT(Q404/20), "")</f>
        <v/>
      </c>
      <c r="AC404" s="11">
        <f>IF(INT(R404/20)&gt;INT(R403/20), "Lần " &amp; INT(R404/20), "")</f>
        <v/>
      </c>
      <c r="AD404" s="11">
        <f>IF(INT(S404/20)&gt;INT(S403/20), "Lần " &amp; INT(S404/20), "")</f>
        <v/>
      </c>
      <c r="AE404" s="11">
        <f>IF(INT(T404/20)&gt;INT(T403/20), "Lần " &amp; INT(T404/20), "")</f>
        <v/>
      </c>
      <c r="AF404" s="11">
        <f>IF(INT(U404/20)&gt;INT(U403/20), "Lần " &amp; INT(U404/20), "")</f>
        <v/>
      </c>
      <c r="AG404" s="11">
        <f>IF(INT(V404/20)&gt;INT(V403/20), "Lần " &amp; INT(V404/20), "")</f>
        <v/>
      </c>
      <c r="AH404" s="11">
        <f>IF(INT(W404/20)&gt;INT(W403/20), "Lần " &amp; INT(W404/20), "")</f>
        <v/>
      </c>
      <c r="AI404" s="11">
        <f>IF(INT(X404/20)&gt;INT(X403/20), "Lần " &amp; INT(X404/20), "")</f>
        <v/>
      </c>
      <c r="AJ404" s="11">
        <f>IF(INT(Y404/20)&gt;INT(Y403/20), "Lần " &amp; INT(Y404/20), "")</f>
        <v/>
      </c>
      <c r="AK404" s="11">
        <f>IF(INT(Z404/20)&gt;INT(Z403/20), "Lần " &amp; INT(Z404/20), "")</f>
        <v/>
      </c>
      <c r="AL404" s="6" t="inlineStr">
        <is>
          <t>ĐẠT TCVN 1651:2018</t>
        </is>
      </c>
    </row>
    <row r="405" ht="19" customHeight="1">
      <c r="A405" s="6" t="n">
        <v>377</v>
      </c>
      <c r="B405" s="7" t="inlineStr">
        <is>
          <t>Cọc khoan nhồi C6 Mố M2 (D1.2m, L=36.0m)</t>
        </is>
      </c>
      <c r="C405" s="7" t="inlineStr">
        <is>
          <t>Cốt thép chủ chịu lực cọc</t>
        </is>
      </c>
      <c r="D405" s="18" t="inlineStr">
        <is>
          <t>P5</t>
        </is>
      </c>
      <c r="E405" s="19" t="n">
        <v>25</v>
      </c>
      <c r="F405" s="6" t="inlineStr">
        <is>
          <t>CB400-V</t>
        </is>
      </c>
      <c r="G405" s="7" t="inlineStr">
        <is>
          <t>Thanh thẳng nối ren/hàn</t>
        </is>
      </c>
      <c r="H405" s="20" t="n">
        <v>11.7</v>
      </c>
      <c r="I405" s="21" t="n">
        <v>48</v>
      </c>
      <c r="J405" s="22" t="n">
        <v>3.85</v>
      </c>
      <c r="K405" s="9">
        <f>ROUND(H405*I405*J405, 2)</f>
        <v/>
      </c>
      <c r="L405" s="23">
        <f>ROUND(K405/1000, 3)</f>
        <v/>
      </c>
      <c r="M405" s="8" t="n"/>
      <c r="N405" s="6" t="n"/>
      <c r="O405" s="24">
        <f>IF(AND(E405&lt;=10, F405&lt;&gt;"ASTM A416", INT(P405/20)&gt;INT(P404/20)), "TN Ø10 (Lần " &amp; INT(P405/20) &amp; ")", IF(AND(E405=12, INT(Q405/20)&gt;INT(Q404/20)), "TN Ø12 (Lần " &amp; INT(Q405/20) &amp; ")", IF(AND(E405=14, INT(R405/20)&gt;INT(R404/20)), "TN Ø14 (Lần " &amp; INT(R405/20) &amp; ")", IF(AND(E405=16, INT(S405/20)&gt;INT(S404/20)), "TN Ø16 (Lần " &amp; INT(S405/20) &amp; ")", IF(AND(E405=18, INT(T405/20)&gt;INT(T404/20)), "TN Ø18 (Lần " &amp; INT(T405/20) &amp; ")", IF(AND(E405=20, INT(U405/20)&gt;INT(U404/20)), "TN Ø20 (Lần " &amp; INT(U405/20) &amp; ")", IF(AND(E405=22, INT(V405/20)&gt;INT(V404/20)), "TN Ø22 (Lần " &amp; INT(V405/20) &amp; ")", IF(AND(E405=25, INT(W405/20)&gt;INT(W404/20)), "TN Ø25 (Lần " &amp; INT(W405/20) &amp; ")", IF(AND(E405=28, INT(X405/20)&gt;INT(X404/20)), "TN Ø28 (Lần " &amp; INT(X405/20) &amp; ")", IF(AND(E405=32, INT(Y405/20)&gt;INT(Y404/20)), "TN Ø32 (Lần " &amp; INT(Y405/20) &amp; ")", IF(AND(F405="ASTM A416", INT(Z405/20)&gt;INT(Z404/20)), "TN Cáp 15.2 (Lần " &amp; INT(Z405/20) &amp; ")", "")))))))))))</f>
        <v/>
      </c>
      <c r="P405" s="20">
        <f>ROUND(P404 + IF(AND(E405&lt;=10, F405&lt;&gt;"ASTM A416"), L405, 0), 3)</f>
        <v/>
      </c>
      <c r="Q405" s="20">
        <f>ROUND(Q404 + IF(AND(E405=12, F405&lt;&gt;"ASTM A416"), L405, 0), 3)</f>
        <v/>
      </c>
      <c r="R405" s="20">
        <f>ROUND(R404 + IF(AND(E405=14, F405&lt;&gt;"ASTM A416"), L405, 0), 3)</f>
        <v/>
      </c>
      <c r="S405" s="20">
        <f>ROUND(S404 + IF(AND(E405=16, F405&lt;&gt;"ASTM A416"), L405, 0), 3)</f>
        <v/>
      </c>
      <c r="T405" s="20">
        <f>ROUND(T404 + IF(AND(E405=18, F405&lt;&gt;"ASTM A416"), L405, 0), 3)</f>
        <v/>
      </c>
      <c r="U405" s="20">
        <f>ROUND(U404 + IF(AND(E405=20, F405&lt;&gt;"ASTM A416"), L405, 0), 3)</f>
        <v/>
      </c>
      <c r="V405" s="20">
        <f>ROUND(V404 + IF(AND(E405=22, F405&lt;&gt;"ASTM A416"), L405, 0), 3)</f>
        <v/>
      </c>
      <c r="W405" s="20">
        <f>ROUND(W404 + IF(AND(E405=25, F405&lt;&gt;"ASTM A416"), L405, 0), 3)</f>
        <v/>
      </c>
      <c r="X405" s="20">
        <f>ROUND(X404 + IF(AND(E405=28, F405&lt;&gt;"ASTM A416"), L405, 0), 3)</f>
        <v/>
      </c>
      <c r="Y405" s="20">
        <f>ROUND(Y404 + IF(AND(E405=32, F405&lt;&gt;"ASTM A416"), L405, 0), 3)</f>
        <v/>
      </c>
      <c r="Z405" s="20">
        <f>ROUND(Z404 + IF(F405="ASTM A416", L405, 0), 3)</f>
        <v/>
      </c>
      <c r="AA405" s="11">
        <f>IF(INT(P405/20)&gt;INT(P404/20), "Lần " &amp; INT(P405/20), "")</f>
        <v/>
      </c>
      <c r="AB405" s="11">
        <f>IF(INT(Q405/20)&gt;INT(Q404/20), "Lần " &amp; INT(Q405/20), "")</f>
        <v/>
      </c>
      <c r="AC405" s="11">
        <f>IF(INT(R405/20)&gt;INT(R404/20), "Lần " &amp; INT(R405/20), "")</f>
        <v/>
      </c>
      <c r="AD405" s="11">
        <f>IF(INT(S405/20)&gt;INT(S404/20), "Lần " &amp; INT(S405/20), "")</f>
        <v/>
      </c>
      <c r="AE405" s="11">
        <f>IF(INT(T405/20)&gt;INT(T404/20), "Lần " &amp; INT(T405/20), "")</f>
        <v/>
      </c>
      <c r="AF405" s="11">
        <f>IF(INT(U405/20)&gt;INT(U404/20), "Lần " &amp; INT(U405/20), "")</f>
        <v/>
      </c>
      <c r="AG405" s="11">
        <f>IF(INT(V405/20)&gt;INT(V404/20), "Lần " &amp; INT(V405/20), "")</f>
        <v/>
      </c>
      <c r="AH405" s="11">
        <f>IF(INT(W405/20)&gt;INT(W404/20), "Lần " &amp; INT(W405/20), "")</f>
        <v/>
      </c>
      <c r="AI405" s="11">
        <f>IF(INT(X405/20)&gt;INT(X404/20), "Lần " &amp; INT(X405/20), "")</f>
        <v/>
      </c>
      <c r="AJ405" s="11">
        <f>IF(INT(Y405/20)&gt;INT(Y404/20), "Lần " &amp; INT(Y405/20), "")</f>
        <v/>
      </c>
      <c r="AK405" s="11">
        <f>IF(INT(Z405/20)&gt;INT(Z404/20), "Lần " &amp; INT(Z405/20), "")</f>
        <v/>
      </c>
      <c r="AL405" s="6" t="inlineStr">
        <is>
          <t>ĐẠT TCVN 1651:2018</t>
        </is>
      </c>
    </row>
    <row r="406" ht="19" customHeight="1">
      <c r="A406" s="6" t="n">
        <v>378</v>
      </c>
      <c r="B406" s="7" t="inlineStr">
        <is>
          <t>Cọc khoan nhồi C6 Mố M2 (D1.2m, L=36.0m)</t>
        </is>
      </c>
      <c r="C406" s="7" t="inlineStr">
        <is>
          <t>Cốt thép chủ chịu lực cọc</t>
        </is>
      </c>
      <c r="D406" s="18" t="inlineStr">
        <is>
          <t>P6</t>
        </is>
      </c>
      <c r="E406" s="19" t="n">
        <v>25</v>
      </c>
      <c r="F406" s="6" t="inlineStr">
        <is>
          <t>CB400-V</t>
        </is>
      </c>
      <c r="G406" s="7" t="inlineStr">
        <is>
          <t>Thanh thẳng nối ren/hàn</t>
        </is>
      </c>
      <c r="H406" s="20" t="n">
        <v>5.153</v>
      </c>
      <c r="I406" s="21" t="n">
        <v>12</v>
      </c>
      <c r="J406" s="22" t="n">
        <v>3.85</v>
      </c>
      <c r="K406" s="9">
        <f>ROUND(H406*I406*J406, 2)</f>
        <v/>
      </c>
      <c r="L406" s="23">
        <f>ROUND(K406/1000, 3)</f>
        <v/>
      </c>
      <c r="M406" s="8" t="n"/>
      <c r="N406" s="6" t="n"/>
      <c r="O406" s="24">
        <f>IF(AND(E406&lt;=10, F406&lt;&gt;"ASTM A416", INT(P406/20)&gt;INT(P405/20)), "TN Ø10 (Lần " &amp; INT(P406/20) &amp; ")", IF(AND(E406=12, INT(Q406/20)&gt;INT(Q405/20)), "TN Ø12 (Lần " &amp; INT(Q406/20) &amp; ")", IF(AND(E406=14, INT(R406/20)&gt;INT(R405/20)), "TN Ø14 (Lần " &amp; INT(R406/20) &amp; ")", IF(AND(E406=16, INT(S406/20)&gt;INT(S405/20)), "TN Ø16 (Lần " &amp; INT(S406/20) &amp; ")", IF(AND(E406=18, INT(T406/20)&gt;INT(T405/20)), "TN Ø18 (Lần " &amp; INT(T406/20) &amp; ")", IF(AND(E406=20, INT(U406/20)&gt;INT(U405/20)), "TN Ø20 (Lần " &amp; INT(U406/20) &amp; ")", IF(AND(E406=22, INT(V406/20)&gt;INT(V405/20)), "TN Ø22 (Lần " &amp; INT(V406/20) &amp; ")", IF(AND(E406=25, INT(W406/20)&gt;INT(W405/20)), "TN Ø25 (Lần " &amp; INT(W406/20) &amp; ")", IF(AND(E406=28, INT(X406/20)&gt;INT(X405/20)), "TN Ø28 (Lần " &amp; INT(X406/20) &amp; ")", IF(AND(E406=32, INT(Y406/20)&gt;INT(Y405/20)), "TN Ø32 (Lần " &amp; INT(Y406/20) &amp; ")", IF(AND(F406="ASTM A416", INT(Z406/20)&gt;INT(Z405/20)), "TN Cáp 15.2 (Lần " &amp; INT(Z406/20) &amp; ")", "")))))))))))</f>
        <v/>
      </c>
      <c r="P406" s="20">
        <f>ROUND(P405 + IF(AND(E406&lt;=10, F406&lt;&gt;"ASTM A416"), L406, 0), 3)</f>
        <v/>
      </c>
      <c r="Q406" s="20">
        <f>ROUND(Q405 + IF(AND(E406=12, F406&lt;&gt;"ASTM A416"), L406, 0), 3)</f>
        <v/>
      </c>
      <c r="R406" s="20">
        <f>ROUND(R405 + IF(AND(E406=14, F406&lt;&gt;"ASTM A416"), L406, 0), 3)</f>
        <v/>
      </c>
      <c r="S406" s="20">
        <f>ROUND(S405 + IF(AND(E406=16, F406&lt;&gt;"ASTM A416"), L406, 0), 3)</f>
        <v/>
      </c>
      <c r="T406" s="20">
        <f>ROUND(T405 + IF(AND(E406=18, F406&lt;&gt;"ASTM A416"), L406, 0), 3)</f>
        <v/>
      </c>
      <c r="U406" s="20">
        <f>ROUND(U405 + IF(AND(E406=20, F406&lt;&gt;"ASTM A416"), L406, 0), 3)</f>
        <v/>
      </c>
      <c r="V406" s="20">
        <f>ROUND(V405 + IF(AND(E406=22, F406&lt;&gt;"ASTM A416"), L406, 0), 3)</f>
        <v/>
      </c>
      <c r="W406" s="20">
        <f>ROUND(W405 + IF(AND(E406=25, F406&lt;&gt;"ASTM A416"), L406, 0), 3)</f>
        <v/>
      </c>
      <c r="X406" s="20">
        <f>ROUND(X405 + IF(AND(E406=28, F406&lt;&gt;"ASTM A416"), L406, 0), 3)</f>
        <v/>
      </c>
      <c r="Y406" s="20">
        <f>ROUND(Y405 + IF(AND(E406=32, F406&lt;&gt;"ASTM A416"), L406, 0), 3)</f>
        <v/>
      </c>
      <c r="Z406" s="20">
        <f>ROUND(Z405 + IF(F406="ASTM A416", L406, 0), 3)</f>
        <v/>
      </c>
      <c r="AA406" s="11">
        <f>IF(INT(P406/20)&gt;INT(P405/20), "Lần " &amp; INT(P406/20), "")</f>
        <v/>
      </c>
      <c r="AB406" s="11">
        <f>IF(INT(Q406/20)&gt;INT(Q405/20), "Lần " &amp; INT(Q406/20), "")</f>
        <v/>
      </c>
      <c r="AC406" s="11">
        <f>IF(INT(R406/20)&gt;INT(R405/20), "Lần " &amp; INT(R406/20), "")</f>
        <v/>
      </c>
      <c r="AD406" s="11">
        <f>IF(INT(S406/20)&gt;INT(S405/20), "Lần " &amp; INT(S406/20), "")</f>
        <v/>
      </c>
      <c r="AE406" s="11">
        <f>IF(INT(T406/20)&gt;INT(T405/20), "Lần " &amp; INT(T406/20), "")</f>
        <v/>
      </c>
      <c r="AF406" s="11">
        <f>IF(INT(U406/20)&gt;INT(U405/20), "Lần " &amp; INT(U406/20), "")</f>
        <v/>
      </c>
      <c r="AG406" s="11">
        <f>IF(INT(V406/20)&gt;INT(V405/20), "Lần " &amp; INT(V406/20), "")</f>
        <v/>
      </c>
      <c r="AH406" s="11">
        <f>IF(INT(W406/20)&gt;INT(W405/20), "Lần " &amp; INT(W406/20), "")</f>
        <v/>
      </c>
      <c r="AI406" s="11">
        <f>IF(INT(X406/20)&gt;INT(X405/20), "Lần " &amp; INT(X406/20), "")</f>
        <v/>
      </c>
      <c r="AJ406" s="11">
        <f>IF(INT(Y406/20)&gt;INT(Y405/20), "Lần " &amp; INT(Y406/20), "")</f>
        <v/>
      </c>
      <c r="AK406" s="11">
        <f>IF(INT(Z406/20)&gt;INT(Z405/20), "Lần " &amp; INT(Z406/20), "")</f>
        <v/>
      </c>
      <c r="AL406" s="6" t="inlineStr">
        <is>
          <t>ĐẠT TCVN 1651:2018</t>
        </is>
      </c>
    </row>
    <row r="407" ht="19" customHeight="1">
      <c r="A407" s="6" t="n">
        <v>379</v>
      </c>
      <c r="B407" s="7" t="inlineStr">
        <is>
          <t>Cọc khoan nhồi C6 Mố M2 (D1.2m, L=36.0m)</t>
        </is>
      </c>
      <c r="C407" s="7" t="inlineStr">
        <is>
          <t>Cốt thép chủ chịu lực cọc</t>
        </is>
      </c>
      <c r="D407" s="18" t="inlineStr">
        <is>
          <t>P7</t>
        </is>
      </c>
      <c r="E407" s="19" t="n">
        <v>25</v>
      </c>
      <c r="F407" s="6" t="inlineStr">
        <is>
          <t>CB400-V</t>
        </is>
      </c>
      <c r="G407" s="7" t="inlineStr">
        <is>
          <t>Thanh thẳng nối ren/hàn</t>
        </is>
      </c>
      <c r="H407" s="20" t="n">
        <v>6.153</v>
      </c>
      <c r="I407" s="21" t="n">
        <v>12</v>
      </c>
      <c r="J407" s="22" t="n">
        <v>3.85</v>
      </c>
      <c r="K407" s="9">
        <f>ROUND(H407*I407*J407, 2)</f>
        <v/>
      </c>
      <c r="L407" s="23">
        <f>ROUND(K407/1000, 3)</f>
        <v/>
      </c>
      <c r="M407" s="8" t="n"/>
      <c r="N407" s="6" t="n"/>
      <c r="O407" s="24">
        <f>IF(AND(E407&lt;=10, F407&lt;&gt;"ASTM A416", INT(P407/20)&gt;INT(P406/20)), "TN Ø10 (Lần " &amp; INT(P407/20) &amp; ")", IF(AND(E407=12, INT(Q407/20)&gt;INT(Q406/20)), "TN Ø12 (Lần " &amp; INT(Q407/20) &amp; ")", IF(AND(E407=14, INT(R407/20)&gt;INT(R406/20)), "TN Ø14 (Lần " &amp; INT(R407/20) &amp; ")", IF(AND(E407=16, INT(S407/20)&gt;INT(S406/20)), "TN Ø16 (Lần " &amp; INT(S407/20) &amp; ")", IF(AND(E407=18, INT(T407/20)&gt;INT(T406/20)), "TN Ø18 (Lần " &amp; INT(T407/20) &amp; ")", IF(AND(E407=20, INT(U407/20)&gt;INT(U406/20)), "TN Ø20 (Lần " &amp; INT(U407/20) &amp; ")", IF(AND(E407=22, INT(V407/20)&gt;INT(V406/20)), "TN Ø22 (Lần " &amp; INT(V407/20) &amp; ")", IF(AND(E407=25, INT(W407/20)&gt;INT(W406/20)), "TN Ø25 (Lần " &amp; INT(W407/20) &amp; ")", IF(AND(E407=28, INT(X407/20)&gt;INT(X406/20)), "TN Ø28 (Lần " &amp; INT(X407/20) &amp; ")", IF(AND(E407=32, INT(Y407/20)&gt;INT(Y406/20)), "TN Ø32 (Lần " &amp; INT(Y407/20) &amp; ")", IF(AND(F407="ASTM A416", INT(Z407/20)&gt;INT(Z406/20)), "TN Cáp 15.2 (Lần " &amp; INT(Z407/20) &amp; ")", "")))))))))))</f>
        <v/>
      </c>
      <c r="P407" s="20">
        <f>ROUND(P406 + IF(AND(E407&lt;=10, F407&lt;&gt;"ASTM A416"), L407, 0), 3)</f>
        <v/>
      </c>
      <c r="Q407" s="20">
        <f>ROUND(Q406 + IF(AND(E407=12, F407&lt;&gt;"ASTM A416"), L407, 0), 3)</f>
        <v/>
      </c>
      <c r="R407" s="20">
        <f>ROUND(R406 + IF(AND(E407=14, F407&lt;&gt;"ASTM A416"), L407, 0), 3)</f>
        <v/>
      </c>
      <c r="S407" s="20">
        <f>ROUND(S406 + IF(AND(E407=16, F407&lt;&gt;"ASTM A416"), L407, 0), 3)</f>
        <v/>
      </c>
      <c r="T407" s="20">
        <f>ROUND(T406 + IF(AND(E407=18, F407&lt;&gt;"ASTM A416"), L407, 0), 3)</f>
        <v/>
      </c>
      <c r="U407" s="20">
        <f>ROUND(U406 + IF(AND(E407=20, F407&lt;&gt;"ASTM A416"), L407, 0), 3)</f>
        <v/>
      </c>
      <c r="V407" s="20">
        <f>ROUND(V406 + IF(AND(E407=22, F407&lt;&gt;"ASTM A416"), L407, 0), 3)</f>
        <v/>
      </c>
      <c r="W407" s="20">
        <f>ROUND(W406 + IF(AND(E407=25, F407&lt;&gt;"ASTM A416"), L407, 0), 3)</f>
        <v/>
      </c>
      <c r="X407" s="20">
        <f>ROUND(X406 + IF(AND(E407=28, F407&lt;&gt;"ASTM A416"), L407, 0), 3)</f>
        <v/>
      </c>
      <c r="Y407" s="20">
        <f>ROUND(Y406 + IF(AND(E407=32, F407&lt;&gt;"ASTM A416"), L407, 0), 3)</f>
        <v/>
      </c>
      <c r="Z407" s="20">
        <f>ROUND(Z406 + IF(F407="ASTM A416", L407, 0), 3)</f>
        <v/>
      </c>
      <c r="AA407" s="11">
        <f>IF(INT(P407/20)&gt;INT(P406/20), "Lần " &amp; INT(P407/20), "")</f>
        <v/>
      </c>
      <c r="AB407" s="11">
        <f>IF(INT(Q407/20)&gt;INT(Q406/20), "Lần " &amp; INT(Q407/20), "")</f>
        <v/>
      </c>
      <c r="AC407" s="11">
        <f>IF(INT(R407/20)&gt;INT(R406/20), "Lần " &amp; INT(R407/20), "")</f>
        <v/>
      </c>
      <c r="AD407" s="11">
        <f>IF(INT(S407/20)&gt;INT(S406/20), "Lần " &amp; INT(S407/20), "")</f>
        <v/>
      </c>
      <c r="AE407" s="11">
        <f>IF(INT(T407/20)&gt;INT(T406/20), "Lần " &amp; INT(T407/20), "")</f>
        <v/>
      </c>
      <c r="AF407" s="11">
        <f>IF(INT(U407/20)&gt;INT(U406/20), "Lần " &amp; INT(U407/20), "")</f>
        <v/>
      </c>
      <c r="AG407" s="11">
        <f>IF(INT(V407/20)&gt;INT(V406/20), "Lần " &amp; INT(V407/20), "")</f>
        <v/>
      </c>
      <c r="AH407" s="11">
        <f>IF(INT(W407/20)&gt;INT(W406/20), "Lần " &amp; INT(W407/20), "")</f>
        <v/>
      </c>
      <c r="AI407" s="11">
        <f>IF(INT(X407/20)&gt;INT(X406/20), "Lần " &amp; INT(X407/20), "")</f>
        <v/>
      </c>
      <c r="AJ407" s="11">
        <f>IF(INT(Y407/20)&gt;INT(Y406/20), "Lần " &amp; INT(Y407/20), "")</f>
        <v/>
      </c>
      <c r="AK407" s="11">
        <f>IF(INT(Z407/20)&gt;INT(Z406/20), "Lần " &amp; INT(Z407/20), "")</f>
        <v/>
      </c>
      <c r="AL407" s="6" t="inlineStr">
        <is>
          <t>ĐẠT TCVN 1651:2018</t>
        </is>
      </c>
    </row>
    <row r="408" ht="19" customHeight="1">
      <c r="A408" s="6" t="n">
        <v>380</v>
      </c>
      <c r="B408" s="7" t="inlineStr">
        <is>
          <t>Cọc khoan nhồi C6 Mố M2 (D1.2m, L=36.0m)</t>
        </is>
      </c>
      <c r="C408" s="7" t="inlineStr">
        <is>
          <t>Đai tăng cường / Con kê bảo vệ</t>
        </is>
      </c>
      <c r="D408" s="18" t="inlineStr">
        <is>
          <t>P8</t>
        </is>
      </c>
      <c r="E408" s="19" t="n">
        <v>12</v>
      </c>
      <c r="F408" s="6" t="inlineStr">
        <is>
          <t>CB400-V</t>
        </is>
      </c>
      <c r="G408" s="7" t="inlineStr">
        <is>
          <t>Móc neo / Vòng đai</t>
        </is>
      </c>
      <c r="H408" s="20" t="n">
        <v>0.647</v>
      </c>
      <c r="I408" s="21" t="n">
        <v>15</v>
      </c>
      <c r="J408" s="22" t="n">
        <v>0.888</v>
      </c>
      <c r="K408" s="9">
        <f>ROUND(H408*I408*J408, 2)</f>
        <v/>
      </c>
      <c r="L408" s="23">
        <f>ROUND(K408/1000, 3)</f>
        <v/>
      </c>
      <c r="M408" s="8" t="n"/>
      <c r="N408" s="6" t="n"/>
      <c r="O408" s="24">
        <f>IF(AND(E408&lt;=10, F408&lt;&gt;"ASTM A416", INT(P408/20)&gt;INT(P407/20)), "TN Ø10 (Lần " &amp; INT(P408/20) &amp; ")", IF(AND(E408=12, INT(Q408/20)&gt;INT(Q407/20)), "TN Ø12 (Lần " &amp; INT(Q408/20) &amp; ")", IF(AND(E408=14, INT(R408/20)&gt;INT(R407/20)), "TN Ø14 (Lần " &amp; INT(R408/20) &amp; ")", IF(AND(E408=16, INT(S408/20)&gt;INT(S407/20)), "TN Ø16 (Lần " &amp; INT(S408/20) &amp; ")", IF(AND(E408=18, INT(T408/20)&gt;INT(T407/20)), "TN Ø18 (Lần " &amp; INT(T408/20) &amp; ")", IF(AND(E408=20, INT(U408/20)&gt;INT(U407/20)), "TN Ø20 (Lần " &amp; INT(U408/20) &amp; ")", IF(AND(E408=22, INT(V408/20)&gt;INT(V407/20)), "TN Ø22 (Lần " &amp; INT(V408/20) &amp; ")", IF(AND(E408=25, INT(W408/20)&gt;INT(W407/20)), "TN Ø25 (Lần " &amp; INT(W408/20) &amp; ")", IF(AND(E408=28, INT(X408/20)&gt;INT(X407/20)), "TN Ø28 (Lần " &amp; INT(X408/20) &amp; ")", IF(AND(E408=32, INT(Y408/20)&gt;INT(Y407/20)), "TN Ø32 (Lần " &amp; INT(Y408/20) &amp; ")", IF(AND(F408="ASTM A416", INT(Z408/20)&gt;INT(Z407/20)), "TN Cáp 15.2 (Lần " &amp; INT(Z408/20) &amp; ")", "")))))))))))</f>
        <v/>
      </c>
      <c r="P408" s="20">
        <f>ROUND(P407 + IF(AND(E408&lt;=10, F408&lt;&gt;"ASTM A416"), L408, 0), 3)</f>
        <v/>
      </c>
      <c r="Q408" s="20">
        <f>ROUND(Q407 + IF(AND(E408=12, F408&lt;&gt;"ASTM A416"), L408, 0), 3)</f>
        <v/>
      </c>
      <c r="R408" s="20">
        <f>ROUND(R407 + IF(AND(E408=14, F408&lt;&gt;"ASTM A416"), L408, 0), 3)</f>
        <v/>
      </c>
      <c r="S408" s="20">
        <f>ROUND(S407 + IF(AND(E408=16, F408&lt;&gt;"ASTM A416"), L408, 0), 3)</f>
        <v/>
      </c>
      <c r="T408" s="20">
        <f>ROUND(T407 + IF(AND(E408=18, F408&lt;&gt;"ASTM A416"), L408, 0), 3)</f>
        <v/>
      </c>
      <c r="U408" s="20">
        <f>ROUND(U407 + IF(AND(E408=20, F408&lt;&gt;"ASTM A416"), L408, 0), 3)</f>
        <v/>
      </c>
      <c r="V408" s="20">
        <f>ROUND(V407 + IF(AND(E408=22, F408&lt;&gt;"ASTM A416"), L408, 0), 3)</f>
        <v/>
      </c>
      <c r="W408" s="20">
        <f>ROUND(W407 + IF(AND(E408=25, F408&lt;&gt;"ASTM A416"), L408, 0), 3)</f>
        <v/>
      </c>
      <c r="X408" s="20">
        <f>ROUND(X407 + IF(AND(E408=28, F408&lt;&gt;"ASTM A416"), L408, 0), 3)</f>
        <v/>
      </c>
      <c r="Y408" s="20">
        <f>ROUND(Y407 + IF(AND(E408=32, F408&lt;&gt;"ASTM A416"), L408, 0), 3)</f>
        <v/>
      </c>
      <c r="Z408" s="20">
        <f>ROUND(Z407 + IF(F408="ASTM A416", L408, 0), 3)</f>
        <v/>
      </c>
      <c r="AA408" s="11">
        <f>IF(INT(P408/20)&gt;INT(P407/20), "Lần " &amp; INT(P408/20), "")</f>
        <v/>
      </c>
      <c r="AB408" s="11">
        <f>IF(INT(Q408/20)&gt;INT(Q407/20), "Lần " &amp; INT(Q408/20), "")</f>
        <v/>
      </c>
      <c r="AC408" s="11">
        <f>IF(INT(R408/20)&gt;INT(R407/20), "Lần " &amp; INT(R408/20), "")</f>
        <v/>
      </c>
      <c r="AD408" s="11">
        <f>IF(INT(S408/20)&gt;INT(S407/20), "Lần " &amp; INT(S408/20), "")</f>
        <v/>
      </c>
      <c r="AE408" s="11">
        <f>IF(INT(T408/20)&gt;INT(T407/20), "Lần " &amp; INT(T408/20), "")</f>
        <v/>
      </c>
      <c r="AF408" s="11">
        <f>IF(INT(U408/20)&gt;INT(U407/20), "Lần " &amp; INT(U408/20), "")</f>
        <v/>
      </c>
      <c r="AG408" s="11">
        <f>IF(INT(V408/20)&gt;INT(V407/20), "Lần " &amp; INT(V408/20), "")</f>
        <v/>
      </c>
      <c r="AH408" s="11">
        <f>IF(INT(W408/20)&gt;INT(W407/20), "Lần " &amp; INT(W408/20), "")</f>
        <v/>
      </c>
      <c r="AI408" s="11">
        <f>IF(INT(X408/20)&gt;INT(X407/20), "Lần " &amp; INT(X408/20), "")</f>
        <v/>
      </c>
      <c r="AJ408" s="11">
        <f>IF(INT(Y408/20)&gt;INT(Y407/20), "Lần " &amp; INT(Y408/20), "")</f>
        <v/>
      </c>
      <c r="AK408" s="11">
        <f>IF(INT(Z408/20)&gt;INT(Z407/20), "Lần " &amp; INT(Z408/20), "")</f>
        <v/>
      </c>
      <c r="AL408" s="6" t="inlineStr">
        <is>
          <t>ĐẠT TCVN 1651:2018</t>
        </is>
      </c>
    </row>
    <row r="409" ht="19" customHeight="1">
      <c r="A409" s="6" t="n">
        <v>381</v>
      </c>
      <c r="B409" s="7" t="inlineStr">
        <is>
          <t>Cọc khoan nhồi C6 Mố M2 (D1.2m, L=36.0m)</t>
        </is>
      </c>
      <c r="C409" s="7" t="inlineStr">
        <is>
          <t>Đai tăng cường / Con kê bảo vệ</t>
        </is>
      </c>
      <c r="D409" s="18" t="inlineStr">
        <is>
          <t>P9</t>
        </is>
      </c>
      <c r="E409" s="19" t="n">
        <v>12</v>
      </c>
      <c r="F409" s="6" t="inlineStr">
        <is>
          <t>CB400-V</t>
        </is>
      </c>
      <c r="G409" s="7" t="inlineStr">
        <is>
          <t>Móc neo / Vòng đai</t>
        </is>
      </c>
      <c r="H409" s="20" t="n">
        <v>0.379</v>
      </c>
      <c r="I409" s="21" t="n">
        <v>45</v>
      </c>
      <c r="J409" s="22" t="n">
        <v>0.888</v>
      </c>
      <c r="K409" s="9">
        <f>ROUND(H409*I409*J409, 2)</f>
        <v/>
      </c>
      <c r="L409" s="23">
        <f>ROUND(K409/1000, 3)</f>
        <v/>
      </c>
      <c r="M409" s="8" t="n"/>
      <c r="N409" s="6" t="n"/>
      <c r="O409" s="24">
        <f>IF(AND(E409&lt;=10, F409&lt;&gt;"ASTM A416", INT(P409/20)&gt;INT(P408/20)), "TN Ø10 (Lần " &amp; INT(P409/20) &amp; ")", IF(AND(E409=12, INT(Q409/20)&gt;INT(Q408/20)), "TN Ø12 (Lần " &amp; INT(Q409/20) &amp; ")", IF(AND(E409=14, INT(R409/20)&gt;INT(R408/20)), "TN Ø14 (Lần " &amp; INT(R409/20) &amp; ")", IF(AND(E409=16, INT(S409/20)&gt;INT(S408/20)), "TN Ø16 (Lần " &amp; INT(S409/20) &amp; ")", IF(AND(E409=18, INT(T409/20)&gt;INT(T408/20)), "TN Ø18 (Lần " &amp; INT(T409/20) &amp; ")", IF(AND(E409=20, INT(U409/20)&gt;INT(U408/20)), "TN Ø20 (Lần " &amp; INT(U409/20) &amp; ")", IF(AND(E409=22, INT(V409/20)&gt;INT(V408/20)), "TN Ø22 (Lần " &amp; INT(V409/20) &amp; ")", IF(AND(E409=25, INT(W409/20)&gt;INT(W408/20)), "TN Ø25 (Lần " &amp; INT(W409/20) &amp; ")", IF(AND(E409=28, INT(X409/20)&gt;INT(X408/20)), "TN Ø28 (Lần " &amp; INT(X409/20) &amp; ")", IF(AND(E409=32, INT(Y409/20)&gt;INT(Y408/20)), "TN Ø32 (Lần " &amp; INT(Y409/20) &amp; ")", IF(AND(F409="ASTM A416", INT(Z409/20)&gt;INT(Z408/20)), "TN Cáp 15.2 (Lần " &amp; INT(Z409/20) &amp; ")", "")))))))))))</f>
        <v/>
      </c>
      <c r="P409" s="20">
        <f>ROUND(P408 + IF(AND(E409&lt;=10, F409&lt;&gt;"ASTM A416"), L409, 0), 3)</f>
        <v/>
      </c>
      <c r="Q409" s="20">
        <f>ROUND(Q408 + IF(AND(E409=12, F409&lt;&gt;"ASTM A416"), L409, 0), 3)</f>
        <v/>
      </c>
      <c r="R409" s="20">
        <f>ROUND(R408 + IF(AND(E409=14, F409&lt;&gt;"ASTM A416"), L409, 0), 3)</f>
        <v/>
      </c>
      <c r="S409" s="20">
        <f>ROUND(S408 + IF(AND(E409=16, F409&lt;&gt;"ASTM A416"), L409, 0), 3)</f>
        <v/>
      </c>
      <c r="T409" s="20">
        <f>ROUND(T408 + IF(AND(E409=18, F409&lt;&gt;"ASTM A416"), L409, 0), 3)</f>
        <v/>
      </c>
      <c r="U409" s="20">
        <f>ROUND(U408 + IF(AND(E409=20, F409&lt;&gt;"ASTM A416"), L409, 0), 3)</f>
        <v/>
      </c>
      <c r="V409" s="20">
        <f>ROUND(V408 + IF(AND(E409=22, F409&lt;&gt;"ASTM A416"), L409, 0), 3)</f>
        <v/>
      </c>
      <c r="W409" s="20">
        <f>ROUND(W408 + IF(AND(E409=25, F409&lt;&gt;"ASTM A416"), L409, 0), 3)</f>
        <v/>
      </c>
      <c r="X409" s="20">
        <f>ROUND(X408 + IF(AND(E409=28, F409&lt;&gt;"ASTM A416"), L409, 0), 3)</f>
        <v/>
      </c>
      <c r="Y409" s="20">
        <f>ROUND(Y408 + IF(AND(E409=32, F409&lt;&gt;"ASTM A416"), L409, 0), 3)</f>
        <v/>
      </c>
      <c r="Z409" s="20">
        <f>ROUND(Z408 + IF(F409="ASTM A416", L409, 0), 3)</f>
        <v/>
      </c>
      <c r="AA409" s="11">
        <f>IF(INT(P409/20)&gt;INT(P408/20), "Lần " &amp; INT(P409/20), "")</f>
        <v/>
      </c>
      <c r="AB409" s="11">
        <f>IF(INT(Q409/20)&gt;INT(Q408/20), "Lần " &amp; INT(Q409/20), "")</f>
        <v/>
      </c>
      <c r="AC409" s="11">
        <f>IF(INT(R409/20)&gt;INT(R408/20), "Lần " &amp; INT(R409/20), "")</f>
        <v/>
      </c>
      <c r="AD409" s="11">
        <f>IF(INT(S409/20)&gt;INT(S408/20), "Lần " &amp; INT(S409/20), "")</f>
        <v/>
      </c>
      <c r="AE409" s="11">
        <f>IF(INT(T409/20)&gt;INT(T408/20), "Lần " &amp; INT(T409/20), "")</f>
        <v/>
      </c>
      <c r="AF409" s="11">
        <f>IF(INT(U409/20)&gt;INT(U408/20), "Lần " &amp; INT(U409/20), "")</f>
        <v/>
      </c>
      <c r="AG409" s="11">
        <f>IF(INT(V409/20)&gt;INT(V408/20), "Lần " &amp; INT(V409/20), "")</f>
        <v/>
      </c>
      <c r="AH409" s="11">
        <f>IF(INT(W409/20)&gt;INT(W408/20), "Lần " &amp; INT(W409/20), "")</f>
        <v/>
      </c>
      <c r="AI409" s="11">
        <f>IF(INT(X409/20)&gt;INT(X408/20), "Lần " &amp; INT(X409/20), "")</f>
        <v/>
      </c>
      <c r="AJ409" s="11">
        <f>IF(INT(Y409/20)&gt;INT(Y408/20), "Lần " &amp; INT(Y409/20), "")</f>
        <v/>
      </c>
      <c r="AK409" s="11">
        <f>IF(INT(Z409/20)&gt;INT(Z408/20), "Lần " &amp; INT(Z409/20), "")</f>
        <v/>
      </c>
      <c r="AL409" s="6" t="inlineStr">
        <is>
          <t>ĐẠT TCVN 1651:2018</t>
        </is>
      </c>
    </row>
    <row r="410" ht="19" customHeight="1">
      <c r="A410" s="6" t="n">
        <v>382</v>
      </c>
      <c r="B410" s="7" t="inlineStr">
        <is>
          <t>Cọc khoan nhồi C6 Mố M2 (D1.2m, L=36.0m)</t>
        </is>
      </c>
      <c r="C410" s="7" t="inlineStr">
        <is>
          <t>Thép đai xoắn lồng cọc</t>
        </is>
      </c>
      <c r="D410" s="18" t="inlineStr">
        <is>
          <t>P10</t>
        </is>
      </c>
      <c r="E410" s="19" t="n">
        <v>20</v>
      </c>
      <c r="F410" s="6" t="inlineStr">
        <is>
          <t>CB400-V</t>
        </is>
      </c>
      <c r="G410" s="7" t="inlineStr">
        <is>
          <t>Đai xoắn tròn</t>
        </is>
      </c>
      <c r="H410" s="20" t="n">
        <v>2.057</v>
      </c>
      <c r="I410" s="21" t="n">
        <v>1</v>
      </c>
      <c r="J410" s="22" t="n">
        <v>2.47</v>
      </c>
      <c r="K410" s="9">
        <f>ROUND(H410*I410*J410, 2)</f>
        <v/>
      </c>
      <c r="L410" s="23">
        <f>ROUND(K410/1000, 3)</f>
        <v/>
      </c>
      <c r="M410" s="8" t="n"/>
      <c r="N410" s="6" t="n"/>
      <c r="O410" s="24">
        <f>IF(AND(E410&lt;=10, F410&lt;&gt;"ASTM A416", INT(P410/20)&gt;INT(P409/20)), "TN Ø10 (Lần " &amp; INT(P410/20) &amp; ")", IF(AND(E410=12, INT(Q410/20)&gt;INT(Q409/20)), "TN Ø12 (Lần " &amp; INT(Q410/20) &amp; ")", IF(AND(E410=14, INT(R410/20)&gt;INT(R409/20)), "TN Ø14 (Lần " &amp; INT(R410/20) &amp; ")", IF(AND(E410=16, INT(S410/20)&gt;INT(S409/20)), "TN Ø16 (Lần " &amp; INT(S410/20) &amp; ")", IF(AND(E410=18, INT(T410/20)&gt;INT(T409/20)), "TN Ø18 (Lần " &amp; INT(T410/20) &amp; ")", IF(AND(E410=20, INT(U410/20)&gt;INT(U409/20)), "TN Ø20 (Lần " &amp; INT(U410/20) &amp; ")", IF(AND(E410=22, INT(V410/20)&gt;INT(V409/20)), "TN Ø22 (Lần " &amp; INT(V410/20) &amp; ")", IF(AND(E410=25, INT(W410/20)&gt;INT(W409/20)), "TN Ø25 (Lần " &amp; INT(W410/20) &amp; ")", IF(AND(E410=28, INT(X410/20)&gt;INT(X409/20)), "TN Ø28 (Lần " &amp; INT(X410/20) &amp; ")", IF(AND(E410=32, INT(Y410/20)&gt;INT(Y409/20)), "TN Ø32 (Lần " &amp; INT(Y410/20) &amp; ")", IF(AND(F410="ASTM A416", INT(Z410/20)&gt;INT(Z409/20)), "TN Cáp 15.2 (Lần " &amp; INT(Z410/20) &amp; ")", "")))))))))))</f>
        <v/>
      </c>
      <c r="P410" s="20">
        <f>ROUND(P409 + IF(AND(E410&lt;=10, F410&lt;&gt;"ASTM A416"), L410, 0), 3)</f>
        <v/>
      </c>
      <c r="Q410" s="20">
        <f>ROUND(Q409 + IF(AND(E410=12, F410&lt;&gt;"ASTM A416"), L410, 0), 3)</f>
        <v/>
      </c>
      <c r="R410" s="20">
        <f>ROUND(R409 + IF(AND(E410=14, F410&lt;&gt;"ASTM A416"), L410, 0), 3)</f>
        <v/>
      </c>
      <c r="S410" s="20">
        <f>ROUND(S409 + IF(AND(E410=16, F410&lt;&gt;"ASTM A416"), L410, 0), 3)</f>
        <v/>
      </c>
      <c r="T410" s="20">
        <f>ROUND(T409 + IF(AND(E410=18, F410&lt;&gt;"ASTM A416"), L410, 0), 3)</f>
        <v/>
      </c>
      <c r="U410" s="20">
        <f>ROUND(U409 + IF(AND(E410=20, F410&lt;&gt;"ASTM A416"), L410, 0), 3)</f>
        <v/>
      </c>
      <c r="V410" s="20">
        <f>ROUND(V409 + IF(AND(E410=22, F410&lt;&gt;"ASTM A416"), L410, 0), 3)</f>
        <v/>
      </c>
      <c r="W410" s="20">
        <f>ROUND(W409 + IF(AND(E410=25, F410&lt;&gt;"ASTM A416"), L410, 0), 3)</f>
        <v/>
      </c>
      <c r="X410" s="20">
        <f>ROUND(X409 + IF(AND(E410=28, F410&lt;&gt;"ASTM A416"), L410, 0), 3)</f>
        <v/>
      </c>
      <c r="Y410" s="20">
        <f>ROUND(Y409 + IF(AND(E410=32, F410&lt;&gt;"ASTM A416"), L410, 0), 3)</f>
        <v/>
      </c>
      <c r="Z410" s="20">
        <f>ROUND(Z409 + IF(F410="ASTM A416", L410, 0), 3)</f>
        <v/>
      </c>
      <c r="AA410" s="11">
        <f>IF(INT(P410/20)&gt;INT(P409/20), "Lần " &amp; INT(P410/20), "")</f>
        <v/>
      </c>
      <c r="AB410" s="11">
        <f>IF(INT(Q410/20)&gt;INT(Q409/20), "Lần " &amp; INT(Q410/20), "")</f>
        <v/>
      </c>
      <c r="AC410" s="11">
        <f>IF(INT(R410/20)&gt;INT(R409/20), "Lần " &amp; INT(R410/20), "")</f>
        <v/>
      </c>
      <c r="AD410" s="11">
        <f>IF(INT(S410/20)&gt;INT(S409/20), "Lần " &amp; INT(S410/20), "")</f>
        <v/>
      </c>
      <c r="AE410" s="11">
        <f>IF(INT(T410/20)&gt;INT(T409/20), "Lần " &amp; INT(T410/20), "")</f>
        <v/>
      </c>
      <c r="AF410" s="11">
        <f>IF(INT(U410/20)&gt;INT(U409/20), "Lần " &amp; INT(U410/20), "")</f>
        <v/>
      </c>
      <c r="AG410" s="11">
        <f>IF(INT(V410/20)&gt;INT(V409/20), "Lần " &amp; INT(V410/20), "")</f>
        <v/>
      </c>
      <c r="AH410" s="11">
        <f>IF(INT(W410/20)&gt;INT(W409/20), "Lần " &amp; INT(W410/20), "")</f>
        <v/>
      </c>
      <c r="AI410" s="11">
        <f>IF(INT(X410/20)&gt;INT(X409/20), "Lần " &amp; INT(X410/20), "")</f>
        <v/>
      </c>
      <c r="AJ410" s="11">
        <f>IF(INT(Y410/20)&gt;INT(Y409/20), "Lần " &amp; INT(Y410/20), "")</f>
        <v/>
      </c>
      <c r="AK410" s="11">
        <f>IF(INT(Z410/20)&gt;INT(Z409/20), "Lần " &amp; INT(Z410/20), "")</f>
        <v/>
      </c>
      <c r="AL410" s="6" t="inlineStr">
        <is>
          <t>ĐẠT TCVN 1651:2018</t>
        </is>
      </c>
    </row>
    <row r="411" ht="19" customHeight="1">
      <c r="A411" s="6" t="n">
        <v>383</v>
      </c>
      <c r="B411" s="7" t="inlineStr">
        <is>
          <t>Cọc khoan nhồi C6 Mố M2 (D1.2m, L=36.0m)</t>
        </is>
      </c>
      <c r="C411" s="7" t="inlineStr">
        <is>
          <t>Thanh thép treo lồng cọc</t>
        </is>
      </c>
      <c r="D411" s="18" t="inlineStr">
        <is>
          <t>P11</t>
        </is>
      </c>
      <c r="E411" s="19" t="n">
        <v>16</v>
      </c>
      <c r="F411" s="6" t="inlineStr">
        <is>
          <t>CB400-V</t>
        </is>
      </c>
      <c r="G411" s="7" t="inlineStr">
        <is>
          <t>Thanh treo lồng (bảng phụ tr.66)</t>
        </is>
      </c>
      <c r="H411" s="20" t="n">
        <v>2.484</v>
      </c>
      <c r="I411" s="21" t="n">
        <v>4</v>
      </c>
      <c r="J411" s="22" t="n">
        <v>1.58</v>
      </c>
      <c r="K411" s="9">
        <f>ROUND(H411*I411*J411, 2)</f>
        <v/>
      </c>
      <c r="L411" s="23">
        <f>ROUND(K411/1000, 3)</f>
        <v/>
      </c>
      <c r="M411" s="8" t="n"/>
      <c r="N411" s="6" t="n"/>
      <c r="O411" s="24">
        <f>IF(AND(E411&lt;=10, F411&lt;&gt;"ASTM A416", INT(P411/20)&gt;INT(P410/20)), "TN Ø10 (Lần " &amp; INT(P411/20) &amp; ")", IF(AND(E411=12, INT(Q411/20)&gt;INT(Q410/20)), "TN Ø12 (Lần " &amp; INT(Q411/20) &amp; ")", IF(AND(E411=14, INT(R411/20)&gt;INT(R410/20)), "TN Ø14 (Lần " &amp; INT(R411/20) &amp; ")", IF(AND(E411=16, INT(S411/20)&gt;INT(S410/20)), "TN Ø16 (Lần " &amp; INT(S411/20) &amp; ")", IF(AND(E411=18, INT(T411/20)&gt;INT(T410/20)), "TN Ø18 (Lần " &amp; INT(T411/20) &amp; ")", IF(AND(E411=20, INT(U411/20)&gt;INT(U410/20)), "TN Ø20 (Lần " &amp; INT(U411/20) &amp; ")", IF(AND(E411=22, INT(V411/20)&gt;INT(V410/20)), "TN Ø22 (Lần " &amp; INT(V411/20) &amp; ")", IF(AND(E411=25, INT(W411/20)&gt;INT(W410/20)), "TN Ø25 (Lần " &amp; INT(W411/20) &amp; ")", IF(AND(E411=28, INT(X411/20)&gt;INT(X410/20)), "TN Ø28 (Lần " &amp; INT(X411/20) &amp; ")", IF(AND(E411=32, INT(Y411/20)&gt;INT(Y410/20)), "TN Ø32 (Lần " &amp; INT(Y411/20) &amp; ")", IF(AND(F411="ASTM A416", INT(Z411/20)&gt;INT(Z410/20)), "TN Cáp 15.2 (Lần " &amp; INT(Z411/20) &amp; ")", "")))))))))))</f>
        <v/>
      </c>
      <c r="P411" s="20">
        <f>ROUND(P410 + IF(AND(E411&lt;=10, F411&lt;&gt;"ASTM A416"), L411, 0), 3)</f>
        <v/>
      </c>
      <c r="Q411" s="20">
        <f>ROUND(Q410 + IF(AND(E411=12, F411&lt;&gt;"ASTM A416"), L411, 0), 3)</f>
        <v/>
      </c>
      <c r="R411" s="20">
        <f>ROUND(R410 + IF(AND(E411=14, F411&lt;&gt;"ASTM A416"), L411, 0), 3)</f>
        <v/>
      </c>
      <c r="S411" s="20">
        <f>ROUND(S410 + IF(AND(E411=16, F411&lt;&gt;"ASTM A416"), L411, 0), 3)</f>
        <v/>
      </c>
      <c r="T411" s="20">
        <f>ROUND(T410 + IF(AND(E411=18, F411&lt;&gt;"ASTM A416"), L411, 0), 3)</f>
        <v/>
      </c>
      <c r="U411" s="20">
        <f>ROUND(U410 + IF(AND(E411=20, F411&lt;&gt;"ASTM A416"), L411, 0), 3)</f>
        <v/>
      </c>
      <c r="V411" s="20">
        <f>ROUND(V410 + IF(AND(E411=22, F411&lt;&gt;"ASTM A416"), L411, 0), 3)</f>
        <v/>
      </c>
      <c r="W411" s="20">
        <f>ROUND(W410 + IF(AND(E411=25, F411&lt;&gt;"ASTM A416"), L411, 0), 3)</f>
        <v/>
      </c>
      <c r="X411" s="20">
        <f>ROUND(X410 + IF(AND(E411=28, F411&lt;&gt;"ASTM A416"), L411, 0), 3)</f>
        <v/>
      </c>
      <c r="Y411" s="20">
        <f>ROUND(Y410 + IF(AND(E411=32, F411&lt;&gt;"ASTM A416"), L411, 0), 3)</f>
        <v/>
      </c>
      <c r="Z411" s="20">
        <f>ROUND(Z410 + IF(F411="ASTM A416", L411, 0), 3)</f>
        <v/>
      </c>
      <c r="AA411" s="11">
        <f>IF(INT(P411/20)&gt;INT(P410/20), "Lần " &amp; INT(P411/20), "")</f>
        <v/>
      </c>
      <c r="AB411" s="11">
        <f>IF(INT(Q411/20)&gt;INT(Q410/20), "Lần " &amp; INT(Q411/20), "")</f>
        <v/>
      </c>
      <c r="AC411" s="11">
        <f>IF(INT(R411/20)&gt;INT(R410/20), "Lần " &amp; INT(R411/20), "")</f>
        <v/>
      </c>
      <c r="AD411" s="11">
        <f>IF(INT(S411/20)&gt;INT(S410/20), "Lần " &amp; INT(S411/20), "")</f>
        <v/>
      </c>
      <c r="AE411" s="11">
        <f>IF(INT(T411/20)&gt;INT(T410/20), "Lần " &amp; INT(T411/20), "")</f>
        <v/>
      </c>
      <c r="AF411" s="11">
        <f>IF(INT(U411/20)&gt;INT(U410/20), "Lần " &amp; INT(U411/20), "")</f>
        <v/>
      </c>
      <c r="AG411" s="11">
        <f>IF(INT(V411/20)&gt;INT(V410/20), "Lần " &amp; INT(V411/20), "")</f>
        <v/>
      </c>
      <c r="AH411" s="11">
        <f>IF(INT(W411/20)&gt;INT(W410/20), "Lần " &amp; INT(W411/20), "")</f>
        <v/>
      </c>
      <c r="AI411" s="11">
        <f>IF(INT(X411/20)&gt;INT(X410/20), "Lần " &amp; INT(X411/20), "")</f>
        <v/>
      </c>
      <c r="AJ411" s="11">
        <f>IF(INT(Y411/20)&gt;INT(Y410/20), "Lần " &amp; INT(Y411/20), "")</f>
        <v/>
      </c>
      <c r="AK411" s="11">
        <f>IF(INT(Z411/20)&gt;INT(Z410/20), "Lần " &amp; INT(Z411/20), "")</f>
        <v/>
      </c>
      <c r="AL411" s="6" t="inlineStr">
        <is>
          <t>ĐẠT TCVN 1651:2018</t>
        </is>
      </c>
    </row>
    <row r="412" ht="19" customHeight="1">
      <c r="A412" s="6" t="n">
        <v>384</v>
      </c>
      <c r="B412" s="7" t="inlineStr">
        <is>
          <t>Cọc khoan nhồi C6 Mố M2 (D1.2m, L=36.0m)</t>
        </is>
      </c>
      <c r="C412" s="7" t="inlineStr">
        <is>
          <t>Thép đai xoắn lồng cọc</t>
        </is>
      </c>
      <c r="D412" s="18" t="inlineStr">
        <is>
          <t>P12</t>
        </is>
      </c>
      <c r="E412" s="19" t="n">
        <v>20</v>
      </c>
      <c r="F412" s="6" t="inlineStr">
        <is>
          <t>CB400-V</t>
        </is>
      </c>
      <c r="G412" s="7" t="inlineStr">
        <is>
          <t>Đai xoắn tròn</t>
        </is>
      </c>
      <c r="H412" s="20" t="n">
        <v>0.583</v>
      </c>
      <c r="I412" s="21" t="n">
        <v>60</v>
      </c>
      <c r="J412" s="22" t="n">
        <v>2.47</v>
      </c>
      <c r="K412" s="9">
        <f>ROUND(H412*I412*J412, 2)</f>
        <v/>
      </c>
      <c r="L412" s="23">
        <f>ROUND(K412/1000, 3)</f>
        <v/>
      </c>
      <c r="M412" s="8" t="n"/>
      <c r="N412" s="6" t="n"/>
      <c r="O412" s="24">
        <f>IF(AND(E412&lt;=10, F412&lt;&gt;"ASTM A416", INT(P412/20)&gt;INT(P411/20)), "TN Ø10 (Lần " &amp; INT(P412/20) &amp; ")", IF(AND(E412=12, INT(Q412/20)&gt;INT(Q411/20)), "TN Ø12 (Lần " &amp; INT(Q412/20) &amp; ")", IF(AND(E412=14, INT(R412/20)&gt;INT(R411/20)), "TN Ø14 (Lần " &amp; INT(R412/20) &amp; ")", IF(AND(E412=16, INT(S412/20)&gt;INT(S411/20)), "TN Ø16 (Lần " &amp; INT(S412/20) &amp; ")", IF(AND(E412=18, INT(T412/20)&gt;INT(T411/20)), "TN Ø18 (Lần " &amp; INT(T412/20) &amp; ")", IF(AND(E412=20, INT(U412/20)&gt;INT(U411/20)), "TN Ø20 (Lần " &amp; INT(U412/20) &amp; ")", IF(AND(E412=22, INT(V412/20)&gt;INT(V411/20)), "TN Ø22 (Lần " &amp; INT(V412/20) &amp; ")", IF(AND(E412=25, INT(W412/20)&gt;INT(W411/20)), "TN Ø25 (Lần " &amp; INT(W412/20) &amp; ")", IF(AND(E412=28, INT(X412/20)&gt;INT(X411/20)), "TN Ø28 (Lần " &amp; INT(X412/20) &amp; ")", IF(AND(E412=32, INT(Y412/20)&gt;INT(Y411/20)), "TN Ø32 (Lần " &amp; INT(Y412/20) &amp; ")", IF(AND(F412="ASTM A416", INT(Z412/20)&gt;INT(Z411/20)), "TN Cáp 15.2 (Lần " &amp; INT(Z412/20) &amp; ")", "")))))))))))</f>
        <v/>
      </c>
      <c r="P412" s="20">
        <f>ROUND(P411 + IF(AND(E412&lt;=10, F412&lt;&gt;"ASTM A416"), L412, 0), 3)</f>
        <v/>
      </c>
      <c r="Q412" s="20">
        <f>ROUND(Q411 + IF(AND(E412=12, F412&lt;&gt;"ASTM A416"), L412, 0), 3)</f>
        <v/>
      </c>
      <c r="R412" s="20">
        <f>ROUND(R411 + IF(AND(E412=14, F412&lt;&gt;"ASTM A416"), L412, 0), 3)</f>
        <v/>
      </c>
      <c r="S412" s="20">
        <f>ROUND(S411 + IF(AND(E412=16, F412&lt;&gt;"ASTM A416"), L412, 0), 3)</f>
        <v/>
      </c>
      <c r="T412" s="20">
        <f>ROUND(T411 + IF(AND(E412=18, F412&lt;&gt;"ASTM A416"), L412, 0), 3)</f>
        <v/>
      </c>
      <c r="U412" s="20">
        <f>ROUND(U411 + IF(AND(E412=20, F412&lt;&gt;"ASTM A416"), L412, 0), 3)</f>
        <v/>
      </c>
      <c r="V412" s="20">
        <f>ROUND(V411 + IF(AND(E412=22, F412&lt;&gt;"ASTM A416"), L412, 0), 3)</f>
        <v/>
      </c>
      <c r="W412" s="20">
        <f>ROUND(W411 + IF(AND(E412=25, F412&lt;&gt;"ASTM A416"), L412, 0), 3)</f>
        <v/>
      </c>
      <c r="X412" s="20">
        <f>ROUND(X411 + IF(AND(E412=28, F412&lt;&gt;"ASTM A416"), L412, 0), 3)</f>
        <v/>
      </c>
      <c r="Y412" s="20">
        <f>ROUND(Y411 + IF(AND(E412=32, F412&lt;&gt;"ASTM A416"), L412, 0), 3)</f>
        <v/>
      </c>
      <c r="Z412" s="20">
        <f>ROUND(Z411 + IF(F412="ASTM A416", L412, 0), 3)</f>
        <v/>
      </c>
      <c r="AA412" s="11">
        <f>IF(INT(P412/20)&gt;INT(P411/20), "Lần " &amp; INT(P412/20), "")</f>
        <v/>
      </c>
      <c r="AB412" s="11">
        <f>IF(INT(Q412/20)&gt;INT(Q411/20), "Lần " &amp; INT(Q412/20), "")</f>
        <v/>
      </c>
      <c r="AC412" s="11">
        <f>IF(INT(R412/20)&gt;INT(R411/20), "Lần " &amp; INT(R412/20), "")</f>
        <v/>
      </c>
      <c r="AD412" s="11">
        <f>IF(INT(S412/20)&gt;INT(S411/20), "Lần " &amp; INT(S412/20), "")</f>
        <v/>
      </c>
      <c r="AE412" s="11">
        <f>IF(INT(T412/20)&gt;INT(T411/20), "Lần " &amp; INT(T412/20), "")</f>
        <v/>
      </c>
      <c r="AF412" s="11">
        <f>IF(INT(U412/20)&gt;INT(U411/20), "Lần " &amp; INT(U412/20), "")</f>
        <v/>
      </c>
      <c r="AG412" s="11">
        <f>IF(INT(V412/20)&gt;INT(V411/20), "Lần " &amp; INT(V412/20), "")</f>
        <v/>
      </c>
      <c r="AH412" s="11">
        <f>IF(INT(W412/20)&gt;INT(W411/20), "Lần " &amp; INT(W412/20), "")</f>
        <v/>
      </c>
      <c r="AI412" s="11">
        <f>IF(INT(X412/20)&gt;INT(X411/20), "Lần " &amp; INT(X412/20), "")</f>
        <v/>
      </c>
      <c r="AJ412" s="11">
        <f>IF(INT(Y412/20)&gt;INT(Y411/20), "Lần " &amp; INT(Y412/20), "")</f>
        <v/>
      </c>
      <c r="AK412" s="11">
        <f>IF(INT(Z412/20)&gt;INT(Z411/20), "Lần " &amp; INT(Z412/20), "")</f>
        <v/>
      </c>
      <c r="AL412" s="6" t="inlineStr">
        <is>
          <t>ĐẠT TCVN 1651:2018</t>
        </is>
      </c>
    </row>
    <row r="413" ht="20" customHeight="1">
      <c r="A413" s="17" t="inlineStr">
        <is>
          <t>--- CỌC KHOAN NHỒI C7 MỐ M2 (D1.2M, L=36.0M) ---</t>
        </is>
      </c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5" t="n"/>
      <c r="AE413" s="5" t="n"/>
      <c r="AF413" s="5" t="n"/>
      <c r="AG413" s="5" t="n"/>
      <c r="AH413" s="5" t="n"/>
      <c r="AI413" s="5" t="n"/>
      <c r="AJ413" s="5" t="n"/>
      <c r="AK413" s="5" t="n"/>
      <c r="AL413" s="5" t="n"/>
    </row>
    <row r="414" ht="19" customHeight="1">
      <c r="A414" s="6" t="n">
        <v>385</v>
      </c>
      <c r="B414" s="7" t="inlineStr">
        <is>
          <t>Cọc khoan nhồi C7 Mố M2 (D1.2m, L=36.0m)</t>
        </is>
      </c>
      <c r="C414" s="7" t="inlineStr">
        <is>
          <t>Thép đai xoắn lồng cọc</t>
        </is>
      </c>
      <c r="D414" s="18" t="inlineStr">
        <is>
          <t>P1</t>
        </is>
      </c>
      <c r="E414" s="19" t="n">
        <v>10</v>
      </c>
      <c r="F414" s="6" t="inlineStr">
        <is>
          <t>CB240-T</t>
        </is>
      </c>
      <c r="G414" s="7" t="inlineStr">
        <is>
          <t>Đai xoắn tròn</t>
        </is>
      </c>
      <c r="H414" s="20" t="n">
        <v>96.887</v>
      </c>
      <c r="I414" s="21" t="n">
        <v>1</v>
      </c>
      <c r="J414" s="22" t="n">
        <v>0.617</v>
      </c>
      <c r="K414" s="9">
        <f>ROUND(H414*I414*J414, 2)</f>
        <v/>
      </c>
      <c r="L414" s="23">
        <f>ROUND(K414/1000, 3)</f>
        <v/>
      </c>
      <c r="M414" s="8" t="n"/>
      <c r="N414" s="6" t="n"/>
      <c r="O414" s="24">
        <f>IF(AND(E414&lt;=10, F414&lt;&gt;"ASTM A416", INT(P414/20)&gt;INT(P412/20)), "TN Ø10 (Lần " &amp; INT(P414/20) &amp; ")", IF(AND(E414=12, INT(Q414/20)&gt;INT(Q412/20)), "TN Ø12 (Lần " &amp; INT(Q414/20) &amp; ")", IF(AND(E414=14, INT(R414/20)&gt;INT(R412/20)), "TN Ø14 (Lần " &amp; INT(R414/20) &amp; ")", IF(AND(E414=16, INT(S414/20)&gt;INT(S412/20)), "TN Ø16 (Lần " &amp; INT(S414/20) &amp; ")", IF(AND(E414=18, INT(T414/20)&gt;INT(T412/20)), "TN Ø18 (Lần " &amp; INT(T414/20) &amp; ")", IF(AND(E414=20, INT(U414/20)&gt;INT(U412/20)), "TN Ø20 (Lần " &amp; INT(U414/20) &amp; ")", IF(AND(E414=22, INT(V414/20)&gt;INT(V412/20)), "TN Ø22 (Lần " &amp; INT(V414/20) &amp; ")", IF(AND(E414=25, INT(W414/20)&gt;INT(W412/20)), "TN Ø25 (Lần " &amp; INT(W414/20) &amp; ")", IF(AND(E414=28, INT(X414/20)&gt;INT(X412/20)), "TN Ø28 (Lần " &amp; INT(X414/20) &amp; ")", IF(AND(E414=32, INT(Y414/20)&gt;INT(Y412/20)), "TN Ø32 (Lần " &amp; INT(Y414/20) &amp; ")", IF(AND(F414="ASTM A416", INT(Z414/20)&gt;INT(Z412/20)), "TN Cáp 15.2 (Lần " &amp; INT(Z414/20) &amp; ")", "")))))))))))</f>
        <v/>
      </c>
      <c r="P414" s="20">
        <f>ROUND(P412 + IF(AND(E414&lt;=10, F414&lt;&gt;"ASTM A416"), L414, 0), 3)</f>
        <v/>
      </c>
      <c r="Q414" s="20">
        <f>ROUND(Q412 + IF(AND(E414=12, F414&lt;&gt;"ASTM A416"), L414, 0), 3)</f>
        <v/>
      </c>
      <c r="R414" s="20">
        <f>ROUND(R412 + IF(AND(E414=14, F414&lt;&gt;"ASTM A416"), L414, 0), 3)</f>
        <v/>
      </c>
      <c r="S414" s="20">
        <f>ROUND(S412 + IF(AND(E414=16, F414&lt;&gt;"ASTM A416"), L414, 0), 3)</f>
        <v/>
      </c>
      <c r="T414" s="20">
        <f>ROUND(T412 + IF(AND(E414=18, F414&lt;&gt;"ASTM A416"), L414, 0), 3)</f>
        <v/>
      </c>
      <c r="U414" s="20">
        <f>ROUND(U412 + IF(AND(E414=20, F414&lt;&gt;"ASTM A416"), L414, 0), 3)</f>
        <v/>
      </c>
      <c r="V414" s="20">
        <f>ROUND(V412 + IF(AND(E414=22, F414&lt;&gt;"ASTM A416"), L414, 0), 3)</f>
        <v/>
      </c>
      <c r="W414" s="20">
        <f>ROUND(W412 + IF(AND(E414=25, F414&lt;&gt;"ASTM A416"), L414, 0), 3)</f>
        <v/>
      </c>
      <c r="X414" s="20">
        <f>ROUND(X412 + IF(AND(E414=28, F414&lt;&gt;"ASTM A416"), L414, 0), 3)</f>
        <v/>
      </c>
      <c r="Y414" s="20">
        <f>ROUND(Y412 + IF(AND(E414=32, F414&lt;&gt;"ASTM A416"), L414, 0), 3)</f>
        <v/>
      </c>
      <c r="Z414" s="20">
        <f>ROUND(Z412 + IF(F414="ASTM A416", L414, 0), 3)</f>
        <v/>
      </c>
      <c r="AA414" s="11">
        <f>IF(INT(P414/20)&gt;INT(P412/20), "Lần " &amp; INT(P414/20), "")</f>
        <v/>
      </c>
      <c r="AB414" s="11">
        <f>IF(INT(Q414/20)&gt;INT(Q412/20), "Lần " &amp; INT(Q414/20), "")</f>
        <v/>
      </c>
      <c r="AC414" s="11">
        <f>IF(INT(R414/20)&gt;INT(R412/20), "Lần " &amp; INT(R414/20), "")</f>
        <v/>
      </c>
      <c r="AD414" s="11">
        <f>IF(INT(S414/20)&gt;INT(S412/20), "Lần " &amp; INT(S414/20), "")</f>
        <v/>
      </c>
      <c r="AE414" s="11">
        <f>IF(INT(T414/20)&gt;INT(T412/20), "Lần " &amp; INT(T414/20), "")</f>
        <v/>
      </c>
      <c r="AF414" s="11">
        <f>IF(INT(U414/20)&gt;INT(U412/20), "Lần " &amp; INT(U414/20), "")</f>
        <v/>
      </c>
      <c r="AG414" s="11">
        <f>IF(INT(V414/20)&gt;INT(V412/20), "Lần " &amp; INT(V414/20), "")</f>
        <v/>
      </c>
      <c r="AH414" s="11">
        <f>IF(INT(W414/20)&gt;INT(W412/20), "Lần " &amp; INT(W414/20), "")</f>
        <v/>
      </c>
      <c r="AI414" s="11">
        <f>IF(INT(X414/20)&gt;INT(X412/20), "Lần " &amp; INT(X414/20), "")</f>
        <v/>
      </c>
      <c r="AJ414" s="11">
        <f>IF(INT(Y414/20)&gt;INT(Y412/20), "Lần " &amp; INT(Y414/20), "")</f>
        <v/>
      </c>
      <c r="AK414" s="11">
        <f>IF(INT(Z414/20)&gt;INT(Z412/20), "Lần " &amp; INT(Z414/20), "")</f>
        <v/>
      </c>
      <c r="AL414" s="6" t="inlineStr">
        <is>
          <t>ĐẠT TCVN 1651:2018</t>
        </is>
      </c>
    </row>
    <row r="415" ht="19" customHeight="1">
      <c r="A415" s="6" t="n">
        <v>386</v>
      </c>
      <c r="B415" s="7" t="inlineStr">
        <is>
          <t>Cọc khoan nhồi C7 Mố M2 (D1.2m, L=36.0m)</t>
        </is>
      </c>
      <c r="C415" s="7" t="inlineStr">
        <is>
          <t>Thép đai xoắn lồng cọc</t>
        </is>
      </c>
      <c r="D415" s="18" t="inlineStr">
        <is>
          <t>P1A</t>
        </is>
      </c>
      <c r="E415" s="19" t="n">
        <v>10</v>
      </c>
      <c r="F415" s="6" t="inlineStr">
        <is>
          <t>CB240-T</t>
        </is>
      </c>
      <c r="G415" s="7" t="inlineStr">
        <is>
          <t>Đai xoắn tròn</t>
        </is>
      </c>
      <c r="H415" s="20" t="n">
        <v>390.776</v>
      </c>
      <c r="I415" s="21" t="n">
        <v>1</v>
      </c>
      <c r="J415" s="22" t="n">
        <v>0.617</v>
      </c>
      <c r="K415" s="9">
        <f>ROUND(H415*I415*J415, 2)</f>
        <v/>
      </c>
      <c r="L415" s="23">
        <f>ROUND(K415/1000, 3)</f>
        <v/>
      </c>
      <c r="M415" s="8" t="n"/>
      <c r="N415" s="6" t="n"/>
      <c r="O415" s="24">
        <f>IF(AND(E415&lt;=10, F415&lt;&gt;"ASTM A416", INT(P415/20)&gt;INT(P414/20)), "TN Ø10 (Lần " &amp; INT(P415/20) &amp; ")", IF(AND(E415=12, INT(Q415/20)&gt;INT(Q414/20)), "TN Ø12 (Lần " &amp; INT(Q415/20) &amp; ")", IF(AND(E415=14, INT(R415/20)&gt;INT(R414/20)), "TN Ø14 (Lần " &amp; INT(R415/20) &amp; ")", IF(AND(E415=16, INT(S415/20)&gt;INT(S414/20)), "TN Ø16 (Lần " &amp; INT(S415/20) &amp; ")", IF(AND(E415=18, INT(T415/20)&gt;INT(T414/20)), "TN Ø18 (Lần " &amp; INT(T415/20) &amp; ")", IF(AND(E415=20, INT(U415/20)&gt;INT(U414/20)), "TN Ø20 (Lần " &amp; INT(U415/20) &amp; ")", IF(AND(E415=22, INT(V415/20)&gt;INT(V414/20)), "TN Ø22 (Lần " &amp; INT(V415/20) &amp; ")", IF(AND(E415=25, INT(W415/20)&gt;INT(W414/20)), "TN Ø25 (Lần " &amp; INT(W415/20) &amp; ")", IF(AND(E415=28, INT(X415/20)&gt;INT(X414/20)), "TN Ø28 (Lần " &amp; INT(X415/20) &amp; ")", IF(AND(E415=32, INT(Y415/20)&gt;INT(Y414/20)), "TN Ø32 (Lần " &amp; INT(Y415/20) &amp; ")", IF(AND(F415="ASTM A416", INT(Z415/20)&gt;INT(Z414/20)), "TN Cáp 15.2 (Lần " &amp; INT(Z415/20) &amp; ")", "")))))))))))</f>
        <v/>
      </c>
      <c r="P415" s="20">
        <f>ROUND(P414 + IF(AND(E415&lt;=10, F415&lt;&gt;"ASTM A416"), L415, 0), 3)</f>
        <v/>
      </c>
      <c r="Q415" s="20">
        <f>ROUND(Q414 + IF(AND(E415=12, F415&lt;&gt;"ASTM A416"), L415, 0), 3)</f>
        <v/>
      </c>
      <c r="R415" s="20">
        <f>ROUND(R414 + IF(AND(E415=14, F415&lt;&gt;"ASTM A416"), L415, 0), 3)</f>
        <v/>
      </c>
      <c r="S415" s="20">
        <f>ROUND(S414 + IF(AND(E415=16, F415&lt;&gt;"ASTM A416"), L415, 0), 3)</f>
        <v/>
      </c>
      <c r="T415" s="20">
        <f>ROUND(T414 + IF(AND(E415=18, F415&lt;&gt;"ASTM A416"), L415, 0), 3)</f>
        <v/>
      </c>
      <c r="U415" s="20">
        <f>ROUND(U414 + IF(AND(E415=20, F415&lt;&gt;"ASTM A416"), L415, 0), 3)</f>
        <v/>
      </c>
      <c r="V415" s="20">
        <f>ROUND(V414 + IF(AND(E415=22, F415&lt;&gt;"ASTM A416"), L415, 0), 3)</f>
        <v/>
      </c>
      <c r="W415" s="20">
        <f>ROUND(W414 + IF(AND(E415=25, F415&lt;&gt;"ASTM A416"), L415, 0), 3)</f>
        <v/>
      </c>
      <c r="X415" s="20">
        <f>ROUND(X414 + IF(AND(E415=28, F415&lt;&gt;"ASTM A416"), L415, 0), 3)</f>
        <v/>
      </c>
      <c r="Y415" s="20">
        <f>ROUND(Y414 + IF(AND(E415=32, F415&lt;&gt;"ASTM A416"), L415, 0), 3)</f>
        <v/>
      </c>
      <c r="Z415" s="20">
        <f>ROUND(Z414 + IF(F415="ASTM A416", L415, 0), 3)</f>
        <v/>
      </c>
      <c r="AA415" s="11">
        <f>IF(INT(P415/20)&gt;INT(P414/20), "Lần " &amp; INT(P415/20), "")</f>
        <v/>
      </c>
      <c r="AB415" s="11">
        <f>IF(INT(Q415/20)&gt;INT(Q414/20), "Lần " &amp; INT(Q415/20), "")</f>
        <v/>
      </c>
      <c r="AC415" s="11">
        <f>IF(INT(R415/20)&gt;INT(R414/20), "Lần " &amp; INT(R415/20), "")</f>
        <v/>
      </c>
      <c r="AD415" s="11">
        <f>IF(INT(S415/20)&gt;INT(S414/20), "Lần " &amp; INT(S415/20), "")</f>
        <v/>
      </c>
      <c r="AE415" s="11">
        <f>IF(INT(T415/20)&gt;INT(T414/20), "Lần " &amp; INT(T415/20), "")</f>
        <v/>
      </c>
      <c r="AF415" s="11">
        <f>IF(INT(U415/20)&gt;INT(U414/20), "Lần " &amp; INT(U415/20), "")</f>
        <v/>
      </c>
      <c r="AG415" s="11">
        <f>IF(INT(V415/20)&gt;INT(V414/20), "Lần " &amp; INT(V415/20), "")</f>
        <v/>
      </c>
      <c r="AH415" s="11">
        <f>IF(INT(W415/20)&gt;INT(W414/20), "Lần " &amp; INT(W415/20), "")</f>
        <v/>
      </c>
      <c r="AI415" s="11">
        <f>IF(INT(X415/20)&gt;INT(X414/20), "Lần " &amp; INT(X415/20), "")</f>
        <v/>
      </c>
      <c r="AJ415" s="11">
        <f>IF(INT(Y415/20)&gt;INT(Y414/20), "Lần " &amp; INT(Y415/20), "")</f>
        <v/>
      </c>
      <c r="AK415" s="11">
        <f>IF(INT(Z415/20)&gt;INT(Z414/20), "Lần " &amp; INT(Z415/20), "")</f>
        <v/>
      </c>
      <c r="AL415" s="6" t="inlineStr">
        <is>
          <t>ĐẠT TCVN 1651:2018</t>
        </is>
      </c>
    </row>
    <row r="416" ht="19" customHeight="1">
      <c r="A416" s="6" t="n">
        <v>387</v>
      </c>
      <c r="B416" s="7" t="inlineStr">
        <is>
          <t>Cọc khoan nhồi C7 Mố M2 (D1.2m, L=36.0m)</t>
        </is>
      </c>
      <c r="C416" s="7" t="inlineStr">
        <is>
          <t>Thép đai xoắn lồng cọc</t>
        </is>
      </c>
      <c r="D416" s="18" t="inlineStr">
        <is>
          <t>P1B</t>
        </is>
      </c>
      <c r="E416" s="19" t="n">
        <v>10</v>
      </c>
      <c r="F416" s="6" t="inlineStr">
        <is>
          <t>CB240-T</t>
        </is>
      </c>
      <c r="G416" s="7" t="inlineStr">
        <is>
          <t>Đai xoắn tròn</t>
        </is>
      </c>
      <c r="H416" s="20" t="n">
        <v>164.938</v>
      </c>
      <c r="I416" s="21" t="n">
        <v>1</v>
      </c>
      <c r="J416" s="22" t="n">
        <v>0.617</v>
      </c>
      <c r="K416" s="9">
        <f>ROUND(H416*I416*J416, 2)</f>
        <v/>
      </c>
      <c r="L416" s="23">
        <f>ROUND(K416/1000, 3)</f>
        <v/>
      </c>
      <c r="M416" s="8" t="n"/>
      <c r="N416" s="6" t="n"/>
      <c r="O416" s="24">
        <f>IF(AND(E416&lt;=10, F416&lt;&gt;"ASTM A416", INT(P416/20)&gt;INT(P415/20)), "TN Ø10 (Lần " &amp; INT(P416/20) &amp; ")", IF(AND(E416=12, INT(Q416/20)&gt;INT(Q415/20)), "TN Ø12 (Lần " &amp; INT(Q416/20) &amp; ")", IF(AND(E416=14, INT(R416/20)&gt;INT(R415/20)), "TN Ø14 (Lần " &amp; INT(R416/20) &amp; ")", IF(AND(E416=16, INT(S416/20)&gt;INT(S415/20)), "TN Ø16 (Lần " &amp; INT(S416/20) &amp; ")", IF(AND(E416=18, INT(T416/20)&gt;INT(T415/20)), "TN Ø18 (Lần " &amp; INT(T416/20) &amp; ")", IF(AND(E416=20, INT(U416/20)&gt;INT(U415/20)), "TN Ø20 (Lần " &amp; INT(U416/20) &amp; ")", IF(AND(E416=22, INT(V416/20)&gt;INT(V415/20)), "TN Ø22 (Lần " &amp; INT(V416/20) &amp; ")", IF(AND(E416=25, INT(W416/20)&gt;INT(W415/20)), "TN Ø25 (Lần " &amp; INT(W416/20) &amp; ")", IF(AND(E416=28, INT(X416/20)&gt;INT(X415/20)), "TN Ø28 (Lần " &amp; INT(X416/20) &amp; ")", IF(AND(E416=32, INT(Y416/20)&gt;INT(Y415/20)), "TN Ø32 (Lần " &amp; INT(Y416/20) &amp; ")", IF(AND(F416="ASTM A416", INT(Z416/20)&gt;INT(Z415/20)), "TN Cáp 15.2 (Lần " &amp; INT(Z416/20) &amp; ")", "")))))))))))</f>
        <v/>
      </c>
      <c r="P416" s="20">
        <f>ROUND(P415 + IF(AND(E416&lt;=10, F416&lt;&gt;"ASTM A416"), L416, 0), 3)</f>
        <v/>
      </c>
      <c r="Q416" s="20">
        <f>ROUND(Q415 + IF(AND(E416=12, F416&lt;&gt;"ASTM A416"), L416, 0), 3)</f>
        <v/>
      </c>
      <c r="R416" s="20">
        <f>ROUND(R415 + IF(AND(E416=14, F416&lt;&gt;"ASTM A416"), L416, 0), 3)</f>
        <v/>
      </c>
      <c r="S416" s="20">
        <f>ROUND(S415 + IF(AND(E416=16, F416&lt;&gt;"ASTM A416"), L416, 0), 3)</f>
        <v/>
      </c>
      <c r="T416" s="20">
        <f>ROUND(T415 + IF(AND(E416=18, F416&lt;&gt;"ASTM A416"), L416, 0), 3)</f>
        <v/>
      </c>
      <c r="U416" s="20">
        <f>ROUND(U415 + IF(AND(E416=20, F416&lt;&gt;"ASTM A416"), L416, 0), 3)</f>
        <v/>
      </c>
      <c r="V416" s="20">
        <f>ROUND(V415 + IF(AND(E416=22, F416&lt;&gt;"ASTM A416"), L416, 0), 3)</f>
        <v/>
      </c>
      <c r="W416" s="20">
        <f>ROUND(W415 + IF(AND(E416=25, F416&lt;&gt;"ASTM A416"), L416, 0), 3)</f>
        <v/>
      </c>
      <c r="X416" s="20">
        <f>ROUND(X415 + IF(AND(E416=28, F416&lt;&gt;"ASTM A416"), L416, 0), 3)</f>
        <v/>
      </c>
      <c r="Y416" s="20">
        <f>ROUND(Y415 + IF(AND(E416=32, F416&lt;&gt;"ASTM A416"), L416, 0), 3)</f>
        <v/>
      </c>
      <c r="Z416" s="20">
        <f>ROUND(Z415 + IF(F416="ASTM A416", L416, 0), 3)</f>
        <v/>
      </c>
      <c r="AA416" s="11">
        <f>IF(INT(P416/20)&gt;INT(P415/20), "Lần " &amp; INT(P416/20), "")</f>
        <v/>
      </c>
      <c r="AB416" s="11">
        <f>IF(INT(Q416/20)&gt;INT(Q415/20), "Lần " &amp; INT(Q416/20), "")</f>
        <v/>
      </c>
      <c r="AC416" s="11">
        <f>IF(INT(R416/20)&gt;INT(R415/20), "Lần " &amp; INT(R416/20), "")</f>
        <v/>
      </c>
      <c r="AD416" s="11">
        <f>IF(INT(S416/20)&gt;INT(S415/20), "Lần " &amp; INT(S416/20), "")</f>
        <v/>
      </c>
      <c r="AE416" s="11">
        <f>IF(INT(T416/20)&gt;INT(T415/20), "Lần " &amp; INT(T416/20), "")</f>
        <v/>
      </c>
      <c r="AF416" s="11">
        <f>IF(INT(U416/20)&gt;INT(U415/20), "Lần " &amp; INT(U416/20), "")</f>
        <v/>
      </c>
      <c r="AG416" s="11">
        <f>IF(INT(V416/20)&gt;INT(V415/20), "Lần " &amp; INT(V416/20), "")</f>
        <v/>
      </c>
      <c r="AH416" s="11">
        <f>IF(INT(W416/20)&gt;INT(W415/20), "Lần " &amp; INT(W416/20), "")</f>
        <v/>
      </c>
      <c r="AI416" s="11">
        <f>IF(INT(X416/20)&gt;INT(X415/20), "Lần " &amp; INT(X416/20), "")</f>
        <v/>
      </c>
      <c r="AJ416" s="11">
        <f>IF(INT(Y416/20)&gt;INT(Y415/20), "Lần " &amp; INT(Y416/20), "")</f>
        <v/>
      </c>
      <c r="AK416" s="11">
        <f>IF(INT(Z416/20)&gt;INT(Z415/20), "Lần " &amp; INT(Z416/20), "")</f>
        <v/>
      </c>
      <c r="AL416" s="6" t="inlineStr">
        <is>
          <t>ĐẠT TCVN 1651:2018</t>
        </is>
      </c>
    </row>
    <row r="417" ht="19" customHeight="1">
      <c r="A417" s="6" t="n">
        <v>388</v>
      </c>
      <c r="B417" s="7" t="inlineStr">
        <is>
          <t>Cọc khoan nhồi C7 Mố M2 (D1.2m, L=36.0m)</t>
        </is>
      </c>
      <c r="C417" s="7" t="inlineStr">
        <is>
          <t>Thép đai xoắn lồng cọc</t>
        </is>
      </c>
      <c r="D417" s="18" t="inlineStr">
        <is>
          <t>P1C</t>
        </is>
      </c>
      <c r="E417" s="19" t="n">
        <v>10</v>
      </c>
      <c r="F417" s="6" t="inlineStr">
        <is>
          <t>CB240-T</t>
        </is>
      </c>
      <c r="G417" s="7" t="inlineStr">
        <is>
          <t>Đai xoắn tròn</t>
        </is>
      </c>
      <c r="H417" s="20" t="n">
        <v>3.592</v>
      </c>
      <c r="I417" s="21" t="n">
        <v>2</v>
      </c>
      <c r="J417" s="22" t="n">
        <v>0.617</v>
      </c>
      <c r="K417" s="9">
        <f>ROUND(H417*I417*J417, 2)</f>
        <v/>
      </c>
      <c r="L417" s="23">
        <f>ROUND(K417/1000, 3)</f>
        <v/>
      </c>
      <c r="M417" s="8" t="n"/>
      <c r="N417" s="6" t="n"/>
      <c r="O417" s="24">
        <f>IF(AND(E417&lt;=10, F417&lt;&gt;"ASTM A416", INT(P417/20)&gt;INT(P416/20)), "TN Ø10 (Lần " &amp; INT(P417/20) &amp; ")", IF(AND(E417=12, INT(Q417/20)&gt;INT(Q416/20)), "TN Ø12 (Lần " &amp; INT(Q417/20) &amp; ")", IF(AND(E417=14, INT(R417/20)&gt;INT(R416/20)), "TN Ø14 (Lần " &amp; INT(R417/20) &amp; ")", IF(AND(E417=16, INT(S417/20)&gt;INT(S416/20)), "TN Ø16 (Lần " &amp; INT(S417/20) &amp; ")", IF(AND(E417=18, INT(T417/20)&gt;INT(T416/20)), "TN Ø18 (Lần " &amp; INT(T417/20) &amp; ")", IF(AND(E417=20, INT(U417/20)&gt;INT(U416/20)), "TN Ø20 (Lần " &amp; INT(U417/20) &amp; ")", IF(AND(E417=22, INT(V417/20)&gt;INT(V416/20)), "TN Ø22 (Lần " &amp; INT(V417/20) &amp; ")", IF(AND(E417=25, INT(W417/20)&gt;INT(W416/20)), "TN Ø25 (Lần " &amp; INT(W417/20) &amp; ")", IF(AND(E417=28, INT(X417/20)&gt;INT(X416/20)), "TN Ø28 (Lần " &amp; INT(X417/20) &amp; ")", IF(AND(E417=32, INT(Y417/20)&gt;INT(Y416/20)), "TN Ø32 (Lần " &amp; INT(Y417/20) &amp; ")", IF(AND(F417="ASTM A416", INT(Z417/20)&gt;INT(Z416/20)), "TN Cáp 15.2 (Lần " &amp; INT(Z417/20) &amp; ")", "")))))))))))</f>
        <v/>
      </c>
      <c r="P417" s="20">
        <f>ROUND(P416 + IF(AND(E417&lt;=10, F417&lt;&gt;"ASTM A416"), L417, 0), 3)</f>
        <v/>
      </c>
      <c r="Q417" s="20">
        <f>ROUND(Q416 + IF(AND(E417=12, F417&lt;&gt;"ASTM A416"), L417, 0), 3)</f>
        <v/>
      </c>
      <c r="R417" s="20">
        <f>ROUND(R416 + IF(AND(E417=14, F417&lt;&gt;"ASTM A416"), L417, 0), 3)</f>
        <v/>
      </c>
      <c r="S417" s="20">
        <f>ROUND(S416 + IF(AND(E417=16, F417&lt;&gt;"ASTM A416"), L417, 0), 3)</f>
        <v/>
      </c>
      <c r="T417" s="20">
        <f>ROUND(T416 + IF(AND(E417=18, F417&lt;&gt;"ASTM A416"), L417, 0), 3)</f>
        <v/>
      </c>
      <c r="U417" s="20">
        <f>ROUND(U416 + IF(AND(E417=20, F417&lt;&gt;"ASTM A416"), L417, 0), 3)</f>
        <v/>
      </c>
      <c r="V417" s="20">
        <f>ROUND(V416 + IF(AND(E417=22, F417&lt;&gt;"ASTM A416"), L417, 0), 3)</f>
        <v/>
      </c>
      <c r="W417" s="20">
        <f>ROUND(W416 + IF(AND(E417=25, F417&lt;&gt;"ASTM A416"), L417, 0), 3)</f>
        <v/>
      </c>
      <c r="X417" s="20">
        <f>ROUND(X416 + IF(AND(E417=28, F417&lt;&gt;"ASTM A416"), L417, 0), 3)</f>
        <v/>
      </c>
      <c r="Y417" s="20">
        <f>ROUND(Y416 + IF(AND(E417=32, F417&lt;&gt;"ASTM A416"), L417, 0), 3)</f>
        <v/>
      </c>
      <c r="Z417" s="20">
        <f>ROUND(Z416 + IF(F417="ASTM A416", L417, 0), 3)</f>
        <v/>
      </c>
      <c r="AA417" s="11">
        <f>IF(INT(P417/20)&gt;INT(P416/20), "Lần " &amp; INT(P417/20), "")</f>
        <v/>
      </c>
      <c r="AB417" s="11">
        <f>IF(INT(Q417/20)&gt;INT(Q416/20), "Lần " &amp; INT(Q417/20), "")</f>
        <v/>
      </c>
      <c r="AC417" s="11">
        <f>IF(INT(R417/20)&gt;INT(R416/20), "Lần " &amp; INT(R417/20), "")</f>
        <v/>
      </c>
      <c r="AD417" s="11">
        <f>IF(INT(S417/20)&gt;INT(S416/20), "Lần " &amp; INT(S417/20), "")</f>
        <v/>
      </c>
      <c r="AE417" s="11">
        <f>IF(INT(T417/20)&gt;INT(T416/20), "Lần " &amp; INT(T417/20), "")</f>
        <v/>
      </c>
      <c r="AF417" s="11">
        <f>IF(INT(U417/20)&gt;INT(U416/20), "Lần " &amp; INT(U417/20), "")</f>
        <v/>
      </c>
      <c r="AG417" s="11">
        <f>IF(INT(V417/20)&gt;INT(V416/20), "Lần " &amp; INT(V417/20), "")</f>
        <v/>
      </c>
      <c r="AH417" s="11">
        <f>IF(INT(W417/20)&gt;INT(W416/20), "Lần " &amp; INT(W417/20), "")</f>
        <v/>
      </c>
      <c r="AI417" s="11">
        <f>IF(INT(X417/20)&gt;INT(X416/20), "Lần " &amp; INT(X417/20), "")</f>
        <v/>
      </c>
      <c r="AJ417" s="11">
        <f>IF(INT(Y417/20)&gt;INT(Y416/20), "Lần " &amp; INT(Y417/20), "")</f>
        <v/>
      </c>
      <c r="AK417" s="11">
        <f>IF(INT(Z417/20)&gt;INT(Z416/20), "Lần " &amp; INT(Z417/20), "")</f>
        <v/>
      </c>
      <c r="AL417" s="6" t="inlineStr">
        <is>
          <t>ĐẠT TCVN 1651:2018</t>
        </is>
      </c>
    </row>
    <row r="418" ht="19" customHeight="1">
      <c r="A418" s="6" t="n">
        <v>389</v>
      </c>
      <c r="B418" s="7" t="inlineStr">
        <is>
          <t>Cọc khoan nhồi C7 Mố M2 (D1.2m, L=36.0m)</t>
        </is>
      </c>
      <c r="C418" s="7" t="inlineStr">
        <is>
          <t>Thép đai xoắn lồng cọc</t>
        </is>
      </c>
      <c r="D418" s="18" t="inlineStr">
        <is>
          <t>P1D</t>
        </is>
      </c>
      <c r="E418" s="19" t="n">
        <v>10</v>
      </c>
      <c r="F418" s="6" t="inlineStr">
        <is>
          <t>CB240-T</t>
        </is>
      </c>
      <c r="G418" s="7" t="inlineStr">
        <is>
          <t>Đai xoắn tròn</t>
        </is>
      </c>
      <c r="H418" s="20" t="n">
        <v>23.007</v>
      </c>
      <c r="I418" s="21" t="n">
        <v>1</v>
      </c>
      <c r="J418" s="22" t="n">
        <v>0.617</v>
      </c>
      <c r="K418" s="9">
        <f>ROUND(H418*I418*J418, 2)</f>
        <v/>
      </c>
      <c r="L418" s="23">
        <f>ROUND(K418/1000, 3)</f>
        <v/>
      </c>
      <c r="M418" s="8" t="n"/>
      <c r="N418" s="6" t="n"/>
      <c r="O418" s="24">
        <f>IF(AND(E418&lt;=10, F418&lt;&gt;"ASTM A416", INT(P418/20)&gt;INT(P417/20)), "TN Ø10 (Lần " &amp; INT(P418/20) &amp; ")", IF(AND(E418=12, INT(Q418/20)&gt;INT(Q417/20)), "TN Ø12 (Lần " &amp; INT(Q418/20) &amp; ")", IF(AND(E418=14, INT(R418/20)&gt;INT(R417/20)), "TN Ø14 (Lần " &amp; INT(R418/20) &amp; ")", IF(AND(E418=16, INT(S418/20)&gt;INT(S417/20)), "TN Ø16 (Lần " &amp; INT(S418/20) &amp; ")", IF(AND(E418=18, INT(T418/20)&gt;INT(T417/20)), "TN Ø18 (Lần " &amp; INT(T418/20) &amp; ")", IF(AND(E418=20, INT(U418/20)&gt;INT(U417/20)), "TN Ø20 (Lần " &amp; INT(U418/20) &amp; ")", IF(AND(E418=22, INT(V418/20)&gt;INT(V417/20)), "TN Ø22 (Lần " &amp; INT(V418/20) &amp; ")", IF(AND(E418=25, INT(W418/20)&gt;INT(W417/20)), "TN Ø25 (Lần " &amp; INT(W418/20) &amp; ")", IF(AND(E418=28, INT(X418/20)&gt;INT(X417/20)), "TN Ø28 (Lần " &amp; INT(X418/20) &amp; ")", IF(AND(E418=32, INT(Y418/20)&gt;INT(Y417/20)), "TN Ø32 (Lần " &amp; INT(Y418/20) &amp; ")", IF(AND(F418="ASTM A416", INT(Z418/20)&gt;INT(Z417/20)), "TN Cáp 15.2 (Lần " &amp; INT(Z418/20) &amp; ")", "")))))))))))</f>
        <v/>
      </c>
      <c r="P418" s="20">
        <f>ROUND(P417 + IF(AND(E418&lt;=10, F418&lt;&gt;"ASTM A416"), L418, 0), 3)</f>
        <v/>
      </c>
      <c r="Q418" s="20">
        <f>ROUND(Q417 + IF(AND(E418=12, F418&lt;&gt;"ASTM A416"), L418, 0), 3)</f>
        <v/>
      </c>
      <c r="R418" s="20">
        <f>ROUND(R417 + IF(AND(E418=14, F418&lt;&gt;"ASTM A416"), L418, 0), 3)</f>
        <v/>
      </c>
      <c r="S418" s="20">
        <f>ROUND(S417 + IF(AND(E418=16, F418&lt;&gt;"ASTM A416"), L418, 0), 3)</f>
        <v/>
      </c>
      <c r="T418" s="20">
        <f>ROUND(T417 + IF(AND(E418=18, F418&lt;&gt;"ASTM A416"), L418, 0), 3)</f>
        <v/>
      </c>
      <c r="U418" s="20">
        <f>ROUND(U417 + IF(AND(E418=20, F418&lt;&gt;"ASTM A416"), L418, 0), 3)</f>
        <v/>
      </c>
      <c r="V418" s="20">
        <f>ROUND(V417 + IF(AND(E418=22, F418&lt;&gt;"ASTM A416"), L418, 0), 3)</f>
        <v/>
      </c>
      <c r="W418" s="20">
        <f>ROUND(W417 + IF(AND(E418=25, F418&lt;&gt;"ASTM A416"), L418, 0), 3)</f>
        <v/>
      </c>
      <c r="X418" s="20">
        <f>ROUND(X417 + IF(AND(E418=28, F418&lt;&gt;"ASTM A416"), L418, 0), 3)</f>
        <v/>
      </c>
      <c r="Y418" s="20">
        <f>ROUND(Y417 + IF(AND(E418=32, F418&lt;&gt;"ASTM A416"), L418, 0), 3)</f>
        <v/>
      </c>
      <c r="Z418" s="20">
        <f>ROUND(Z417 + IF(F418="ASTM A416", L418, 0), 3)</f>
        <v/>
      </c>
      <c r="AA418" s="11">
        <f>IF(INT(P418/20)&gt;INT(P417/20), "Lần " &amp; INT(P418/20), "")</f>
        <v/>
      </c>
      <c r="AB418" s="11">
        <f>IF(INT(Q418/20)&gt;INT(Q417/20), "Lần " &amp; INT(Q418/20), "")</f>
        <v/>
      </c>
      <c r="AC418" s="11">
        <f>IF(INT(R418/20)&gt;INT(R417/20), "Lần " &amp; INT(R418/20), "")</f>
        <v/>
      </c>
      <c r="AD418" s="11">
        <f>IF(INT(S418/20)&gt;INT(S417/20), "Lần " &amp; INT(S418/20), "")</f>
        <v/>
      </c>
      <c r="AE418" s="11">
        <f>IF(INT(T418/20)&gt;INT(T417/20), "Lần " &amp; INT(T418/20), "")</f>
        <v/>
      </c>
      <c r="AF418" s="11">
        <f>IF(INT(U418/20)&gt;INT(U417/20), "Lần " &amp; INT(U418/20), "")</f>
        <v/>
      </c>
      <c r="AG418" s="11">
        <f>IF(INT(V418/20)&gt;INT(V417/20), "Lần " &amp; INT(V418/20), "")</f>
        <v/>
      </c>
      <c r="AH418" s="11">
        <f>IF(INT(W418/20)&gt;INT(W417/20), "Lần " &amp; INT(W418/20), "")</f>
        <v/>
      </c>
      <c r="AI418" s="11">
        <f>IF(INT(X418/20)&gt;INT(X417/20), "Lần " &amp; INT(X418/20), "")</f>
        <v/>
      </c>
      <c r="AJ418" s="11">
        <f>IF(INT(Y418/20)&gt;INT(Y417/20), "Lần " &amp; INT(Y418/20), "")</f>
        <v/>
      </c>
      <c r="AK418" s="11">
        <f>IF(INT(Z418/20)&gt;INT(Z417/20), "Lần " &amp; INT(Z418/20), "")</f>
        <v/>
      </c>
      <c r="AL418" s="6" t="inlineStr">
        <is>
          <t>ĐẠT TCVN 1651:2018</t>
        </is>
      </c>
    </row>
    <row r="419" ht="19" customHeight="1">
      <c r="A419" s="6" t="n">
        <v>390</v>
      </c>
      <c r="B419" s="7" t="inlineStr">
        <is>
          <t>Cọc khoan nhồi C7 Mố M2 (D1.2m, L=36.0m)</t>
        </is>
      </c>
      <c r="C419" s="7" t="inlineStr">
        <is>
          <t>Cốt thép chủ chịu lực cọc</t>
        </is>
      </c>
      <c r="D419" s="18" t="inlineStr">
        <is>
          <t>P2A</t>
        </is>
      </c>
      <c r="E419" s="19" t="n">
        <v>28</v>
      </c>
      <c r="F419" s="6" t="inlineStr">
        <is>
          <t>CB400-V</t>
        </is>
      </c>
      <c r="G419" s="7" t="inlineStr">
        <is>
          <t>Thanh thẳng nối ren/hàn</t>
        </is>
      </c>
      <c r="H419" s="20" t="n">
        <v>2.966</v>
      </c>
      <c r="I419" s="21" t="n">
        <v>5</v>
      </c>
      <c r="J419" s="22" t="n">
        <v>4.83</v>
      </c>
      <c r="K419" s="9">
        <f>ROUND(H419*I419*J419, 2)</f>
        <v/>
      </c>
      <c r="L419" s="23">
        <f>ROUND(K419/1000, 3)</f>
        <v/>
      </c>
      <c r="M419" s="8" t="n"/>
      <c r="N419" s="6" t="n"/>
      <c r="O419" s="24">
        <f>IF(AND(E419&lt;=10, F419&lt;&gt;"ASTM A416", INT(P419/20)&gt;INT(P418/20)), "TN Ø10 (Lần " &amp; INT(P419/20) &amp; ")", IF(AND(E419=12, INT(Q419/20)&gt;INT(Q418/20)), "TN Ø12 (Lần " &amp; INT(Q419/20) &amp; ")", IF(AND(E419=14, INT(R419/20)&gt;INT(R418/20)), "TN Ø14 (Lần " &amp; INT(R419/20) &amp; ")", IF(AND(E419=16, INT(S419/20)&gt;INT(S418/20)), "TN Ø16 (Lần " &amp; INT(S419/20) &amp; ")", IF(AND(E419=18, INT(T419/20)&gt;INT(T418/20)), "TN Ø18 (Lần " &amp; INT(T419/20) &amp; ")", IF(AND(E419=20, INT(U419/20)&gt;INT(U418/20)), "TN Ø20 (Lần " &amp; INT(U419/20) &amp; ")", IF(AND(E419=22, INT(V419/20)&gt;INT(V418/20)), "TN Ø22 (Lần " &amp; INT(V419/20) &amp; ")", IF(AND(E419=25, INT(W419/20)&gt;INT(W418/20)), "TN Ø25 (Lần " &amp; INT(W419/20) &amp; ")", IF(AND(E419=28, INT(X419/20)&gt;INT(X418/20)), "TN Ø28 (Lần " &amp; INT(X419/20) &amp; ")", IF(AND(E419=32, INT(Y419/20)&gt;INT(Y418/20)), "TN Ø32 (Lần " &amp; INT(Y419/20) &amp; ")", IF(AND(F419="ASTM A416", INT(Z419/20)&gt;INT(Z418/20)), "TN Cáp 15.2 (Lần " &amp; INT(Z419/20) &amp; ")", "")))))))))))</f>
        <v/>
      </c>
      <c r="P419" s="20">
        <f>ROUND(P418 + IF(AND(E419&lt;=10, F419&lt;&gt;"ASTM A416"), L419, 0), 3)</f>
        <v/>
      </c>
      <c r="Q419" s="20">
        <f>ROUND(Q418 + IF(AND(E419=12, F419&lt;&gt;"ASTM A416"), L419, 0), 3)</f>
        <v/>
      </c>
      <c r="R419" s="20">
        <f>ROUND(R418 + IF(AND(E419=14, F419&lt;&gt;"ASTM A416"), L419, 0), 3)</f>
        <v/>
      </c>
      <c r="S419" s="20">
        <f>ROUND(S418 + IF(AND(E419=16, F419&lt;&gt;"ASTM A416"), L419, 0), 3)</f>
        <v/>
      </c>
      <c r="T419" s="20">
        <f>ROUND(T418 + IF(AND(E419=18, F419&lt;&gt;"ASTM A416"), L419, 0), 3)</f>
        <v/>
      </c>
      <c r="U419" s="20">
        <f>ROUND(U418 + IF(AND(E419=20, F419&lt;&gt;"ASTM A416"), L419, 0), 3)</f>
        <v/>
      </c>
      <c r="V419" s="20">
        <f>ROUND(V418 + IF(AND(E419=22, F419&lt;&gt;"ASTM A416"), L419, 0), 3)</f>
        <v/>
      </c>
      <c r="W419" s="20">
        <f>ROUND(W418 + IF(AND(E419=25, F419&lt;&gt;"ASTM A416"), L419, 0), 3)</f>
        <v/>
      </c>
      <c r="X419" s="20">
        <f>ROUND(X418 + IF(AND(E419=28, F419&lt;&gt;"ASTM A416"), L419, 0), 3)</f>
        <v/>
      </c>
      <c r="Y419" s="20">
        <f>ROUND(Y418 + IF(AND(E419=32, F419&lt;&gt;"ASTM A416"), L419, 0), 3)</f>
        <v/>
      </c>
      <c r="Z419" s="20">
        <f>ROUND(Z418 + IF(F419="ASTM A416", L419, 0), 3)</f>
        <v/>
      </c>
      <c r="AA419" s="11">
        <f>IF(INT(P419/20)&gt;INT(P418/20), "Lần " &amp; INT(P419/20), "")</f>
        <v/>
      </c>
      <c r="AB419" s="11">
        <f>IF(INT(Q419/20)&gt;INT(Q418/20), "Lần " &amp; INT(Q419/20), "")</f>
        <v/>
      </c>
      <c r="AC419" s="11">
        <f>IF(INT(R419/20)&gt;INT(R418/20), "Lần " &amp; INT(R419/20), "")</f>
        <v/>
      </c>
      <c r="AD419" s="11">
        <f>IF(INT(S419/20)&gt;INT(S418/20), "Lần " &amp; INT(S419/20), "")</f>
        <v/>
      </c>
      <c r="AE419" s="11">
        <f>IF(INT(T419/20)&gt;INT(T418/20), "Lần " &amp; INT(T419/20), "")</f>
        <v/>
      </c>
      <c r="AF419" s="11">
        <f>IF(INT(U419/20)&gt;INT(U418/20), "Lần " &amp; INT(U419/20), "")</f>
        <v/>
      </c>
      <c r="AG419" s="11">
        <f>IF(INT(V419/20)&gt;INT(V418/20), "Lần " &amp; INT(V419/20), "")</f>
        <v/>
      </c>
      <c r="AH419" s="11">
        <f>IF(INT(W419/20)&gt;INT(W418/20), "Lần " &amp; INT(W419/20), "")</f>
        <v/>
      </c>
      <c r="AI419" s="11">
        <f>IF(INT(X419/20)&gt;INT(X418/20), "Lần " &amp; INT(X419/20), "")</f>
        <v/>
      </c>
      <c r="AJ419" s="11">
        <f>IF(INT(Y419/20)&gt;INT(Y418/20), "Lần " &amp; INT(Y419/20), "")</f>
        <v/>
      </c>
      <c r="AK419" s="11">
        <f>IF(INT(Z419/20)&gt;INT(Z418/20), "Lần " &amp; INT(Z419/20), "")</f>
        <v/>
      </c>
      <c r="AL419" s="6" t="inlineStr">
        <is>
          <t>ĐẠT TCVN 1651:2018</t>
        </is>
      </c>
    </row>
    <row r="420" ht="19" customHeight="1">
      <c r="A420" s="6" t="n">
        <v>391</v>
      </c>
      <c r="B420" s="7" t="inlineStr">
        <is>
          <t>Cọc khoan nhồi C7 Mố M2 (D1.2m, L=36.0m)</t>
        </is>
      </c>
      <c r="C420" s="7" t="inlineStr">
        <is>
          <t>Cốt thép chủ chịu lực cọc</t>
        </is>
      </c>
      <c r="D420" s="18" t="inlineStr">
        <is>
          <t>P2B</t>
        </is>
      </c>
      <c r="E420" s="19" t="n">
        <v>25</v>
      </c>
      <c r="F420" s="6" t="inlineStr">
        <is>
          <t>CB400-V</t>
        </is>
      </c>
      <c r="G420" s="7" t="inlineStr">
        <is>
          <t>Thanh thẳng nối ren/hàn</t>
        </is>
      </c>
      <c r="H420" s="20" t="n">
        <v>2.985</v>
      </c>
      <c r="I420" s="21" t="n">
        <v>10</v>
      </c>
      <c r="J420" s="22" t="n">
        <v>3.85</v>
      </c>
      <c r="K420" s="9">
        <f>ROUND(H420*I420*J420, 2)</f>
        <v/>
      </c>
      <c r="L420" s="23">
        <f>ROUND(K420/1000, 3)</f>
        <v/>
      </c>
      <c r="M420" s="8" t="n"/>
      <c r="N420" s="6" t="n"/>
      <c r="O420" s="24">
        <f>IF(AND(E420&lt;=10, F420&lt;&gt;"ASTM A416", INT(P420/20)&gt;INT(P419/20)), "TN Ø10 (Lần " &amp; INT(P420/20) &amp; ")", IF(AND(E420=12, INT(Q420/20)&gt;INT(Q419/20)), "TN Ø12 (Lần " &amp; INT(Q420/20) &amp; ")", IF(AND(E420=14, INT(R420/20)&gt;INT(R419/20)), "TN Ø14 (Lần " &amp; INT(R420/20) &amp; ")", IF(AND(E420=16, INT(S420/20)&gt;INT(S419/20)), "TN Ø16 (Lần " &amp; INT(S420/20) &amp; ")", IF(AND(E420=18, INT(T420/20)&gt;INT(T419/20)), "TN Ø18 (Lần " &amp; INT(T420/20) &amp; ")", IF(AND(E420=20, INT(U420/20)&gt;INT(U419/20)), "TN Ø20 (Lần " &amp; INT(U420/20) &amp; ")", IF(AND(E420=22, INT(V420/20)&gt;INT(V419/20)), "TN Ø22 (Lần " &amp; INT(V420/20) &amp; ")", IF(AND(E420=25, INT(W420/20)&gt;INT(W419/20)), "TN Ø25 (Lần " &amp; INT(W420/20) &amp; ")", IF(AND(E420=28, INT(X420/20)&gt;INT(X419/20)), "TN Ø28 (Lần " &amp; INT(X420/20) &amp; ")", IF(AND(E420=32, INT(Y420/20)&gt;INT(Y419/20)), "TN Ø32 (Lần " &amp; INT(Y420/20) &amp; ")", IF(AND(F420="ASTM A416", INT(Z420/20)&gt;INT(Z419/20)), "TN Cáp 15.2 (Lần " &amp; INT(Z420/20) &amp; ")", "")))))))))))</f>
        <v/>
      </c>
      <c r="P420" s="20">
        <f>ROUND(P419 + IF(AND(E420&lt;=10, F420&lt;&gt;"ASTM A416"), L420, 0), 3)</f>
        <v/>
      </c>
      <c r="Q420" s="20">
        <f>ROUND(Q419 + IF(AND(E420=12, F420&lt;&gt;"ASTM A416"), L420, 0), 3)</f>
        <v/>
      </c>
      <c r="R420" s="20">
        <f>ROUND(R419 + IF(AND(E420=14, F420&lt;&gt;"ASTM A416"), L420, 0), 3)</f>
        <v/>
      </c>
      <c r="S420" s="20">
        <f>ROUND(S419 + IF(AND(E420=16, F420&lt;&gt;"ASTM A416"), L420, 0), 3)</f>
        <v/>
      </c>
      <c r="T420" s="20">
        <f>ROUND(T419 + IF(AND(E420=18, F420&lt;&gt;"ASTM A416"), L420, 0), 3)</f>
        <v/>
      </c>
      <c r="U420" s="20">
        <f>ROUND(U419 + IF(AND(E420=20, F420&lt;&gt;"ASTM A416"), L420, 0), 3)</f>
        <v/>
      </c>
      <c r="V420" s="20">
        <f>ROUND(V419 + IF(AND(E420=22, F420&lt;&gt;"ASTM A416"), L420, 0), 3)</f>
        <v/>
      </c>
      <c r="W420" s="20">
        <f>ROUND(W419 + IF(AND(E420=25, F420&lt;&gt;"ASTM A416"), L420, 0), 3)</f>
        <v/>
      </c>
      <c r="X420" s="20">
        <f>ROUND(X419 + IF(AND(E420=28, F420&lt;&gt;"ASTM A416"), L420, 0), 3)</f>
        <v/>
      </c>
      <c r="Y420" s="20">
        <f>ROUND(Y419 + IF(AND(E420=32, F420&lt;&gt;"ASTM A416"), L420, 0), 3)</f>
        <v/>
      </c>
      <c r="Z420" s="20">
        <f>ROUND(Z419 + IF(F420="ASTM A416", L420, 0), 3)</f>
        <v/>
      </c>
      <c r="AA420" s="11">
        <f>IF(INT(P420/20)&gt;INT(P419/20), "Lần " &amp; INT(P420/20), "")</f>
        <v/>
      </c>
      <c r="AB420" s="11">
        <f>IF(INT(Q420/20)&gt;INT(Q419/20), "Lần " &amp; INT(Q420/20), "")</f>
        <v/>
      </c>
      <c r="AC420" s="11">
        <f>IF(INT(R420/20)&gt;INT(R419/20), "Lần " &amp; INT(R420/20), "")</f>
        <v/>
      </c>
      <c r="AD420" s="11">
        <f>IF(INT(S420/20)&gt;INT(S419/20), "Lần " &amp; INT(S420/20), "")</f>
        <v/>
      </c>
      <c r="AE420" s="11">
        <f>IF(INT(T420/20)&gt;INT(T419/20), "Lần " &amp; INT(T420/20), "")</f>
        <v/>
      </c>
      <c r="AF420" s="11">
        <f>IF(INT(U420/20)&gt;INT(U419/20), "Lần " &amp; INT(U420/20), "")</f>
        <v/>
      </c>
      <c r="AG420" s="11">
        <f>IF(INT(V420/20)&gt;INT(V419/20), "Lần " &amp; INT(V420/20), "")</f>
        <v/>
      </c>
      <c r="AH420" s="11">
        <f>IF(INT(W420/20)&gt;INT(W419/20), "Lần " &amp; INT(W420/20), "")</f>
        <v/>
      </c>
      <c r="AI420" s="11">
        <f>IF(INT(X420/20)&gt;INT(X419/20), "Lần " &amp; INT(X420/20), "")</f>
        <v/>
      </c>
      <c r="AJ420" s="11">
        <f>IF(INT(Y420/20)&gt;INT(Y419/20), "Lần " &amp; INT(Y420/20), "")</f>
        <v/>
      </c>
      <c r="AK420" s="11">
        <f>IF(INT(Z420/20)&gt;INT(Z419/20), "Lần " &amp; INT(Z420/20), "")</f>
        <v/>
      </c>
      <c r="AL420" s="6" t="inlineStr">
        <is>
          <t>ĐẠT TCVN 1651:2018</t>
        </is>
      </c>
    </row>
    <row r="421" ht="19" customHeight="1">
      <c r="A421" s="6" t="n">
        <v>392</v>
      </c>
      <c r="B421" s="7" t="inlineStr">
        <is>
          <t>Cọc khoan nhồi C7 Mố M2 (D1.2m, L=36.0m)</t>
        </is>
      </c>
      <c r="C421" s="7" t="inlineStr">
        <is>
          <t>Cốt thép chủ chịu lực cọc</t>
        </is>
      </c>
      <c r="D421" s="18" t="inlineStr">
        <is>
          <t>P3</t>
        </is>
      </c>
      <c r="E421" s="19" t="n">
        <v>28</v>
      </c>
      <c r="F421" s="6" t="inlineStr">
        <is>
          <t>CB400-V</t>
        </is>
      </c>
      <c r="G421" s="7" t="inlineStr">
        <is>
          <t>Thanh thẳng nối ren/hàn</t>
        </is>
      </c>
      <c r="H421" s="20" t="n">
        <v>10.7</v>
      </c>
      <c r="I421" s="21" t="n">
        <v>12</v>
      </c>
      <c r="J421" s="22" t="n">
        <v>4.83</v>
      </c>
      <c r="K421" s="9">
        <f>ROUND(H421*I421*J421, 2)</f>
        <v/>
      </c>
      <c r="L421" s="23">
        <f>ROUND(K421/1000, 3)</f>
        <v/>
      </c>
      <c r="M421" s="8" t="n"/>
      <c r="N421" s="6" t="n"/>
      <c r="O421" s="24">
        <f>IF(AND(E421&lt;=10, F421&lt;&gt;"ASTM A416", INT(P421/20)&gt;INT(P420/20)), "TN Ø10 (Lần " &amp; INT(P421/20) &amp; ")", IF(AND(E421=12, INT(Q421/20)&gt;INT(Q420/20)), "TN Ø12 (Lần " &amp; INT(Q421/20) &amp; ")", IF(AND(E421=14, INT(R421/20)&gt;INT(R420/20)), "TN Ø14 (Lần " &amp; INT(R421/20) &amp; ")", IF(AND(E421=16, INT(S421/20)&gt;INT(S420/20)), "TN Ø16 (Lần " &amp; INT(S421/20) &amp; ")", IF(AND(E421=18, INT(T421/20)&gt;INT(T420/20)), "TN Ø18 (Lần " &amp; INT(T421/20) &amp; ")", IF(AND(E421=20, INT(U421/20)&gt;INT(U420/20)), "TN Ø20 (Lần " &amp; INT(U421/20) &amp; ")", IF(AND(E421=22, INT(V421/20)&gt;INT(V420/20)), "TN Ø22 (Lần " &amp; INT(V421/20) &amp; ")", IF(AND(E421=25, INT(W421/20)&gt;INT(W420/20)), "TN Ø25 (Lần " &amp; INT(W421/20) &amp; ")", IF(AND(E421=28, INT(X421/20)&gt;INT(X420/20)), "TN Ø28 (Lần " &amp; INT(X421/20) &amp; ")", IF(AND(E421=32, INT(Y421/20)&gt;INT(Y420/20)), "TN Ø32 (Lần " &amp; INT(Y421/20) &amp; ")", IF(AND(F421="ASTM A416", INT(Z421/20)&gt;INT(Z420/20)), "TN Cáp 15.2 (Lần " &amp; INT(Z421/20) &amp; ")", "")))))))))))</f>
        <v/>
      </c>
      <c r="P421" s="20">
        <f>ROUND(P420 + IF(AND(E421&lt;=10, F421&lt;&gt;"ASTM A416"), L421, 0), 3)</f>
        <v/>
      </c>
      <c r="Q421" s="20">
        <f>ROUND(Q420 + IF(AND(E421=12, F421&lt;&gt;"ASTM A416"), L421, 0), 3)</f>
        <v/>
      </c>
      <c r="R421" s="20">
        <f>ROUND(R420 + IF(AND(E421=14, F421&lt;&gt;"ASTM A416"), L421, 0), 3)</f>
        <v/>
      </c>
      <c r="S421" s="20">
        <f>ROUND(S420 + IF(AND(E421=16, F421&lt;&gt;"ASTM A416"), L421, 0), 3)</f>
        <v/>
      </c>
      <c r="T421" s="20">
        <f>ROUND(T420 + IF(AND(E421=18, F421&lt;&gt;"ASTM A416"), L421, 0), 3)</f>
        <v/>
      </c>
      <c r="U421" s="20">
        <f>ROUND(U420 + IF(AND(E421=20, F421&lt;&gt;"ASTM A416"), L421, 0), 3)</f>
        <v/>
      </c>
      <c r="V421" s="20">
        <f>ROUND(V420 + IF(AND(E421=22, F421&lt;&gt;"ASTM A416"), L421, 0), 3)</f>
        <v/>
      </c>
      <c r="W421" s="20">
        <f>ROUND(W420 + IF(AND(E421=25, F421&lt;&gt;"ASTM A416"), L421, 0), 3)</f>
        <v/>
      </c>
      <c r="X421" s="20">
        <f>ROUND(X420 + IF(AND(E421=28, F421&lt;&gt;"ASTM A416"), L421, 0), 3)</f>
        <v/>
      </c>
      <c r="Y421" s="20">
        <f>ROUND(Y420 + IF(AND(E421=32, F421&lt;&gt;"ASTM A416"), L421, 0), 3)</f>
        <v/>
      </c>
      <c r="Z421" s="20">
        <f>ROUND(Z420 + IF(F421="ASTM A416", L421, 0), 3)</f>
        <v/>
      </c>
      <c r="AA421" s="11">
        <f>IF(INT(P421/20)&gt;INT(P420/20), "Lần " &amp; INT(P421/20), "")</f>
        <v/>
      </c>
      <c r="AB421" s="11">
        <f>IF(INT(Q421/20)&gt;INT(Q420/20), "Lần " &amp; INT(Q421/20), "")</f>
        <v/>
      </c>
      <c r="AC421" s="11">
        <f>IF(INT(R421/20)&gt;INT(R420/20), "Lần " &amp; INT(R421/20), "")</f>
        <v/>
      </c>
      <c r="AD421" s="11">
        <f>IF(INT(S421/20)&gt;INT(S420/20), "Lần " &amp; INT(S421/20), "")</f>
        <v/>
      </c>
      <c r="AE421" s="11">
        <f>IF(INT(T421/20)&gt;INT(T420/20), "Lần " &amp; INT(T421/20), "")</f>
        <v/>
      </c>
      <c r="AF421" s="11">
        <f>IF(INT(U421/20)&gt;INT(U420/20), "Lần " &amp; INT(U421/20), "")</f>
        <v/>
      </c>
      <c r="AG421" s="11">
        <f>IF(INT(V421/20)&gt;INT(V420/20), "Lần " &amp; INT(V421/20), "")</f>
        <v/>
      </c>
      <c r="AH421" s="11">
        <f>IF(INT(W421/20)&gt;INT(W420/20), "Lần " &amp; INT(W421/20), "")</f>
        <v/>
      </c>
      <c r="AI421" s="11">
        <f>IF(INT(X421/20)&gt;INT(X420/20), "Lần " &amp; INT(X421/20), "")</f>
        <v/>
      </c>
      <c r="AJ421" s="11">
        <f>IF(INT(Y421/20)&gt;INT(Y420/20), "Lần " &amp; INT(Y421/20), "")</f>
        <v/>
      </c>
      <c r="AK421" s="11">
        <f>IF(INT(Z421/20)&gt;INT(Z420/20), "Lần " &amp; INT(Z421/20), "")</f>
        <v/>
      </c>
      <c r="AL421" s="6" t="inlineStr">
        <is>
          <t>ĐẠT TCVN 1651:2018</t>
        </is>
      </c>
    </row>
    <row r="422" ht="19" customHeight="1">
      <c r="A422" s="6" t="n">
        <v>393</v>
      </c>
      <c r="B422" s="7" t="inlineStr">
        <is>
          <t>Cọc khoan nhồi C7 Mố M2 (D1.2m, L=36.0m)</t>
        </is>
      </c>
      <c r="C422" s="7" t="inlineStr">
        <is>
          <t>Cốt thép chủ chịu lực cọc</t>
        </is>
      </c>
      <c r="D422" s="18" t="inlineStr">
        <is>
          <t>P4</t>
        </is>
      </c>
      <c r="E422" s="19" t="n">
        <v>28</v>
      </c>
      <c r="F422" s="6" t="inlineStr">
        <is>
          <t>CB400-V</t>
        </is>
      </c>
      <c r="G422" s="7" t="inlineStr">
        <is>
          <t>Thanh thẳng nối ren/hàn</t>
        </is>
      </c>
      <c r="H422" s="20" t="n">
        <v>11.7</v>
      </c>
      <c r="I422" s="21" t="n">
        <v>12</v>
      </c>
      <c r="J422" s="22" t="n">
        <v>4.83</v>
      </c>
      <c r="K422" s="9">
        <f>ROUND(H422*I422*J422, 2)</f>
        <v/>
      </c>
      <c r="L422" s="23">
        <f>ROUND(K422/1000, 3)</f>
        <v/>
      </c>
      <c r="M422" s="8" t="n"/>
      <c r="N422" s="6" t="n"/>
      <c r="O422" s="24">
        <f>IF(AND(E422&lt;=10, F422&lt;&gt;"ASTM A416", INT(P422/20)&gt;INT(P421/20)), "TN Ø10 (Lần " &amp; INT(P422/20) &amp; ")", IF(AND(E422=12, INT(Q422/20)&gt;INT(Q421/20)), "TN Ø12 (Lần " &amp; INT(Q422/20) &amp; ")", IF(AND(E422=14, INT(R422/20)&gt;INT(R421/20)), "TN Ø14 (Lần " &amp; INT(R422/20) &amp; ")", IF(AND(E422=16, INT(S422/20)&gt;INT(S421/20)), "TN Ø16 (Lần " &amp; INT(S422/20) &amp; ")", IF(AND(E422=18, INT(T422/20)&gt;INT(T421/20)), "TN Ø18 (Lần " &amp; INT(T422/20) &amp; ")", IF(AND(E422=20, INT(U422/20)&gt;INT(U421/20)), "TN Ø20 (Lần " &amp; INT(U422/20) &amp; ")", IF(AND(E422=22, INT(V422/20)&gt;INT(V421/20)), "TN Ø22 (Lần " &amp; INT(V422/20) &amp; ")", IF(AND(E422=25, INT(W422/20)&gt;INT(W421/20)), "TN Ø25 (Lần " &amp; INT(W422/20) &amp; ")", IF(AND(E422=28, INT(X422/20)&gt;INT(X421/20)), "TN Ø28 (Lần " &amp; INT(X422/20) &amp; ")", IF(AND(E422=32, INT(Y422/20)&gt;INT(Y421/20)), "TN Ø32 (Lần " &amp; INT(Y422/20) &amp; ")", IF(AND(F422="ASTM A416", INT(Z422/20)&gt;INT(Z421/20)), "TN Cáp 15.2 (Lần " &amp; INT(Z422/20) &amp; ")", "")))))))))))</f>
        <v/>
      </c>
      <c r="P422" s="20">
        <f>ROUND(P421 + IF(AND(E422&lt;=10, F422&lt;&gt;"ASTM A416"), L422, 0), 3)</f>
        <v/>
      </c>
      <c r="Q422" s="20">
        <f>ROUND(Q421 + IF(AND(E422=12, F422&lt;&gt;"ASTM A416"), L422, 0), 3)</f>
        <v/>
      </c>
      <c r="R422" s="20">
        <f>ROUND(R421 + IF(AND(E422=14, F422&lt;&gt;"ASTM A416"), L422, 0), 3)</f>
        <v/>
      </c>
      <c r="S422" s="20">
        <f>ROUND(S421 + IF(AND(E422=16, F422&lt;&gt;"ASTM A416"), L422, 0), 3)</f>
        <v/>
      </c>
      <c r="T422" s="20">
        <f>ROUND(T421 + IF(AND(E422=18, F422&lt;&gt;"ASTM A416"), L422, 0), 3)</f>
        <v/>
      </c>
      <c r="U422" s="20">
        <f>ROUND(U421 + IF(AND(E422=20, F422&lt;&gt;"ASTM A416"), L422, 0), 3)</f>
        <v/>
      </c>
      <c r="V422" s="20">
        <f>ROUND(V421 + IF(AND(E422=22, F422&lt;&gt;"ASTM A416"), L422, 0), 3)</f>
        <v/>
      </c>
      <c r="W422" s="20">
        <f>ROUND(W421 + IF(AND(E422=25, F422&lt;&gt;"ASTM A416"), L422, 0), 3)</f>
        <v/>
      </c>
      <c r="X422" s="20">
        <f>ROUND(X421 + IF(AND(E422=28, F422&lt;&gt;"ASTM A416"), L422, 0), 3)</f>
        <v/>
      </c>
      <c r="Y422" s="20">
        <f>ROUND(Y421 + IF(AND(E422=32, F422&lt;&gt;"ASTM A416"), L422, 0), 3)</f>
        <v/>
      </c>
      <c r="Z422" s="20">
        <f>ROUND(Z421 + IF(F422="ASTM A416", L422, 0), 3)</f>
        <v/>
      </c>
      <c r="AA422" s="11">
        <f>IF(INT(P422/20)&gt;INT(P421/20), "Lần " &amp; INT(P422/20), "")</f>
        <v/>
      </c>
      <c r="AB422" s="11">
        <f>IF(INT(Q422/20)&gt;INT(Q421/20), "Lần " &amp; INT(Q422/20), "")</f>
        <v/>
      </c>
      <c r="AC422" s="11">
        <f>IF(INT(R422/20)&gt;INT(R421/20), "Lần " &amp; INT(R422/20), "")</f>
        <v/>
      </c>
      <c r="AD422" s="11">
        <f>IF(INT(S422/20)&gt;INT(S421/20), "Lần " &amp; INT(S422/20), "")</f>
        <v/>
      </c>
      <c r="AE422" s="11">
        <f>IF(INT(T422/20)&gt;INT(T421/20), "Lần " &amp; INT(T422/20), "")</f>
        <v/>
      </c>
      <c r="AF422" s="11">
        <f>IF(INT(U422/20)&gt;INT(U421/20), "Lần " &amp; INT(U422/20), "")</f>
        <v/>
      </c>
      <c r="AG422" s="11">
        <f>IF(INT(V422/20)&gt;INT(V421/20), "Lần " &amp; INT(V422/20), "")</f>
        <v/>
      </c>
      <c r="AH422" s="11">
        <f>IF(INT(W422/20)&gt;INT(W421/20), "Lần " &amp; INT(W422/20), "")</f>
        <v/>
      </c>
      <c r="AI422" s="11">
        <f>IF(INT(X422/20)&gt;INT(X421/20), "Lần " &amp; INT(X422/20), "")</f>
        <v/>
      </c>
      <c r="AJ422" s="11">
        <f>IF(INT(Y422/20)&gt;INT(Y421/20), "Lần " &amp; INT(Y422/20), "")</f>
        <v/>
      </c>
      <c r="AK422" s="11">
        <f>IF(INT(Z422/20)&gt;INT(Z421/20), "Lần " &amp; INT(Z422/20), "")</f>
        <v/>
      </c>
      <c r="AL422" s="6" t="inlineStr">
        <is>
          <t>ĐẠT TCVN 1651:2018</t>
        </is>
      </c>
    </row>
    <row r="423" ht="19" customHeight="1">
      <c r="A423" s="6" t="n">
        <v>394</v>
      </c>
      <c r="B423" s="7" t="inlineStr">
        <is>
          <t>Cọc khoan nhồi C7 Mố M2 (D1.2m, L=36.0m)</t>
        </is>
      </c>
      <c r="C423" s="7" t="inlineStr">
        <is>
          <t>Cốt thép chủ chịu lực cọc</t>
        </is>
      </c>
      <c r="D423" s="18" t="inlineStr">
        <is>
          <t>P5</t>
        </is>
      </c>
      <c r="E423" s="19" t="n">
        <v>25</v>
      </c>
      <c r="F423" s="6" t="inlineStr">
        <is>
          <t>CB400-V</t>
        </is>
      </c>
      <c r="G423" s="7" t="inlineStr">
        <is>
          <t>Thanh thẳng nối ren/hàn</t>
        </is>
      </c>
      <c r="H423" s="20" t="n">
        <v>11.7</v>
      </c>
      <c r="I423" s="21" t="n">
        <v>48</v>
      </c>
      <c r="J423" s="22" t="n">
        <v>3.85</v>
      </c>
      <c r="K423" s="9">
        <f>ROUND(H423*I423*J423, 2)</f>
        <v/>
      </c>
      <c r="L423" s="23">
        <f>ROUND(K423/1000, 3)</f>
        <v/>
      </c>
      <c r="M423" s="8" t="n"/>
      <c r="N423" s="6" t="n"/>
      <c r="O423" s="24">
        <f>IF(AND(E423&lt;=10, F423&lt;&gt;"ASTM A416", INT(P423/20)&gt;INT(P422/20)), "TN Ø10 (Lần " &amp; INT(P423/20) &amp; ")", IF(AND(E423=12, INT(Q423/20)&gt;INT(Q422/20)), "TN Ø12 (Lần " &amp; INT(Q423/20) &amp; ")", IF(AND(E423=14, INT(R423/20)&gt;INT(R422/20)), "TN Ø14 (Lần " &amp; INT(R423/20) &amp; ")", IF(AND(E423=16, INT(S423/20)&gt;INT(S422/20)), "TN Ø16 (Lần " &amp; INT(S423/20) &amp; ")", IF(AND(E423=18, INT(T423/20)&gt;INT(T422/20)), "TN Ø18 (Lần " &amp; INT(T423/20) &amp; ")", IF(AND(E423=20, INT(U423/20)&gt;INT(U422/20)), "TN Ø20 (Lần " &amp; INT(U423/20) &amp; ")", IF(AND(E423=22, INT(V423/20)&gt;INT(V422/20)), "TN Ø22 (Lần " &amp; INT(V423/20) &amp; ")", IF(AND(E423=25, INT(W423/20)&gt;INT(W422/20)), "TN Ø25 (Lần " &amp; INT(W423/20) &amp; ")", IF(AND(E423=28, INT(X423/20)&gt;INT(X422/20)), "TN Ø28 (Lần " &amp; INT(X423/20) &amp; ")", IF(AND(E423=32, INT(Y423/20)&gt;INT(Y422/20)), "TN Ø32 (Lần " &amp; INT(Y423/20) &amp; ")", IF(AND(F423="ASTM A416", INT(Z423/20)&gt;INT(Z422/20)), "TN Cáp 15.2 (Lần " &amp; INT(Z423/20) &amp; ")", "")))))))))))</f>
        <v/>
      </c>
      <c r="P423" s="20">
        <f>ROUND(P422 + IF(AND(E423&lt;=10, F423&lt;&gt;"ASTM A416"), L423, 0), 3)</f>
        <v/>
      </c>
      <c r="Q423" s="20">
        <f>ROUND(Q422 + IF(AND(E423=12, F423&lt;&gt;"ASTM A416"), L423, 0), 3)</f>
        <v/>
      </c>
      <c r="R423" s="20">
        <f>ROUND(R422 + IF(AND(E423=14, F423&lt;&gt;"ASTM A416"), L423, 0), 3)</f>
        <v/>
      </c>
      <c r="S423" s="20">
        <f>ROUND(S422 + IF(AND(E423=16, F423&lt;&gt;"ASTM A416"), L423, 0), 3)</f>
        <v/>
      </c>
      <c r="T423" s="20">
        <f>ROUND(T422 + IF(AND(E423=18, F423&lt;&gt;"ASTM A416"), L423, 0), 3)</f>
        <v/>
      </c>
      <c r="U423" s="20">
        <f>ROUND(U422 + IF(AND(E423=20, F423&lt;&gt;"ASTM A416"), L423, 0), 3)</f>
        <v/>
      </c>
      <c r="V423" s="20">
        <f>ROUND(V422 + IF(AND(E423=22, F423&lt;&gt;"ASTM A416"), L423, 0), 3)</f>
        <v/>
      </c>
      <c r="W423" s="20">
        <f>ROUND(W422 + IF(AND(E423=25, F423&lt;&gt;"ASTM A416"), L423, 0), 3)</f>
        <v/>
      </c>
      <c r="X423" s="20">
        <f>ROUND(X422 + IF(AND(E423=28, F423&lt;&gt;"ASTM A416"), L423, 0), 3)</f>
        <v/>
      </c>
      <c r="Y423" s="20">
        <f>ROUND(Y422 + IF(AND(E423=32, F423&lt;&gt;"ASTM A416"), L423, 0), 3)</f>
        <v/>
      </c>
      <c r="Z423" s="20">
        <f>ROUND(Z422 + IF(F423="ASTM A416", L423, 0), 3)</f>
        <v/>
      </c>
      <c r="AA423" s="11">
        <f>IF(INT(P423/20)&gt;INT(P422/20), "Lần " &amp; INT(P423/20), "")</f>
        <v/>
      </c>
      <c r="AB423" s="11">
        <f>IF(INT(Q423/20)&gt;INT(Q422/20), "Lần " &amp; INT(Q423/20), "")</f>
        <v/>
      </c>
      <c r="AC423" s="11">
        <f>IF(INT(R423/20)&gt;INT(R422/20), "Lần " &amp; INT(R423/20), "")</f>
        <v/>
      </c>
      <c r="AD423" s="11">
        <f>IF(INT(S423/20)&gt;INT(S422/20), "Lần " &amp; INT(S423/20), "")</f>
        <v/>
      </c>
      <c r="AE423" s="11">
        <f>IF(INT(T423/20)&gt;INT(T422/20), "Lần " &amp; INT(T423/20), "")</f>
        <v/>
      </c>
      <c r="AF423" s="11">
        <f>IF(INT(U423/20)&gt;INT(U422/20), "Lần " &amp; INT(U423/20), "")</f>
        <v/>
      </c>
      <c r="AG423" s="11">
        <f>IF(INT(V423/20)&gt;INT(V422/20), "Lần " &amp; INT(V423/20), "")</f>
        <v/>
      </c>
      <c r="AH423" s="11">
        <f>IF(INT(W423/20)&gt;INT(W422/20), "Lần " &amp; INT(W423/20), "")</f>
        <v/>
      </c>
      <c r="AI423" s="11">
        <f>IF(INT(X423/20)&gt;INT(X422/20), "Lần " &amp; INT(X423/20), "")</f>
        <v/>
      </c>
      <c r="AJ423" s="11">
        <f>IF(INT(Y423/20)&gt;INT(Y422/20), "Lần " &amp; INT(Y423/20), "")</f>
        <v/>
      </c>
      <c r="AK423" s="11">
        <f>IF(INT(Z423/20)&gt;INT(Z422/20), "Lần " &amp; INT(Z423/20), "")</f>
        <v/>
      </c>
      <c r="AL423" s="6" t="inlineStr">
        <is>
          <t>ĐẠT TCVN 1651:2018</t>
        </is>
      </c>
    </row>
    <row r="424" ht="19" customHeight="1">
      <c r="A424" s="6" t="n">
        <v>395</v>
      </c>
      <c r="B424" s="7" t="inlineStr">
        <is>
          <t>Cọc khoan nhồi C7 Mố M2 (D1.2m, L=36.0m)</t>
        </is>
      </c>
      <c r="C424" s="7" t="inlineStr">
        <is>
          <t>Cốt thép chủ chịu lực cọc</t>
        </is>
      </c>
      <c r="D424" s="18" t="inlineStr">
        <is>
          <t>P6</t>
        </is>
      </c>
      <c r="E424" s="19" t="n">
        <v>25</v>
      </c>
      <c r="F424" s="6" t="inlineStr">
        <is>
          <t>CB400-V</t>
        </is>
      </c>
      <c r="G424" s="7" t="inlineStr">
        <is>
          <t>Thanh thẳng nối ren/hàn</t>
        </is>
      </c>
      <c r="H424" s="20" t="n">
        <v>5.153</v>
      </c>
      <c r="I424" s="21" t="n">
        <v>12</v>
      </c>
      <c r="J424" s="22" t="n">
        <v>3.85</v>
      </c>
      <c r="K424" s="9">
        <f>ROUND(H424*I424*J424, 2)</f>
        <v/>
      </c>
      <c r="L424" s="23">
        <f>ROUND(K424/1000, 3)</f>
        <v/>
      </c>
      <c r="M424" s="8" t="n"/>
      <c r="N424" s="6" t="n"/>
      <c r="O424" s="24">
        <f>IF(AND(E424&lt;=10, F424&lt;&gt;"ASTM A416", INT(P424/20)&gt;INT(P423/20)), "TN Ø10 (Lần " &amp; INT(P424/20) &amp; ")", IF(AND(E424=12, INT(Q424/20)&gt;INT(Q423/20)), "TN Ø12 (Lần " &amp; INT(Q424/20) &amp; ")", IF(AND(E424=14, INT(R424/20)&gt;INT(R423/20)), "TN Ø14 (Lần " &amp; INT(R424/20) &amp; ")", IF(AND(E424=16, INT(S424/20)&gt;INT(S423/20)), "TN Ø16 (Lần " &amp; INT(S424/20) &amp; ")", IF(AND(E424=18, INT(T424/20)&gt;INT(T423/20)), "TN Ø18 (Lần " &amp; INT(T424/20) &amp; ")", IF(AND(E424=20, INT(U424/20)&gt;INT(U423/20)), "TN Ø20 (Lần " &amp; INT(U424/20) &amp; ")", IF(AND(E424=22, INT(V424/20)&gt;INT(V423/20)), "TN Ø22 (Lần " &amp; INT(V424/20) &amp; ")", IF(AND(E424=25, INT(W424/20)&gt;INT(W423/20)), "TN Ø25 (Lần " &amp; INT(W424/20) &amp; ")", IF(AND(E424=28, INT(X424/20)&gt;INT(X423/20)), "TN Ø28 (Lần " &amp; INT(X424/20) &amp; ")", IF(AND(E424=32, INT(Y424/20)&gt;INT(Y423/20)), "TN Ø32 (Lần " &amp; INT(Y424/20) &amp; ")", IF(AND(F424="ASTM A416", INT(Z424/20)&gt;INT(Z423/20)), "TN Cáp 15.2 (Lần " &amp; INT(Z424/20) &amp; ")", "")))))))))))</f>
        <v/>
      </c>
      <c r="P424" s="20">
        <f>ROUND(P423 + IF(AND(E424&lt;=10, F424&lt;&gt;"ASTM A416"), L424, 0), 3)</f>
        <v/>
      </c>
      <c r="Q424" s="20">
        <f>ROUND(Q423 + IF(AND(E424=12, F424&lt;&gt;"ASTM A416"), L424, 0), 3)</f>
        <v/>
      </c>
      <c r="R424" s="20">
        <f>ROUND(R423 + IF(AND(E424=14, F424&lt;&gt;"ASTM A416"), L424, 0), 3)</f>
        <v/>
      </c>
      <c r="S424" s="20">
        <f>ROUND(S423 + IF(AND(E424=16, F424&lt;&gt;"ASTM A416"), L424, 0), 3)</f>
        <v/>
      </c>
      <c r="T424" s="20">
        <f>ROUND(T423 + IF(AND(E424=18, F424&lt;&gt;"ASTM A416"), L424, 0), 3)</f>
        <v/>
      </c>
      <c r="U424" s="20">
        <f>ROUND(U423 + IF(AND(E424=20, F424&lt;&gt;"ASTM A416"), L424, 0), 3)</f>
        <v/>
      </c>
      <c r="V424" s="20">
        <f>ROUND(V423 + IF(AND(E424=22, F424&lt;&gt;"ASTM A416"), L424, 0), 3)</f>
        <v/>
      </c>
      <c r="W424" s="20">
        <f>ROUND(W423 + IF(AND(E424=25, F424&lt;&gt;"ASTM A416"), L424, 0), 3)</f>
        <v/>
      </c>
      <c r="X424" s="20">
        <f>ROUND(X423 + IF(AND(E424=28, F424&lt;&gt;"ASTM A416"), L424, 0), 3)</f>
        <v/>
      </c>
      <c r="Y424" s="20">
        <f>ROUND(Y423 + IF(AND(E424=32, F424&lt;&gt;"ASTM A416"), L424, 0), 3)</f>
        <v/>
      </c>
      <c r="Z424" s="20">
        <f>ROUND(Z423 + IF(F424="ASTM A416", L424, 0), 3)</f>
        <v/>
      </c>
      <c r="AA424" s="11">
        <f>IF(INT(P424/20)&gt;INT(P423/20), "Lần " &amp; INT(P424/20), "")</f>
        <v/>
      </c>
      <c r="AB424" s="11">
        <f>IF(INT(Q424/20)&gt;INT(Q423/20), "Lần " &amp; INT(Q424/20), "")</f>
        <v/>
      </c>
      <c r="AC424" s="11">
        <f>IF(INT(R424/20)&gt;INT(R423/20), "Lần " &amp; INT(R424/20), "")</f>
        <v/>
      </c>
      <c r="AD424" s="11">
        <f>IF(INT(S424/20)&gt;INT(S423/20), "Lần " &amp; INT(S424/20), "")</f>
        <v/>
      </c>
      <c r="AE424" s="11">
        <f>IF(INT(T424/20)&gt;INT(T423/20), "Lần " &amp; INT(T424/20), "")</f>
        <v/>
      </c>
      <c r="AF424" s="11">
        <f>IF(INT(U424/20)&gt;INT(U423/20), "Lần " &amp; INT(U424/20), "")</f>
        <v/>
      </c>
      <c r="AG424" s="11">
        <f>IF(INT(V424/20)&gt;INT(V423/20), "Lần " &amp; INT(V424/20), "")</f>
        <v/>
      </c>
      <c r="AH424" s="11">
        <f>IF(INT(W424/20)&gt;INT(W423/20), "Lần " &amp; INT(W424/20), "")</f>
        <v/>
      </c>
      <c r="AI424" s="11">
        <f>IF(INT(X424/20)&gt;INT(X423/20), "Lần " &amp; INT(X424/20), "")</f>
        <v/>
      </c>
      <c r="AJ424" s="11">
        <f>IF(INT(Y424/20)&gt;INT(Y423/20), "Lần " &amp; INT(Y424/20), "")</f>
        <v/>
      </c>
      <c r="AK424" s="11">
        <f>IF(INT(Z424/20)&gt;INT(Z423/20), "Lần " &amp; INT(Z424/20), "")</f>
        <v/>
      </c>
      <c r="AL424" s="6" t="inlineStr">
        <is>
          <t>ĐẠT TCVN 1651:2018</t>
        </is>
      </c>
    </row>
    <row r="425" ht="19" customHeight="1">
      <c r="A425" s="6" t="n">
        <v>396</v>
      </c>
      <c r="B425" s="7" t="inlineStr">
        <is>
          <t>Cọc khoan nhồi C7 Mố M2 (D1.2m, L=36.0m)</t>
        </is>
      </c>
      <c r="C425" s="7" t="inlineStr">
        <is>
          <t>Cốt thép chủ chịu lực cọc</t>
        </is>
      </c>
      <c r="D425" s="18" t="inlineStr">
        <is>
          <t>P7</t>
        </is>
      </c>
      <c r="E425" s="19" t="n">
        <v>25</v>
      </c>
      <c r="F425" s="6" t="inlineStr">
        <is>
          <t>CB400-V</t>
        </is>
      </c>
      <c r="G425" s="7" t="inlineStr">
        <is>
          <t>Thanh thẳng nối ren/hàn</t>
        </is>
      </c>
      <c r="H425" s="20" t="n">
        <v>6.153</v>
      </c>
      <c r="I425" s="21" t="n">
        <v>12</v>
      </c>
      <c r="J425" s="22" t="n">
        <v>3.85</v>
      </c>
      <c r="K425" s="9">
        <f>ROUND(H425*I425*J425, 2)</f>
        <v/>
      </c>
      <c r="L425" s="23">
        <f>ROUND(K425/1000, 3)</f>
        <v/>
      </c>
      <c r="M425" s="8" t="n"/>
      <c r="N425" s="6" t="n"/>
      <c r="O425" s="24">
        <f>IF(AND(E425&lt;=10, F425&lt;&gt;"ASTM A416", INT(P425/20)&gt;INT(P424/20)), "TN Ø10 (Lần " &amp; INT(P425/20) &amp; ")", IF(AND(E425=12, INT(Q425/20)&gt;INT(Q424/20)), "TN Ø12 (Lần " &amp; INT(Q425/20) &amp; ")", IF(AND(E425=14, INT(R425/20)&gt;INT(R424/20)), "TN Ø14 (Lần " &amp; INT(R425/20) &amp; ")", IF(AND(E425=16, INT(S425/20)&gt;INT(S424/20)), "TN Ø16 (Lần " &amp; INT(S425/20) &amp; ")", IF(AND(E425=18, INT(T425/20)&gt;INT(T424/20)), "TN Ø18 (Lần " &amp; INT(T425/20) &amp; ")", IF(AND(E425=20, INT(U425/20)&gt;INT(U424/20)), "TN Ø20 (Lần " &amp; INT(U425/20) &amp; ")", IF(AND(E425=22, INT(V425/20)&gt;INT(V424/20)), "TN Ø22 (Lần " &amp; INT(V425/20) &amp; ")", IF(AND(E425=25, INT(W425/20)&gt;INT(W424/20)), "TN Ø25 (Lần " &amp; INT(W425/20) &amp; ")", IF(AND(E425=28, INT(X425/20)&gt;INT(X424/20)), "TN Ø28 (Lần " &amp; INT(X425/20) &amp; ")", IF(AND(E425=32, INT(Y425/20)&gt;INT(Y424/20)), "TN Ø32 (Lần " &amp; INT(Y425/20) &amp; ")", IF(AND(F425="ASTM A416", INT(Z425/20)&gt;INT(Z424/20)), "TN Cáp 15.2 (Lần " &amp; INT(Z425/20) &amp; ")", "")))))))))))</f>
        <v/>
      </c>
      <c r="P425" s="20">
        <f>ROUND(P424 + IF(AND(E425&lt;=10, F425&lt;&gt;"ASTM A416"), L425, 0), 3)</f>
        <v/>
      </c>
      <c r="Q425" s="20">
        <f>ROUND(Q424 + IF(AND(E425=12, F425&lt;&gt;"ASTM A416"), L425, 0), 3)</f>
        <v/>
      </c>
      <c r="R425" s="20">
        <f>ROUND(R424 + IF(AND(E425=14, F425&lt;&gt;"ASTM A416"), L425, 0), 3)</f>
        <v/>
      </c>
      <c r="S425" s="20">
        <f>ROUND(S424 + IF(AND(E425=16, F425&lt;&gt;"ASTM A416"), L425, 0), 3)</f>
        <v/>
      </c>
      <c r="T425" s="20">
        <f>ROUND(T424 + IF(AND(E425=18, F425&lt;&gt;"ASTM A416"), L425, 0), 3)</f>
        <v/>
      </c>
      <c r="U425" s="20">
        <f>ROUND(U424 + IF(AND(E425=20, F425&lt;&gt;"ASTM A416"), L425, 0), 3)</f>
        <v/>
      </c>
      <c r="V425" s="20">
        <f>ROUND(V424 + IF(AND(E425=22, F425&lt;&gt;"ASTM A416"), L425, 0), 3)</f>
        <v/>
      </c>
      <c r="W425" s="20">
        <f>ROUND(W424 + IF(AND(E425=25, F425&lt;&gt;"ASTM A416"), L425, 0), 3)</f>
        <v/>
      </c>
      <c r="X425" s="20">
        <f>ROUND(X424 + IF(AND(E425=28, F425&lt;&gt;"ASTM A416"), L425, 0), 3)</f>
        <v/>
      </c>
      <c r="Y425" s="20">
        <f>ROUND(Y424 + IF(AND(E425=32, F425&lt;&gt;"ASTM A416"), L425, 0), 3)</f>
        <v/>
      </c>
      <c r="Z425" s="20">
        <f>ROUND(Z424 + IF(F425="ASTM A416", L425, 0), 3)</f>
        <v/>
      </c>
      <c r="AA425" s="11">
        <f>IF(INT(P425/20)&gt;INT(P424/20), "Lần " &amp; INT(P425/20), "")</f>
        <v/>
      </c>
      <c r="AB425" s="11">
        <f>IF(INT(Q425/20)&gt;INT(Q424/20), "Lần " &amp; INT(Q425/20), "")</f>
        <v/>
      </c>
      <c r="AC425" s="11">
        <f>IF(INT(R425/20)&gt;INT(R424/20), "Lần " &amp; INT(R425/20), "")</f>
        <v/>
      </c>
      <c r="AD425" s="11">
        <f>IF(INT(S425/20)&gt;INT(S424/20), "Lần " &amp; INT(S425/20), "")</f>
        <v/>
      </c>
      <c r="AE425" s="11">
        <f>IF(INT(T425/20)&gt;INT(T424/20), "Lần " &amp; INT(T425/20), "")</f>
        <v/>
      </c>
      <c r="AF425" s="11">
        <f>IF(INT(U425/20)&gt;INT(U424/20), "Lần " &amp; INT(U425/20), "")</f>
        <v/>
      </c>
      <c r="AG425" s="11">
        <f>IF(INT(V425/20)&gt;INT(V424/20), "Lần " &amp; INT(V425/20), "")</f>
        <v/>
      </c>
      <c r="AH425" s="11">
        <f>IF(INT(W425/20)&gt;INT(W424/20), "Lần " &amp; INT(W425/20), "")</f>
        <v/>
      </c>
      <c r="AI425" s="11">
        <f>IF(INT(X425/20)&gt;INT(X424/20), "Lần " &amp; INT(X425/20), "")</f>
        <v/>
      </c>
      <c r="AJ425" s="11">
        <f>IF(INT(Y425/20)&gt;INT(Y424/20), "Lần " &amp; INT(Y425/20), "")</f>
        <v/>
      </c>
      <c r="AK425" s="11">
        <f>IF(INT(Z425/20)&gt;INT(Z424/20), "Lần " &amp; INT(Z425/20), "")</f>
        <v/>
      </c>
      <c r="AL425" s="6" t="inlineStr">
        <is>
          <t>ĐẠT TCVN 1651:2018</t>
        </is>
      </c>
    </row>
    <row r="426" ht="19" customHeight="1">
      <c r="A426" s="6" t="n">
        <v>397</v>
      </c>
      <c r="B426" s="7" t="inlineStr">
        <is>
          <t>Cọc khoan nhồi C7 Mố M2 (D1.2m, L=36.0m)</t>
        </is>
      </c>
      <c r="C426" s="7" t="inlineStr">
        <is>
          <t>Đai tăng cường / Con kê bảo vệ</t>
        </is>
      </c>
      <c r="D426" s="18" t="inlineStr">
        <is>
          <t>P8</t>
        </is>
      </c>
      <c r="E426" s="19" t="n">
        <v>12</v>
      </c>
      <c r="F426" s="6" t="inlineStr">
        <is>
          <t>CB400-V</t>
        </is>
      </c>
      <c r="G426" s="7" t="inlineStr">
        <is>
          <t>Móc neo / Vòng đai</t>
        </is>
      </c>
      <c r="H426" s="20" t="n">
        <v>0.647</v>
      </c>
      <c r="I426" s="21" t="n">
        <v>15</v>
      </c>
      <c r="J426" s="22" t="n">
        <v>0.888</v>
      </c>
      <c r="K426" s="9">
        <f>ROUND(H426*I426*J426, 2)</f>
        <v/>
      </c>
      <c r="L426" s="23">
        <f>ROUND(K426/1000, 3)</f>
        <v/>
      </c>
      <c r="M426" s="8" t="n"/>
      <c r="N426" s="6" t="n"/>
      <c r="O426" s="24">
        <f>IF(AND(E426&lt;=10, F426&lt;&gt;"ASTM A416", INT(P426/20)&gt;INT(P425/20)), "TN Ø10 (Lần " &amp; INT(P426/20) &amp; ")", IF(AND(E426=12, INT(Q426/20)&gt;INT(Q425/20)), "TN Ø12 (Lần " &amp; INT(Q426/20) &amp; ")", IF(AND(E426=14, INT(R426/20)&gt;INT(R425/20)), "TN Ø14 (Lần " &amp; INT(R426/20) &amp; ")", IF(AND(E426=16, INT(S426/20)&gt;INT(S425/20)), "TN Ø16 (Lần " &amp; INT(S426/20) &amp; ")", IF(AND(E426=18, INT(T426/20)&gt;INT(T425/20)), "TN Ø18 (Lần " &amp; INT(T426/20) &amp; ")", IF(AND(E426=20, INT(U426/20)&gt;INT(U425/20)), "TN Ø20 (Lần " &amp; INT(U426/20) &amp; ")", IF(AND(E426=22, INT(V426/20)&gt;INT(V425/20)), "TN Ø22 (Lần " &amp; INT(V426/20) &amp; ")", IF(AND(E426=25, INT(W426/20)&gt;INT(W425/20)), "TN Ø25 (Lần " &amp; INT(W426/20) &amp; ")", IF(AND(E426=28, INT(X426/20)&gt;INT(X425/20)), "TN Ø28 (Lần " &amp; INT(X426/20) &amp; ")", IF(AND(E426=32, INT(Y426/20)&gt;INT(Y425/20)), "TN Ø32 (Lần " &amp; INT(Y426/20) &amp; ")", IF(AND(F426="ASTM A416", INT(Z426/20)&gt;INT(Z425/20)), "TN Cáp 15.2 (Lần " &amp; INT(Z426/20) &amp; ")", "")))))))))))</f>
        <v/>
      </c>
      <c r="P426" s="20">
        <f>ROUND(P425 + IF(AND(E426&lt;=10, F426&lt;&gt;"ASTM A416"), L426, 0), 3)</f>
        <v/>
      </c>
      <c r="Q426" s="20">
        <f>ROUND(Q425 + IF(AND(E426=12, F426&lt;&gt;"ASTM A416"), L426, 0), 3)</f>
        <v/>
      </c>
      <c r="R426" s="20">
        <f>ROUND(R425 + IF(AND(E426=14, F426&lt;&gt;"ASTM A416"), L426, 0), 3)</f>
        <v/>
      </c>
      <c r="S426" s="20">
        <f>ROUND(S425 + IF(AND(E426=16, F426&lt;&gt;"ASTM A416"), L426, 0), 3)</f>
        <v/>
      </c>
      <c r="T426" s="20">
        <f>ROUND(T425 + IF(AND(E426=18, F426&lt;&gt;"ASTM A416"), L426, 0), 3)</f>
        <v/>
      </c>
      <c r="U426" s="20">
        <f>ROUND(U425 + IF(AND(E426=20, F426&lt;&gt;"ASTM A416"), L426, 0), 3)</f>
        <v/>
      </c>
      <c r="V426" s="20">
        <f>ROUND(V425 + IF(AND(E426=22, F426&lt;&gt;"ASTM A416"), L426, 0), 3)</f>
        <v/>
      </c>
      <c r="W426" s="20">
        <f>ROUND(W425 + IF(AND(E426=25, F426&lt;&gt;"ASTM A416"), L426, 0), 3)</f>
        <v/>
      </c>
      <c r="X426" s="20">
        <f>ROUND(X425 + IF(AND(E426=28, F426&lt;&gt;"ASTM A416"), L426, 0), 3)</f>
        <v/>
      </c>
      <c r="Y426" s="20">
        <f>ROUND(Y425 + IF(AND(E426=32, F426&lt;&gt;"ASTM A416"), L426, 0), 3)</f>
        <v/>
      </c>
      <c r="Z426" s="20">
        <f>ROUND(Z425 + IF(F426="ASTM A416", L426, 0), 3)</f>
        <v/>
      </c>
      <c r="AA426" s="11">
        <f>IF(INT(P426/20)&gt;INT(P425/20), "Lần " &amp; INT(P426/20), "")</f>
        <v/>
      </c>
      <c r="AB426" s="11">
        <f>IF(INT(Q426/20)&gt;INT(Q425/20), "Lần " &amp; INT(Q426/20), "")</f>
        <v/>
      </c>
      <c r="AC426" s="11">
        <f>IF(INT(R426/20)&gt;INT(R425/20), "Lần " &amp; INT(R426/20), "")</f>
        <v/>
      </c>
      <c r="AD426" s="11">
        <f>IF(INT(S426/20)&gt;INT(S425/20), "Lần " &amp; INT(S426/20), "")</f>
        <v/>
      </c>
      <c r="AE426" s="11">
        <f>IF(INT(T426/20)&gt;INT(T425/20), "Lần " &amp; INT(T426/20), "")</f>
        <v/>
      </c>
      <c r="AF426" s="11">
        <f>IF(INT(U426/20)&gt;INT(U425/20), "Lần " &amp; INT(U426/20), "")</f>
        <v/>
      </c>
      <c r="AG426" s="11">
        <f>IF(INT(V426/20)&gt;INT(V425/20), "Lần " &amp; INT(V426/20), "")</f>
        <v/>
      </c>
      <c r="AH426" s="11">
        <f>IF(INT(W426/20)&gt;INT(W425/20), "Lần " &amp; INT(W426/20), "")</f>
        <v/>
      </c>
      <c r="AI426" s="11">
        <f>IF(INT(X426/20)&gt;INT(X425/20), "Lần " &amp; INT(X426/20), "")</f>
        <v/>
      </c>
      <c r="AJ426" s="11">
        <f>IF(INT(Y426/20)&gt;INT(Y425/20), "Lần " &amp; INT(Y426/20), "")</f>
        <v/>
      </c>
      <c r="AK426" s="11">
        <f>IF(INT(Z426/20)&gt;INT(Z425/20), "Lần " &amp; INT(Z426/20), "")</f>
        <v/>
      </c>
      <c r="AL426" s="6" t="inlineStr">
        <is>
          <t>ĐẠT TCVN 1651:2018</t>
        </is>
      </c>
    </row>
    <row r="427" ht="19" customHeight="1">
      <c r="A427" s="6" t="n">
        <v>398</v>
      </c>
      <c r="B427" s="7" t="inlineStr">
        <is>
          <t>Cọc khoan nhồi C7 Mố M2 (D1.2m, L=36.0m)</t>
        </is>
      </c>
      <c r="C427" s="7" t="inlineStr">
        <is>
          <t>Đai tăng cường / Con kê bảo vệ</t>
        </is>
      </c>
      <c r="D427" s="18" t="inlineStr">
        <is>
          <t>P9</t>
        </is>
      </c>
      <c r="E427" s="19" t="n">
        <v>12</v>
      </c>
      <c r="F427" s="6" t="inlineStr">
        <is>
          <t>CB400-V</t>
        </is>
      </c>
      <c r="G427" s="7" t="inlineStr">
        <is>
          <t>Móc neo / Vòng đai</t>
        </is>
      </c>
      <c r="H427" s="20" t="n">
        <v>0.379</v>
      </c>
      <c r="I427" s="21" t="n">
        <v>45</v>
      </c>
      <c r="J427" s="22" t="n">
        <v>0.888</v>
      </c>
      <c r="K427" s="9">
        <f>ROUND(H427*I427*J427, 2)</f>
        <v/>
      </c>
      <c r="L427" s="23">
        <f>ROUND(K427/1000, 3)</f>
        <v/>
      </c>
      <c r="M427" s="8" t="n"/>
      <c r="N427" s="6" t="n"/>
      <c r="O427" s="24">
        <f>IF(AND(E427&lt;=10, F427&lt;&gt;"ASTM A416", INT(P427/20)&gt;INT(P426/20)), "TN Ø10 (Lần " &amp; INT(P427/20) &amp; ")", IF(AND(E427=12, INT(Q427/20)&gt;INT(Q426/20)), "TN Ø12 (Lần " &amp; INT(Q427/20) &amp; ")", IF(AND(E427=14, INT(R427/20)&gt;INT(R426/20)), "TN Ø14 (Lần " &amp; INT(R427/20) &amp; ")", IF(AND(E427=16, INT(S427/20)&gt;INT(S426/20)), "TN Ø16 (Lần " &amp; INT(S427/20) &amp; ")", IF(AND(E427=18, INT(T427/20)&gt;INT(T426/20)), "TN Ø18 (Lần " &amp; INT(T427/20) &amp; ")", IF(AND(E427=20, INT(U427/20)&gt;INT(U426/20)), "TN Ø20 (Lần " &amp; INT(U427/20) &amp; ")", IF(AND(E427=22, INT(V427/20)&gt;INT(V426/20)), "TN Ø22 (Lần " &amp; INT(V427/20) &amp; ")", IF(AND(E427=25, INT(W427/20)&gt;INT(W426/20)), "TN Ø25 (Lần " &amp; INT(W427/20) &amp; ")", IF(AND(E427=28, INT(X427/20)&gt;INT(X426/20)), "TN Ø28 (Lần " &amp; INT(X427/20) &amp; ")", IF(AND(E427=32, INT(Y427/20)&gt;INT(Y426/20)), "TN Ø32 (Lần " &amp; INT(Y427/20) &amp; ")", IF(AND(F427="ASTM A416", INT(Z427/20)&gt;INT(Z426/20)), "TN Cáp 15.2 (Lần " &amp; INT(Z427/20) &amp; ")", "")))))))))))</f>
        <v/>
      </c>
      <c r="P427" s="20">
        <f>ROUND(P426 + IF(AND(E427&lt;=10, F427&lt;&gt;"ASTM A416"), L427, 0), 3)</f>
        <v/>
      </c>
      <c r="Q427" s="20">
        <f>ROUND(Q426 + IF(AND(E427=12, F427&lt;&gt;"ASTM A416"), L427, 0), 3)</f>
        <v/>
      </c>
      <c r="R427" s="20">
        <f>ROUND(R426 + IF(AND(E427=14, F427&lt;&gt;"ASTM A416"), L427, 0), 3)</f>
        <v/>
      </c>
      <c r="S427" s="20">
        <f>ROUND(S426 + IF(AND(E427=16, F427&lt;&gt;"ASTM A416"), L427, 0), 3)</f>
        <v/>
      </c>
      <c r="T427" s="20">
        <f>ROUND(T426 + IF(AND(E427=18, F427&lt;&gt;"ASTM A416"), L427, 0), 3)</f>
        <v/>
      </c>
      <c r="U427" s="20">
        <f>ROUND(U426 + IF(AND(E427=20, F427&lt;&gt;"ASTM A416"), L427, 0), 3)</f>
        <v/>
      </c>
      <c r="V427" s="20">
        <f>ROUND(V426 + IF(AND(E427=22, F427&lt;&gt;"ASTM A416"), L427, 0), 3)</f>
        <v/>
      </c>
      <c r="W427" s="20">
        <f>ROUND(W426 + IF(AND(E427=25, F427&lt;&gt;"ASTM A416"), L427, 0), 3)</f>
        <v/>
      </c>
      <c r="X427" s="20">
        <f>ROUND(X426 + IF(AND(E427=28, F427&lt;&gt;"ASTM A416"), L427, 0), 3)</f>
        <v/>
      </c>
      <c r="Y427" s="20">
        <f>ROUND(Y426 + IF(AND(E427=32, F427&lt;&gt;"ASTM A416"), L427, 0), 3)</f>
        <v/>
      </c>
      <c r="Z427" s="20">
        <f>ROUND(Z426 + IF(F427="ASTM A416", L427, 0), 3)</f>
        <v/>
      </c>
      <c r="AA427" s="11">
        <f>IF(INT(P427/20)&gt;INT(P426/20), "Lần " &amp; INT(P427/20), "")</f>
        <v/>
      </c>
      <c r="AB427" s="11">
        <f>IF(INT(Q427/20)&gt;INT(Q426/20), "Lần " &amp; INT(Q427/20), "")</f>
        <v/>
      </c>
      <c r="AC427" s="11">
        <f>IF(INT(R427/20)&gt;INT(R426/20), "Lần " &amp; INT(R427/20), "")</f>
        <v/>
      </c>
      <c r="AD427" s="11">
        <f>IF(INT(S427/20)&gt;INT(S426/20), "Lần " &amp; INT(S427/20), "")</f>
        <v/>
      </c>
      <c r="AE427" s="11">
        <f>IF(INT(T427/20)&gt;INT(T426/20), "Lần " &amp; INT(T427/20), "")</f>
        <v/>
      </c>
      <c r="AF427" s="11">
        <f>IF(INT(U427/20)&gt;INT(U426/20), "Lần " &amp; INT(U427/20), "")</f>
        <v/>
      </c>
      <c r="AG427" s="11">
        <f>IF(INT(V427/20)&gt;INT(V426/20), "Lần " &amp; INT(V427/20), "")</f>
        <v/>
      </c>
      <c r="AH427" s="11">
        <f>IF(INT(W427/20)&gt;INT(W426/20), "Lần " &amp; INT(W427/20), "")</f>
        <v/>
      </c>
      <c r="AI427" s="11">
        <f>IF(INT(X427/20)&gt;INT(X426/20), "Lần " &amp; INT(X427/20), "")</f>
        <v/>
      </c>
      <c r="AJ427" s="11">
        <f>IF(INT(Y427/20)&gt;INT(Y426/20), "Lần " &amp; INT(Y427/20), "")</f>
        <v/>
      </c>
      <c r="AK427" s="11">
        <f>IF(INT(Z427/20)&gt;INT(Z426/20), "Lần " &amp; INT(Z427/20), "")</f>
        <v/>
      </c>
      <c r="AL427" s="6" t="inlineStr">
        <is>
          <t>ĐẠT TCVN 1651:2018</t>
        </is>
      </c>
    </row>
    <row r="428" ht="19" customHeight="1">
      <c r="A428" s="6" t="n">
        <v>399</v>
      </c>
      <c r="B428" s="7" t="inlineStr">
        <is>
          <t>Cọc khoan nhồi C7 Mố M2 (D1.2m, L=36.0m)</t>
        </is>
      </c>
      <c r="C428" s="7" t="inlineStr">
        <is>
          <t>Thép đai xoắn lồng cọc</t>
        </is>
      </c>
      <c r="D428" s="18" t="inlineStr">
        <is>
          <t>P10</t>
        </is>
      </c>
      <c r="E428" s="19" t="n">
        <v>20</v>
      </c>
      <c r="F428" s="6" t="inlineStr">
        <is>
          <t>CB400-V</t>
        </is>
      </c>
      <c r="G428" s="7" t="inlineStr">
        <is>
          <t>Đai xoắn tròn</t>
        </is>
      </c>
      <c r="H428" s="20" t="n">
        <v>2.057</v>
      </c>
      <c r="I428" s="21" t="n">
        <v>1</v>
      </c>
      <c r="J428" s="22" t="n">
        <v>2.47</v>
      </c>
      <c r="K428" s="9">
        <f>ROUND(H428*I428*J428, 2)</f>
        <v/>
      </c>
      <c r="L428" s="23">
        <f>ROUND(K428/1000, 3)</f>
        <v/>
      </c>
      <c r="M428" s="8" t="n"/>
      <c r="N428" s="6" t="n"/>
      <c r="O428" s="24">
        <f>IF(AND(E428&lt;=10, F428&lt;&gt;"ASTM A416", INT(P428/20)&gt;INT(P427/20)), "TN Ø10 (Lần " &amp; INT(P428/20) &amp; ")", IF(AND(E428=12, INT(Q428/20)&gt;INT(Q427/20)), "TN Ø12 (Lần " &amp; INT(Q428/20) &amp; ")", IF(AND(E428=14, INT(R428/20)&gt;INT(R427/20)), "TN Ø14 (Lần " &amp; INT(R428/20) &amp; ")", IF(AND(E428=16, INT(S428/20)&gt;INT(S427/20)), "TN Ø16 (Lần " &amp; INT(S428/20) &amp; ")", IF(AND(E428=18, INT(T428/20)&gt;INT(T427/20)), "TN Ø18 (Lần " &amp; INT(T428/20) &amp; ")", IF(AND(E428=20, INT(U428/20)&gt;INT(U427/20)), "TN Ø20 (Lần " &amp; INT(U428/20) &amp; ")", IF(AND(E428=22, INT(V428/20)&gt;INT(V427/20)), "TN Ø22 (Lần " &amp; INT(V428/20) &amp; ")", IF(AND(E428=25, INT(W428/20)&gt;INT(W427/20)), "TN Ø25 (Lần " &amp; INT(W428/20) &amp; ")", IF(AND(E428=28, INT(X428/20)&gt;INT(X427/20)), "TN Ø28 (Lần " &amp; INT(X428/20) &amp; ")", IF(AND(E428=32, INT(Y428/20)&gt;INT(Y427/20)), "TN Ø32 (Lần " &amp; INT(Y428/20) &amp; ")", IF(AND(F428="ASTM A416", INT(Z428/20)&gt;INT(Z427/20)), "TN Cáp 15.2 (Lần " &amp; INT(Z428/20) &amp; ")", "")))))))))))</f>
        <v/>
      </c>
      <c r="P428" s="20">
        <f>ROUND(P427 + IF(AND(E428&lt;=10, F428&lt;&gt;"ASTM A416"), L428, 0), 3)</f>
        <v/>
      </c>
      <c r="Q428" s="20">
        <f>ROUND(Q427 + IF(AND(E428=12, F428&lt;&gt;"ASTM A416"), L428, 0), 3)</f>
        <v/>
      </c>
      <c r="R428" s="20">
        <f>ROUND(R427 + IF(AND(E428=14, F428&lt;&gt;"ASTM A416"), L428, 0), 3)</f>
        <v/>
      </c>
      <c r="S428" s="20">
        <f>ROUND(S427 + IF(AND(E428=16, F428&lt;&gt;"ASTM A416"), L428, 0), 3)</f>
        <v/>
      </c>
      <c r="T428" s="20">
        <f>ROUND(T427 + IF(AND(E428=18, F428&lt;&gt;"ASTM A416"), L428, 0), 3)</f>
        <v/>
      </c>
      <c r="U428" s="20">
        <f>ROUND(U427 + IF(AND(E428=20, F428&lt;&gt;"ASTM A416"), L428, 0), 3)</f>
        <v/>
      </c>
      <c r="V428" s="20">
        <f>ROUND(V427 + IF(AND(E428=22, F428&lt;&gt;"ASTM A416"), L428, 0), 3)</f>
        <v/>
      </c>
      <c r="W428" s="20">
        <f>ROUND(W427 + IF(AND(E428=25, F428&lt;&gt;"ASTM A416"), L428, 0), 3)</f>
        <v/>
      </c>
      <c r="X428" s="20">
        <f>ROUND(X427 + IF(AND(E428=28, F428&lt;&gt;"ASTM A416"), L428, 0), 3)</f>
        <v/>
      </c>
      <c r="Y428" s="20">
        <f>ROUND(Y427 + IF(AND(E428=32, F428&lt;&gt;"ASTM A416"), L428, 0), 3)</f>
        <v/>
      </c>
      <c r="Z428" s="20">
        <f>ROUND(Z427 + IF(F428="ASTM A416", L428, 0), 3)</f>
        <v/>
      </c>
      <c r="AA428" s="11">
        <f>IF(INT(P428/20)&gt;INT(P427/20), "Lần " &amp; INT(P428/20), "")</f>
        <v/>
      </c>
      <c r="AB428" s="11">
        <f>IF(INT(Q428/20)&gt;INT(Q427/20), "Lần " &amp; INT(Q428/20), "")</f>
        <v/>
      </c>
      <c r="AC428" s="11">
        <f>IF(INT(R428/20)&gt;INT(R427/20), "Lần " &amp; INT(R428/20), "")</f>
        <v/>
      </c>
      <c r="AD428" s="11">
        <f>IF(INT(S428/20)&gt;INT(S427/20), "Lần " &amp; INT(S428/20), "")</f>
        <v/>
      </c>
      <c r="AE428" s="11">
        <f>IF(INT(T428/20)&gt;INT(T427/20), "Lần " &amp; INT(T428/20), "")</f>
        <v/>
      </c>
      <c r="AF428" s="11">
        <f>IF(INT(U428/20)&gt;INT(U427/20), "Lần " &amp; INT(U428/20), "")</f>
        <v/>
      </c>
      <c r="AG428" s="11">
        <f>IF(INT(V428/20)&gt;INT(V427/20), "Lần " &amp; INT(V428/20), "")</f>
        <v/>
      </c>
      <c r="AH428" s="11">
        <f>IF(INT(W428/20)&gt;INT(W427/20), "Lần " &amp; INT(W428/20), "")</f>
        <v/>
      </c>
      <c r="AI428" s="11">
        <f>IF(INT(X428/20)&gt;INT(X427/20), "Lần " &amp; INT(X428/20), "")</f>
        <v/>
      </c>
      <c r="AJ428" s="11">
        <f>IF(INT(Y428/20)&gt;INT(Y427/20), "Lần " &amp; INT(Y428/20), "")</f>
        <v/>
      </c>
      <c r="AK428" s="11">
        <f>IF(INT(Z428/20)&gt;INT(Z427/20), "Lần " &amp; INT(Z428/20), "")</f>
        <v/>
      </c>
      <c r="AL428" s="6" t="inlineStr">
        <is>
          <t>ĐẠT TCVN 1651:2018</t>
        </is>
      </c>
    </row>
    <row r="429" ht="19" customHeight="1">
      <c r="A429" s="6" t="n">
        <v>400</v>
      </c>
      <c r="B429" s="7" t="inlineStr">
        <is>
          <t>Cọc khoan nhồi C7 Mố M2 (D1.2m, L=36.0m)</t>
        </is>
      </c>
      <c r="C429" s="7" t="inlineStr">
        <is>
          <t>Thanh thép treo lồng cọc</t>
        </is>
      </c>
      <c r="D429" s="18" t="inlineStr">
        <is>
          <t>P11</t>
        </is>
      </c>
      <c r="E429" s="19" t="n">
        <v>16</v>
      </c>
      <c r="F429" s="6" t="inlineStr">
        <is>
          <t>CB400-V</t>
        </is>
      </c>
      <c r="G429" s="7" t="inlineStr">
        <is>
          <t>Thanh treo lồng (bảng phụ tr.66)</t>
        </is>
      </c>
      <c r="H429" s="20" t="n">
        <v>2.484</v>
      </c>
      <c r="I429" s="21" t="n">
        <v>4</v>
      </c>
      <c r="J429" s="22" t="n">
        <v>1.58</v>
      </c>
      <c r="K429" s="9">
        <f>ROUND(H429*I429*J429, 2)</f>
        <v/>
      </c>
      <c r="L429" s="23">
        <f>ROUND(K429/1000, 3)</f>
        <v/>
      </c>
      <c r="M429" s="8" t="n"/>
      <c r="N429" s="6" t="n"/>
      <c r="O429" s="24">
        <f>IF(AND(E429&lt;=10, F429&lt;&gt;"ASTM A416", INT(P429/20)&gt;INT(P428/20)), "TN Ø10 (Lần " &amp; INT(P429/20) &amp; ")", IF(AND(E429=12, INT(Q429/20)&gt;INT(Q428/20)), "TN Ø12 (Lần " &amp; INT(Q429/20) &amp; ")", IF(AND(E429=14, INT(R429/20)&gt;INT(R428/20)), "TN Ø14 (Lần " &amp; INT(R429/20) &amp; ")", IF(AND(E429=16, INT(S429/20)&gt;INT(S428/20)), "TN Ø16 (Lần " &amp; INT(S429/20) &amp; ")", IF(AND(E429=18, INT(T429/20)&gt;INT(T428/20)), "TN Ø18 (Lần " &amp; INT(T429/20) &amp; ")", IF(AND(E429=20, INT(U429/20)&gt;INT(U428/20)), "TN Ø20 (Lần " &amp; INT(U429/20) &amp; ")", IF(AND(E429=22, INT(V429/20)&gt;INT(V428/20)), "TN Ø22 (Lần " &amp; INT(V429/20) &amp; ")", IF(AND(E429=25, INT(W429/20)&gt;INT(W428/20)), "TN Ø25 (Lần " &amp; INT(W429/20) &amp; ")", IF(AND(E429=28, INT(X429/20)&gt;INT(X428/20)), "TN Ø28 (Lần " &amp; INT(X429/20) &amp; ")", IF(AND(E429=32, INT(Y429/20)&gt;INT(Y428/20)), "TN Ø32 (Lần " &amp; INT(Y429/20) &amp; ")", IF(AND(F429="ASTM A416", INT(Z429/20)&gt;INT(Z428/20)), "TN Cáp 15.2 (Lần " &amp; INT(Z429/20) &amp; ")", "")))))))))))</f>
        <v/>
      </c>
      <c r="P429" s="20">
        <f>ROUND(P428 + IF(AND(E429&lt;=10, F429&lt;&gt;"ASTM A416"), L429, 0), 3)</f>
        <v/>
      </c>
      <c r="Q429" s="20">
        <f>ROUND(Q428 + IF(AND(E429=12, F429&lt;&gt;"ASTM A416"), L429, 0), 3)</f>
        <v/>
      </c>
      <c r="R429" s="20">
        <f>ROUND(R428 + IF(AND(E429=14, F429&lt;&gt;"ASTM A416"), L429, 0), 3)</f>
        <v/>
      </c>
      <c r="S429" s="20">
        <f>ROUND(S428 + IF(AND(E429=16, F429&lt;&gt;"ASTM A416"), L429, 0), 3)</f>
        <v/>
      </c>
      <c r="T429" s="20">
        <f>ROUND(T428 + IF(AND(E429=18, F429&lt;&gt;"ASTM A416"), L429, 0), 3)</f>
        <v/>
      </c>
      <c r="U429" s="20">
        <f>ROUND(U428 + IF(AND(E429=20, F429&lt;&gt;"ASTM A416"), L429, 0), 3)</f>
        <v/>
      </c>
      <c r="V429" s="20">
        <f>ROUND(V428 + IF(AND(E429=22, F429&lt;&gt;"ASTM A416"), L429, 0), 3)</f>
        <v/>
      </c>
      <c r="W429" s="20">
        <f>ROUND(W428 + IF(AND(E429=25, F429&lt;&gt;"ASTM A416"), L429, 0), 3)</f>
        <v/>
      </c>
      <c r="X429" s="20">
        <f>ROUND(X428 + IF(AND(E429=28, F429&lt;&gt;"ASTM A416"), L429, 0), 3)</f>
        <v/>
      </c>
      <c r="Y429" s="20">
        <f>ROUND(Y428 + IF(AND(E429=32, F429&lt;&gt;"ASTM A416"), L429, 0), 3)</f>
        <v/>
      </c>
      <c r="Z429" s="20">
        <f>ROUND(Z428 + IF(F429="ASTM A416", L429, 0), 3)</f>
        <v/>
      </c>
      <c r="AA429" s="11">
        <f>IF(INT(P429/20)&gt;INT(P428/20), "Lần " &amp; INT(P429/20), "")</f>
        <v/>
      </c>
      <c r="AB429" s="11">
        <f>IF(INT(Q429/20)&gt;INT(Q428/20), "Lần " &amp; INT(Q429/20), "")</f>
        <v/>
      </c>
      <c r="AC429" s="11">
        <f>IF(INT(R429/20)&gt;INT(R428/20), "Lần " &amp; INT(R429/20), "")</f>
        <v/>
      </c>
      <c r="AD429" s="11">
        <f>IF(INT(S429/20)&gt;INT(S428/20), "Lần " &amp; INT(S429/20), "")</f>
        <v/>
      </c>
      <c r="AE429" s="11">
        <f>IF(INT(T429/20)&gt;INT(T428/20), "Lần " &amp; INT(T429/20), "")</f>
        <v/>
      </c>
      <c r="AF429" s="11">
        <f>IF(INT(U429/20)&gt;INT(U428/20), "Lần " &amp; INT(U429/20), "")</f>
        <v/>
      </c>
      <c r="AG429" s="11">
        <f>IF(INT(V429/20)&gt;INT(V428/20), "Lần " &amp; INT(V429/20), "")</f>
        <v/>
      </c>
      <c r="AH429" s="11">
        <f>IF(INT(W429/20)&gt;INT(W428/20), "Lần " &amp; INT(W429/20), "")</f>
        <v/>
      </c>
      <c r="AI429" s="11">
        <f>IF(INT(X429/20)&gt;INT(X428/20), "Lần " &amp; INT(X429/20), "")</f>
        <v/>
      </c>
      <c r="AJ429" s="11">
        <f>IF(INT(Y429/20)&gt;INT(Y428/20), "Lần " &amp; INT(Y429/20), "")</f>
        <v/>
      </c>
      <c r="AK429" s="11">
        <f>IF(INT(Z429/20)&gt;INT(Z428/20), "Lần " &amp; INT(Z429/20), "")</f>
        <v/>
      </c>
      <c r="AL429" s="6" t="inlineStr">
        <is>
          <t>ĐẠT TCVN 1651:2018</t>
        </is>
      </c>
    </row>
    <row r="430" ht="19" customHeight="1">
      <c r="A430" s="6" t="n">
        <v>401</v>
      </c>
      <c r="B430" s="7" t="inlineStr">
        <is>
          <t>Cọc khoan nhồi C7 Mố M2 (D1.2m, L=36.0m)</t>
        </is>
      </c>
      <c r="C430" s="7" t="inlineStr">
        <is>
          <t>Thép đai xoắn lồng cọc</t>
        </is>
      </c>
      <c r="D430" s="18" t="inlineStr">
        <is>
          <t>P12</t>
        </is>
      </c>
      <c r="E430" s="19" t="n">
        <v>20</v>
      </c>
      <c r="F430" s="6" t="inlineStr">
        <is>
          <t>CB400-V</t>
        </is>
      </c>
      <c r="G430" s="7" t="inlineStr">
        <is>
          <t>Đai xoắn tròn</t>
        </is>
      </c>
      <c r="H430" s="20" t="n">
        <v>0.583</v>
      </c>
      <c r="I430" s="21" t="n">
        <v>60</v>
      </c>
      <c r="J430" s="22" t="n">
        <v>2.47</v>
      </c>
      <c r="K430" s="9">
        <f>ROUND(H430*I430*J430, 2)</f>
        <v/>
      </c>
      <c r="L430" s="23">
        <f>ROUND(K430/1000, 3)</f>
        <v/>
      </c>
      <c r="M430" s="8" t="n"/>
      <c r="N430" s="6" t="n"/>
      <c r="O430" s="24">
        <f>IF(AND(E430&lt;=10, F430&lt;&gt;"ASTM A416", INT(P430/20)&gt;INT(P429/20)), "TN Ø10 (Lần " &amp; INT(P430/20) &amp; ")", IF(AND(E430=12, INT(Q430/20)&gt;INT(Q429/20)), "TN Ø12 (Lần " &amp; INT(Q430/20) &amp; ")", IF(AND(E430=14, INT(R430/20)&gt;INT(R429/20)), "TN Ø14 (Lần " &amp; INT(R430/20) &amp; ")", IF(AND(E430=16, INT(S430/20)&gt;INT(S429/20)), "TN Ø16 (Lần " &amp; INT(S430/20) &amp; ")", IF(AND(E430=18, INT(T430/20)&gt;INT(T429/20)), "TN Ø18 (Lần " &amp; INT(T430/20) &amp; ")", IF(AND(E430=20, INT(U430/20)&gt;INT(U429/20)), "TN Ø20 (Lần " &amp; INT(U430/20) &amp; ")", IF(AND(E430=22, INT(V430/20)&gt;INT(V429/20)), "TN Ø22 (Lần " &amp; INT(V430/20) &amp; ")", IF(AND(E430=25, INT(W430/20)&gt;INT(W429/20)), "TN Ø25 (Lần " &amp; INT(W430/20) &amp; ")", IF(AND(E430=28, INT(X430/20)&gt;INT(X429/20)), "TN Ø28 (Lần " &amp; INT(X430/20) &amp; ")", IF(AND(E430=32, INT(Y430/20)&gt;INT(Y429/20)), "TN Ø32 (Lần " &amp; INT(Y430/20) &amp; ")", IF(AND(F430="ASTM A416", INT(Z430/20)&gt;INT(Z429/20)), "TN Cáp 15.2 (Lần " &amp; INT(Z430/20) &amp; ")", "")))))))))))</f>
        <v/>
      </c>
      <c r="P430" s="20">
        <f>ROUND(P429 + IF(AND(E430&lt;=10, F430&lt;&gt;"ASTM A416"), L430, 0), 3)</f>
        <v/>
      </c>
      <c r="Q430" s="20">
        <f>ROUND(Q429 + IF(AND(E430=12, F430&lt;&gt;"ASTM A416"), L430, 0), 3)</f>
        <v/>
      </c>
      <c r="R430" s="20">
        <f>ROUND(R429 + IF(AND(E430=14, F430&lt;&gt;"ASTM A416"), L430, 0), 3)</f>
        <v/>
      </c>
      <c r="S430" s="20">
        <f>ROUND(S429 + IF(AND(E430=16, F430&lt;&gt;"ASTM A416"), L430, 0), 3)</f>
        <v/>
      </c>
      <c r="T430" s="20">
        <f>ROUND(T429 + IF(AND(E430=18, F430&lt;&gt;"ASTM A416"), L430, 0), 3)</f>
        <v/>
      </c>
      <c r="U430" s="20">
        <f>ROUND(U429 + IF(AND(E430=20, F430&lt;&gt;"ASTM A416"), L430, 0), 3)</f>
        <v/>
      </c>
      <c r="V430" s="20">
        <f>ROUND(V429 + IF(AND(E430=22, F430&lt;&gt;"ASTM A416"), L430, 0), 3)</f>
        <v/>
      </c>
      <c r="W430" s="20">
        <f>ROUND(W429 + IF(AND(E430=25, F430&lt;&gt;"ASTM A416"), L430, 0), 3)</f>
        <v/>
      </c>
      <c r="X430" s="20">
        <f>ROUND(X429 + IF(AND(E430=28, F430&lt;&gt;"ASTM A416"), L430, 0), 3)</f>
        <v/>
      </c>
      <c r="Y430" s="20">
        <f>ROUND(Y429 + IF(AND(E430=32, F430&lt;&gt;"ASTM A416"), L430, 0), 3)</f>
        <v/>
      </c>
      <c r="Z430" s="20">
        <f>ROUND(Z429 + IF(F430="ASTM A416", L430, 0), 3)</f>
        <v/>
      </c>
      <c r="AA430" s="11">
        <f>IF(INT(P430/20)&gt;INT(P429/20), "Lần " &amp; INT(P430/20), "")</f>
        <v/>
      </c>
      <c r="AB430" s="11">
        <f>IF(INT(Q430/20)&gt;INT(Q429/20), "Lần " &amp; INT(Q430/20), "")</f>
        <v/>
      </c>
      <c r="AC430" s="11">
        <f>IF(INT(R430/20)&gt;INT(R429/20), "Lần " &amp; INT(R430/20), "")</f>
        <v/>
      </c>
      <c r="AD430" s="11">
        <f>IF(INT(S430/20)&gt;INT(S429/20), "Lần " &amp; INT(S430/20), "")</f>
        <v/>
      </c>
      <c r="AE430" s="11">
        <f>IF(INT(T430/20)&gt;INT(T429/20), "Lần " &amp; INT(T430/20), "")</f>
        <v/>
      </c>
      <c r="AF430" s="11">
        <f>IF(INT(U430/20)&gt;INT(U429/20), "Lần " &amp; INT(U430/20), "")</f>
        <v/>
      </c>
      <c r="AG430" s="11">
        <f>IF(INT(V430/20)&gt;INT(V429/20), "Lần " &amp; INT(V430/20), "")</f>
        <v/>
      </c>
      <c r="AH430" s="11">
        <f>IF(INT(W430/20)&gt;INT(W429/20), "Lần " &amp; INT(W430/20), "")</f>
        <v/>
      </c>
      <c r="AI430" s="11">
        <f>IF(INT(X430/20)&gt;INT(X429/20), "Lần " &amp; INT(X430/20), "")</f>
        <v/>
      </c>
      <c r="AJ430" s="11">
        <f>IF(INT(Y430/20)&gt;INT(Y429/20), "Lần " &amp; INT(Y430/20), "")</f>
        <v/>
      </c>
      <c r="AK430" s="11">
        <f>IF(INT(Z430/20)&gt;INT(Z429/20), "Lần " &amp; INT(Z430/20), "")</f>
        <v/>
      </c>
      <c r="AL430" s="6" t="inlineStr">
        <is>
          <t>ĐẠT TCVN 1651:2018</t>
        </is>
      </c>
    </row>
    <row r="431" ht="20" customHeight="1">
      <c r="A431" s="17" t="inlineStr">
        <is>
          <t>--- ĐOẠN CỌC NỐI THÍ NGHIỆM PDA SỨC CHỊU TẢI CỌC ---</t>
        </is>
      </c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5" t="n"/>
      <c r="AE431" s="5" t="n"/>
      <c r="AF431" s="5" t="n"/>
      <c r="AG431" s="5" t="n"/>
      <c r="AH431" s="5" t="n"/>
      <c r="AI431" s="5" t="n"/>
      <c r="AJ431" s="5" t="n"/>
      <c r="AK431" s="5" t="n"/>
      <c r="AL431" s="5" t="n"/>
    </row>
    <row r="432" ht="19" customHeight="1">
      <c r="A432" s="6" t="n">
        <v>402</v>
      </c>
      <c r="B432" s="7" t="inlineStr">
        <is>
          <t>Cọc nối PDA</t>
        </is>
      </c>
      <c r="C432" s="7" t="inlineStr">
        <is>
          <t>Gia cường thí nghiệm nén động PDA</t>
        </is>
      </c>
      <c r="D432" s="18" t="inlineStr">
        <is>
          <t>P1</t>
        </is>
      </c>
      <c r="E432" s="19" t="n">
        <v>16</v>
      </c>
      <c r="F432" s="6" t="inlineStr">
        <is>
          <t>CB400-V</t>
        </is>
      </c>
      <c r="G432" s="7" t="inlineStr">
        <is>
          <t>Đai tròn định hình</t>
        </is>
      </c>
      <c r="H432" s="20" t="n">
        <v>77.76000000000001</v>
      </c>
      <c r="I432" s="21" t="n">
        <v>123</v>
      </c>
      <c r="J432" s="22" t="n">
        <v>1.576</v>
      </c>
      <c r="K432" s="9">
        <f>ROUND(H432*I432*J432, 2)</f>
        <v/>
      </c>
      <c r="L432" s="23">
        <f>ROUND(K432/1000, 3)</f>
        <v/>
      </c>
      <c r="M432" s="8" t="n"/>
      <c r="N432" s="6" t="n"/>
      <c r="O432" s="24">
        <f>IF(AND(E432&lt;=10, F432&lt;&gt;"ASTM A416", INT(P432/20)&gt;INT(P430/20)), "TN Ø10 (Lần " &amp; INT(P432/20) &amp; ")", IF(AND(E432=12, INT(Q432/20)&gt;INT(Q430/20)), "TN Ø12 (Lần " &amp; INT(Q432/20) &amp; ")", IF(AND(E432=14, INT(R432/20)&gt;INT(R430/20)), "TN Ø14 (Lần " &amp; INT(R432/20) &amp; ")", IF(AND(E432=16, INT(S432/20)&gt;INT(S430/20)), "TN Ø16 (Lần " &amp; INT(S432/20) &amp; ")", IF(AND(E432=18, INT(T432/20)&gt;INT(T430/20)), "TN Ø18 (Lần " &amp; INT(T432/20) &amp; ")", IF(AND(E432=20, INT(U432/20)&gt;INT(U430/20)), "TN Ø20 (Lần " &amp; INT(U432/20) &amp; ")", IF(AND(E432=22, INT(V432/20)&gt;INT(V430/20)), "TN Ø22 (Lần " &amp; INT(V432/20) &amp; ")", IF(AND(E432=25, INT(W432/20)&gt;INT(W430/20)), "TN Ø25 (Lần " &amp; INT(W432/20) &amp; ")", IF(AND(E432=28, INT(X432/20)&gt;INT(X430/20)), "TN Ø28 (Lần " &amp; INT(X432/20) &amp; ")", IF(AND(E432=32, INT(Y432/20)&gt;INT(Y430/20)), "TN Ø32 (Lần " &amp; INT(Y432/20) &amp; ")", IF(AND(F432="ASTM A416", INT(Z432/20)&gt;INT(Z430/20)), "TN Cáp 15.2 (Lần " &amp; INT(Z432/20) &amp; ")", "")))))))))))</f>
        <v/>
      </c>
      <c r="P432" s="20">
        <f>ROUND(P430 + IF(AND(E432&lt;=10, F432&lt;&gt;"ASTM A416"), L432, 0), 3)</f>
        <v/>
      </c>
      <c r="Q432" s="20">
        <f>ROUND(Q430 + IF(AND(E432=12, F432&lt;&gt;"ASTM A416"), L432, 0), 3)</f>
        <v/>
      </c>
      <c r="R432" s="20">
        <f>ROUND(R430 + IF(AND(E432=14, F432&lt;&gt;"ASTM A416"), L432, 0), 3)</f>
        <v/>
      </c>
      <c r="S432" s="20">
        <f>ROUND(S430 + IF(AND(E432=16, F432&lt;&gt;"ASTM A416"), L432, 0), 3)</f>
        <v/>
      </c>
      <c r="T432" s="20">
        <f>ROUND(T430 + IF(AND(E432=18, F432&lt;&gt;"ASTM A416"), L432, 0), 3)</f>
        <v/>
      </c>
      <c r="U432" s="20">
        <f>ROUND(U430 + IF(AND(E432=20, F432&lt;&gt;"ASTM A416"), L432, 0), 3)</f>
        <v/>
      </c>
      <c r="V432" s="20">
        <f>ROUND(V430 + IF(AND(E432=22, F432&lt;&gt;"ASTM A416"), L432, 0), 3)</f>
        <v/>
      </c>
      <c r="W432" s="20">
        <f>ROUND(W430 + IF(AND(E432=25, F432&lt;&gt;"ASTM A416"), L432, 0), 3)</f>
        <v/>
      </c>
      <c r="X432" s="20">
        <f>ROUND(X430 + IF(AND(E432=28, F432&lt;&gt;"ASTM A416"), L432, 0), 3)</f>
        <v/>
      </c>
      <c r="Y432" s="20">
        <f>ROUND(Y430 + IF(AND(E432=32, F432&lt;&gt;"ASTM A416"), L432, 0), 3)</f>
        <v/>
      </c>
      <c r="Z432" s="20">
        <f>ROUND(Z430 + IF(F432="ASTM A416", L432, 0), 3)</f>
        <v/>
      </c>
      <c r="AA432" s="11">
        <f>IF(INT(P432/20)&gt;INT(P430/20), "Lần " &amp; INT(P432/20), "")</f>
        <v/>
      </c>
      <c r="AB432" s="11">
        <f>IF(INT(Q432/20)&gt;INT(Q430/20), "Lần " &amp; INT(Q432/20), "")</f>
        <v/>
      </c>
      <c r="AC432" s="11">
        <f>IF(INT(R432/20)&gt;INT(R430/20), "Lần " &amp; INT(R432/20), "")</f>
        <v/>
      </c>
      <c r="AD432" s="11">
        <f>IF(INT(S432/20)&gt;INT(S430/20), "Lần " &amp; INT(S432/20), "")</f>
        <v/>
      </c>
      <c r="AE432" s="11">
        <f>IF(INT(T432/20)&gt;INT(T430/20), "Lần " &amp; INT(T432/20), "")</f>
        <v/>
      </c>
      <c r="AF432" s="11">
        <f>IF(INT(U432/20)&gt;INT(U430/20), "Lần " &amp; INT(U432/20), "")</f>
        <v/>
      </c>
      <c r="AG432" s="11">
        <f>IF(INT(V432/20)&gt;INT(V430/20), "Lần " &amp; INT(V432/20), "")</f>
        <v/>
      </c>
      <c r="AH432" s="11">
        <f>IF(INT(W432/20)&gt;INT(W430/20), "Lần " &amp; INT(W432/20), "")</f>
        <v/>
      </c>
      <c r="AI432" s="11">
        <f>IF(INT(X432/20)&gt;INT(X430/20), "Lần " &amp; INT(X432/20), "")</f>
        <v/>
      </c>
      <c r="AJ432" s="11">
        <f>IF(INT(Y432/20)&gt;INT(Y430/20), "Lần " &amp; INT(Y432/20), "")</f>
        <v/>
      </c>
      <c r="AK432" s="11">
        <f>IF(INT(Z432/20)&gt;INT(Z430/20), "Lần " &amp; INT(Z432/20), "")</f>
        <v/>
      </c>
      <c r="AL432" s="6" t="inlineStr">
        <is>
          <t>ĐẠT TCVN 1651:2018</t>
        </is>
      </c>
    </row>
    <row r="433" ht="19" customHeight="1">
      <c r="A433" s="6" t="n">
        <v>403</v>
      </c>
      <c r="B433" s="7" t="inlineStr">
        <is>
          <t>Cọc nối PDA</t>
        </is>
      </c>
      <c r="C433" s="7" t="inlineStr">
        <is>
          <t>Gia cường thí nghiệm nén động PDA</t>
        </is>
      </c>
      <c r="D433" s="18" t="inlineStr">
        <is>
          <t>P4</t>
        </is>
      </c>
      <c r="E433" s="19" t="n">
        <v>10</v>
      </c>
      <c r="F433" s="6" t="inlineStr">
        <is>
          <t>CB240-T</t>
        </is>
      </c>
      <c r="G433" s="7" t="inlineStr">
        <is>
          <t>Đai tròn định hình</t>
        </is>
      </c>
      <c r="H433" s="20" t="n">
        <v>56.32</v>
      </c>
      <c r="I433" s="21" t="n">
        <v>35</v>
      </c>
      <c r="J433" s="22" t="n">
        <v>0.613</v>
      </c>
      <c r="K433" s="9">
        <f>ROUND(H433*I433*J433, 2)</f>
        <v/>
      </c>
      <c r="L433" s="23">
        <f>ROUND(K433/1000, 3)</f>
        <v/>
      </c>
      <c r="M433" s="8" t="n"/>
      <c r="N433" s="6" t="n"/>
      <c r="O433" s="24">
        <f>IF(AND(E433&lt;=10, F433&lt;&gt;"ASTM A416", INT(P433/20)&gt;INT(P432/20)), "TN Ø10 (Lần " &amp; INT(P433/20) &amp; ")", IF(AND(E433=12, INT(Q433/20)&gt;INT(Q432/20)), "TN Ø12 (Lần " &amp; INT(Q433/20) &amp; ")", IF(AND(E433=14, INT(R433/20)&gt;INT(R432/20)), "TN Ø14 (Lần " &amp; INT(R433/20) &amp; ")", IF(AND(E433=16, INT(S433/20)&gt;INT(S432/20)), "TN Ø16 (Lần " &amp; INT(S433/20) &amp; ")", IF(AND(E433=18, INT(T433/20)&gt;INT(T432/20)), "TN Ø18 (Lần " &amp; INT(T433/20) &amp; ")", IF(AND(E433=20, INT(U433/20)&gt;INT(U432/20)), "TN Ø20 (Lần " &amp; INT(U433/20) &amp; ")", IF(AND(E433=22, INT(V433/20)&gt;INT(V432/20)), "TN Ø22 (Lần " &amp; INT(V433/20) &amp; ")", IF(AND(E433=25, INT(W433/20)&gt;INT(W432/20)), "TN Ø25 (Lần " &amp; INT(W433/20) &amp; ")", IF(AND(E433=28, INT(X433/20)&gt;INT(X432/20)), "TN Ø28 (Lần " &amp; INT(X433/20) &amp; ")", IF(AND(E433=32, INT(Y433/20)&gt;INT(Y432/20)), "TN Ø32 (Lần " &amp; INT(Y433/20) &amp; ")", IF(AND(F433="ASTM A416", INT(Z433/20)&gt;INT(Z432/20)), "TN Cáp 15.2 (Lần " &amp; INT(Z433/20) &amp; ")", "")))))))))))</f>
        <v/>
      </c>
      <c r="P433" s="20">
        <f>ROUND(P432 + IF(AND(E433&lt;=10, F433&lt;&gt;"ASTM A416"), L433, 0), 3)</f>
        <v/>
      </c>
      <c r="Q433" s="20">
        <f>ROUND(Q432 + IF(AND(E433=12, F433&lt;&gt;"ASTM A416"), L433, 0), 3)</f>
        <v/>
      </c>
      <c r="R433" s="20">
        <f>ROUND(R432 + IF(AND(E433=14, F433&lt;&gt;"ASTM A416"), L433, 0), 3)</f>
        <v/>
      </c>
      <c r="S433" s="20">
        <f>ROUND(S432 + IF(AND(E433=16, F433&lt;&gt;"ASTM A416"), L433, 0), 3)</f>
        <v/>
      </c>
      <c r="T433" s="20">
        <f>ROUND(T432 + IF(AND(E433=18, F433&lt;&gt;"ASTM A416"), L433, 0), 3)</f>
        <v/>
      </c>
      <c r="U433" s="20">
        <f>ROUND(U432 + IF(AND(E433=20, F433&lt;&gt;"ASTM A416"), L433, 0), 3)</f>
        <v/>
      </c>
      <c r="V433" s="20">
        <f>ROUND(V432 + IF(AND(E433=22, F433&lt;&gt;"ASTM A416"), L433, 0), 3)</f>
        <v/>
      </c>
      <c r="W433" s="20">
        <f>ROUND(W432 + IF(AND(E433=25, F433&lt;&gt;"ASTM A416"), L433, 0), 3)</f>
        <v/>
      </c>
      <c r="X433" s="20">
        <f>ROUND(X432 + IF(AND(E433=28, F433&lt;&gt;"ASTM A416"), L433, 0), 3)</f>
        <v/>
      </c>
      <c r="Y433" s="20">
        <f>ROUND(Y432 + IF(AND(E433=32, F433&lt;&gt;"ASTM A416"), L433, 0), 3)</f>
        <v/>
      </c>
      <c r="Z433" s="20">
        <f>ROUND(Z432 + IF(F433="ASTM A416", L433, 0), 3)</f>
        <v/>
      </c>
      <c r="AA433" s="11">
        <f>IF(INT(P433/20)&gt;INT(P432/20), "Lần " &amp; INT(P433/20), "")</f>
        <v/>
      </c>
      <c r="AB433" s="11">
        <f>IF(INT(Q433/20)&gt;INT(Q432/20), "Lần " &amp; INT(Q433/20), "")</f>
        <v/>
      </c>
      <c r="AC433" s="11">
        <f>IF(INT(R433/20)&gt;INT(R432/20), "Lần " &amp; INT(R433/20), "")</f>
        <v/>
      </c>
      <c r="AD433" s="11">
        <f>IF(INT(S433/20)&gt;INT(S432/20), "Lần " &amp; INT(S433/20), "")</f>
        <v/>
      </c>
      <c r="AE433" s="11">
        <f>IF(INT(T433/20)&gt;INT(T432/20), "Lần " &amp; INT(T433/20), "")</f>
        <v/>
      </c>
      <c r="AF433" s="11">
        <f>IF(INT(U433/20)&gt;INT(U432/20), "Lần " &amp; INT(U433/20), "")</f>
        <v/>
      </c>
      <c r="AG433" s="11">
        <f>IF(INT(V433/20)&gt;INT(V432/20), "Lần " &amp; INT(V433/20), "")</f>
        <v/>
      </c>
      <c r="AH433" s="11">
        <f>IF(INT(W433/20)&gt;INT(W432/20), "Lần " &amp; INT(W433/20), "")</f>
        <v/>
      </c>
      <c r="AI433" s="11">
        <f>IF(INT(X433/20)&gt;INT(X432/20), "Lần " &amp; INT(X433/20), "")</f>
        <v/>
      </c>
      <c r="AJ433" s="11">
        <f>IF(INT(Y433/20)&gt;INT(Y432/20), "Lần " &amp; INT(Y433/20), "")</f>
        <v/>
      </c>
      <c r="AK433" s="11">
        <f>IF(INT(Z433/20)&gt;INT(Z432/20), "Lần " &amp; INT(Z433/20), "")</f>
        <v/>
      </c>
      <c r="AL433" s="6" t="inlineStr">
        <is>
          <t>ĐẠT TCVN 1651:2018</t>
        </is>
      </c>
    </row>
    <row r="434" ht="19" customHeight="1">
      <c r="A434" s="6" t="n">
        <v>404</v>
      </c>
      <c r="B434" s="7" t="inlineStr">
        <is>
          <t>Cọc nối PDA</t>
        </is>
      </c>
      <c r="C434" s="7" t="inlineStr">
        <is>
          <t>Gia cường thí nghiệm nén động PDA</t>
        </is>
      </c>
      <c r="D434" s="18" t="inlineStr">
        <is>
          <t>P5</t>
        </is>
      </c>
      <c r="E434" s="19" t="n">
        <v>22</v>
      </c>
      <c r="F434" s="6" t="inlineStr">
        <is>
          <t>CB400-V</t>
        </is>
      </c>
      <c r="G434" s="7" t="inlineStr">
        <is>
          <t>Thanh thẳng</t>
        </is>
      </c>
      <c r="H434" s="20" t="n">
        <v>3.02</v>
      </c>
      <c r="I434" s="21" t="n">
        <v>9</v>
      </c>
      <c r="J434" s="22" t="n">
        <v>2.987</v>
      </c>
      <c r="K434" s="9">
        <f>ROUND(H434*I434*J434, 2)</f>
        <v/>
      </c>
      <c r="L434" s="23">
        <f>ROUND(K434/1000, 3)</f>
        <v/>
      </c>
      <c r="M434" s="8" t="n"/>
      <c r="N434" s="6" t="n"/>
      <c r="O434" s="24">
        <f>IF(AND(E434&lt;=10, F434&lt;&gt;"ASTM A416", INT(P434/20)&gt;INT(P433/20)), "TN Ø10 (Lần " &amp; INT(P434/20) &amp; ")", IF(AND(E434=12, INT(Q434/20)&gt;INT(Q433/20)), "TN Ø12 (Lần " &amp; INT(Q434/20) &amp; ")", IF(AND(E434=14, INT(R434/20)&gt;INT(R433/20)), "TN Ø14 (Lần " &amp; INT(R434/20) &amp; ")", IF(AND(E434=16, INT(S434/20)&gt;INT(S433/20)), "TN Ø16 (Lần " &amp; INT(S434/20) &amp; ")", IF(AND(E434=18, INT(T434/20)&gt;INT(T433/20)), "TN Ø18 (Lần " &amp; INT(T434/20) &amp; ")", IF(AND(E434=20, INT(U434/20)&gt;INT(U433/20)), "TN Ø20 (Lần " &amp; INT(U434/20) &amp; ")", IF(AND(E434=22, INT(V434/20)&gt;INT(V433/20)), "TN Ø22 (Lần " &amp; INT(V434/20) &amp; ")", IF(AND(E434=25, INT(W434/20)&gt;INT(W433/20)), "TN Ø25 (Lần " &amp; INT(W434/20) &amp; ")", IF(AND(E434=28, INT(X434/20)&gt;INT(X433/20)), "TN Ø28 (Lần " &amp; INT(X434/20) &amp; ")", IF(AND(E434=32, INT(Y434/20)&gt;INT(Y433/20)), "TN Ø32 (Lần " &amp; INT(Y434/20) &amp; ")", IF(AND(F434="ASTM A416", INT(Z434/20)&gt;INT(Z433/20)), "TN Cáp 15.2 (Lần " &amp; INT(Z434/20) &amp; ")", "")))))))))))</f>
        <v/>
      </c>
      <c r="P434" s="20">
        <f>ROUND(P433 + IF(AND(E434&lt;=10, F434&lt;&gt;"ASTM A416"), L434, 0), 3)</f>
        <v/>
      </c>
      <c r="Q434" s="20">
        <f>ROUND(Q433 + IF(AND(E434=12, F434&lt;&gt;"ASTM A416"), L434, 0), 3)</f>
        <v/>
      </c>
      <c r="R434" s="20">
        <f>ROUND(R433 + IF(AND(E434=14, F434&lt;&gt;"ASTM A416"), L434, 0), 3)</f>
        <v/>
      </c>
      <c r="S434" s="20">
        <f>ROUND(S433 + IF(AND(E434=16, F434&lt;&gt;"ASTM A416"), L434, 0), 3)</f>
        <v/>
      </c>
      <c r="T434" s="20">
        <f>ROUND(T433 + IF(AND(E434=18, F434&lt;&gt;"ASTM A416"), L434, 0), 3)</f>
        <v/>
      </c>
      <c r="U434" s="20">
        <f>ROUND(U433 + IF(AND(E434=20, F434&lt;&gt;"ASTM A416"), L434, 0), 3)</f>
        <v/>
      </c>
      <c r="V434" s="20">
        <f>ROUND(V433 + IF(AND(E434=22, F434&lt;&gt;"ASTM A416"), L434, 0), 3)</f>
        <v/>
      </c>
      <c r="W434" s="20">
        <f>ROUND(W433 + IF(AND(E434=25, F434&lt;&gt;"ASTM A416"), L434, 0), 3)</f>
        <v/>
      </c>
      <c r="X434" s="20">
        <f>ROUND(X433 + IF(AND(E434=28, F434&lt;&gt;"ASTM A416"), L434, 0), 3)</f>
        <v/>
      </c>
      <c r="Y434" s="20">
        <f>ROUND(Y433 + IF(AND(E434=32, F434&lt;&gt;"ASTM A416"), L434, 0), 3)</f>
        <v/>
      </c>
      <c r="Z434" s="20">
        <f>ROUND(Z433 + IF(F434="ASTM A416", L434, 0), 3)</f>
        <v/>
      </c>
      <c r="AA434" s="11">
        <f>IF(INT(P434/20)&gt;INT(P433/20), "Lần " &amp; INT(P434/20), "")</f>
        <v/>
      </c>
      <c r="AB434" s="11">
        <f>IF(INT(Q434/20)&gt;INT(Q433/20), "Lần " &amp; INT(Q434/20), "")</f>
        <v/>
      </c>
      <c r="AC434" s="11">
        <f>IF(INT(R434/20)&gt;INT(R433/20), "Lần " &amp; INT(R434/20), "")</f>
        <v/>
      </c>
      <c r="AD434" s="11">
        <f>IF(INT(S434/20)&gt;INT(S433/20), "Lần " &amp; INT(S434/20), "")</f>
        <v/>
      </c>
      <c r="AE434" s="11">
        <f>IF(INT(T434/20)&gt;INT(T433/20), "Lần " &amp; INT(T434/20), "")</f>
        <v/>
      </c>
      <c r="AF434" s="11">
        <f>IF(INT(U434/20)&gt;INT(U433/20), "Lần " &amp; INT(U434/20), "")</f>
        <v/>
      </c>
      <c r="AG434" s="11">
        <f>IF(INT(V434/20)&gt;INT(V433/20), "Lần " &amp; INT(V434/20), "")</f>
        <v/>
      </c>
      <c r="AH434" s="11">
        <f>IF(INT(W434/20)&gt;INT(W433/20), "Lần " &amp; INT(W434/20), "")</f>
        <v/>
      </c>
      <c r="AI434" s="11">
        <f>IF(INT(X434/20)&gt;INT(X433/20), "Lần " &amp; INT(X434/20), "")</f>
        <v/>
      </c>
      <c r="AJ434" s="11">
        <f>IF(INT(Y434/20)&gt;INT(Y433/20), "Lần " &amp; INT(Y434/20), "")</f>
        <v/>
      </c>
      <c r="AK434" s="11">
        <f>IF(INT(Z434/20)&gt;INT(Z433/20), "Lần " &amp; INT(Z434/20), "")</f>
        <v/>
      </c>
      <c r="AL434" s="6" t="inlineStr">
        <is>
          <t>ĐẠT TCVN 1651:2018</t>
        </is>
      </c>
    </row>
    <row r="435" ht="19" customHeight="1">
      <c r="A435" s="6" t="n">
        <v>405</v>
      </c>
      <c r="B435" s="7" t="inlineStr">
        <is>
          <t>Cọc nối PDA</t>
        </is>
      </c>
      <c r="C435" s="7" t="inlineStr">
        <is>
          <t>Gia cường thí nghiệm nén động PDA</t>
        </is>
      </c>
      <c r="D435" s="18" t="inlineStr">
        <is>
          <t>P7</t>
        </is>
      </c>
      <c r="E435" s="19" t="n">
        <v>16</v>
      </c>
      <c r="F435" s="6" t="inlineStr">
        <is>
          <t>CB400-V</t>
        </is>
      </c>
      <c r="G435" s="7" t="inlineStr">
        <is>
          <t>Đai tròn định hình</t>
        </is>
      </c>
      <c r="H435" s="20" t="n">
        <v>2.2</v>
      </c>
      <c r="I435" s="21" t="n">
        <v>3</v>
      </c>
      <c r="J435" s="22" t="n">
        <v>1.83</v>
      </c>
      <c r="K435" s="9">
        <f>ROUND(H435*I435*J435, 2)</f>
        <v/>
      </c>
      <c r="L435" s="23">
        <f>ROUND(K435/1000, 3)</f>
        <v/>
      </c>
      <c r="M435" s="8" t="n"/>
      <c r="N435" s="6" t="n"/>
      <c r="O435" s="24">
        <f>IF(AND(E435&lt;=10, F435&lt;&gt;"ASTM A416", INT(P435/20)&gt;INT(P434/20)), "TN Ø10 (Lần " &amp; INT(P435/20) &amp; ")", IF(AND(E435=12, INT(Q435/20)&gt;INT(Q434/20)), "TN Ø12 (Lần " &amp; INT(Q435/20) &amp; ")", IF(AND(E435=14, INT(R435/20)&gt;INT(R434/20)), "TN Ø14 (Lần " &amp; INT(R435/20) &amp; ")", IF(AND(E435=16, INT(S435/20)&gt;INT(S434/20)), "TN Ø16 (Lần " &amp; INT(S435/20) &amp; ")", IF(AND(E435=18, INT(T435/20)&gt;INT(T434/20)), "TN Ø18 (Lần " &amp; INT(T435/20) &amp; ")", IF(AND(E435=20, INT(U435/20)&gt;INT(U434/20)), "TN Ø20 (Lần " &amp; INT(U435/20) &amp; ")", IF(AND(E435=22, INT(V435/20)&gt;INT(V434/20)), "TN Ø22 (Lần " &amp; INT(V435/20) &amp; ")", IF(AND(E435=25, INT(W435/20)&gt;INT(W434/20)), "TN Ø25 (Lần " &amp; INT(W435/20) &amp; ")", IF(AND(E435=28, INT(X435/20)&gt;INT(X434/20)), "TN Ø28 (Lần " &amp; INT(X435/20) &amp; ")", IF(AND(E435=32, INT(Y435/20)&gt;INT(Y434/20)), "TN Ø32 (Lần " &amp; INT(Y435/20) &amp; ")", IF(AND(F435="ASTM A416", INT(Z435/20)&gt;INT(Z434/20)), "TN Cáp 15.2 (Lần " &amp; INT(Z435/20) &amp; ")", "")))))))))))</f>
        <v/>
      </c>
      <c r="P435" s="20">
        <f>ROUND(P434 + IF(AND(E435&lt;=10, F435&lt;&gt;"ASTM A416"), L435, 0), 3)</f>
        <v/>
      </c>
      <c r="Q435" s="20">
        <f>ROUND(Q434 + IF(AND(E435=12, F435&lt;&gt;"ASTM A416"), L435, 0), 3)</f>
        <v/>
      </c>
      <c r="R435" s="20">
        <f>ROUND(R434 + IF(AND(E435=14, F435&lt;&gt;"ASTM A416"), L435, 0), 3)</f>
        <v/>
      </c>
      <c r="S435" s="20">
        <f>ROUND(S434 + IF(AND(E435=16, F435&lt;&gt;"ASTM A416"), L435, 0), 3)</f>
        <v/>
      </c>
      <c r="T435" s="20">
        <f>ROUND(T434 + IF(AND(E435=18, F435&lt;&gt;"ASTM A416"), L435, 0), 3)</f>
        <v/>
      </c>
      <c r="U435" s="20">
        <f>ROUND(U434 + IF(AND(E435=20, F435&lt;&gt;"ASTM A416"), L435, 0), 3)</f>
        <v/>
      </c>
      <c r="V435" s="20">
        <f>ROUND(V434 + IF(AND(E435=22, F435&lt;&gt;"ASTM A416"), L435, 0), 3)</f>
        <v/>
      </c>
      <c r="W435" s="20">
        <f>ROUND(W434 + IF(AND(E435=25, F435&lt;&gt;"ASTM A416"), L435, 0), 3)</f>
        <v/>
      </c>
      <c r="X435" s="20">
        <f>ROUND(X434 + IF(AND(E435=28, F435&lt;&gt;"ASTM A416"), L435, 0), 3)</f>
        <v/>
      </c>
      <c r="Y435" s="20">
        <f>ROUND(Y434 + IF(AND(E435=32, F435&lt;&gt;"ASTM A416"), L435, 0), 3)</f>
        <v/>
      </c>
      <c r="Z435" s="20">
        <f>ROUND(Z434 + IF(F435="ASTM A416", L435, 0), 3)</f>
        <v/>
      </c>
      <c r="AA435" s="11">
        <f>IF(INT(P435/20)&gt;INT(P434/20), "Lần " &amp; INT(P435/20), "")</f>
        <v/>
      </c>
      <c r="AB435" s="11">
        <f>IF(INT(Q435/20)&gt;INT(Q434/20), "Lần " &amp; INT(Q435/20), "")</f>
        <v/>
      </c>
      <c r="AC435" s="11">
        <f>IF(INT(R435/20)&gt;INT(R434/20), "Lần " &amp; INT(R435/20), "")</f>
        <v/>
      </c>
      <c r="AD435" s="11">
        <f>IF(INT(S435/20)&gt;INT(S434/20), "Lần " &amp; INT(S435/20), "")</f>
        <v/>
      </c>
      <c r="AE435" s="11">
        <f>IF(INT(T435/20)&gt;INT(T434/20), "Lần " &amp; INT(T435/20), "")</f>
        <v/>
      </c>
      <c r="AF435" s="11">
        <f>IF(INT(U435/20)&gt;INT(U434/20), "Lần " &amp; INT(U435/20), "")</f>
        <v/>
      </c>
      <c r="AG435" s="11">
        <f>IF(INT(V435/20)&gt;INT(V434/20), "Lần " &amp; INT(V435/20), "")</f>
        <v/>
      </c>
      <c r="AH435" s="11">
        <f>IF(INT(W435/20)&gt;INT(W434/20), "Lần " &amp; INT(W435/20), "")</f>
        <v/>
      </c>
      <c r="AI435" s="11">
        <f>IF(INT(X435/20)&gt;INT(X434/20), "Lần " &amp; INT(X435/20), "")</f>
        <v/>
      </c>
      <c r="AJ435" s="11">
        <f>IF(INT(Y435/20)&gt;INT(Y434/20), "Lần " &amp; INT(Y435/20), "")</f>
        <v/>
      </c>
      <c r="AK435" s="11">
        <f>IF(INT(Z435/20)&gt;INT(Z434/20), "Lần " &amp; INT(Z435/20), "")</f>
        <v/>
      </c>
      <c r="AL435" s="6" t="inlineStr">
        <is>
          <t>ĐẠT TCVN 1651:2018</t>
        </is>
      </c>
    </row>
    <row r="436" ht="19" customHeight="1">
      <c r="A436" s="6" t="n">
        <v>406</v>
      </c>
      <c r="B436" s="7" t="inlineStr">
        <is>
          <t>Cọc nối PDA</t>
        </is>
      </c>
      <c r="C436" s="7" t="inlineStr">
        <is>
          <t>Gia cường thí nghiệm nén động PDA</t>
        </is>
      </c>
      <c r="D436" s="18" t="inlineStr">
        <is>
          <t>P10</t>
        </is>
      </c>
      <c r="E436" s="19" t="n">
        <v>25</v>
      </c>
      <c r="F436" s="6" t="inlineStr">
        <is>
          <t>CB400-V</t>
        </is>
      </c>
      <c r="G436" s="7" t="inlineStr">
        <is>
          <t>Thanh thẳng</t>
        </is>
      </c>
      <c r="H436" s="20" t="n">
        <v>4.85</v>
      </c>
      <c r="I436" s="21" t="n">
        <v>19</v>
      </c>
      <c r="J436" s="22" t="n">
        <v>3.784</v>
      </c>
      <c r="K436" s="9">
        <f>ROUND(H436*I436*J436, 2)</f>
        <v/>
      </c>
      <c r="L436" s="23">
        <f>ROUND(K436/1000, 3)</f>
        <v/>
      </c>
      <c r="M436" s="8" t="n"/>
      <c r="N436" s="6" t="n"/>
      <c r="O436" s="24">
        <f>IF(AND(E436&lt;=10, F436&lt;&gt;"ASTM A416", INT(P436/20)&gt;INT(P435/20)), "TN Ø10 (Lần " &amp; INT(P436/20) &amp; ")", IF(AND(E436=12, INT(Q436/20)&gt;INT(Q435/20)), "TN Ø12 (Lần " &amp; INT(Q436/20) &amp; ")", IF(AND(E436=14, INT(R436/20)&gt;INT(R435/20)), "TN Ø14 (Lần " &amp; INT(R436/20) &amp; ")", IF(AND(E436=16, INT(S436/20)&gt;INT(S435/20)), "TN Ø16 (Lần " &amp; INT(S436/20) &amp; ")", IF(AND(E436=18, INT(T436/20)&gt;INT(T435/20)), "TN Ø18 (Lần " &amp; INT(T436/20) &amp; ")", IF(AND(E436=20, INT(U436/20)&gt;INT(U435/20)), "TN Ø20 (Lần " &amp; INT(U436/20) &amp; ")", IF(AND(E436=22, INT(V436/20)&gt;INT(V435/20)), "TN Ø22 (Lần " &amp; INT(V436/20) &amp; ")", IF(AND(E436=25, INT(W436/20)&gt;INT(W435/20)), "TN Ø25 (Lần " &amp; INT(W436/20) &amp; ")", IF(AND(E436=28, INT(X436/20)&gt;INT(X435/20)), "TN Ø28 (Lần " &amp; INT(X436/20) &amp; ")", IF(AND(E436=32, INT(Y436/20)&gt;INT(Y435/20)), "TN Ø32 (Lần " &amp; INT(Y436/20) &amp; ")", IF(AND(F436="ASTM A416", INT(Z436/20)&gt;INT(Z435/20)), "TN Cáp 15.2 (Lần " &amp; INT(Z436/20) &amp; ")", "")))))))))))</f>
        <v/>
      </c>
      <c r="P436" s="20">
        <f>ROUND(P435 + IF(AND(E436&lt;=10, F436&lt;&gt;"ASTM A416"), L436, 0), 3)</f>
        <v/>
      </c>
      <c r="Q436" s="20">
        <f>ROUND(Q435 + IF(AND(E436=12, F436&lt;&gt;"ASTM A416"), L436, 0), 3)</f>
        <v/>
      </c>
      <c r="R436" s="20">
        <f>ROUND(R435 + IF(AND(E436=14, F436&lt;&gt;"ASTM A416"), L436, 0), 3)</f>
        <v/>
      </c>
      <c r="S436" s="20">
        <f>ROUND(S435 + IF(AND(E436=16, F436&lt;&gt;"ASTM A416"), L436, 0), 3)</f>
        <v/>
      </c>
      <c r="T436" s="20">
        <f>ROUND(T435 + IF(AND(E436=18, F436&lt;&gt;"ASTM A416"), L436, 0), 3)</f>
        <v/>
      </c>
      <c r="U436" s="20">
        <f>ROUND(U435 + IF(AND(E436=20, F436&lt;&gt;"ASTM A416"), L436, 0), 3)</f>
        <v/>
      </c>
      <c r="V436" s="20">
        <f>ROUND(V435 + IF(AND(E436=22, F436&lt;&gt;"ASTM A416"), L436, 0), 3)</f>
        <v/>
      </c>
      <c r="W436" s="20">
        <f>ROUND(W435 + IF(AND(E436=25, F436&lt;&gt;"ASTM A416"), L436, 0), 3)</f>
        <v/>
      </c>
      <c r="X436" s="20">
        <f>ROUND(X435 + IF(AND(E436=28, F436&lt;&gt;"ASTM A416"), L436, 0), 3)</f>
        <v/>
      </c>
      <c r="Y436" s="20">
        <f>ROUND(Y435 + IF(AND(E436=32, F436&lt;&gt;"ASTM A416"), L436, 0), 3)</f>
        <v/>
      </c>
      <c r="Z436" s="20">
        <f>ROUND(Z435 + IF(F436="ASTM A416", L436, 0), 3)</f>
        <v/>
      </c>
      <c r="AA436" s="11">
        <f>IF(INT(P436/20)&gt;INT(P435/20), "Lần " &amp; INT(P436/20), "")</f>
        <v/>
      </c>
      <c r="AB436" s="11">
        <f>IF(INT(Q436/20)&gt;INT(Q435/20), "Lần " &amp; INT(Q436/20), "")</f>
        <v/>
      </c>
      <c r="AC436" s="11">
        <f>IF(INT(R436/20)&gt;INT(R435/20), "Lần " &amp; INT(R436/20), "")</f>
        <v/>
      </c>
      <c r="AD436" s="11">
        <f>IF(INT(S436/20)&gt;INT(S435/20), "Lần " &amp; INT(S436/20), "")</f>
        <v/>
      </c>
      <c r="AE436" s="11">
        <f>IF(INT(T436/20)&gt;INT(T435/20), "Lần " &amp; INT(T436/20), "")</f>
        <v/>
      </c>
      <c r="AF436" s="11">
        <f>IF(INT(U436/20)&gt;INT(U435/20), "Lần " &amp; INT(U436/20), "")</f>
        <v/>
      </c>
      <c r="AG436" s="11">
        <f>IF(INT(V436/20)&gt;INT(V435/20), "Lần " &amp; INT(V436/20), "")</f>
        <v/>
      </c>
      <c r="AH436" s="11">
        <f>IF(INT(W436/20)&gt;INT(W435/20), "Lần " &amp; INT(W436/20), "")</f>
        <v/>
      </c>
      <c r="AI436" s="11">
        <f>IF(INT(X436/20)&gt;INT(X435/20), "Lần " &amp; INT(X436/20), "")</f>
        <v/>
      </c>
      <c r="AJ436" s="11">
        <f>IF(INT(Y436/20)&gt;INT(Y435/20), "Lần " &amp; INT(Y436/20), "")</f>
        <v/>
      </c>
      <c r="AK436" s="11">
        <f>IF(INT(Z436/20)&gt;INT(Z435/20), "Lần " &amp; INT(Z436/20), "")</f>
        <v/>
      </c>
      <c r="AL436" s="6" t="inlineStr">
        <is>
          <t>ĐẠT TCVN 1651:2018</t>
        </is>
      </c>
    </row>
    <row r="437" ht="19" customHeight="1">
      <c r="A437" s="6" t="n">
        <v>407</v>
      </c>
      <c r="B437" s="7" t="inlineStr">
        <is>
          <t>Cọc nối PDA</t>
        </is>
      </c>
      <c r="C437" s="7" t="inlineStr">
        <is>
          <t>Gia cường thí nghiệm nén động PDA</t>
        </is>
      </c>
      <c r="D437" s="18" t="inlineStr"/>
      <c r="E437" s="19" t="n">
        <v>25</v>
      </c>
      <c r="F437" s="6" t="inlineStr">
        <is>
          <t>CB400-V</t>
        </is>
      </c>
      <c r="G437" s="7" t="inlineStr">
        <is>
          <t>Thanh thẳng</t>
        </is>
      </c>
      <c r="H437" s="20" t="n">
        <v>1.2</v>
      </c>
      <c r="I437" s="21" t="n">
        <v>358</v>
      </c>
      <c r="J437" s="22" t="n">
        <v>3.854</v>
      </c>
      <c r="K437" s="9">
        <f>ROUND(H437*I437*J437, 2)</f>
        <v/>
      </c>
      <c r="L437" s="23">
        <f>ROUND(K437/1000, 3)</f>
        <v/>
      </c>
      <c r="M437" s="8" t="n"/>
      <c r="N437" s="6" t="n"/>
      <c r="O437" s="24">
        <f>IF(AND(E437&lt;=10, F437&lt;&gt;"ASTM A416", INT(P437/20)&gt;INT(P436/20)), "TN Ø10 (Lần " &amp; INT(P437/20) &amp; ")", IF(AND(E437=12, INT(Q437/20)&gt;INT(Q436/20)), "TN Ø12 (Lần " &amp; INT(Q437/20) &amp; ")", IF(AND(E437=14, INT(R437/20)&gt;INT(R436/20)), "TN Ø14 (Lần " &amp; INT(R437/20) &amp; ")", IF(AND(E437=16, INT(S437/20)&gt;INT(S436/20)), "TN Ø16 (Lần " &amp; INT(S437/20) &amp; ")", IF(AND(E437=18, INT(T437/20)&gt;INT(T436/20)), "TN Ø18 (Lần " &amp; INT(T437/20) &amp; ")", IF(AND(E437=20, INT(U437/20)&gt;INT(U436/20)), "TN Ø20 (Lần " &amp; INT(U437/20) &amp; ")", IF(AND(E437=22, INT(V437/20)&gt;INT(V436/20)), "TN Ø22 (Lần " &amp; INT(V437/20) &amp; ")", IF(AND(E437=25, INT(W437/20)&gt;INT(W436/20)), "TN Ø25 (Lần " &amp; INT(W437/20) &amp; ")", IF(AND(E437=28, INT(X437/20)&gt;INT(X436/20)), "TN Ø28 (Lần " &amp; INT(X437/20) &amp; ")", IF(AND(E437=32, INT(Y437/20)&gt;INT(Y436/20)), "TN Ø32 (Lần " &amp; INT(Y437/20) &amp; ")", IF(AND(F437="ASTM A416", INT(Z437/20)&gt;INT(Z436/20)), "TN Cáp 15.2 (Lần " &amp; INT(Z437/20) &amp; ")", "")))))))))))</f>
        <v/>
      </c>
      <c r="P437" s="20">
        <f>ROUND(P436 + IF(AND(E437&lt;=10, F437&lt;&gt;"ASTM A416"), L437, 0), 3)</f>
        <v/>
      </c>
      <c r="Q437" s="20">
        <f>ROUND(Q436 + IF(AND(E437=12, F437&lt;&gt;"ASTM A416"), L437, 0), 3)</f>
        <v/>
      </c>
      <c r="R437" s="20">
        <f>ROUND(R436 + IF(AND(E437=14, F437&lt;&gt;"ASTM A416"), L437, 0), 3)</f>
        <v/>
      </c>
      <c r="S437" s="20">
        <f>ROUND(S436 + IF(AND(E437=16, F437&lt;&gt;"ASTM A416"), L437, 0), 3)</f>
        <v/>
      </c>
      <c r="T437" s="20">
        <f>ROUND(T436 + IF(AND(E437=18, F437&lt;&gt;"ASTM A416"), L437, 0), 3)</f>
        <v/>
      </c>
      <c r="U437" s="20">
        <f>ROUND(U436 + IF(AND(E437=20, F437&lt;&gt;"ASTM A416"), L437, 0), 3)</f>
        <v/>
      </c>
      <c r="V437" s="20">
        <f>ROUND(V436 + IF(AND(E437=22, F437&lt;&gt;"ASTM A416"), L437, 0), 3)</f>
        <v/>
      </c>
      <c r="W437" s="20">
        <f>ROUND(W436 + IF(AND(E437=25, F437&lt;&gt;"ASTM A416"), L437, 0), 3)</f>
        <v/>
      </c>
      <c r="X437" s="20">
        <f>ROUND(X436 + IF(AND(E437=28, F437&lt;&gt;"ASTM A416"), L437, 0), 3)</f>
        <v/>
      </c>
      <c r="Y437" s="20">
        <f>ROUND(Y436 + IF(AND(E437=32, F437&lt;&gt;"ASTM A416"), L437, 0), 3)</f>
        <v/>
      </c>
      <c r="Z437" s="20">
        <f>ROUND(Z436 + IF(F437="ASTM A416", L437, 0), 3)</f>
        <v/>
      </c>
      <c r="AA437" s="11">
        <f>IF(INT(P437/20)&gt;INT(P436/20), "Lần " &amp; INT(P437/20), "")</f>
        <v/>
      </c>
      <c r="AB437" s="11">
        <f>IF(INT(Q437/20)&gt;INT(Q436/20), "Lần " &amp; INT(Q437/20), "")</f>
        <v/>
      </c>
      <c r="AC437" s="11">
        <f>IF(INT(R437/20)&gt;INT(R436/20), "Lần " &amp; INT(R437/20), "")</f>
        <v/>
      </c>
      <c r="AD437" s="11">
        <f>IF(INT(S437/20)&gt;INT(S436/20), "Lần " &amp; INT(S437/20), "")</f>
        <v/>
      </c>
      <c r="AE437" s="11">
        <f>IF(INT(T437/20)&gt;INT(T436/20), "Lần " &amp; INT(T437/20), "")</f>
        <v/>
      </c>
      <c r="AF437" s="11">
        <f>IF(INT(U437/20)&gt;INT(U436/20), "Lần " &amp; INT(U437/20), "")</f>
        <v/>
      </c>
      <c r="AG437" s="11">
        <f>IF(INT(V437/20)&gt;INT(V436/20), "Lần " &amp; INT(V437/20), "")</f>
        <v/>
      </c>
      <c r="AH437" s="11">
        <f>IF(INT(W437/20)&gt;INT(W436/20), "Lần " &amp; INT(W437/20), "")</f>
        <v/>
      </c>
      <c r="AI437" s="11">
        <f>IF(INT(X437/20)&gt;INT(X436/20), "Lần " &amp; INT(X437/20), "")</f>
        <v/>
      </c>
      <c r="AJ437" s="11">
        <f>IF(INT(Y437/20)&gt;INT(Y436/20), "Lần " &amp; INT(Y437/20), "")</f>
        <v/>
      </c>
      <c r="AK437" s="11">
        <f>IF(INT(Z437/20)&gt;INT(Z436/20), "Lần " &amp; INT(Z437/20), "")</f>
        <v/>
      </c>
      <c r="AL437" s="6" t="inlineStr">
        <is>
          <t>ĐẠT TCVN 1651:2018</t>
        </is>
      </c>
    </row>
    <row r="438" ht="23" customHeight="1">
      <c r="A438" s="16" t="inlineStr">
        <is>
          <t>02. KẾT CẤU PHẦN DƯỚI (SUBSTRUCTURE)</t>
        </is>
      </c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  <c r="AD438" s="5" t="n"/>
      <c r="AE438" s="5" t="n"/>
      <c r="AF438" s="5" t="n"/>
      <c r="AG438" s="5" t="n"/>
      <c r="AH438" s="5" t="n"/>
      <c r="AI438" s="5" t="n"/>
      <c r="AJ438" s="5" t="n"/>
      <c r="AK438" s="5" t="n"/>
      <c r="AL438" s="5" t="n"/>
    </row>
    <row r="439" ht="19" customHeight="1">
      <c r="A439" s="6" t="n">
        <v>408</v>
      </c>
      <c r="B439" s="7" t="inlineStr">
        <is>
          <t>Mố M1</t>
        </is>
      </c>
      <c r="C439" s="7" t="inlineStr">
        <is>
          <t>BỆ MỐ</t>
        </is>
      </c>
      <c r="D439" s="18" t="inlineStr">
        <is>
          <t>F1</t>
        </is>
      </c>
      <c r="E439" s="19" t="n">
        <v>28</v>
      </c>
      <c r="F439" s="6" t="inlineStr">
        <is>
          <t>CB400-V</t>
        </is>
      </c>
      <c r="G439" s="7" t="inlineStr">
        <is>
          <t>S06</t>
        </is>
      </c>
      <c r="H439" s="20" t="n">
        <v>6.578</v>
      </c>
      <c r="I439" s="21" t="n">
        <v>83</v>
      </c>
      <c r="J439" s="22" t="n">
        <v>4.83</v>
      </c>
      <c r="K439" s="9">
        <f>ROUND(H439*I439*J439, 2)</f>
        <v/>
      </c>
      <c r="L439" s="23">
        <f>ROUND(K439/1000, 3)</f>
        <v/>
      </c>
      <c r="M439" s="8" t="n"/>
      <c r="N439" s="6" t="n"/>
      <c r="O439" s="24">
        <f>IF(AND(E439&lt;=10, F439&lt;&gt;"ASTM A416", INT(P439/20)&gt;INT(P437/20)), "TN Ø10 (Lần " &amp; INT(P439/20) &amp; ")", IF(AND(E439=12, INT(Q439/20)&gt;INT(Q437/20)), "TN Ø12 (Lần " &amp; INT(Q439/20) &amp; ")", IF(AND(E439=14, INT(R439/20)&gt;INT(R437/20)), "TN Ø14 (Lần " &amp; INT(R439/20) &amp; ")", IF(AND(E439=16, INT(S439/20)&gt;INT(S437/20)), "TN Ø16 (Lần " &amp; INT(S439/20) &amp; ")", IF(AND(E439=18, INT(T439/20)&gt;INT(T437/20)), "TN Ø18 (Lần " &amp; INT(T439/20) &amp; ")", IF(AND(E439=20, INT(U439/20)&gt;INT(U437/20)), "TN Ø20 (Lần " &amp; INT(U439/20) &amp; ")", IF(AND(E439=22, INT(V439/20)&gt;INT(V437/20)), "TN Ø22 (Lần " &amp; INT(V439/20) &amp; ")", IF(AND(E439=25, INT(W439/20)&gt;INT(W437/20)), "TN Ø25 (Lần " &amp; INT(W439/20) &amp; ")", IF(AND(E439=28, INT(X439/20)&gt;INT(X437/20)), "TN Ø28 (Lần " &amp; INT(X439/20) &amp; ")", IF(AND(E439=32, INT(Y439/20)&gt;INT(Y437/20)), "TN Ø32 (Lần " &amp; INT(Y439/20) &amp; ")", IF(AND(F439="ASTM A416", INT(Z439/20)&gt;INT(Z437/20)), "TN Cáp 15.2 (Lần " &amp; INT(Z439/20) &amp; ")", "")))))))))))</f>
        <v/>
      </c>
      <c r="P439" s="20">
        <f>ROUND(P437 + IF(AND(E439&lt;=10, F439&lt;&gt;"ASTM A416"), L439, 0), 3)</f>
        <v/>
      </c>
      <c r="Q439" s="20">
        <f>ROUND(Q437 + IF(AND(E439=12, F439&lt;&gt;"ASTM A416"), L439, 0), 3)</f>
        <v/>
      </c>
      <c r="R439" s="20">
        <f>ROUND(R437 + IF(AND(E439=14, F439&lt;&gt;"ASTM A416"), L439, 0), 3)</f>
        <v/>
      </c>
      <c r="S439" s="20">
        <f>ROUND(S437 + IF(AND(E439=16, F439&lt;&gt;"ASTM A416"), L439, 0), 3)</f>
        <v/>
      </c>
      <c r="T439" s="20">
        <f>ROUND(T437 + IF(AND(E439=18, F439&lt;&gt;"ASTM A416"), L439, 0), 3)</f>
        <v/>
      </c>
      <c r="U439" s="20">
        <f>ROUND(U437 + IF(AND(E439=20, F439&lt;&gt;"ASTM A416"), L439, 0), 3)</f>
        <v/>
      </c>
      <c r="V439" s="20">
        <f>ROUND(V437 + IF(AND(E439=22, F439&lt;&gt;"ASTM A416"), L439, 0), 3)</f>
        <v/>
      </c>
      <c r="W439" s="20">
        <f>ROUND(W437 + IF(AND(E439=25, F439&lt;&gt;"ASTM A416"), L439, 0), 3)</f>
        <v/>
      </c>
      <c r="X439" s="20">
        <f>ROUND(X437 + IF(AND(E439=28, F439&lt;&gt;"ASTM A416"), L439, 0), 3)</f>
        <v/>
      </c>
      <c r="Y439" s="20">
        <f>ROUND(Y437 + IF(AND(E439=32, F439&lt;&gt;"ASTM A416"), L439, 0), 3)</f>
        <v/>
      </c>
      <c r="Z439" s="20">
        <f>ROUND(Z437 + IF(F439="ASTM A416", L439, 0), 3)</f>
        <v/>
      </c>
      <c r="AA439" s="11">
        <f>IF(INT(P439/20)&gt;INT(P437/20), "Lần " &amp; INT(P439/20), "")</f>
        <v/>
      </c>
      <c r="AB439" s="11">
        <f>IF(INT(Q439/20)&gt;INT(Q437/20), "Lần " &amp; INT(Q439/20), "")</f>
        <v/>
      </c>
      <c r="AC439" s="11">
        <f>IF(INT(R439/20)&gt;INT(R437/20), "Lần " &amp; INT(R439/20), "")</f>
        <v/>
      </c>
      <c r="AD439" s="11">
        <f>IF(INT(S439/20)&gt;INT(S437/20), "Lần " &amp; INT(S439/20), "")</f>
        <v/>
      </c>
      <c r="AE439" s="11">
        <f>IF(INT(T439/20)&gt;INT(T437/20), "Lần " &amp; INT(T439/20), "")</f>
        <v/>
      </c>
      <c r="AF439" s="11">
        <f>IF(INT(U439/20)&gt;INT(U437/20), "Lần " &amp; INT(U439/20), "")</f>
        <v/>
      </c>
      <c r="AG439" s="11">
        <f>IF(INT(V439/20)&gt;INT(V437/20), "Lần " &amp; INT(V439/20), "")</f>
        <v/>
      </c>
      <c r="AH439" s="11">
        <f>IF(INT(W439/20)&gt;INT(W437/20), "Lần " &amp; INT(W439/20), "")</f>
        <v/>
      </c>
      <c r="AI439" s="11">
        <f>IF(INT(X439/20)&gt;INT(X437/20), "Lần " &amp; INT(X439/20), "")</f>
        <v/>
      </c>
      <c r="AJ439" s="11">
        <f>IF(INT(Y439/20)&gt;INT(Y437/20), "Lần " &amp; INT(Y439/20), "")</f>
        <v/>
      </c>
      <c r="AK439" s="11">
        <f>IF(INT(Z439/20)&gt;INT(Z437/20), "Lần " &amp; INT(Z439/20), "")</f>
        <v/>
      </c>
      <c r="AL439" s="6" t="inlineStr">
        <is>
          <t>ĐẠT TCVN 1651:2018</t>
        </is>
      </c>
    </row>
    <row r="440" ht="19" customHeight="1">
      <c r="A440" s="6" t="n">
        <v>409</v>
      </c>
      <c r="B440" s="7" t="inlineStr">
        <is>
          <t>Mố M1</t>
        </is>
      </c>
      <c r="C440" s="7" t="inlineStr">
        <is>
          <t>Thân mố / Bệ mố</t>
        </is>
      </c>
      <c r="D440" s="18" t="inlineStr">
        <is>
          <t>F2</t>
        </is>
      </c>
      <c r="E440" s="19" t="n">
        <v>18</v>
      </c>
      <c r="F440" s="6" t="inlineStr">
        <is>
          <t>CB400-V</t>
        </is>
      </c>
      <c r="G440" s="7" t="inlineStr">
        <is>
          <t>S06</t>
        </is>
      </c>
      <c r="H440" s="20" t="n">
        <v>13.571</v>
      </c>
      <c r="I440" s="21" t="n">
        <v>40</v>
      </c>
      <c r="J440" s="22" t="n">
        <v>2</v>
      </c>
      <c r="K440" s="9">
        <f>ROUND(H440*I440*J440, 2)</f>
        <v/>
      </c>
      <c r="L440" s="23">
        <f>ROUND(K440/1000, 3)</f>
        <v/>
      </c>
      <c r="M440" s="8" t="n"/>
      <c r="N440" s="6" t="n"/>
      <c r="O440" s="24">
        <f>IF(AND(E440&lt;=10, F440&lt;&gt;"ASTM A416", INT(P440/20)&gt;INT(P439/20)), "TN Ø10 (Lần " &amp; INT(P440/20) &amp; ")", IF(AND(E440=12, INT(Q440/20)&gt;INT(Q439/20)), "TN Ø12 (Lần " &amp; INT(Q440/20) &amp; ")", IF(AND(E440=14, INT(R440/20)&gt;INT(R439/20)), "TN Ø14 (Lần " &amp; INT(R440/20) &amp; ")", IF(AND(E440=16, INT(S440/20)&gt;INT(S439/20)), "TN Ø16 (Lần " &amp; INT(S440/20) &amp; ")", IF(AND(E440=18, INT(T440/20)&gt;INT(T439/20)), "TN Ø18 (Lần " &amp; INT(T440/20) &amp; ")", IF(AND(E440=20, INT(U440/20)&gt;INT(U439/20)), "TN Ø20 (Lần " &amp; INT(U440/20) &amp; ")", IF(AND(E440=22, INT(V440/20)&gt;INT(V439/20)), "TN Ø22 (Lần " &amp; INT(V440/20) &amp; ")", IF(AND(E440=25, INT(W440/20)&gt;INT(W439/20)), "TN Ø25 (Lần " &amp; INT(W440/20) &amp; ")", IF(AND(E440=28, INT(X440/20)&gt;INT(X439/20)), "TN Ø28 (Lần " &amp; INT(X440/20) &amp; ")", IF(AND(E440=32, INT(Y440/20)&gt;INT(Y439/20)), "TN Ø32 (Lần " &amp; INT(Y440/20) &amp; ")", IF(AND(F440="ASTM A416", INT(Z440/20)&gt;INT(Z439/20)), "TN Cáp 15.2 (Lần " &amp; INT(Z440/20) &amp; ")", "")))))))))))</f>
        <v/>
      </c>
      <c r="P440" s="20">
        <f>ROUND(P439 + IF(AND(E440&lt;=10, F440&lt;&gt;"ASTM A416"), L440, 0), 3)</f>
        <v/>
      </c>
      <c r="Q440" s="20">
        <f>ROUND(Q439 + IF(AND(E440=12, F440&lt;&gt;"ASTM A416"), L440, 0), 3)</f>
        <v/>
      </c>
      <c r="R440" s="20">
        <f>ROUND(R439 + IF(AND(E440=14, F440&lt;&gt;"ASTM A416"), L440, 0), 3)</f>
        <v/>
      </c>
      <c r="S440" s="20">
        <f>ROUND(S439 + IF(AND(E440=16, F440&lt;&gt;"ASTM A416"), L440, 0), 3)</f>
        <v/>
      </c>
      <c r="T440" s="20">
        <f>ROUND(T439 + IF(AND(E440=18, F440&lt;&gt;"ASTM A416"), L440, 0), 3)</f>
        <v/>
      </c>
      <c r="U440" s="20">
        <f>ROUND(U439 + IF(AND(E440=20, F440&lt;&gt;"ASTM A416"), L440, 0), 3)</f>
        <v/>
      </c>
      <c r="V440" s="20">
        <f>ROUND(V439 + IF(AND(E440=22, F440&lt;&gt;"ASTM A416"), L440, 0), 3)</f>
        <v/>
      </c>
      <c r="W440" s="20">
        <f>ROUND(W439 + IF(AND(E440=25, F440&lt;&gt;"ASTM A416"), L440, 0), 3)</f>
        <v/>
      </c>
      <c r="X440" s="20">
        <f>ROUND(X439 + IF(AND(E440=28, F440&lt;&gt;"ASTM A416"), L440, 0), 3)</f>
        <v/>
      </c>
      <c r="Y440" s="20">
        <f>ROUND(Y439 + IF(AND(E440=32, F440&lt;&gt;"ASTM A416"), L440, 0), 3)</f>
        <v/>
      </c>
      <c r="Z440" s="20">
        <f>ROUND(Z439 + IF(F440="ASTM A416", L440, 0), 3)</f>
        <v/>
      </c>
      <c r="AA440" s="11">
        <f>IF(INT(P440/20)&gt;INT(P439/20), "Lần " &amp; INT(P440/20), "")</f>
        <v/>
      </c>
      <c r="AB440" s="11">
        <f>IF(INT(Q440/20)&gt;INT(Q439/20), "Lần " &amp; INT(Q440/20), "")</f>
        <v/>
      </c>
      <c r="AC440" s="11">
        <f>IF(INT(R440/20)&gt;INT(R439/20), "Lần " &amp; INT(R440/20), "")</f>
        <v/>
      </c>
      <c r="AD440" s="11">
        <f>IF(INT(S440/20)&gt;INT(S439/20), "Lần " &amp; INT(S440/20), "")</f>
        <v/>
      </c>
      <c r="AE440" s="11">
        <f>IF(INT(T440/20)&gt;INT(T439/20), "Lần " &amp; INT(T440/20), "")</f>
        <v/>
      </c>
      <c r="AF440" s="11">
        <f>IF(INT(U440/20)&gt;INT(U439/20), "Lần " &amp; INT(U440/20), "")</f>
        <v/>
      </c>
      <c r="AG440" s="11">
        <f>IF(INT(V440/20)&gt;INT(V439/20), "Lần " &amp; INT(V440/20), "")</f>
        <v/>
      </c>
      <c r="AH440" s="11">
        <f>IF(INT(W440/20)&gt;INT(W439/20), "Lần " &amp; INT(W440/20), "")</f>
        <v/>
      </c>
      <c r="AI440" s="11">
        <f>IF(INT(X440/20)&gt;INT(X439/20), "Lần " &amp; INT(X440/20), "")</f>
        <v/>
      </c>
      <c r="AJ440" s="11">
        <f>IF(INT(Y440/20)&gt;INT(Y439/20), "Lần " &amp; INT(Y440/20), "")</f>
        <v/>
      </c>
      <c r="AK440" s="11">
        <f>IF(INT(Z440/20)&gt;INT(Z439/20), "Lần " &amp; INT(Z440/20), "")</f>
        <v/>
      </c>
      <c r="AL440" s="6" t="inlineStr">
        <is>
          <t>ĐẠT TCVN 1651:2018</t>
        </is>
      </c>
    </row>
    <row r="441" ht="19" customHeight="1">
      <c r="A441" s="6" t="n">
        <v>410</v>
      </c>
      <c r="B441" s="7" t="inlineStr">
        <is>
          <t>Mố M1</t>
        </is>
      </c>
      <c r="C441" s="7" t="inlineStr">
        <is>
          <t>Thân mố / Bệ mố</t>
        </is>
      </c>
      <c r="D441" s="18" t="inlineStr">
        <is>
          <t>F3</t>
        </is>
      </c>
      <c r="E441" s="19" t="n">
        <v>18</v>
      </c>
      <c r="F441" s="6" t="inlineStr">
        <is>
          <t>CB400-V</t>
        </is>
      </c>
      <c r="G441" s="7" t="inlineStr">
        <is>
          <t>S06</t>
        </is>
      </c>
      <c r="H441" s="20" t="n">
        <v>6.336</v>
      </c>
      <c r="I441" s="21" t="n">
        <v>83</v>
      </c>
      <c r="J441" s="22" t="n">
        <v>2</v>
      </c>
      <c r="K441" s="9">
        <f>ROUND(H441*I441*J441, 2)</f>
        <v/>
      </c>
      <c r="L441" s="23">
        <f>ROUND(K441/1000, 3)</f>
        <v/>
      </c>
      <c r="M441" s="8" t="n"/>
      <c r="N441" s="6" t="n"/>
      <c r="O441" s="24">
        <f>IF(AND(E441&lt;=10, F441&lt;&gt;"ASTM A416", INT(P441/20)&gt;INT(P440/20)), "TN Ø10 (Lần " &amp; INT(P441/20) &amp; ")", IF(AND(E441=12, INT(Q441/20)&gt;INT(Q440/20)), "TN Ø12 (Lần " &amp; INT(Q441/20) &amp; ")", IF(AND(E441=14, INT(R441/20)&gt;INT(R440/20)), "TN Ø14 (Lần " &amp; INT(R441/20) &amp; ")", IF(AND(E441=16, INT(S441/20)&gt;INT(S440/20)), "TN Ø16 (Lần " &amp; INT(S441/20) &amp; ")", IF(AND(E441=18, INT(T441/20)&gt;INT(T440/20)), "TN Ø18 (Lần " &amp; INT(T441/20) &amp; ")", IF(AND(E441=20, INT(U441/20)&gt;INT(U440/20)), "TN Ø20 (Lần " &amp; INT(U441/20) &amp; ")", IF(AND(E441=22, INT(V441/20)&gt;INT(V440/20)), "TN Ø22 (Lần " &amp; INT(V441/20) &amp; ")", IF(AND(E441=25, INT(W441/20)&gt;INT(W440/20)), "TN Ø25 (Lần " &amp; INT(W441/20) &amp; ")", IF(AND(E441=28, INT(X441/20)&gt;INT(X440/20)), "TN Ø28 (Lần " &amp; INT(X441/20) &amp; ")", IF(AND(E441=32, INT(Y441/20)&gt;INT(Y440/20)), "TN Ø32 (Lần " &amp; INT(Y441/20) &amp; ")", IF(AND(F441="ASTM A416", INT(Z441/20)&gt;INT(Z440/20)), "TN Cáp 15.2 (Lần " &amp; INT(Z441/20) &amp; ")", "")))))))))))</f>
        <v/>
      </c>
      <c r="P441" s="20">
        <f>ROUND(P440 + IF(AND(E441&lt;=10, F441&lt;&gt;"ASTM A416"), L441, 0), 3)</f>
        <v/>
      </c>
      <c r="Q441" s="20">
        <f>ROUND(Q440 + IF(AND(E441=12, F441&lt;&gt;"ASTM A416"), L441, 0), 3)</f>
        <v/>
      </c>
      <c r="R441" s="20">
        <f>ROUND(R440 + IF(AND(E441=14, F441&lt;&gt;"ASTM A416"), L441, 0), 3)</f>
        <v/>
      </c>
      <c r="S441" s="20">
        <f>ROUND(S440 + IF(AND(E441=16, F441&lt;&gt;"ASTM A416"), L441, 0), 3)</f>
        <v/>
      </c>
      <c r="T441" s="20">
        <f>ROUND(T440 + IF(AND(E441=18, F441&lt;&gt;"ASTM A416"), L441, 0), 3)</f>
        <v/>
      </c>
      <c r="U441" s="20">
        <f>ROUND(U440 + IF(AND(E441=20, F441&lt;&gt;"ASTM A416"), L441, 0), 3)</f>
        <v/>
      </c>
      <c r="V441" s="20">
        <f>ROUND(V440 + IF(AND(E441=22, F441&lt;&gt;"ASTM A416"), L441, 0), 3)</f>
        <v/>
      </c>
      <c r="W441" s="20">
        <f>ROUND(W440 + IF(AND(E441=25, F441&lt;&gt;"ASTM A416"), L441, 0), 3)</f>
        <v/>
      </c>
      <c r="X441" s="20">
        <f>ROUND(X440 + IF(AND(E441=28, F441&lt;&gt;"ASTM A416"), L441, 0), 3)</f>
        <v/>
      </c>
      <c r="Y441" s="20">
        <f>ROUND(Y440 + IF(AND(E441=32, F441&lt;&gt;"ASTM A416"), L441, 0), 3)</f>
        <v/>
      </c>
      <c r="Z441" s="20">
        <f>ROUND(Z440 + IF(F441="ASTM A416", L441, 0), 3)</f>
        <v/>
      </c>
      <c r="AA441" s="11">
        <f>IF(INT(P441/20)&gt;INT(P440/20), "Lần " &amp; INT(P441/20), "")</f>
        <v/>
      </c>
      <c r="AB441" s="11">
        <f>IF(INT(Q441/20)&gt;INT(Q440/20), "Lần " &amp; INT(Q441/20), "")</f>
        <v/>
      </c>
      <c r="AC441" s="11">
        <f>IF(INT(R441/20)&gt;INT(R440/20), "Lần " &amp; INT(R441/20), "")</f>
        <v/>
      </c>
      <c r="AD441" s="11">
        <f>IF(INT(S441/20)&gt;INT(S440/20), "Lần " &amp; INT(S441/20), "")</f>
        <v/>
      </c>
      <c r="AE441" s="11">
        <f>IF(INT(T441/20)&gt;INT(T440/20), "Lần " &amp; INT(T441/20), "")</f>
        <v/>
      </c>
      <c r="AF441" s="11">
        <f>IF(INT(U441/20)&gt;INT(U440/20), "Lần " &amp; INT(U441/20), "")</f>
        <v/>
      </c>
      <c r="AG441" s="11">
        <f>IF(INT(V441/20)&gt;INT(V440/20), "Lần " &amp; INT(V441/20), "")</f>
        <v/>
      </c>
      <c r="AH441" s="11">
        <f>IF(INT(W441/20)&gt;INT(W440/20), "Lần " &amp; INT(W441/20), "")</f>
        <v/>
      </c>
      <c r="AI441" s="11">
        <f>IF(INT(X441/20)&gt;INT(X440/20), "Lần " &amp; INT(X441/20), "")</f>
        <v/>
      </c>
      <c r="AJ441" s="11">
        <f>IF(INT(Y441/20)&gt;INT(Y440/20), "Lần " &amp; INT(Y441/20), "")</f>
        <v/>
      </c>
      <c r="AK441" s="11">
        <f>IF(INT(Z441/20)&gt;INT(Z440/20), "Lần " &amp; INT(Z441/20), "")</f>
        <v/>
      </c>
      <c r="AL441" s="6" t="inlineStr">
        <is>
          <t>ĐẠT TCVN 1651:2018</t>
        </is>
      </c>
    </row>
    <row r="442" ht="19" customHeight="1">
      <c r="A442" s="6" t="n">
        <v>411</v>
      </c>
      <c r="B442" s="7" t="inlineStr">
        <is>
          <t>Mố M1</t>
        </is>
      </c>
      <c r="C442" s="7" t="inlineStr">
        <is>
          <t>Thân mố / Bệ mố</t>
        </is>
      </c>
      <c r="D442" s="18" t="inlineStr">
        <is>
          <t>F4</t>
        </is>
      </c>
      <c r="E442" s="19" t="n">
        <v>18</v>
      </c>
      <c r="F442" s="6" t="inlineStr">
        <is>
          <t>CB400-V</t>
        </is>
      </c>
      <c r="G442" s="7" t="inlineStr">
        <is>
          <t>S06</t>
        </is>
      </c>
      <c r="H442" s="20" t="n">
        <v>13.571</v>
      </c>
      <c r="I442" s="21" t="n">
        <v>30</v>
      </c>
      <c r="J442" s="22" t="n">
        <v>2</v>
      </c>
      <c r="K442" s="9">
        <f>ROUND(H442*I442*J442, 2)</f>
        <v/>
      </c>
      <c r="L442" s="23">
        <f>ROUND(K442/1000, 3)</f>
        <v/>
      </c>
      <c r="M442" s="8" t="n"/>
      <c r="N442" s="6" t="n"/>
      <c r="O442" s="24">
        <f>IF(AND(E442&lt;=10, F442&lt;&gt;"ASTM A416", INT(P442/20)&gt;INT(P441/20)), "TN Ø10 (Lần " &amp; INT(P442/20) &amp; ")", IF(AND(E442=12, INT(Q442/20)&gt;INT(Q441/20)), "TN Ø12 (Lần " &amp; INT(Q442/20) &amp; ")", IF(AND(E442=14, INT(R442/20)&gt;INT(R441/20)), "TN Ø14 (Lần " &amp; INT(R442/20) &amp; ")", IF(AND(E442=16, INT(S442/20)&gt;INT(S441/20)), "TN Ø16 (Lần " &amp; INT(S442/20) &amp; ")", IF(AND(E442=18, INT(T442/20)&gt;INT(T441/20)), "TN Ø18 (Lần " &amp; INT(T442/20) &amp; ")", IF(AND(E442=20, INT(U442/20)&gt;INT(U441/20)), "TN Ø20 (Lần " &amp; INT(U442/20) &amp; ")", IF(AND(E442=22, INT(V442/20)&gt;INT(V441/20)), "TN Ø22 (Lần " &amp; INT(V442/20) &amp; ")", IF(AND(E442=25, INT(W442/20)&gt;INT(W441/20)), "TN Ø25 (Lần " &amp; INT(W442/20) &amp; ")", IF(AND(E442=28, INT(X442/20)&gt;INT(X441/20)), "TN Ø28 (Lần " &amp; INT(X442/20) &amp; ")", IF(AND(E442=32, INT(Y442/20)&gt;INT(Y441/20)), "TN Ø32 (Lần " &amp; INT(Y442/20) &amp; ")", IF(AND(F442="ASTM A416", INT(Z442/20)&gt;INT(Z441/20)), "TN Cáp 15.2 (Lần " &amp; INT(Z442/20) &amp; ")", "")))))))))))</f>
        <v/>
      </c>
      <c r="P442" s="20">
        <f>ROUND(P441 + IF(AND(E442&lt;=10, F442&lt;&gt;"ASTM A416"), L442, 0), 3)</f>
        <v/>
      </c>
      <c r="Q442" s="20">
        <f>ROUND(Q441 + IF(AND(E442=12, F442&lt;&gt;"ASTM A416"), L442, 0), 3)</f>
        <v/>
      </c>
      <c r="R442" s="20">
        <f>ROUND(R441 + IF(AND(E442=14, F442&lt;&gt;"ASTM A416"), L442, 0), 3)</f>
        <v/>
      </c>
      <c r="S442" s="20">
        <f>ROUND(S441 + IF(AND(E442=16, F442&lt;&gt;"ASTM A416"), L442, 0), 3)</f>
        <v/>
      </c>
      <c r="T442" s="20">
        <f>ROUND(T441 + IF(AND(E442=18, F442&lt;&gt;"ASTM A416"), L442, 0), 3)</f>
        <v/>
      </c>
      <c r="U442" s="20">
        <f>ROUND(U441 + IF(AND(E442=20, F442&lt;&gt;"ASTM A416"), L442, 0), 3)</f>
        <v/>
      </c>
      <c r="V442" s="20">
        <f>ROUND(V441 + IF(AND(E442=22, F442&lt;&gt;"ASTM A416"), L442, 0), 3)</f>
        <v/>
      </c>
      <c r="W442" s="20">
        <f>ROUND(W441 + IF(AND(E442=25, F442&lt;&gt;"ASTM A416"), L442, 0), 3)</f>
        <v/>
      </c>
      <c r="X442" s="20">
        <f>ROUND(X441 + IF(AND(E442=28, F442&lt;&gt;"ASTM A416"), L442, 0), 3)</f>
        <v/>
      </c>
      <c r="Y442" s="20">
        <f>ROUND(Y441 + IF(AND(E442=32, F442&lt;&gt;"ASTM A416"), L442, 0), 3)</f>
        <v/>
      </c>
      <c r="Z442" s="20">
        <f>ROUND(Z441 + IF(F442="ASTM A416", L442, 0), 3)</f>
        <v/>
      </c>
      <c r="AA442" s="11">
        <f>IF(INT(P442/20)&gt;INT(P441/20), "Lần " &amp; INT(P442/20), "")</f>
        <v/>
      </c>
      <c r="AB442" s="11">
        <f>IF(INT(Q442/20)&gt;INT(Q441/20), "Lần " &amp; INT(Q442/20), "")</f>
        <v/>
      </c>
      <c r="AC442" s="11">
        <f>IF(INT(R442/20)&gt;INT(R441/20), "Lần " &amp; INT(R442/20), "")</f>
        <v/>
      </c>
      <c r="AD442" s="11">
        <f>IF(INT(S442/20)&gt;INT(S441/20), "Lần " &amp; INT(S442/20), "")</f>
        <v/>
      </c>
      <c r="AE442" s="11">
        <f>IF(INT(T442/20)&gt;INT(T441/20), "Lần " &amp; INT(T442/20), "")</f>
        <v/>
      </c>
      <c r="AF442" s="11">
        <f>IF(INT(U442/20)&gt;INT(U441/20), "Lần " &amp; INT(U442/20), "")</f>
        <v/>
      </c>
      <c r="AG442" s="11">
        <f>IF(INT(V442/20)&gt;INT(V441/20), "Lần " &amp; INT(V442/20), "")</f>
        <v/>
      </c>
      <c r="AH442" s="11">
        <f>IF(INT(W442/20)&gt;INT(W441/20), "Lần " &amp; INT(W442/20), "")</f>
        <v/>
      </c>
      <c r="AI442" s="11">
        <f>IF(INT(X442/20)&gt;INT(X441/20), "Lần " &amp; INT(X442/20), "")</f>
        <v/>
      </c>
      <c r="AJ442" s="11">
        <f>IF(INT(Y442/20)&gt;INT(Y441/20), "Lần " &amp; INT(Y442/20), "")</f>
        <v/>
      </c>
      <c r="AK442" s="11">
        <f>IF(INT(Z442/20)&gt;INT(Z441/20), "Lần " &amp; INT(Z442/20), "")</f>
        <v/>
      </c>
      <c r="AL442" s="6" t="inlineStr">
        <is>
          <t>ĐẠT TCVN 1651:2018</t>
        </is>
      </c>
    </row>
    <row r="443" ht="19" customHeight="1">
      <c r="A443" s="6" t="n">
        <v>412</v>
      </c>
      <c r="B443" s="7" t="inlineStr">
        <is>
          <t>Mố M1</t>
        </is>
      </c>
      <c r="C443" s="7" t="inlineStr">
        <is>
          <t>Thân mố / Bệ mố</t>
        </is>
      </c>
      <c r="D443" s="18" t="inlineStr">
        <is>
          <t>F5</t>
        </is>
      </c>
      <c r="E443" s="19" t="n">
        <v>16</v>
      </c>
      <c r="F443" s="6" t="inlineStr">
        <is>
          <t>CB400-V</t>
        </is>
      </c>
      <c r="G443" s="7" t="inlineStr">
        <is>
          <t>S01</t>
        </is>
      </c>
      <c r="H443" s="20" t="n">
        <v>5.85</v>
      </c>
      <c r="I443" s="21" t="n">
        <v>16</v>
      </c>
      <c r="J443" s="22" t="n">
        <v>1.58</v>
      </c>
      <c r="K443" s="9">
        <f>ROUND(H443*I443*J443, 2)</f>
        <v/>
      </c>
      <c r="L443" s="23">
        <f>ROUND(K443/1000, 3)</f>
        <v/>
      </c>
      <c r="M443" s="8" t="n"/>
      <c r="N443" s="6" t="n"/>
      <c r="O443" s="24">
        <f>IF(AND(E443&lt;=10, F443&lt;&gt;"ASTM A416", INT(P443/20)&gt;INT(P442/20)), "TN Ø10 (Lần " &amp; INT(P443/20) &amp; ")", IF(AND(E443=12, INT(Q443/20)&gt;INT(Q442/20)), "TN Ø12 (Lần " &amp; INT(Q443/20) &amp; ")", IF(AND(E443=14, INT(R443/20)&gt;INT(R442/20)), "TN Ø14 (Lần " &amp; INT(R443/20) &amp; ")", IF(AND(E443=16, INT(S443/20)&gt;INT(S442/20)), "TN Ø16 (Lần " &amp; INT(S443/20) &amp; ")", IF(AND(E443=18, INT(T443/20)&gt;INT(T442/20)), "TN Ø18 (Lần " &amp; INT(T443/20) &amp; ")", IF(AND(E443=20, INT(U443/20)&gt;INT(U442/20)), "TN Ø20 (Lần " &amp; INT(U443/20) &amp; ")", IF(AND(E443=22, INT(V443/20)&gt;INT(V442/20)), "TN Ø22 (Lần " &amp; INT(V443/20) &amp; ")", IF(AND(E443=25, INT(W443/20)&gt;INT(W442/20)), "TN Ø25 (Lần " &amp; INT(W443/20) &amp; ")", IF(AND(E443=28, INT(X443/20)&gt;INT(X442/20)), "TN Ø28 (Lần " &amp; INT(X443/20) &amp; ")", IF(AND(E443=32, INT(Y443/20)&gt;INT(Y442/20)), "TN Ø32 (Lần " &amp; INT(Y443/20) &amp; ")", IF(AND(F443="ASTM A416", INT(Z443/20)&gt;INT(Z442/20)), "TN Cáp 15.2 (Lần " &amp; INT(Z443/20) &amp; ")", "")))))))))))</f>
        <v/>
      </c>
      <c r="P443" s="20">
        <f>ROUND(P442 + IF(AND(E443&lt;=10, F443&lt;&gt;"ASTM A416"), L443, 0), 3)</f>
        <v/>
      </c>
      <c r="Q443" s="20">
        <f>ROUND(Q442 + IF(AND(E443=12, F443&lt;&gt;"ASTM A416"), L443, 0), 3)</f>
        <v/>
      </c>
      <c r="R443" s="20">
        <f>ROUND(R442 + IF(AND(E443=14, F443&lt;&gt;"ASTM A416"), L443, 0), 3)</f>
        <v/>
      </c>
      <c r="S443" s="20">
        <f>ROUND(S442 + IF(AND(E443=16, F443&lt;&gt;"ASTM A416"), L443, 0), 3)</f>
        <v/>
      </c>
      <c r="T443" s="20">
        <f>ROUND(T442 + IF(AND(E443=18, F443&lt;&gt;"ASTM A416"), L443, 0), 3)</f>
        <v/>
      </c>
      <c r="U443" s="20">
        <f>ROUND(U442 + IF(AND(E443=20, F443&lt;&gt;"ASTM A416"), L443, 0), 3)</f>
        <v/>
      </c>
      <c r="V443" s="20">
        <f>ROUND(V442 + IF(AND(E443=22, F443&lt;&gt;"ASTM A416"), L443, 0), 3)</f>
        <v/>
      </c>
      <c r="W443" s="20">
        <f>ROUND(W442 + IF(AND(E443=25, F443&lt;&gt;"ASTM A416"), L443, 0), 3)</f>
        <v/>
      </c>
      <c r="X443" s="20">
        <f>ROUND(X442 + IF(AND(E443=28, F443&lt;&gt;"ASTM A416"), L443, 0), 3)</f>
        <v/>
      </c>
      <c r="Y443" s="20">
        <f>ROUND(Y442 + IF(AND(E443=32, F443&lt;&gt;"ASTM A416"), L443, 0), 3)</f>
        <v/>
      </c>
      <c r="Z443" s="20">
        <f>ROUND(Z442 + IF(F443="ASTM A416", L443, 0), 3)</f>
        <v/>
      </c>
      <c r="AA443" s="11">
        <f>IF(INT(P443/20)&gt;INT(P442/20), "Lần " &amp; INT(P443/20), "")</f>
        <v/>
      </c>
      <c r="AB443" s="11">
        <f>IF(INT(Q443/20)&gt;INT(Q442/20), "Lần " &amp; INT(Q443/20), "")</f>
        <v/>
      </c>
      <c r="AC443" s="11">
        <f>IF(INT(R443/20)&gt;INT(R442/20), "Lần " &amp; INT(R443/20), "")</f>
        <v/>
      </c>
      <c r="AD443" s="11">
        <f>IF(INT(S443/20)&gt;INT(S442/20), "Lần " &amp; INT(S443/20), "")</f>
        <v/>
      </c>
      <c r="AE443" s="11">
        <f>IF(INT(T443/20)&gt;INT(T442/20), "Lần " &amp; INT(T443/20), "")</f>
        <v/>
      </c>
      <c r="AF443" s="11">
        <f>IF(INT(U443/20)&gt;INT(U442/20), "Lần " &amp; INT(U443/20), "")</f>
        <v/>
      </c>
      <c r="AG443" s="11">
        <f>IF(INT(V443/20)&gt;INT(V442/20), "Lần " &amp; INT(V443/20), "")</f>
        <v/>
      </c>
      <c r="AH443" s="11">
        <f>IF(INT(W443/20)&gt;INT(W442/20), "Lần " &amp; INT(W443/20), "")</f>
        <v/>
      </c>
      <c r="AI443" s="11">
        <f>IF(INT(X443/20)&gt;INT(X442/20), "Lần " &amp; INT(X443/20), "")</f>
        <v/>
      </c>
      <c r="AJ443" s="11">
        <f>IF(INT(Y443/20)&gt;INT(Y442/20), "Lần " &amp; INT(Y443/20), "")</f>
        <v/>
      </c>
      <c r="AK443" s="11">
        <f>IF(INT(Z443/20)&gt;INT(Z442/20), "Lần " &amp; INT(Z443/20), "")</f>
        <v/>
      </c>
      <c r="AL443" s="6" t="inlineStr">
        <is>
          <t>ĐẠT TCVN 1651:2018</t>
        </is>
      </c>
    </row>
    <row r="444" ht="19" customHeight="1">
      <c r="A444" s="6" t="n">
        <v>413</v>
      </c>
      <c r="B444" s="7" t="inlineStr">
        <is>
          <t>Mố M1</t>
        </is>
      </c>
      <c r="C444" s="7" t="inlineStr">
        <is>
          <t>Thân mố / Bệ mố</t>
        </is>
      </c>
      <c r="D444" s="18" t="inlineStr">
        <is>
          <t>F6</t>
        </is>
      </c>
      <c r="E444" s="19" t="n">
        <v>16</v>
      </c>
      <c r="F444" s="6" t="inlineStr">
        <is>
          <t>CB400-V</t>
        </is>
      </c>
      <c r="G444" s="7" t="inlineStr">
        <is>
          <t>S06</t>
        </is>
      </c>
      <c r="H444" s="20" t="n">
        <v>1.99</v>
      </c>
      <c r="I444" s="21" t="n">
        <v>182</v>
      </c>
      <c r="J444" s="22" t="n">
        <v>1.58</v>
      </c>
      <c r="K444" s="9">
        <f>ROUND(H444*I444*J444, 2)</f>
        <v/>
      </c>
      <c r="L444" s="23">
        <f>ROUND(K444/1000, 3)</f>
        <v/>
      </c>
      <c r="M444" s="8" t="n"/>
      <c r="N444" s="6" t="n"/>
      <c r="O444" s="24">
        <f>IF(AND(E444&lt;=10, F444&lt;&gt;"ASTM A416", INT(P444/20)&gt;INT(P443/20)), "TN Ø10 (Lần " &amp; INT(P444/20) &amp; ")", IF(AND(E444=12, INT(Q444/20)&gt;INT(Q443/20)), "TN Ø12 (Lần " &amp; INT(Q444/20) &amp; ")", IF(AND(E444=14, INT(R444/20)&gt;INT(R443/20)), "TN Ø14 (Lần " &amp; INT(R444/20) &amp; ")", IF(AND(E444=16, INT(S444/20)&gt;INT(S443/20)), "TN Ø16 (Lần " &amp; INT(S444/20) &amp; ")", IF(AND(E444=18, INT(T444/20)&gt;INT(T443/20)), "TN Ø18 (Lần " &amp; INT(T444/20) &amp; ")", IF(AND(E444=20, INT(U444/20)&gt;INT(U443/20)), "TN Ø20 (Lần " &amp; INT(U444/20) &amp; ")", IF(AND(E444=22, INT(V444/20)&gt;INT(V443/20)), "TN Ø22 (Lần " &amp; INT(V444/20) &amp; ")", IF(AND(E444=25, INT(W444/20)&gt;INT(W443/20)), "TN Ø25 (Lần " &amp; INT(W444/20) &amp; ")", IF(AND(E444=28, INT(X444/20)&gt;INT(X443/20)), "TN Ø28 (Lần " &amp; INT(X444/20) &amp; ")", IF(AND(E444=32, INT(Y444/20)&gt;INT(Y443/20)), "TN Ø32 (Lần " &amp; INT(Y444/20) &amp; ")", IF(AND(F444="ASTM A416", INT(Z444/20)&gt;INT(Z443/20)), "TN Cáp 15.2 (Lần " &amp; INT(Z444/20) &amp; ")", "")))))))))))</f>
        <v/>
      </c>
      <c r="P444" s="20">
        <f>ROUND(P443 + IF(AND(E444&lt;=10, F444&lt;&gt;"ASTM A416"), L444, 0), 3)</f>
        <v/>
      </c>
      <c r="Q444" s="20">
        <f>ROUND(Q443 + IF(AND(E444=12, F444&lt;&gt;"ASTM A416"), L444, 0), 3)</f>
        <v/>
      </c>
      <c r="R444" s="20">
        <f>ROUND(R443 + IF(AND(E444=14, F444&lt;&gt;"ASTM A416"), L444, 0), 3)</f>
        <v/>
      </c>
      <c r="S444" s="20">
        <f>ROUND(S443 + IF(AND(E444=16, F444&lt;&gt;"ASTM A416"), L444, 0), 3)</f>
        <v/>
      </c>
      <c r="T444" s="20">
        <f>ROUND(T443 + IF(AND(E444=18, F444&lt;&gt;"ASTM A416"), L444, 0), 3)</f>
        <v/>
      </c>
      <c r="U444" s="20">
        <f>ROUND(U443 + IF(AND(E444=20, F444&lt;&gt;"ASTM A416"), L444, 0), 3)</f>
        <v/>
      </c>
      <c r="V444" s="20">
        <f>ROUND(V443 + IF(AND(E444=22, F444&lt;&gt;"ASTM A416"), L444, 0), 3)</f>
        <v/>
      </c>
      <c r="W444" s="20">
        <f>ROUND(W443 + IF(AND(E444=25, F444&lt;&gt;"ASTM A416"), L444, 0), 3)</f>
        <v/>
      </c>
      <c r="X444" s="20">
        <f>ROUND(X443 + IF(AND(E444=28, F444&lt;&gt;"ASTM A416"), L444, 0), 3)</f>
        <v/>
      </c>
      <c r="Y444" s="20">
        <f>ROUND(Y443 + IF(AND(E444=32, F444&lt;&gt;"ASTM A416"), L444, 0), 3)</f>
        <v/>
      </c>
      <c r="Z444" s="20">
        <f>ROUND(Z443 + IF(F444="ASTM A416", L444, 0), 3)</f>
        <v/>
      </c>
      <c r="AA444" s="11">
        <f>IF(INT(P444/20)&gt;INT(P443/20), "Lần " &amp; INT(P444/20), "")</f>
        <v/>
      </c>
      <c r="AB444" s="11">
        <f>IF(INT(Q444/20)&gt;INT(Q443/20), "Lần " &amp; INT(Q444/20), "")</f>
        <v/>
      </c>
      <c r="AC444" s="11">
        <f>IF(INT(R444/20)&gt;INT(R443/20), "Lần " &amp; INT(R444/20), "")</f>
        <v/>
      </c>
      <c r="AD444" s="11">
        <f>IF(INT(S444/20)&gt;INT(S443/20), "Lần " &amp; INT(S444/20), "")</f>
        <v/>
      </c>
      <c r="AE444" s="11">
        <f>IF(INT(T444/20)&gt;INT(T443/20), "Lần " &amp; INT(T444/20), "")</f>
        <v/>
      </c>
      <c r="AF444" s="11">
        <f>IF(INT(U444/20)&gt;INT(U443/20), "Lần " &amp; INT(U444/20), "")</f>
        <v/>
      </c>
      <c r="AG444" s="11">
        <f>IF(INT(V444/20)&gt;INT(V443/20), "Lần " &amp; INT(V444/20), "")</f>
        <v/>
      </c>
      <c r="AH444" s="11">
        <f>IF(INT(W444/20)&gt;INT(W443/20), "Lần " &amp; INT(W444/20), "")</f>
        <v/>
      </c>
      <c r="AI444" s="11">
        <f>IF(INT(X444/20)&gt;INT(X443/20), "Lần " &amp; INT(X444/20), "")</f>
        <v/>
      </c>
      <c r="AJ444" s="11">
        <f>IF(INT(Y444/20)&gt;INT(Y443/20), "Lần " &amp; INT(Y444/20), "")</f>
        <v/>
      </c>
      <c r="AK444" s="11">
        <f>IF(INT(Z444/20)&gt;INT(Z443/20), "Lần " &amp; INT(Z444/20), "")</f>
        <v/>
      </c>
      <c r="AL444" s="6" t="inlineStr">
        <is>
          <t>ĐẠT TCVN 1651:2018</t>
        </is>
      </c>
    </row>
    <row r="445" ht="19" customHeight="1">
      <c r="A445" s="6" t="n">
        <v>414</v>
      </c>
      <c r="B445" s="7" t="inlineStr">
        <is>
          <t>Mố M1</t>
        </is>
      </c>
      <c r="C445" s="7" t="inlineStr">
        <is>
          <t>Thân mố / Bệ mố</t>
        </is>
      </c>
      <c r="D445" s="18" t="inlineStr">
        <is>
          <t>F7</t>
        </is>
      </c>
      <c r="E445" s="19" t="n">
        <v>16</v>
      </c>
      <c r="F445" s="6" t="inlineStr">
        <is>
          <t>CB400-V</t>
        </is>
      </c>
      <c r="G445" s="7" t="inlineStr">
        <is>
          <t>S01</t>
        </is>
      </c>
      <c r="H445" s="20" t="n">
        <v>13.005</v>
      </c>
      <c r="I445" s="21" t="n">
        <v>16</v>
      </c>
      <c r="J445" s="22" t="n">
        <v>1.58</v>
      </c>
      <c r="K445" s="9">
        <f>ROUND(H445*I445*J445, 2)</f>
        <v/>
      </c>
      <c r="L445" s="23">
        <f>ROUND(K445/1000, 3)</f>
        <v/>
      </c>
      <c r="M445" s="8" t="n"/>
      <c r="N445" s="6" t="n"/>
      <c r="O445" s="24">
        <f>IF(AND(E445&lt;=10, F445&lt;&gt;"ASTM A416", INT(P445/20)&gt;INT(P444/20)), "TN Ø10 (Lần " &amp; INT(P445/20) &amp; ")", IF(AND(E445=12, INT(Q445/20)&gt;INT(Q444/20)), "TN Ø12 (Lần " &amp; INT(Q445/20) &amp; ")", IF(AND(E445=14, INT(R445/20)&gt;INT(R444/20)), "TN Ø14 (Lần " &amp; INT(R445/20) &amp; ")", IF(AND(E445=16, INT(S445/20)&gt;INT(S444/20)), "TN Ø16 (Lần " &amp; INT(S445/20) &amp; ")", IF(AND(E445=18, INT(T445/20)&gt;INT(T444/20)), "TN Ø18 (Lần " &amp; INT(T445/20) &amp; ")", IF(AND(E445=20, INT(U445/20)&gt;INT(U444/20)), "TN Ø20 (Lần " &amp; INT(U445/20) &amp; ")", IF(AND(E445=22, INT(V445/20)&gt;INT(V444/20)), "TN Ø22 (Lần " &amp; INT(V445/20) &amp; ")", IF(AND(E445=25, INT(W445/20)&gt;INT(W444/20)), "TN Ø25 (Lần " &amp; INT(W445/20) &amp; ")", IF(AND(E445=28, INT(X445/20)&gt;INT(X444/20)), "TN Ø28 (Lần " &amp; INT(X445/20) &amp; ")", IF(AND(E445=32, INT(Y445/20)&gt;INT(Y444/20)), "TN Ø32 (Lần " &amp; INT(Y445/20) &amp; ")", IF(AND(F445="ASTM A416", INT(Z445/20)&gt;INT(Z444/20)), "TN Cáp 15.2 (Lần " &amp; INT(Z445/20) &amp; ")", "")))))))))))</f>
        <v/>
      </c>
      <c r="P445" s="20">
        <f>ROUND(P444 + IF(AND(E445&lt;=10, F445&lt;&gt;"ASTM A416"), L445, 0), 3)</f>
        <v/>
      </c>
      <c r="Q445" s="20">
        <f>ROUND(Q444 + IF(AND(E445=12, F445&lt;&gt;"ASTM A416"), L445, 0), 3)</f>
        <v/>
      </c>
      <c r="R445" s="20">
        <f>ROUND(R444 + IF(AND(E445=14, F445&lt;&gt;"ASTM A416"), L445, 0), 3)</f>
        <v/>
      </c>
      <c r="S445" s="20">
        <f>ROUND(S444 + IF(AND(E445=16, F445&lt;&gt;"ASTM A416"), L445, 0), 3)</f>
        <v/>
      </c>
      <c r="T445" s="20">
        <f>ROUND(T444 + IF(AND(E445=18, F445&lt;&gt;"ASTM A416"), L445, 0), 3)</f>
        <v/>
      </c>
      <c r="U445" s="20">
        <f>ROUND(U444 + IF(AND(E445=20, F445&lt;&gt;"ASTM A416"), L445, 0), 3)</f>
        <v/>
      </c>
      <c r="V445" s="20">
        <f>ROUND(V444 + IF(AND(E445=22, F445&lt;&gt;"ASTM A416"), L445, 0), 3)</f>
        <v/>
      </c>
      <c r="W445" s="20">
        <f>ROUND(W444 + IF(AND(E445=25, F445&lt;&gt;"ASTM A416"), L445, 0), 3)</f>
        <v/>
      </c>
      <c r="X445" s="20">
        <f>ROUND(X444 + IF(AND(E445=28, F445&lt;&gt;"ASTM A416"), L445, 0), 3)</f>
        <v/>
      </c>
      <c r="Y445" s="20">
        <f>ROUND(Y444 + IF(AND(E445=32, F445&lt;&gt;"ASTM A416"), L445, 0), 3)</f>
        <v/>
      </c>
      <c r="Z445" s="20">
        <f>ROUND(Z444 + IF(F445="ASTM A416", L445, 0), 3)</f>
        <v/>
      </c>
      <c r="AA445" s="11">
        <f>IF(INT(P445/20)&gt;INT(P444/20), "Lần " &amp; INT(P445/20), "")</f>
        <v/>
      </c>
      <c r="AB445" s="11">
        <f>IF(INT(Q445/20)&gt;INT(Q444/20), "Lần " &amp; INT(Q445/20), "")</f>
        <v/>
      </c>
      <c r="AC445" s="11">
        <f>IF(INT(R445/20)&gt;INT(R444/20), "Lần " &amp; INT(R445/20), "")</f>
        <v/>
      </c>
      <c r="AD445" s="11">
        <f>IF(INT(S445/20)&gt;INT(S444/20), "Lần " &amp; INT(S445/20), "")</f>
        <v/>
      </c>
      <c r="AE445" s="11">
        <f>IF(INT(T445/20)&gt;INT(T444/20), "Lần " &amp; INT(T445/20), "")</f>
        <v/>
      </c>
      <c r="AF445" s="11">
        <f>IF(INT(U445/20)&gt;INT(U444/20), "Lần " &amp; INT(U445/20), "")</f>
        <v/>
      </c>
      <c r="AG445" s="11">
        <f>IF(INT(V445/20)&gt;INT(V444/20), "Lần " &amp; INT(V445/20), "")</f>
        <v/>
      </c>
      <c r="AH445" s="11">
        <f>IF(INT(W445/20)&gt;INT(W444/20), "Lần " &amp; INT(W445/20), "")</f>
        <v/>
      </c>
      <c r="AI445" s="11">
        <f>IF(INT(X445/20)&gt;INT(X444/20), "Lần " &amp; INT(X445/20), "")</f>
        <v/>
      </c>
      <c r="AJ445" s="11">
        <f>IF(INT(Y445/20)&gt;INT(Y444/20), "Lần " &amp; INT(Y445/20), "")</f>
        <v/>
      </c>
      <c r="AK445" s="11">
        <f>IF(INT(Z445/20)&gt;INT(Z444/20), "Lần " &amp; INT(Z445/20), "")</f>
        <v/>
      </c>
      <c r="AL445" s="6" t="inlineStr">
        <is>
          <t>ĐẠT TCVN 1651:2018</t>
        </is>
      </c>
    </row>
    <row r="446" ht="19" customHeight="1">
      <c r="A446" s="6" t="n">
        <v>415</v>
      </c>
      <c r="B446" s="7" t="inlineStr">
        <is>
          <t>Mố M1</t>
        </is>
      </c>
      <c r="C446" s="7" t="inlineStr">
        <is>
          <t>Thân mố / Bệ mố</t>
        </is>
      </c>
      <c r="D446" s="18" t="inlineStr">
        <is>
          <t>F8</t>
        </is>
      </c>
      <c r="E446" s="19" t="n">
        <v>16</v>
      </c>
      <c r="F446" s="6" t="inlineStr">
        <is>
          <t>CB400-V</t>
        </is>
      </c>
      <c r="G446" s="7" t="inlineStr">
        <is>
          <t>S06</t>
        </is>
      </c>
      <c r="H446" s="20" t="n">
        <v>1.99</v>
      </c>
      <c r="I446" s="21" t="n">
        <v>140</v>
      </c>
      <c r="J446" s="22" t="n">
        <v>1.58</v>
      </c>
      <c r="K446" s="9">
        <f>ROUND(H446*I446*J446, 2)</f>
        <v/>
      </c>
      <c r="L446" s="23">
        <f>ROUND(K446/1000, 3)</f>
        <v/>
      </c>
      <c r="M446" s="8" t="n"/>
      <c r="N446" s="6" t="n"/>
      <c r="O446" s="24">
        <f>IF(AND(E446&lt;=10, F446&lt;&gt;"ASTM A416", INT(P446/20)&gt;INT(P445/20)), "TN Ø10 (Lần " &amp; INT(P446/20) &amp; ")", IF(AND(E446=12, INT(Q446/20)&gt;INT(Q445/20)), "TN Ø12 (Lần " &amp; INT(Q446/20) &amp; ")", IF(AND(E446=14, INT(R446/20)&gt;INT(R445/20)), "TN Ø14 (Lần " &amp; INT(R446/20) &amp; ")", IF(AND(E446=16, INT(S446/20)&gt;INT(S445/20)), "TN Ø16 (Lần " &amp; INT(S446/20) &amp; ")", IF(AND(E446=18, INT(T446/20)&gt;INT(T445/20)), "TN Ø18 (Lần " &amp; INT(T446/20) &amp; ")", IF(AND(E446=20, INT(U446/20)&gt;INT(U445/20)), "TN Ø20 (Lần " &amp; INT(U446/20) &amp; ")", IF(AND(E446=22, INT(V446/20)&gt;INT(V445/20)), "TN Ø22 (Lần " &amp; INT(V446/20) &amp; ")", IF(AND(E446=25, INT(W446/20)&gt;INT(W445/20)), "TN Ø25 (Lần " &amp; INT(W446/20) &amp; ")", IF(AND(E446=28, INT(X446/20)&gt;INT(X445/20)), "TN Ø28 (Lần " &amp; INT(X446/20) &amp; ")", IF(AND(E446=32, INT(Y446/20)&gt;INT(Y445/20)), "TN Ø32 (Lần " &amp; INT(Y446/20) &amp; ")", IF(AND(F446="ASTM A416", INT(Z446/20)&gt;INT(Z445/20)), "TN Cáp 15.2 (Lần " &amp; INT(Z446/20) &amp; ")", "")))))))))))</f>
        <v/>
      </c>
      <c r="P446" s="20">
        <f>ROUND(P445 + IF(AND(E446&lt;=10, F446&lt;&gt;"ASTM A416"), L446, 0), 3)</f>
        <v/>
      </c>
      <c r="Q446" s="20">
        <f>ROUND(Q445 + IF(AND(E446=12, F446&lt;&gt;"ASTM A416"), L446, 0), 3)</f>
        <v/>
      </c>
      <c r="R446" s="20">
        <f>ROUND(R445 + IF(AND(E446=14, F446&lt;&gt;"ASTM A416"), L446, 0), 3)</f>
        <v/>
      </c>
      <c r="S446" s="20">
        <f>ROUND(S445 + IF(AND(E446=16, F446&lt;&gt;"ASTM A416"), L446, 0), 3)</f>
        <v/>
      </c>
      <c r="T446" s="20">
        <f>ROUND(T445 + IF(AND(E446=18, F446&lt;&gt;"ASTM A416"), L446, 0), 3)</f>
        <v/>
      </c>
      <c r="U446" s="20">
        <f>ROUND(U445 + IF(AND(E446=20, F446&lt;&gt;"ASTM A416"), L446, 0), 3)</f>
        <v/>
      </c>
      <c r="V446" s="20">
        <f>ROUND(V445 + IF(AND(E446=22, F446&lt;&gt;"ASTM A416"), L446, 0), 3)</f>
        <v/>
      </c>
      <c r="W446" s="20">
        <f>ROUND(W445 + IF(AND(E446=25, F446&lt;&gt;"ASTM A416"), L446, 0), 3)</f>
        <v/>
      </c>
      <c r="X446" s="20">
        <f>ROUND(X445 + IF(AND(E446=28, F446&lt;&gt;"ASTM A416"), L446, 0), 3)</f>
        <v/>
      </c>
      <c r="Y446" s="20">
        <f>ROUND(Y445 + IF(AND(E446=32, F446&lt;&gt;"ASTM A416"), L446, 0), 3)</f>
        <v/>
      </c>
      <c r="Z446" s="20">
        <f>ROUND(Z445 + IF(F446="ASTM A416", L446, 0), 3)</f>
        <v/>
      </c>
      <c r="AA446" s="11">
        <f>IF(INT(P446/20)&gt;INT(P445/20), "Lần " &amp; INT(P446/20), "")</f>
        <v/>
      </c>
      <c r="AB446" s="11">
        <f>IF(INT(Q446/20)&gt;INT(Q445/20), "Lần " &amp; INT(Q446/20), "")</f>
        <v/>
      </c>
      <c r="AC446" s="11">
        <f>IF(INT(R446/20)&gt;INT(R445/20), "Lần " &amp; INT(R446/20), "")</f>
        <v/>
      </c>
      <c r="AD446" s="11">
        <f>IF(INT(S446/20)&gt;INT(S445/20), "Lần " &amp; INT(S446/20), "")</f>
        <v/>
      </c>
      <c r="AE446" s="11">
        <f>IF(INT(T446/20)&gt;INT(T445/20), "Lần " &amp; INT(T446/20), "")</f>
        <v/>
      </c>
      <c r="AF446" s="11">
        <f>IF(INT(U446/20)&gt;INT(U445/20), "Lần " &amp; INT(U446/20), "")</f>
        <v/>
      </c>
      <c r="AG446" s="11">
        <f>IF(INT(V446/20)&gt;INT(V445/20), "Lần " &amp; INT(V446/20), "")</f>
        <v/>
      </c>
      <c r="AH446" s="11">
        <f>IF(INT(W446/20)&gt;INT(W445/20), "Lần " &amp; INT(W446/20), "")</f>
        <v/>
      </c>
      <c r="AI446" s="11">
        <f>IF(INT(X446/20)&gt;INT(X445/20), "Lần " &amp; INT(X446/20), "")</f>
        <v/>
      </c>
      <c r="AJ446" s="11">
        <f>IF(INT(Y446/20)&gt;INT(Y445/20), "Lần " &amp; INT(Y446/20), "")</f>
        <v/>
      </c>
      <c r="AK446" s="11">
        <f>IF(INT(Z446/20)&gt;INT(Z445/20), "Lần " &amp; INT(Z446/20), "")</f>
        <v/>
      </c>
      <c r="AL446" s="6" t="inlineStr">
        <is>
          <t>ĐẠT TCVN 1651:2018</t>
        </is>
      </c>
    </row>
    <row r="447" ht="19" customHeight="1">
      <c r="A447" s="6" t="n">
        <v>416</v>
      </c>
      <c r="B447" s="7" t="inlineStr">
        <is>
          <t>Mố M1</t>
        </is>
      </c>
      <c r="C447" s="7" t="inlineStr">
        <is>
          <t>TƯỜNG THÂN</t>
        </is>
      </c>
      <c r="D447" s="18" t="inlineStr">
        <is>
          <t>A1</t>
        </is>
      </c>
      <c r="E447" s="19" t="n">
        <v>22</v>
      </c>
      <c r="F447" s="6" t="inlineStr">
        <is>
          <t>CB400-V</t>
        </is>
      </c>
      <c r="G447" s="7" t="inlineStr">
        <is>
          <t>S02</t>
        </is>
      </c>
      <c r="H447" s="20" t="n">
        <v>7.438</v>
      </c>
      <c r="I447" s="21" t="n">
        <v>73</v>
      </c>
      <c r="J447" s="22" t="n">
        <v>2.98</v>
      </c>
      <c r="K447" s="9">
        <f>ROUND(H447*I447*J447, 2)</f>
        <v/>
      </c>
      <c r="L447" s="23">
        <f>ROUND(K447/1000, 3)</f>
        <v/>
      </c>
      <c r="M447" s="8" t="n"/>
      <c r="N447" s="6" t="n"/>
      <c r="O447" s="24">
        <f>IF(AND(E447&lt;=10, F447&lt;&gt;"ASTM A416", INT(P447/20)&gt;INT(P446/20)), "TN Ø10 (Lần " &amp; INT(P447/20) &amp; ")", IF(AND(E447=12, INT(Q447/20)&gt;INT(Q446/20)), "TN Ø12 (Lần " &amp; INT(Q447/20) &amp; ")", IF(AND(E447=14, INT(R447/20)&gt;INT(R446/20)), "TN Ø14 (Lần " &amp; INT(R447/20) &amp; ")", IF(AND(E447=16, INT(S447/20)&gt;INT(S446/20)), "TN Ø16 (Lần " &amp; INT(S447/20) &amp; ")", IF(AND(E447=18, INT(T447/20)&gt;INT(T446/20)), "TN Ø18 (Lần " &amp; INT(T447/20) &amp; ")", IF(AND(E447=20, INT(U447/20)&gt;INT(U446/20)), "TN Ø20 (Lần " &amp; INT(U447/20) &amp; ")", IF(AND(E447=22, INT(V447/20)&gt;INT(V446/20)), "TN Ø22 (Lần " &amp; INT(V447/20) &amp; ")", IF(AND(E447=25, INT(W447/20)&gt;INT(W446/20)), "TN Ø25 (Lần " &amp; INT(W447/20) &amp; ")", IF(AND(E447=28, INT(X447/20)&gt;INT(X446/20)), "TN Ø28 (Lần " &amp; INT(X447/20) &amp; ")", IF(AND(E447=32, INT(Y447/20)&gt;INT(Y446/20)), "TN Ø32 (Lần " &amp; INT(Y447/20) &amp; ")", IF(AND(F447="ASTM A416", INT(Z447/20)&gt;INT(Z446/20)), "TN Cáp 15.2 (Lần " &amp; INT(Z447/20) &amp; ")", "")))))))))))</f>
        <v/>
      </c>
      <c r="P447" s="20">
        <f>ROUND(P446 + IF(AND(E447&lt;=10, F447&lt;&gt;"ASTM A416"), L447, 0), 3)</f>
        <v/>
      </c>
      <c r="Q447" s="20">
        <f>ROUND(Q446 + IF(AND(E447=12, F447&lt;&gt;"ASTM A416"), L447, 0), 3)</f>
        <v/>
      </c>
      <c r="R447" s="20">
        <f>ROUND(R446 + IF(AND(E447=14, F447&lt;&gt;"ASTM A416"), L447, 0), 3)</f>
        <v/>
      </c>
      <c r="S447" s="20">
        <f>ROUND(S446 + IF(AND(E447=16, F447&lt;&gt;"ASTM A416"), L447, 0), 3)</f>
        <v/>
      </c>
      <c r="T447" s="20">
        <f>ROUND(T446 + IF(AND(E447=18, F447&lt;&gt;"ASTM A416"), L447, 0), 3)</f>
        <v/>
      </c>
      <c r="U447" s="20">
        <f>ROUND(U446 + IF(AND(E447=20, F447&lt;&gt;"ASTM A416"), L447, 0), 3)</f>
        <v/>
      </c>
      <c r="V447" s="20">
        <f>ROUND(V446 + IF(AND(E447=22, F447&lt;&gt;"ASTM A416"), L447, 0), 3)</f>
        <v/>
      </c>
      <c r="W447" s="20">
        <f>ROUND(W446 + IF(AND(E447=25, F447&lt;&gt;"ASTM A416"), L447, 0), 3)</f>
        <v/>
      </c>
      <c r="X447" s="20">
        <f>ROUND(X446 + IF(AND(E447=28, F447&lt;&gt;"ASTM A416"), L447, 0), 3)</f>
        <v/>
      </c>
      <c r="Y447" s="20">
        <f>ROUND(Y446 + IF(AND(E447=32, F447&lt;&gt;"ASTM A416"), L447, 0), 3)</f>
        <v/>
      </c>
      <c r="Z447" s="20">
        <f>ROUND(Z446 + IF(F447="ASTM A416", L447, 0), 3)</f>
        <v/>
      </c>
      <c r="AA447" s="11">
        <f>IF(INT(P447/20)&gt;INT(P446/20), "Lần " &amp; INT(P447/20), "")</f>
        <v/>
      </c>
      <c r="AB447" s="11">
        <f>IF(INT(Q447/20)&gt;INT(Q446/20), "Lần " &amp; INT(Q447/20), "")</f>
        <v/>
      </c>
      <c r="AC447" s="11">
        <f>IF(INT(R447/20)&gt;INT(R446/20), "Lần " &amp; INT(R447/20), "")</f>
        <v/>
      </c>
      <c r="AD447" s="11">
        <f>IF(INT(S447/20)&gt;INT(S446/20), "Lần " &amp; INT(S447/20), "")</f>
        <v/>
      </c>
      <c r="AE447" s="11">
        <f>IF(INT(T447/20)&gt;INT(T446/20), "Lần " &amp; INT(T447/20), "")</f>
        <v/>
      </c>
      <c r="AF447" s="11">
        <f>IF(INT(U447/20)&gt;INT(U446/20), "Lần " &amp; INT(U447/20), "")</f>
        <v/>
      </c>
      <c r="AG447" s="11">
        <f>IF(INT(V447/20)&gt;INT(V446/20), "Lần " &amp; INT(V447/20), "")</f>
        <v/>
      </c>
      <c r="AH447" s="11">
        <f>IF(INT(W447/20)&gt;INT(W446/20), "Lần " &amp; INT(W447/20), "")</f>
        <v/>
      </c>
      <c r="AI447" s="11">
        <f>IF(INT(X447/20)&gt;INT(X446/20), "Lần " &amp; INT(X447/20), "")</f>
        <v/>
      </c>
      <c r="AJ447" s="11">
        <f>IF(INT(Y447/20)&gt;INT(Y446/20), "Lần " &amp; INT(Y447/20), "")</f>
        <v/>
      </c>
      <c r="AK447" s="11">
        <f>IF(INT(Z447/20)&gt;INT(Z446/20), "Lần " &amp; INT(Z447/20), "")</f>
        <v/>
      </c>
      <c r="AL447" s="6" t="inlineStr">
        <is>
          <t>ĐẠT TCVN 1651:2018</t>
        </is>
      </c>
    </row>
    <row r="448" ht="19" customHeight="1">
      <c r="A448" s="6" t="n">
        <v>417</v>
      </c>
      <c r="B448" s="7" t="inlineStr">
        <is>
          <t>Mố M1</t>
        </is>
      </c>
      <c r="C448" s="7" t="inlineStr">
        <is>
          <t>Thân mố / Bệ mố</t>
        </is>
      </c>
      <c r="D448" s="18" t="inlineStr">
        <is>
          <t>A2</t>
        </is>
      </c>
      <c r="E448" s="19" t="n">
        <v>16</v>
      </c>
      <c r="F448" s="6" t="inlineStr">
        <is>
          <t>CB400-V</t>
        </is>
      </c>
      <c r="G448" s="7" t="inlineStr">
        <is>
          <t>S06</t>
        </is>
      </c>
      <c r="H448" s="20" t="n">
        <v>13.487</v>
      </c>
      <c r="I448" s="21" t="n">
        <v>35</v>
      </c>
      <c r="J448" s="22" t="n">
        <v>1.58</v>
      </c>
      <c r="K448" s="9">
        <f>ROUND(H448*I448*J448, 2)</f>
        <v/>
      </c>
      <c r="L448" s="23">
        <f>ROUND(K448/1000, 3)</f>
        <v/>
      </c>
      <c r="M448" s="8" t="n"/>
      <c r="N448" s="6" t="n"/>
      <c r="O448" s="24">
        <f>IF(AND(E448&lt;=10, F448&lt;&gt;"ASTM A416", INT(P448/20)&gt;INT(P447/20)), "TN Ø10 (Lần " &amp; INT(P448/20) &amp; ")", IF(AND(E448=12, INT(Q448/20)&gt;INT(Q447/20)), "TN Ø12 (Lần " &amp; INT(Q448/20) &amp; ")", IF(AND(E448=14, INT(R448/20)&gt;INT(R447/20)), "TN Ø14 (Lần " &amp; INT(R448/20) &amp; ")", IF(AND(E448=16, INT(S448/20)&gt;INT(S447/20)), "TN Ø16 (Lần " &amp; INT(S448/20) &amp; ")", IF(AND(E448=18, INT(T448/20)&gt;INT(T447/20)), "TN Ø18 (Lần " &amp; INT(T448/20) &amp; ")", IF(AND(E448=20, INT(U448/20)&gt;INT(U447/20)), "TN Ø20 (Lần " &amp; INT(U448/20) &amp; ")", IF(AND(E448=22, INT(V448/20)&gt;INT(V447/20)), "TN Ø22 (Lần " &amp; INT(V448/20) &amp; ")", IF(AND(E448=25, INT(W448/20)&gt;INT(W447/20)), "TN Ø25 (Lần " &amp; INT(W448/20) &amp; ")", IF(AND(E448=28, INT(X448/20)&gt;INT(X447/20)), "TN Ø28 (Lần " &amp; INT(X448/20) &amp; ")", IF(AND(E448=32, INT(Y448/20)&gt;INT(Y447/20)), "TN Ø32 (Lần " &amp; INT(Y448/20) &amp; ")", IF(AND(F448="ASTM A416", INT(Z448/20)&gt;INT(Z447/20)), "TN Cáp 15.2 (Lần " &amp; INT(Z448/20) &amp; ")", "")))))))))))</f>
        <v/>
      </c>
      <c r="P448" s="20">
        <f>ROUND(P447 + IF(AND(E448&lt;=10, F448&lt;&gt;"ASTM A416"), L448, 0), 3)</f>
        <v/>
      </c>
      <c r="Q448" s="20">
        <f>ROUND(Q447 + IF(AND(E448=12, F448&lt;&gt;"ASTM A416"), L448, 0), 3)</f>
        <v/>
      </c>
      <c r="R448" s="20">
        <f>ROUND(R447 + IF(AND(E448=14, F448&lt;&gt;"ASTM A416"), L448, 0), 3)</f>
        <v/>
      </c>
      <c r="S448" s="20">
        <f>ROUND(S447 + IF(AND(E448=16, F448&lt;&gt;"ASTM A416"), L448, 0), 3)</f>
        <v/>
      </c>
      <c r="T448" s="20">
        <f>ROUND(T447 + IF(AND(E448=18, F448&lt;&gt;"ASTM A416"), L448, 0), 3)</f>
        <v/>
      </c>
      <c r="U448" s="20">
        <f>ROUND(U447 + IF(AND(E448=20, F448&lt;&gt;"ASTM A416"), L448, 0), 3)</f>
        <v/>
      </c>
      <c r="V448" s="20">
        <f>ROUND(V447 + IF(AND(E448=22, F448&lt;&gt;"ASTM A416"), L448, 0), 3)</f>
        <v/>
      </c>
      <c r="W448" s="20">
        <f>ROUND(W447 + IF(AND(E448=25, F448&lt;&gt;"ASTM A416"), L448, 0), 3)</f>
        <v/>
      </c>
      <c r="X448" s="20">
        <f>ROUND(X447 + IF(AND(E448=28, F448&lt;&gt;"ASTM A416"), L448, 0), 3)</f>
        <v/>
      </c>
      <c r="Y448" s="20">
        <f>ROUND(Y447 + IF(AND(E448=32, F448&lt;&gt;"ASTM A416"), L448, 0), 3)</f>
        <v/>
      </c>
      <c r="Z448" s="20">
        <f>ROUND(Z447 + IF(F448="ASTM A416", L448, 0), 3)</f>
        <v/>
      </c>
      <c r="AA448" s="11">
        <f>IF(INT(P448/20)&gt;INT(P447/20), "Lần " &amp; INT(P448/20), "")</f>
        <v/>
      </c>
      <c r="AB448" s="11">
        <f>IF(INT(Q448/20)&gt;INT(Q447/20), "Lần " &amp; INT(Q448/20), "")</f>
        <v/>
      </c>
      <c r="AC448" s="11">
        <f>IF(INT(R448/20)&gt;INT(R447/20), "Lần " &amp; INT(R448/20), "")</f>
        <v/>
      </c>
      <c r="AD448" s="11">
        <f>IF(INT(S448/20)&gt;INT(S447/20), "Lần " &amp; INT(S448/20), "")</f>
        <v/>
      </c>
      <c r="AE448" s="11">
        <f>IF(INT(T448/20)&gt;INT(T447/20), "Lần " &amp; INT(T448/20), "")</f>
        <v/>
      </c>
      <c r="AF448" s="11">
        <f>IF(INT(U448/20)&gt;INT(U447/20), "Lần " &amp; INT(U448/20), "")</f>
        <v/>
      </c>
      <c r="AG448" s="11">
        <f>IF(INT(V448/20)&gt;INT(V447/20), "Lần " &amp; INT(V448/20), "")</f>
        <v/>
      </c>
      <c r="AH448" s="11">
        <f>IF(INT(W448/20)&gt;INT(W447/20), "Lần " &amp; INT(W448/20), "")</f>
        <v/>
      </c>
      <c r="AI448" s="11">
        <f>IF(INT(X448/20)&gt;INT(X447/20), "Lần " &amp; INT(X448/20), "")</f>
        <v/>
      </c>
      <c r="AJ448" s="11">
        <f>IF(INT(Y448/20)&gt;INT(Y447/20), "Lần " &amp; INT(Y448/20), "")</f>
        <v/>
      </c>
      <c r="AK448" s="11">
        <f>IF(INT(Z448/20)&gt;INT(Z447/20), "Lần " &amp; INT(Z448/20), "")</f>
        <v/>
      </c>
      <c r="AL448" s="6" t="inlineStr">
        <is>
          <t>ĐẠT TCVN 1651:2018</t>
        </is>
      </c>
    </row>
    <row r="449" ht="19" customHeight="1">
      <c r="A449" s="6" t="n">
        <v>418</v>
      </c>
      <c r="B449" s="7" t="inlineStr">
        <is>
          <t>Mố M1</t>
        </is>
      </c>
      <c r="C449" s="7" t="inlineStr">
        <is>
          <t>Thân mố / Bệ mố</t>
        </is>
      </c>
      <c r="D449" s="18" t="inlineStr">
        <is>
          <t>A3</t>
        </is>
      </c>
      <c r="E449" s="19" t="n">
        <v>16</v>
      </c>
      <c r="F449" s="6" t="inlineStr">
        <is>
          <t>CB400-V</t>
        </is>
      </c>
      <c r="G449" s="7" t="inlineStr">
        <is>
          <t>S02</t>
        </is>
      </c>
      <c r="H449" s="20" t="n">
        <v>7.357</v>
      </c>
      <c r="I449" s="21" t="n">
        <v>83</v>
      </c>
      <c r="J449" s="22" t="n">
        <v>1.58</v>
      </c>
      <c r="K449" s="9">
        <f>ROUND(H449*I449*J449, 2)</f>
        <v/>
      </c>
      <c r="L449" s="23">
        <f>ROUND(K449/1000, 3)</f>
        <v/>
      </c>
      <c r="M449" s="8" t="n"/>
      <c r="N449" s="6" t="n"/>
      <c r="O449" s="24">
        <f>IF(AND(E449&lt;=10, F449&lt;&gt;"ASTM A416", INT(P449/20)&gt;INT(P448/20)), "TN Ø10 (Lần " &amp; INT(P449/20) &amp; ")", IF(AND(E449=12, INT(Q449/20)&gt;INT(Q448/20)), "TN Ø12 (Lần " &amp; INT(Q449/20) &amp; ")", IF(AND(E449=14, INT(R449/20)&gt;INT(R448/20)), "TN Ø14 (Lần " &amp; INT(R449/20) &amp; ")", IF(AND(E449=16, INT(S449/20)&gt;INT(S448/20)), "TN Ø16 (Lần " &amp; INT(S449/20) &amp; ")", IF(AND(E449=18, INT(T449/20)&gt;INT(T448/20)), "TN Ø18 (Lần " &amp; INT(T449/20) &amp; ")", IF(AND(E449=20, INT(U449/20)&gt;INT(U448/20)), "TN Ø20 (Lần " &amp; INT(U449/20) &amp; ")", IF(AND(E449=22, INT(V449/20)&gt;INT(V448/20)), "TN Ø22 (Lần " &amp; INT(V449/20) &amp; ")", IF(AND(E449=25, INT(W449/20)&gt;INT(W448/20)), "TN Ø25 (Lần " &amp; INT(W449/20) &amp; ")", IF(AND(E449=28, INT(X449/20)&gt;INT(X448/20)), "TN Ø28 (Lần " &amp; INT(X449/20) &amp; ")", IF(AND(E449=32, INT(Y449/20)&gt;INT(Y448/20)), "TN Ø32 (Lần " &amp; INT(Y449/20) &amp; ")", IF(AND(F449="ASTM A416", INT(Z449/20)&gt;INT(Z448/20)), "TN Cáp 15.2 (Lần " &amp; INT(Z449/20) &amp; ")", "")))))))))))</f>
        <v/>
      </c>
      <c r="P449" s="20">
        <f>ROUND(P448 + IF(AND(E449&lt;=10, F449&lt;&gt;"ASTM A416"), L449, 0), 3)</f>
        <v/>
      </c>
      <c r="Q449" s="20">
        <f>ROUND(Q448 + IF(AND(E449=12, F449&lt;&gt;"ASTM A416"), L449, 0), 3)</f>
        <v/>
      </c>
      <c r="R449" s="20">
        <f>ROUND(R448 + IF(AND(E449=14, F449&lt;&gt;"ASTM A416"), L449, 0), 3)</f>
        <v/>
      </c>
      <c r="S449" s="20">
        <f>ROUND(S448 + IF(AND(E449=16, F449&lt;&gt;"ASTM A416"), L449, 0), 3)</f>
        <v/>
      </c>
      <c r="T449" s="20">
        <f>ROUND(T448 + IF(AND(E449=18, F449&lt;&gt;"ASTM A416"), L449, 0), 3)</f>
        <v/>
      </c>
      <c r="U449" s="20">
        <f>ROUND(U448 + IF(AND(E449=20, F449&lt;&gt;"ASTM A416"), L449, 0), 3)</f>
        <v/>
      </c>
      <c r="V449" s="20">
        <f>ROUND(V448 + IF(AND(E449=22, F449&lt;&gt;"ASTM A416"), L449, 0), 3)</f>
        <v/>
      </c>
      <c r="W449" s="20">
        <f>ROUND(W448 + IF(AND(E449=25, F449&lt;&gt;"ASTM A416"), L449, 0), 3)</f>
        <v/>
      </c>
      <c r="X449" s="20">
        <f>ROUND(X448 + IF(AND(E449=28, F449&lt;&gt;"ASTM A416"), L449, 0), 3)</f>
        <v/>
      </c>
      <c r="Y449" s="20">
        <f>ROUND(Y448 + IF(AND(E449=32, F449&lt;&gt;"ASTM A416"), L449, 0), 3)</f>
        <v/>
      </c>
      <c r="Z449" s="20">
        <f>ROUND(Z448 + IF(F449="ASTM A416", L449, 0), 3)</f>
        <v/>
      </c>
      <c r="AA449" s="11">
        <f>IF(INT(P449/20)&gt;INT(P448/20), "Lần " &amp; INT(P449/20), "")</f>
        <v/>
      </c>
      <c r="AB449" s="11">
        <f>IF(INT(Q449/20)&gt;INT(Q448/20), "Lần " &amp; INT(Q449/20), "")</f>
        <v/>
      </c>
      <c r="AC449" s="11">
        <f>IF(INT(R449/20)&gt;INT(R448/20), "Lần " &amp; INT(R449/20), "")</f>
        <v/>
      </c>
      <c r="AD449" s="11">
        <f>IF(INT(S449/20)&gt;INT(S448/20), "Lần " &amp; INT(S449/20), "")</f>
        <v/>
      </c>
      <c r="AE449" s="11">
        <f>IF(INT(T449/20)&gt;INT(T448/20), "Lần " &amp; INT(T449/20), "")</f>
        <v/>
      </c>
      <c r="AF449" s="11">
        <f>IF(INT(U449/20)&gt;INT(U448/20), "Lần " &amp; INT(U449/20), "")</f>
        <v/>
      </c>
      <c r="AG449" s="11">
        <f>IF(INT(V449/20)&gt;INT(V448/20), "Lần " &amp; INT(V449/20), "")</f>
        <v/>
      </c>
      <c r="AH449" s="11">
        <f>IF(INT(W449/20)&gt;INT(W448/20), "Lần " &amp; INT(W449/20), "")</f>
        <v/>
      </c>
      <c r="AI449" s="11">
        <f>IF(INT(X449/20)&gt;INT(X448/20), "Lần " &amp; INT(X449/20), "")</f>
        <v/>
      </c>
      <c r="AJ449" s="11">
        <f>IF(INT(Y449/20)&gt;INT(Y448/20), "Lần " &amp; INT(Y449/20), "")</f>
        <v/>
      </c>
      <c r="AK449" s="11">
        <f>IF(INT(Z449/20)&gt;INT(Z448/20), "Lần " &amp; INT(Z449/20), "")</f>
        <v/>
      </c>
      <c r="AL449" s="6" t="inlineStr">
        <is>
          <t>ĐẠT TCVN 1651:2018</t>
        </is>
      </c>
    </row>
    <row r="450" ht="19" customHeight="1">
      <c r="A450" s="6" t="n">
        <v>419</v>
      </c>
      <c r="B450" s="7" t="inlineStr">
        <is>
          <t>Mố M1</t>
        </is>
      </c>
      <c r="C450" s="7" t="inlineStr">
        <is>
          <t>Thân mố / Bệ mố</t>
        </is>
      </c>
      <c r="D450" s="18" t="inlineStr">
        <is>
          <t>A4</t>
        </is>
      </c>
      <c r="E450" s="19" t="n">
        <v>16</v>
      </c>
      <c r="F450" s="6" t="inlineStr">
        <is>
          <t>CB400-V</t>
        </is>
      </c>
      <c r="G450" s="7" t="inlineStr">
        <is>
          <t>S06</t>
        </is>
      </c>
      <c r="H450" s="20" t="n">
        <v>13.487</v>
      </c>
      <c r="I450" s="21" t="n">
        <v>34</v>
      </c>
      <c r="J450" s="22" t="n">
        <v>1.58</v>
      </c>
      <c r="K450" s="9">
        <f>ROUND(H450*I450*J450, 2)</f>
        <v/>
      </c>
      <c r="L450" s="23">
        <f>ROUND(K450/1000, 3)</f>
        <v/>
      </c>
      <c r="M450" s="8" t="n"/>
      <c r="N450" s="6" t="n"/>
      <c r="O450" s="24">
        <f>IF(AND(E450&lt;=10, F450&lt;&gt;"ASTM A416", INT(P450/20)&gt;INT(P449/20)), "TN Ø10 (Lần " &amp; INT(P450/20) &amp; ")", IF(AND(E450=12, INT(Q450/20)&gt;INT(Q449/20)), "TN Ø12 (Lần " &amp; INT(Q450/20) &amp; ")", IF(AND(E450=14, INT(R450/20)&gt;INT(R449/20)), "TN Ø14 (Lần " &amp; INT(R450/20) &amp; ")", IF(AND(E450=16, INT(S450/20)&gt;INT(S449/20)), "TN Ø16 (Lần " &amp; INT(S450/20) &amp; ")", IF(AND(E450=18, INT(T450/20)&gt;INT(T449/20)), "TN Ø18 (Lần " &amp; INT(T450/20) &amp; ")", IF(AND(E450=20, INT(U450/20)&gt;INT(U449/20)), "TN Ø20 (Lần " &amp; INT(U450/20) &amp; ")", IF(AND(E450=22, INT(V450/20)&gt;INT(V449/20)), "TN Ø22 (Lần " &amp; INT(V450/20) &amp; ")", IF(AND(E450=25, INT(W450/20)&gt;INT(W449/20)), "TN Ø25 (Lần " &amp; INT(W450/20) &amp; ")", IF(AND(E450=28, INT(X450/20)&gt;INT(X449/20)), "TN Ø28 (Lần " &amp; INT(X450/20) &amp; ")", IF(AND(E450=32, INT(Y450/20)&gt;INT(Y449/20)), "TN Ø32 (Lần " &amp; INT(Y450/20) &amp; ")", IF(AND(F450="ASTM A416", INT(Z450/20)&gt;INT(Z449/20)), "TN Cáp 15.2 (Lần " &amp; INT(Z450/20) &amp; ")", "")))))))))))</f>
        <v/>
      </c>
      <c r="P450" s="20">
        <f>ROUND(P449 + IF(AND(E450&lt;=10, F450&lt;&gt;"ASTM A416"), L450, 0), 3)</f>
        <v/>
      </c>
      <c r="Q450" s="20">
        <f>ROUND(Q449 + IF(AND(E450=12, F450&lt;&gt;"ASTM A416"), L450, 0), 3)</f>
        <v/>
      </c>
      <c r="R450" s="20">
        <f>ROUND(R449 + IF(AND(E450=14, F450&lt;&gt;"ASTM A416"), L450, 0), 3)</f>
        <v/>
      </c>
      <c r="S450" s="20">
        <f>ROUND(S449 + IF(AND(E450=16, F450&lt;&gt;"ASTM A416"), L450, 0), 3)</f>
        <v/>
      </c>
      <c r="T450" s="20">
        <f>ROUND(T449 + IF(AND(E450=18, F450&lt;&gt;"ASTM A416"), L450, 0), 3)</f>
        <v/>
      </c>
      <c r="U450" s="20">
        <f>ROUND(U449 + IF(AND(E450=20, F450&lt;&gt;"ASTM A416"), L450, 0), 3)</f>
        <v/>
      </c>
      <c r="V450" s="20">
        <f>ROUND(V449 + IF(AND(E450=22, F450&lt;&gt;"ASTM A416"), L450, 0), 3)</f>
        <v/>
      </c>
      <c r="W450" s="20">
        <f>ROUND(W449 + IF(AND(E450=25, F450&lt;&gt;"ASTM A416"), L450, 0), 3)</f>
        <v/>
      </c>
      <c r="X450" s="20">
        <f>ROUND(X449 + IF(AND(E450=28, F450&lt;&gt;"ASTM A416"), L450, 0), 3)</f>
        <v/>
      </c>
      <c r="Y450" s="20">
        <f>ROUND(Y449 + IF(AND(E450=32, F450&lt;&gt;"ASTM A416"), L450, 0), 3)</f>
        <v/>
      </c>
      <c r="Z450" s="20">
        <f>ROUND(Z449 + IF(F450="ASTM A416", L450, 0), 3)</f>
        <v/>
      </c>
      <c r="AA450" s="11">
        <f>IF(INT(P450/20)&gt;INT(P449/20), "Lần " &amp; INT(P450/20), "")</f>
        <v/>
      </c>
      <c r="AB450" s="11">
        <f>IF(INT(Q450/20)&gt;INT(Q449/20), "Lần " &amp; INT(Q450/20), "")</f>
        <v/>
      </c>
      <c r="AC450" s="11">
        <f>IF(INT(R450/20)&gt;INT(R449/20), "Lần " &amp; INT(R450/20), "")</f>
        <v/>
      </c>
      <c r="AD450" s="11">
        <f>IF(INT(S450/20)&gt;INT(S449/20), "Lần " &amp; INT(S450/20), "")</f>
        <v/>
      </c>
      <c r="AE450" s="11">
        <f>IF(INT(T450/20)&gt;INT(T449/20), "Lần " &amp; INT(T450/20), "")</f>
        <v/>
      </c>
      <c r="AF450" s="11">
        <f>IF(INT(U450/20)&gt;INT(U449/20), "Lần " &amp; INT(U450/20), "")</f>
        <v/>
      </c>
      <c r="AG450" s="11">
        <f>IF(INT(V450/20)&gt;INT(V449/20), "Lần " &amp; INT(V450/20), "")</f>
        <v/>
      </c>
      <c r="AH450" s="11">
        <f>IF(INT(W450/20)&gt;INT(W449/20), "Lần " &amp; INT(W450/20), "")</f>
        <v/>
      </c>
      <c r="AI450" s="11">
        <f>IF(INT(X450/20)&gt;INT(X449/20), "Lần " &amp; INT(X450/20), "")</f>
        <v/>
      </c>
      <c r="AJ450" s="11">
        <f>IF(INT(Y450/20)&gt;INT(Y449/20), "Lần " &amp; INT(Y450/20), "")</f>
        <v/>
      </c>
      <c r="AK450" s="11">
        <f>IF(INT(Z450/20)&gt;INT(Z449/20), "Lần " &amp; INT(Z450/20), "")</f>
        <v/>
      </c>
      <c r="AL450" s="6" t="inlineStr">
        <is>
          <t>ĐẠT TCVN 1651:2018</t>
        </is>
      </c>
    </row>
    <row r="451" ht="19" customHeight="1">
      <c r="A451" s="6" t="n">
        <v>420</v>
      </c>
      <c r="B451" s="7" t="inlineStr">
        <is>
          <t>Mố M1</t>
        </is>
      </c>
      <c r="C451" s="7" t="inlineStr">
        <is>
          <t>Thân mố / Bệ mố</t>
        </is>
      </c>
      <c r="D451" s="18" t="inlineStr">
        <is>
          <t>A4A</t>
        </is>
      </c>
      <c r="E451" s="19" t="n">
        <v>16</v>
      </c>
      <c r="F451" s="6" t="inlineStr">
        <is>
          <t>CB400-V</t>
        </is>
      </c>
      <c r="G451" s="7" t="inlineStr">
        <is>
          <t>S06</t>
        </is>
      </c>
      <c r="H451" s="20" t="n">
        <v>11.159</v>
      </c>
      <c r="I451" s="21" t="n">
        <v>1</v>
      </c>
      <c r="J451" s="22" t="n">
        <v>1.58</v>
      </c>
      <c r="K451" s="9">
        <f>ROUND(H451*I451*J451, 2)</f>
        <v/>
      </c>
      <c r="L451" s="23">
        <f>ROUND(K451/1000, 3)</f>
        <v/>
      </c>
      <c r="M451" s="8" t="n"/>
      <c r="N451" s="6" t="n"/>
      <c r="O451" s="24">
        <f>IF(AND(E451&lt;=10, F451&lt;&gt;"ASTM A416", INT(P451/20)&gt;INT(P450/20)), "TN Ø10 (Lần " &amp; INT(P451/20) &amp; ")", IF(AND(E451=12, INT(Q451/20)&gt;INT(Q450/20)), "TN Ø12 (Lần " &amp; INT(Q451/20) &amp; ")", IF(AND(E451=14, INT(R451/20)&gt;INT(R450/20)), "TN Ø14 (Lần " &amp; INT(R451/20) &amp; ")", IF(AND(E451=16, INT(S451/20)&gt;INT(S450/20)), "TN Ø16 (Lần " &amp; INT(S451/20) &amp; ")", IF(AND(E451=18, INT(T451/20)&gt;INT(T450/20)), "TN Ø18 (Lần " &amp; INT(T451/20) &amp; ")", IF(AND(E451=20, INT(U451/20)&gt;INT(U450/20)), "TN Ø20 (Lần " &amp; INT(U451/20) &amp; ")", IF(AND(E451=22, INT(V451/20)&gt;INT(V450/20)), "TN Ø22 (Lần " &amp; INT(V451/20) &amp; ")", IF(AND(E451=25, INT(W451/20)&gt;INT(W450/20)), "TN Ø25 (Lần " &amp; INT(W451/20) &amp; ")", IF(AND(E451=28, INT(X451/20)&gt;INT(X450/20)), "TN Ø28 (Lần " &amp; INT(X451/20) &amp; ")", IF(AND(E451=32, INT(Y451/20)&gt;INT(Y450/20)), "TN Ø32 (Lần " &amp; INT(Y451/20) &amp; ")", IF(AND(F451="ASTM A416", INT(Z451/20)&gt;INT(Z450/20)), "TN Cáp 15.2 (Lần " &amp; INT(Z451/20) &amp; ")", "")))))))))))</f>
        <v/>
      </c>
      <c r="P451" s="20">
        <f>ROUND(P450 + IF(AND(E451&lt;=10, F451&lt;&gt;"ASTM A416"), L451, 0), 3)</f>
        <v/>
      </c>
      <c r="Q451" s="20">
        <f>ROUND(Q450 + IF(AND(E451=12, F451&lt;&gt;"ASTM A416"), L451, 0), 3)</f>
        <v/>
      </c>
      <c r="R451" s="20">
        <f>ROUND(R450 + IF(AND(E451=14, F451&lt;&gt;"ASTM A416"), L451, 0), 3)</f>
        <v/>
      </c>
      <c r="S451" s="20">
        <f>ROUND(S450 + IF(AND(E451=16, F451&lt;&gt;"ASTM A416"), L451, 0), 3)</f>
        <v/>
      </c>
      <c r="T451" s="20">
        <f>ROUND(T450 + IF(AND(E451=18, F451&lt;&gt;"ASTM A416"), L451, 0), 3)</f>
        <v/>
      </c>
      <c r="U451" s="20">
        <f>ROUND(U450 + IF(AND(E451=20, F451&lt;&gt;"ASTM A416"), L451, 0), 3)</f>
        <v/>
      </c>
      <c r="V451" s="20">
        <f>ROUND(V450 + IF(AND(E451=22, F451&lt;&gt;"ASTM A416"), L451, 0), 3)</f>
        <v/>
      </c>
      <c r="W451" s="20">
        <f>ROUND(W450 + IF(AND(E451=25, F451&lt;&gt;"ASTM A416"), L451, 0), 3)</f>
        <v/>
      </c>
      <c r="X451" s="20">
        <f>ROUND(X450 + IF(AND(E451=28, F451&lt;&gt;"ASTM A416"), L451, 0), 3)</f>
        <v/>
      </c>
      <c r="Y451" s="20">
        <f>ROUND(Y450 + IF(AND(E451=32, F451&lt;&gt;"ASTM A416"), L451, 0), 3)</f>
        <v/>
      </c>
      <c r="Z451" s="20">
        <f>ROUND(Z450 + IF(F451="ASTM A416", L451, 0), 3)</f>
        <v/>
      </c>
      <c r="AA451" s="11">
        <f>IF(INT(P451/20)&gt;INT(P450/20), "Lần " &amp; INT(P451/20), "")</f>
        <v/>
      </c>
      <c r="AB451" s="11">
        <f>IF(INT(Q451/20)&gt;INT(Q450/20), "Lần " &amp; INT(Q451/20), "")</f>
        <v/>
      </c>
      <c r="AC451" s="11">
        <f>IF(INT(R451/20)&gt;INT(R450/20), "Lần " &amp; INT(R451/20), "")</f>
        <v/>
      </c>
      <c r="AD451" s="11">
        <f>IF(INT(S451/20)&gt;INT(S450/20), "Lần " &amp; INT(S451/20), "")</f>
        <v/>
      </c>
      <c r="AE451" s="11">
        <f>IF(INT(T451/20)&gt;INT(T450/20), "Lần " &amp; INT(T451/20), "")</f>
        <v/>
      </c>
      <c r="AF451" s="11">
        <f>IF(INT(U451/20)&gt;INT(U450/20), "Lần " &amp; INT(U451/20), "")</f>
        <v/>
      </c>
      <c r="AG451" s="11">
        <f>IF(INT(V451/20)&gt;INT(V450/20), "Lần " &amp; INT(V451/20), "")</f>
        <v/>
      </c>
      <c r="AH451" s="11">
        <f>IF(INT(W451/20)&gt;INT(W450/20), "Lần " &amp; INT(W451/20), "")</f>
        <v/>
      </c>
      <c r="AI451" s="11">
        <f>IF(INT(X451/20)&gt;INT(X450/20), "Lần " &amp; INT(X451/20), "")</f>
        <v/>
      </c>
      <c r="AJ451" s="11">
        <f>IF(INT(Y451/20)&gt;INT(Y450/20), "Lần " &amp; INT(Y451/20), "")</f>
        <v/>
      </c>
      <c r="AK451" s="11">
        <f>IF(INT(Z451/20)&gt;INT(Z450/20), "Lần " &amp; INT(Z451/20), "")</f>
        <v/>
      </c>
      <c r="AL451" s="6" t="inlineStr">
        <is>
          <t>ĐẠT TCVN 1651:2018</t>
        </is>
      </c>
    </row>
    <row r="452" ht="19" customHeight="1">
      <c r="A452" s="6" t="n">
        <v>421</v>
      </c>
      <c r="B452" s="7" t="inlineStr">
        <is>
          <t>Mố M1</t>
        </is>
      </c>
      <c r="C452" s="7" t="inlineStr">
        <is>
          <t>Thân mố / Bệ mố</t>
        </is>
      </c>
      <c r="D452" s="18" t="inlineStr">
        <is>
          <t>A5</t>
        </is>
      </c>
      <c r="E452" s="19" t="n">
        <v>16</v>
      </c>
      <c r="F452" s="6" t="inlineStr">
        <is>
          <t>CB400-V</t>
        </is>
      </c>
      <c r="G452" s="7" t="inlineStr">
        <is>
          <t>S06</t>
        </is>
      </c>
      <c r="H452" s="20" t="n">
        <v>13.489</v>
      </c>
      <c r="I452" s="21" t="n">
        <v>7</v>
      </c>
      <c r="J452" s="22" t="n">
        <v>1.58</v>
      </c>
      <c r="K452" s="9">
        <f>ROUND(H452*I452*J452, 2)</f>
        <v/>
      </c>
      <c r="L452" s="23">
        <f>ROUND(K452/1000, 3)</f>
        <v/>
      </c>
      <c r="M452" s="8" t="n"/>
      <c r="N452" s="6" t="n"/>
      <c r="O452" s="24">
        <f>IF(AND(E452&lt;=10, F452&lt;&gt;"ASTM A416", INT(P452/20)&gt;INT(P451/20)), "TN Ø10 (Lần " &amp; INT(P452/20) &amp; ")", IF(AND(E452=12, INT(Q452/20)&gt;INT(Q451/20)), "TN Ø12 (Lần " &amp; INT(Q452/20) &amp; ")", IF(AND(E452=14, INT(R452/20)&gt;INT(R451/20)), "TN Ø14 (Lần " &amp; INT(R452/20) &amp; ")", IF(AND(E452=16, INT(S452/20)&gt;INT(S451/20)), "TN Ø16 (Lần " &amp; INT(S452/20) &amp; ")", IF(AND(E452=18, INT(T452/20)&gt;INT(T451/20)), "TN Ø18 (Lần " &amp; INT(T452/20) &amp; ")", IF(AND(E452=20, INT(U452/20)&gt;INT(U451/20)), "TN Ø20 (Lần " &amp; INT(U452/20) &amp; ")", IF(AND(E452=22, INT(V452/20)&gt;INT(V451/20)), "TN Ø22 (Lần " &amp; INT(V452/20) &amp; ")", IF(AND(E452=25, INT(W452/20)&gt;INT(W451/20)), "TN Ø25 (Lần " &amp; INT(W452/20) &amp; ")", IF(AND(E452=28, INT(X452/20)&gt;INT(X451/20)), "TN Ø28 (Lần " &amp; INT(X452/20) &amp; ")", IF(AND(E452=32, INT(Y452/20)&gt;INT(Y451/20)), "TN Ø32 (Lần " &amp; INT(Y452/20) &amp; ")", IF(AND(F452="ASTM A416", INT(Z452/20)&gt;INT(Z451/20)), "TN Cáp 15.2 (Lần " &amp; INT(Z452/20) &amp; ")", "")))))))))))</f>
        <v/>
      </c>
      <c r="P452" s="20">
        <f>ROUND(P451 + IF(AND(E452&lt;=10, F452&lt;&gt;"ASTM A416"), L452, 0), 3)</f>
        <v/>
      </c>
      <c r="Q452" s="20">
        <f>ROUND(Q451 + IF(AND(E452=12, F452&lt;&gt;"ASTM A416"), L452, 0), 3)</f>
        <v/>
      </c>
      <c r="R452" s="20">
        <f>ROUND(R451 + IF(AND(E452=14, F452&lt;&gt;"ASTM A416"), L452, 0), 3)</f>
        <v/>
      </c>
      <c r="S452" s="20">
        <f>ROUND(S451 + IF(AND(E452=16, F452&lt;&gt;"ASTM A416"), L452, 0), 3)</f>
        <v/>
      </c>
      <c r="T452" s="20">
        <f>ROUND(T451 + IF(AND(E452=18, F452&lt;&gt;"ASTM A416"), L452, 0), 3)</f>
        <v/>
      </c>
      <c r="U452" s="20">
        <f>ROUND(U451 + IF(AND(E452=20, F452&lt;&gt;"ASTM A416"), L452, 0), 3)</f>
        <v/>
      </c>
      <c r="V452" s="20">
        <f>ROUND(V451 + IF(AND(E452=22, F452&lt;&gt;"ASTM A416"), L452, 0), 3)</f>
        <v/>
      </c>
      <c r="W452" s="20">
        <f>ROUND(W451 + IF(AND(E452=25, F452&lt;&gt;"ASTM A416"), L452, 0), 3)</f>
        <v/>
      </c>
      <c r="X452" s="20">
        <f>ROUND(X451 + IF(AND(E452=28, F452&lt;&gt;"ASTM A416"), L452, 0), 3)</f>
        <v/>
      </c>
      <c r="Y452" s="20">
        <f>ROUND(Y451 + IF(AND(E452=32, F452&lt;&gt;"ASTM A416"), L452, 0), 3)</f>
        <v/>
      </c>
      <c r="Z452" s="20">
        <f>ROUND(Z451 + IF(F452="ASTM A416", L452, 0), 3)</f>
        <v/>
      </c>
      <c r="AA452" s="11">
        <f>IF(INT(P452/20)&gt;INT(P451/20), "Lần " &amp; INT(P452/20), "")</f>
        <v/>
      </c>
      <c r="AB452" s="11">
        <f>IF(INT(Q452/20)&gt;INT(Q451/20), "Lần " &amp; INT(Q452/20), "")</f>
        <v/>
      </c>
      <c r="AC452" s="11">
        <f>IF(INT(R452/20)&gt;INT(R451/20), "Lần " &amp; INT(R452/20), "")</f>
        <v/>
      </c>
      <c r="AD452" s="11">
        <f>IF(INT(S452/20)&gt;INT(S451/20), "Lần " &amp; INT(S452/20), "")</f>
        <v/>
      </c>
      <c r="AE452" s="11">
        <f>IF(INT(T452/20)&gt;INT(T451/20), "Lần " &amp; INT(T452/20), "")</f>
        <v/>
      </c>
      <c r="AF452" s="11">
        <f>IF(INT(U452/20)&gt;INT(U451/20), "Lần " &amp; INT(U452/20), "")</f>
        <v/>
      </c>
      <c r="AG452" s="11">
        <f>IF(INT(V452/20)&gt;INT(V451/20), "Lần " &amp; INT(V452/20), "")</f>
        <v/>
      </c>
      <c r="AH452" s="11">
        <f>IF(INT(W452/20)&gt;INT(W451/20), "Lần " &amp; INT(W452/20), "")</f>
        <v/>
      </c>
      <c r="AI452" s="11">
        <f>IF(INT(X452/20)&gt;INT(X451/20), "Lần " &amp; INT(X452/20), "")</f>
        <v/>
      </c>
      <c r="AJ452" s="11">
        <f>IF(INT(Y452/20)&gt;INT(Y451/20), "Lần " &amp; INT(Y452/20), "")</f>
        <v/>
      </c>
      <c r="AK452" s="11">
        <f>IF(INT(Z452/20)&gt;INT(Z451/20), "Lần " &amp; INT(Z452/20), "")</f>
        <v/>
      </c>
      <c r="AL452" s="6" t="inlineStr">
        <is>
          <t>ĐẠT TCVN 1651:2018</t>
        </is>
      </c>
    </row>
    <row r="453" ht="19" customHeight="1">
      <c r="A453" s="6" t="n">
        <v>422</v>
      </c>
      <c r="B453" s="7" t="inlineStr">
        <is>
          <t>Mố M1</t>
        </is>
      </c>
      <c r="C453" s="7" t="inlineStr">
        <is>
          <t>Thân mố / Bệ mố</t>
        </is>
      </c>
      <c r="D453" s="18" t="inlineStr">
        <is>
          <t>A6</t>
        </is>
      </c>
      <c r="E453" s="19" t="n">
        <v>16</v>
      </c>
      <c r="F453" s="6" t="inlineStr">
        <is>
          <t>CB400-V</t>
        </is>
      </c>
      <c r="G453" s="7" t="inlineStr">
        <is>
          <t>S06</t>
        </is>
      </c>
      <c r="H453" s="20" t="n">
        <v>1.807</v>
      </c>
      <c r="I453" s="21" t="n">
        <v>73</v>
      </c>
      <c r="J453" s="22" t="n">
        <v>1.58</v>
      </c>
      <c r="K453" s="9">
        <f>ROUND(H453*I453*J453, 2)</f>
        <v/>
      </c>
      <c r="L453" s="23">
        <f>ROUND(K453/1000, 3)</f>
        <v/>
      </c>
      <c r="M453" s="8" t="n"/>
      <c r="N453" s="6" t="n"/>
      <c r="O453" s="24">
        <f>IF(AND(E453&lt;=10, F453&lt;&gt;"ASTM A416", INT(P453/20)&gt;INT(P452/20)), "TN Ø10 (Lần " &amp; INT(P453/20) &amp; ")", IF(AND(E453=12, INT(Q453/20)&gt;INT(Q452/20)), "TN Ø12 (Lần " &amp; INT(Q453/20) &amp; ")", IF(AND(E453=14, INT(R453/20)&gt;INT(R452/20)), "TN Ø14 (Lần " &amp; INT(R453/20) &amp; ")", IF(AND(E453=16, INT(S453/20)&gt;INT(S452/20)), "TN Ø16 (Lần " &amp; INT(S453/20) &amp; ")", IF(AND(E453=18, INT(T453/20)&gt;INT(T452/20)), "TN Ø18 (Lần " &amp; INT(T453/20) &amp; ")", IF(AND(E453=20, INT(U453/20)&gt;INT(U452/20)), "TN Ø20 (Lần " &amp; INT(U453/20) &amp; ")", IF(AND(E453=22, INT(V453/20)&gt;INT(V452/20)), "TN Ø22 (Lần " &amp; INT(V453/20) &amp; ")", IF(AND(E453=25, INT(W453/20)&gt;INT(W452/20)), "TN Ø25 (Lần " &amp; INT(W453/20) &amp; ")", IF(AND(E453=28, INT(X453/20)&gt;INT(X452/20)), "TN Ø28 (Lần " &amp; INT(X453/20) &amp; ")", IF(AND(E453=32, INT(Y453/20)&gt;INT(Y452/20)), "TN Ø32 (Lần " &amp; INT(Y453/20) &amp; ")", IF(AND(F453="ASTM A416", INT(Z453/20)&gt;INT(Z452/20)), "TN Cáp 15.2 (Lần " &amp; INT(Z453/20) &amp; ")", "")))))))))))</f>
        <v/>
      </c>
      <c r="P453" s="20">
        <f>ROUND(P452 + IF(AND(E453&lt;=10, F453&lt;&gt;"ASTM A416"), L453, 0), 3)</f>
        <v/>
      </c>
      <c r="Q453" s="20">
        <f>ROUND(Q452 + IF(AND(E453=12, F453&lt;&gt;"ASTM A416"), L453, 0), 3)</f>
        <v/>
      </c>
      <c r="R453" s="20">
        <f>ROUND(R452 + IF(AND(E453=14, F453&lt;&gt;"ASTM A416"), L453, 0), 3)</f>
        <v/>
      </c>
      <c r="S453" s="20">
        <f>ROUND(S452 + IF(AND(E453=16, F453&lt;&gt;"ASTM A416"), L453, 0), 3)</f>
        <v/>
      </c>
      <c r="T453" s="20">
        <f>ROUND(T452 + IF(AND(E453=18, F453&lt;&gt;"ASTM A416"), L453, 0), 3)</f>
        <v/>
      </c>
      <c r="U453" s="20">
        <f>ROUND(U452 + IF(AND(E453=20, F453&lt;&gt;"ASTM A416"), L453, 0), 3)</f>
        <v/>
      </c>
      <c r="V453" s="20">
        <f>ROUND(V452 + IF(AND(E453=22, F453&lt;&gt;"ASTM A416"), L453, 0), 3)</f>
        <v/>
      </c>
      <c r="W453" s="20">
        <f>ROUND(W452 + IF(AND(E453=25, F453&lt;&gt;"ASTM A416"), L453, 0), 3)</f>
        <v/>
      </c>
      <c r="X453" s="20">
        <f>ROUND(X452 + IF(AND(E453=28, F453&lt;&gt;"ASTM A416"), L453, 0), 3)</f>
        <v/>
      </c>
      <c r="Y453" s="20">
        <f>ROUND(Y452 + IF(AND(E453=32, F453&lt;&gt;"ASTM A416"), L453, 0), 3)</f>
        <v/>
      </c>
      <c r="Z453" s="20">
        <f>ROUND(Z452 + IF(F453="ASTM A416", L453, 0), 3)</f>
        <v/>
      </c>
      <c r="AA453" s="11">
        <f>IF(INT(P453/20)&gt;INT(P452/20), "Lần " &amp; INT(P453/20), "")</f>
        <v/>
      </c>
      <c r="AB453" s="11">
        <f>IF(INT(Q453/20)&gt;INT(Q452/20), "Lần " &amp; INT(Q453/20), "")</f>
        <v/>
      </c>
      <c r="AC453" s="11">
        <f>IF(INT(R453/20)&gt;INT(R452/20), "Lần " &amp; INT(R453/20), "")</f>
        <v/>
      </c>
      <c r="AD453" s="11">
        <f>IF(INT(S453/20)&gt;INT(S452/20), "Lần " &amp; INT(S453/20), "")</f>
        <v/>
      </c>
      <c r="AE453" s="11">
        <f>IF(INT(T453/20)&gt;INT(T452/20), "Lần " &amp; INT(T453/20), "")</f>
        <v/>
      </c>
      <c r="AF453" s="11">
        <f>IF(INT(U453/20)&gt;INT(U452/20), "Lần " &amp; INT(U453/20), "")</f>
        <v/>
      </c>
      <c r="AG453" s="11">
        <f>IF(INT(V453/20)&gt;INT(V452/20), "Lần " &amp; INT(V453/20), "")</f>
        <v/>
      </c>
      <c r="AH453" s="11">
        <f>IF(INT(W453/20)&gt;INT(W452/20), "Lần " &amp; INT(W453/20), "")</f>
        <v/>
      </c>
      <c r="AI453" s="11">
        <f>IF(INT(X453/20)&gt;INT(X452/20), "Lần " &amp; INT(X453/20), "")</f>
        <v/>
      </c>
      <c r="AJ453" s="11">
        <f>IF(INT(Y453/20)&gt;INT(Y452/20), "Lần " &amp; INT(Y453/20), "")</f>
        <v/>
      </c>
      <c r="AK453" s="11">
        <f>IF(INT(Z453/20)&gt;INT(Z452/20), "Lần " &amp; INT(Z453/20), "")</f>
        <v/>
      </c>
      <c r="AL453" s="6" t="inlineStr">
        <is>
          <t>ĐẠT TCVN 1651:2018</t>
        </is>
      </c>
    </row>
    <row r="454" ht="19" customHeight="1">
      <c r="A454" s="6" t="n">
        <v>423</v>
      </c>
      <c r="B454" s="7" t="inlineStr">
        <is>
          <t>Mố M1</t>
        </is>
      </c>
      <c r="C454" s="7" t="inlineStr">
        <is>
          <t>Thân mố / Bệ mố</t>
        </is>
      </c>
      <c r="D454" s="18" t="inlineStr">
        <is>
          <t>A7</t>
        </is>
      </c>
      <c r="E454" s="19" t="n">
        <v>14</v>
      </c>
      <c r="F454" s="6" t="inlineStr">
        <is>
          <t>CB400-V</t>
        </is>
      </c>
      <c r="G454" s="7" t="inlineStr">
        <is>
          <t>S06</t>
        </is>
      </c>
      <c r="H454" s="20" t="n">
        <v>1.585</v>
      </c>
      <c r="I454" s="21" t="n">
        <v>144</v>
      </c>
      <c r="J454" s="22" t="n">
        <v>1.21</v>
      </c>
      <c r="K454" s="9">
        <f>ROUND(H454*I454*J454, 2)</f>
        <v/>
      </c>
      <c r="L454" s="23">
        <f>ROUND(K454/1000, 3)</f>
        <v/>
      </c>
      <c r="M454" s="8" t="n"/>
      <c r="N454" s="6" t="n"/>
      <c r="O454" s="24">
        <f>IF(AND(E454&lt;=10, F454&lt;&gt;"ASTM A416", INT(P454/20)&gt;INT(P453/20)), "TN Ø10 (Lần " &amp; INT(P454/20) &amp; ")", IF(AND(E454=12, INT(Q454/20)&gt;INT(Q453/20)), "TN Ø12 (Lần " &amp; INT(Q454/20) &amp; ")", IF(AND(E454=14, INT(R454/20)&gt;INT(R453/20)), "TN Ø14 (Lần " &amp; INT(R454/20) &amp; ")", IF(AND(E454=16, INT(S454/20)&gt;INT(S453/20)), "TN Ø16 (Lần " &amp; INT(S454/20) &amp; ")", IF(AND(E454=18, INT(T454/20)&gt;INT(T453/20)), "TN Ø18 (Lần " &amp; INT(T454/20) &amp; ")", IF(AND(E454=20, INT(U454/20)&gt;INT(U453/20)), "TN Ø20 (Lần " &amp; INT(U454/20) &amp; ")", IF(AND(E454=22, INT(V454/20)&gt;INT(V453/20)), "TN Ø22 (Lần " &amp; INT(V454/20) &amp; ")", IF(AND(E454=25, INT(W454/20)&gt;INT(W453/20)), "TN Ø25 (Lần " &amp; INT(W454/20) &amp; ")", IF(AND(E454=28, INT(X454/20)&gt;INT(X453/20)), "TN Ø28 (Lần " &amp; INT(X454/20) &amp; ")", IF(AND(E454=32, INT(Y454/20)&gt;INT(Y453/20)), "TN Ø32 (Lần " &amp; INT(Y454/20) &amp; ")", IF(AND(F454="ASTM A416", INT(Z454/20)&gt;INT(Z453/20)), "TN Cáp 15.2 (Lần " &amp; INT(Z454/20) &amp; ")", "")))))))))))</f>
        <v/>
      </c>
      <c r="P454" s="20">
        <f>ROUND(P453 + IF(AND(E454&lt;=10, F454&lt;&gt;"ASTM A416"), L454, 0), 3)</f>
        <v/>
      </c>
      <c r="Q454" s="20">
        <f>ROUND(Q453 + IF(AND(E454=12, F454&lt;&gt;"ASTM A416"), L454, 0), 3)</f>
        <v/>
      </c>
      <c r="R454" s="20">
        <f>ROUND(R453 + IF(AND(E454=14, F454&lt;&gt;"ASTM A416"), L454, 0), 3)</f>
        <v/>
      </c>
      <c r="S454" s="20">
        <f>ROUND(S453 + IF(AND(E454=16, F454&lt;&gt;"ASTM A416"), L454, 0), 3)</f>
        <v/>
      </c>
      <c r="T454" s="20">
        <f>ROUND(T453 + IF(AND(E454=18, F454&lt;&gt;"ASTM A416"), L454, 0), 3)</f>
        <v/>
      </c>
      <c r="U454" s="20">
        <f>ROUND(U453 + IF(AND(E454=20, F454&lt;&gt;"ASTM A416"), L454, 0), 3)</f>
        <v/>
      </c>
      <c r="V454" s="20">
        <f>ROUND(V453 + IF(AND(E454=22, F454&lt;&gt;"ASTM A416"), L454, 0), 3)</f>
        <v/>
      </c>
      <c r="W454" s="20">
        <f>ROUND(W453 + IF(AND(E454=25, F454&lt;&gt;"ASTM A416"), L454, 0), 3)</f>
        <v/>
      </c>
      <c r="X454" s="20">
        <f>ROUND(X453 + IF(AND(E454=28, F454&lt;&gt;"ASTM A416"), L454, 0), 3)</f>
        <v/>
      </c>
      <c r="Y454" s="20">
        <f>ROUND(Y453 + IF(AND(E454=32, F454&lt;&gt;"ASTM A416"), L454, 0), 3)</f>
        <v/>
      </c>
      <c r="Z454" s="20">
        <f>ROUND(Z453 + IF(F454="ASTM A416", L454, 0), 3)</f>
        <v/>
      </c>
      <c r="AA454" s="11">
        <f>IF(INT(P454/20)&gt;INT(P453/20), "Lần " &amp; INT(P454/20), "")</f>
        <v/>
      </c>
      <c r="AB454" s="11">
        <f>IF(INT(Q454/20)&gt;INT(Q453/20), "Lần " &amp; INT(Q454/20), "")</f>
        <v/>
      </c>
      <c r="AC454" s="11">
        <f>IF(INT(R454/20)&gt;INT(R453/20), "Lần " &amp; INT(R454/20), "")</f>
        <v/>
      </c>
      <c r="AD454" s="11">
        <f>IF(INT(S454/20)&gt;INT(S453/20), "Lần " &amp; INT(S454/20), "")</f>
        <v/>
      </c>
      <c r="AE454" s="11">
        <f>IF(INT(T454/20)&gt;INT(T453/20), "Lần " &amp; INT(T454/20), "")</f>
        <v/>
      </c>
      <c r="AF454" s="11">
        <f>IF(INT(U454/20)&gt;INT(U453/20), "Lần " &amp; INT(U454/20), "")</f>
        <v/>
      </c>
      <c r="AG454" s="11">
        <f>IF(INT(V454/20)&gt;INT(V453/20), "Lần " &amp; INT(V454/20), "")</f>
        <v/>
      </c>
      <c r="AH454" s="11">
        <f>IF(INT(W454/20)&gt;INT(W453/20), "Lần " &amp; INT(W454/20), "")</f>
        <v/>
      </c>
      <c r="AI454" s="11">
        <f>IF(INT(X454/20)&gt;INT(X453/20), "Lần " &amp; INT(X454/20), "")</f>
        <v/>
      </c>
      <c r="AJ454" s="11">
        <f>IF(INT(Y454/20)&gt;INT(Y453/20), "Lần " &amp; INT(Y454/20), "")</f>
        <v/>
      </c>
      <c r="AK454" s="11">
        <f>IF(INT(Z454/20)&gt;INT(Z453/20), "Lần " &amp; INT(Z454/20), "")</f>
        <v/>
      </c>
      <c r="AL454" s="6" t="inlineStr">
        <is>
          <t>ĐẠT TCVN 1651:2018</t>
        </is>
      </c>
    </row>
    <row r="455" ht="19" customHeight="1">
      <c r="A455" s="6" t="n">
        <v>424</v>
      </c>
      <c r="B455" s="7" t="inlineStr">
        <is>
          <t>Mố M1</t>
        </is>
      </c>
      <c r="C455" s="7" t="inlineStr">
        <is>
          <t>Thân mố / Bệ mố</t>
        </is>
      </c>
      <c r="D455" s="18" t="inlineStr">
        <is>
          <t>A8(P)</t>
        </is>
      </c>
      <c r="E455" s="19" t="n">
        <v>16</v>
      </c>
      <c r="F455" s="6" t="inlineStr">
        <is>
          <t>CB400-V</t>
        </is>
      </c>
      <c r="G455" s="7" t="inlineStr">
        <is>
          <t>S02</t>
        </is>
      </c>
      <c r="H455" s="20" t="n">
        <v>5.052</v>
      </c>
      <c r="I455" s="21" t="n">
        <v>7</v>
      </c>
      <c r="J455" s="22" t="n">
        <v>1.58</v>
      </c>
      <c r="K455" s="9">
        <f>ROUND(H455*I455*J455, 2)</f>
        <v/>
      </c>
      <c r="L455" s="23">
        <f>ROUND(K455/1000, 3)</f>
        <v/>
      </c>
      <c r="M455" s="8" t="n"/>
      <c r="N455" s="6" t="n"/>
      <c r="O455" s="24">
        <f>IF(AND(E455&lt;=10, F455&lt;&gt;"ASTM A416", INT(P455/20)&gt;INT(P454/20)), "TN Ø10 (Lần " &amp; INT(P455/20) &amp; ")", IF(AND(E455=12, INT(Q455/20)&gt;INT(Q454/20)), "TN Ø12 (Lần " &amp; INT(Q455/20) &amp; ")", IF(AND(E455=14, INT(R455/20)&gt;INT(R454/20)), "TN Ø14 (Lần " &amp; INT(R455/20) &amp; ")", IF(AND(E455=16, INT(S455/20)&gt;INT(S454/20)), "TN Ø16 (Lần " &amp; INT(S455/20) &amp; ")", IF(AND(E455=18, INT(T455/20)&gt;INT(T454/20)), "TN Ø18 (Lần " &amp; INT(T455/20) &amp; ")", IF(AND(E455=20, INT(U455/20)&gt;INT(U454/20)), "TN Ø20 (Lần " &amp; INT(U455/20) &amp; ")", IF(AND(E455=22, INT(V455/20)&gt;INT(V454/20)), "TN Ø22 (Lần " &amp; INT(V455/20) &amp; ")", IF(AND(E455=25, INT(W455/20)&gt;INT(W454/20)), "TN Ø25 (Lần " &amp; INT(W455/20) &amp; ")", IF(AND(E455=28, INT(X455/20)&gt;INT(X454/20)), "TN Ø28 (Lần " &amp; INT(X455/20) &amp; ")", IF(AND(E455=32, INT(Y455/20)&gt;INT(Y454/20)), "TN Ø32 (Lần " &amp; INT(Y455/20) &amp; ")", IF(AND(F455="ASTM A416", INT(Z455/20)&gt;INT(Z454/20)), "TN Cáp 15.2 (Lần " &amp; INT(Z455/20) &amp; ")", "")))))))))))</f>
        <v/>
      </c>
      <c r="P455" s="20">
        <f>ROUND(P454 + IF(AND(E455&lt;=10, F455&lt;&gt;"ASTM A416"), L455, 0), 3)</f>
        <v/>
      </c>
      <c r="Q455" s="20">
        <f>ROUND(Q454 + IF(AND(E455=12, F455&lt;&gt;"ASTM A416"), L455, 0), 3)</f>
        <v/>
      </c>
      <c r="R455" s="20">
        <f>ROUND(R454 + IF(AND(E455=14, F455&lt;&gt;"ASTM A416"), L455, 0), 3)</f>
        <v/>
      </c>
      <c r="S455" s="20">
        <f>ROUND(S454 + IF(AND(E455=16, F455&lt;&gt;"ASTM A416"), L455, 0), 3)</f>
        <v/>
      </c>
      <c r="T455" s="20">
        <f>ROUND(T454 + IF(AND(E455=18, F455&lt;&gt;"ASTM A416"), L455, 0), 3)</f>
        <v/>
      </c>
      <c r="U455" s="20">
        <f>ROUND(U454 + IF(AND(E455=20, F455&lt;&gt;"ASTM A416"), L455, 0), 3)</f>
        <v/>
      </c>
      <c r="V455" s="20">
        <f>ROUND(V454 + IF(AND(E455=22, F455&lt;&gt;"ASTM A416"), L455, 0), 3)</f>
        <v/>
      </c>
      <c r="W455" s="20">
        <f>ROUND(W454 + IF(AND(E455=25, F455&lt;&gt;"ASTM A416"), L455, 0), 3)</f>
        <v/>
      </c>
      <c r="X455" s="20">
        <f>ROUND(X454 + IF(AND(E455=28, F455&lt;&gt;"ASTM A416"), L455, 0), 3)</f>
        <v/>
      </c>
      <c r="Y455" s="20">
        <f>ROUND(Y454 + IF(AND(E455=32, F455&lt;&gt;"ASTM A416"), L455, 0), 3)</f>
        <v/>
      </c>
      <c r="Z455" s="20">
        <f>ROUND(Z454 + IF(F455="ASTM A416", L455, 0), 3)</f>
        <v/>
      </c>
      <c r="AA455" s="11">
        <f>IF(INT(P455/20)&gt;INT(P454/20), "Lần " &amp; INT(P455/20), "")</f>
        <v/>
      </c>
      <c r="AB455" s="11">
        <f>IF(INT(Q455/20)&gt;INT(Q454/20), "Lần " &amp; INT(Q455/20), "")</f>
        <v/>
      </c>
      <c r="AC455" s="11">
        <f>IF(INT(R455/20)&gt;INT(R454/20), "Lần " &amp; INT(R455/20), "")</f>
        <v/>
      </c>
      <c r="AD455" s="11">
        <f>IF(INT(S455/20)&gt;INT(S454/20), "Lần " &amp; INT(S455/20), "")</f>
        <v/>
      </c>
      <c r="AE455" s="11">
        <f>IF(INT(T455/20)&gt;INT(T454/20), "Lần " &amp; INT(T455/20), "")</f>
        <v/>
      </c>
      <c r="AF455" s="11">
        <f>IF(INT(U455/20)&gt;INT(U454/20), "Lần " &amp; INT(U455/20), "")</f>
        <v/>
      </c>
      <c r="AG455" s="11">
        <f>IF(INT(V455/20)&gt;INT(V454/20), "Lần " &amp; INT(V455/20), "")</f>
        <v/>
      </c>
      <c r="AH455" s="11">
        <f>IF(INT(W455/20)&gt;INT(W454/20), "Lần " &amp; INT(W455/20), "")</f>
        <v/>
      </c>
      <c r="AI455" s="11">
        <f>IF(INT(X455/20)&gt;INT(X454/20), "Lần " &amp; INT(X455/20), "")</f>
        <v/>
      </c>
      <c r="AJ455" s="11">
        <f>IF(INT(Y455/20)&gt;INT(Y454/20), "Lần " &amp; INT(Y455/20), "")</f>
        <v/>
      </c>
      <c r="AK455" s="11">
        <f>IF(INT(Z455/20)&gt;INT(Z454/20), "Lần " &amp; INT(Z455/20), "")</f>
        <v/>
      </c>
      <c r="AL455" s="6" t="inlineStr">
        <is>
          <t>ĐẠT TCVN 1651:2018</t>
        </is>
      </c>
    </row>
    <row r="456" ht="19" customHeight="1">
      <c r="A456" s="6" t="n">
        <v>425</v>
      </c>
      <c r="B456" s="7" t="inlineStr">
        <is>
          <t>Mố M1</t>
        </is>
      </c>
      <c r="C456" s="7" t="inlineStr">
        <is>
          <t>Thân mố / Bệ mố</t>
        </is>
      </c>
      <c r="D456" s="18" t="inlineStr">
        <is>
          <t>A8(T)</t>
        </is>
      </c>
      <c r="E456" s="19" t="n">
        <v>16</v>
      </c>
      <c r="F456" s="6" t="inlineStr">
        <is>
          <t>CB400-V</t>
        </is>
      </c>
      <c r="G456" s="7" t="inlineStr">
        <is>
          <t>S02</t>
        </is>
      </c>
      <c r="H456" s="20" t="n">
        <v>5.352</v>
      </c>
      <c r="I456" s="21" t="n">
        <v>7</v>
      </c>
      <c r="J456" s="22" t="n">
        <v>1.58</v>
      </c>
      <c r="K456" s="9">
        <f>ROUND(H456*I456*J456, 2)</f>
        <v/>
      </c>
      <c r="L456" s="23">
        <f>ROUND(K456/1000, 3)</f>
        <v/>
      </c>
      <c r="M456" s="8" t="n"/>
      <c r="N456" s="6" t="n"/>
      <c r="O456" s="24">
        <f>IF(AND(E456&lt;=10, F456&lt;&gt;"ASTM A416", INT(P456/20)&gt;INT(P455/20)), "TN Ø10 (Lần " &amp; INT(P456/20) &amp; ")", IF(AND(E456=12, INT(Q456/20)&gt;INT(Q455/20)), "TN Ø12 (Lần " &amp; INT(Q456/20) &amp; ")", IF(AND(E456=14, INT(R456/20)&gt;INT(R455/20)), "TN Ø14 (Lần " &amp; INT(R456/20) &amp; ")", IF(AND(E456=16, INT(S456/20)&gt;INT(S455/20)), "TN Ø16 (Lần " &amp; INT(S456/20) &amp; ")", IF(AND(E456=18, INT(T456/20)&gt;INT(T455/20)), "TN Ø18 (Lần " &amp; INT(T456/20) &amp; ")", IF(AND(E456=20, INT(U456/20)&gt;INT(U455/20)), "TN Ø20 (Lần " &amp; INT(U456/20) &amp; ")", IF(AND(E456=22, INT(V456/20)&gt;INT(V455/20)), "TN Ø22 (Lần " &amp; INT(V456/20) &amp; ")", IF(AND(E456=25, INT(W456/20)&gt;INT(W455/20)), "TN Ø25 (Lần " &amp; INT(W456/20) &amp; ")", IF(AND(E456=28, INT(X456/20)&gt;INT(X455/20)), "TN Ø28 (Lần " &amp; INT(X456/20) &amp; ")", IF(AND(E456=32, INT(Y456/20)&gt;INT(Y455/20)), "TN Ø32 (Lần " &amp; INT(Y456/20) &amp; ")", IF(AND(F456="ASTM A416", INT(Z456/20)&gt;INT(Z455/20)), "TN Cáp 15.2 (Lần " &amp; INT(Z456/20) &amp; ")", "")))))))))))</f>
        <v/>
      </c>
      <c r="P456" s="20">
        <f>ROUND(P455 + IF(AND(E456&lt;=10, F456&lt;&gt;"ASTM A416"), L456, 0), 3)</f>
        <v/>
      </c>
      <c r="Q456" s="20">
        <f>ROUND(Q455 + IF(AND(E456=12, F456&lt;&gt;"ASTM A416"), L456, 0), 3)</f>
        <v/>
      </c>
      <c r="R456" s="20">
        <f>ROUND(R455 + IF(AND(E456=14, F456&lt;&gt;"ASTM A416"), L456, 0), 3)</f>
        <v/>
      </c>
      <c r="S456" s="20">
        <f>ROUND(S455 + IF(AND(E456=16, F456&lt;&gt;"ASTM A416"), L456, 0), 3)</f>
        <v/>
      </c>
      <c r="T456" s="20">
        <f>ROUND(T455 + IF(AND(E456=18, F456&lt;&gt;"ASTM A416"), L456, 0), 3)</f>
        <v/>
      </c>
      <c r="U456" s="20">
        <f>ROUND(U455 + IF(AND(E456=20, F456&lt;&gt;"ASTM A416"), L456, 0), 3)</f>
        <v/>
      </c>
      <c r="V456" s="20">
        <f>ROUND(V455 + IF(AND(E456=22, F456&lt;&gt;"ASTM A416"), L456, 0), 3)</f>
        <v/>
      </c>
      <c r="W456" s="20">
        <f>ROUND(W455 + IF(AND(E456=25, F456&lt;&gt;"ASTM A416"), L456, 0), 3)</f>
        <v/>
      </c>
      <c r="X456" s="20">
        <f>ROUND(X455 + IF(AND(E456=28, F456&lt;&gt;"ASTM A416"), L456, 0), 3)</f>
        <v/>
      </c>
      <c r="Y456" s="20">
        <f>ROUND(Y455 + IF(AND(E456=32, F456&lt;&gt;"ASTM A416"), L456, 0), 3)</f>
        <v/>
      </c>
      <c r="Z456" s="20">
        <f>ROUND(Z455 + IF(F456="ASTM A416", L456, 0), 3)</f>
        <v/>
      </c>
      <c r="AA456" s="11">
        <f>IF(INT(P456/20)&gt;INT(P455/20), "Lần " &amp; INT(P456/20), "")</f>
        <v/>
      </c>
      <c r="AB456" s="11">
        <f>IF(INT(Q456/20)&gt;INT(Q455/20), "Lần " &amp; INT(Q456/20), "")</f>
        <v/>
      </c>
      <c r="AC456" s="11">
        <f>IF(INT(R456/20)&gt;INT(R455/20), "Lần " &amp; INT(R456/20), "")</f>
        <v/>
      </c>
      <c r="AD456" s="11">
        <f>IF(INT(S456/20)&gt;INT(S455/20), "Lần " &amp; INT(S456/20), "")</f>
        <v/>
      </c>
      <c r="AE456" s="11">
        <f>IF(INT(T456/20)&gt;INT(T455/20), "Lần " &amp; INT(T456/20), "")</f>
        <v/>
      </c>
      <c r="AF456" s="11">
        <f>IF(INT(U456/20)&gt;INT(U455/20), "Lần " &amp; INT(U456/20), "")</f>
        <v/>
      </c>
      <c r="AG456" s="11">
        <f>IF(INT(V456/20)&gt;INT(V455/20), "Lần " &amp; INT(V456/20), "")</f>
        <v/>
      </c>
      <c r="AH456" s="11">
        <f>IF(INT(W456/20)&gt;INT(W455/20), "Lần " &amp; INT(W456/20), "")</f>
        <v/>
      </c>
      <c r="AI456" s="11">
        <f>IF(INT(X456/20)&gt;INT(X455/20), "Lần " &amp; INT(X456/20), "")</f>
        <v/>
      </c>
      <c r="AJ456" s="11">
        <f>IF(INT(Y456/20)&gt;INT(Y455/20), "Lần " &amp; INT(Y456/20), "")</f>
        <v/>
      </c>
      <c r="AK456" s="11">
        <f>IF(INT(Z456/20)&gt;INT(Z455/20), "Lần " &amp; INT(Z456/20), "")</f>
        <v/>
      </c>
      <c r="AL456" s="6" t="inlineStr">
        <is>
          <t>ĐẠT TCVN 1651:2018</t>
        </is>
      </c>
    </row>
    <row r="457" ht="19" customHeight="1">
      <c r="A457" s="6" t="n">
        <v>426</v>
      </c>
      <c r="B457" s="7" t="inlineStr">
        <is>
          <t>Mố M1</t>
        </is>
      </c>
      <c r="C457" s="7" t="inlineStr">
        <is>
          <t>Thân mố / Bệ mố</t>
        </is>
      </c>
      <c r="D457" s="18" t="inlineStr">
        <is>
          <t>P1</t>
        </is>
      </c>
      <c r="E457" s="19" t="n">
        <v>16</v>
      </c>
      <c r="F457" s="6" t="inlineStr">
        <is>
          <t>CB400-V</t>
        </is>
      </c>
      <c r="G457" s="7" t="inlineStr">
        <is>
          <t>S06</t>
        </is>
      </c>
      <c r="H457" s="20" t="n">
        <v>13.487</v>
      </c>
      <c r="I457" s="21" t="n">
        <v>30</v>
      </c>
      <c r="J457" s="22" t="n">
        <v>1.58</v>
      </c>
      <c r="K457" s="9">
        <f>ROUND(H457*I457*J457, 2)</f>
        <v/>
      </c>
      <c r="L457" s="23">
        <f>ROUND(K457/1000, 3)</f>
        <v/>
      </c>
      <c r="M457" s="8" t="n"/>
      <c r="N457" s="6" t="n"/>
      <c r="O457" s="24">
        <f>IF(AND(E457&lt;=10, F457&lt;&gt;"ASTM A416", INT(P457/20)&gt;INT(P456/20)), "TN Ø10 (Lần " &amp; INT(P457/20) &amp; ")", IF(AND(E457=12, INT(Q457/20)&gt;INT(Q456/20)), "TN Ø12 (Lần " &amp; INT(Q457/20) &amp; ")", IF(AND(E457=14, INT(R457/20)&gt;INT(R456/20)), "TN Ø14 (Lần " &amp; INT(R457/20) &amp; ")", IF(AND(E457=16, INT(S457/20)&gt;INT(S456/20)), "TN Ø16 (Lần " &amp; INT(S457/20) &amp; ")", IF(AND(E457=18, INT(T457/20)&gt;INT(T456/20)), "TN Ø18 (Lần " &amp; INT(T457/20) &amp; ")", IF(AND(E457=20, INT(U457/20)&gt;INT(U456/20)), "TN Ø20 (Lần " &amp; INT(U457/20) &amp; ")", IF(AND(E457=22, INT(V457/20)&gt;INT(V456/20)), "TN Ø22 (Lần " &amp; INT(V457/20) &amp; ")", IF(AND(E457=25, INT(W457/20)&gt;INT(W456/20)), "TN Ø25 (Lần " &amp; INT(W457/20) &amp; ")", IF(AND(E457=28, INT(X457/20)&gt;INT(X456/20)), "TN Ø28 (Lần " &amp; INT(X457/20) &amp; ")", IF(AND(E457=32, INT(Y457/20)&gt;INT(Y456/20)), "TN Ø32 (Lần " &amp; INT(Y457/20) &amp; ")", IF(AND(F457="ASTM A416", INT(Z457/20)&gt;INT(Z456/20)), "TN Cáp 15.2 (Lần " &amp; INT(Z457/20) &amp; ")", "")))))))))))</f>
        <v/>
      </c>
      <c r="P457" s="20">
        <f>ROUND(P456 + IF(AND(E457&lt;=10, F457&lt;&gt;"ASTM A416"), L457, 0), 3)</f>
        <v/>
      </c>
      <c r="Q457" s="20">
        <f>ROUND(Q456 + IF(AND(E457=12, F457&lt;&gt;"ASTM A416"), L457, 0), 3)</f>
        <v/>
      </c>
      <c r="R457" s="20">
        <f>ROUND(R456 + IF(AND(E457=14, F457&lt;&gt;"ASTM A416"), L457, 0), 3)</f>
        <v/>
      </c>
      <c r="S457" s="20">
        <f>ROUND(S456 + IF(AND(E457=16, F457&lt;&gt;"ASTM A416"), L457, 0), 3)</f>
        <v/>
      </c>
      <c r="T457" s="20">
        <f>ROUND(T456 + IF(AND(E457=18, F457&lt;&gt;"ASTM A416"), L457, 0), 3)</f>
        <v/>
      </c>
      <c r="U457" s="20">
        <f>ROUND(U456 + IF(AND(E457=20, F457&lt;&gt;"ASTM A416"), L457, 0), 3)</f>
        <v/>
      </c>
      <c r="V457" s="20">
        <f>ROUND(V456 + IF(AND(E457=22, F457&lt;&gt;"ASTM A416"), L457, 0), 3)</f>
        <v/>
      </c>
      <c r="W457" s="20">
        <f>ROUND(W456 + IF(AND(E457=25, F457&lt;&gt;"ASTM A416"), L457, 0), 3)</f>
        <v/>
      </c>
      <c r="X457" s="20">
        <f>ROUND(X456 + IF(AND(E457=28, F457&lt;&gt;"ASTM A416"), L457, 0), 3)</f>
        <v/>
      </c>
      <c r="Y457" s="20">
        <f>ROUND(Y456 + IF(AND(E457=32, F457&lt;&gt;"ASTM A416"), L457, 0), 3)</f>
        <v/>
      </c>
      <c r="Z457" s="20">
        <f>ROUND(Z456 + IF(F457="ASTM A416", L457, 0), 3)</f>
        <v/>
      </c>
      <c r="AA457" s="11">
        <f>IF(INT(P457/20)&gt;INT(P456/20), "Lần " &amp; INT(P457/20), "")</f>
        <v/>
      </c>
      <c r="AB457" s="11">
        <f>IF(INT(Q457/20)&gt;INT(Q456/20), "Lần " &amp; INT(Q457/20), "")</f>
        <v/>
      </c>
      <c r="AC457" s="11">
        <f>IF(INT(R457/20)&gt;INT(R456/20), "Lần " &amp; INT(R457/20), "")</f>
        <v/>
      </c>
      <c r="AD457" s="11">
        <f>IF(INT(S457/20)&gt;INT(S456/20), "Lần " &amp; INT(S457/20), "")</f>
        <v/>
      </c>
      <c r="AE457" s="11">
        <f>IF(INT(T457/20)&gt;INT(T456/20), "Lần " &amp; INT(T457/20), "")</f>
        <v/>
      </c>
      <c r="AF457" s="11">
        <f>IF(INT(U457/20)&gt;INT(U456/20), "Lần " &amp; INT(U457/20), "")</f>
        <v/>
      </c>
      <c r="AG457" s="11">
        <f>IF(INT(V457/20)&gt;INT(V456/20), "Lần " &amp; INT(V457/20), "")</f>
        <v/>
      </c>
      <c r="AH457" s="11">
        <f>IF(INT(W457/20)&gt;INT(W456/20), "Lần " &amp; INT(W457/20), "")</f>
        <v/>
      </c>
      <c r="AI457" s="11">
        <f>IF(INT(X457/20)&gt;INT(X456/20), "Lần " &amp; INT(X457/20), "")</f>
        <v/>
      </c>
      <c r="AJ457" s="11">
        <f>IF(INT(Y457/20)&gt;INT(Y456/20), "Lần " &amp; INT(Y457/20), "")</f>
        <v/>
      </c>
      <c r="AK457" s="11">
        <f>IF(INT(Z457/20)&gt;INT(Z456/20), "Lần " &amp; INT(Z457/20), "")</f>
        <v/>
      </c>
      <c r="AL457" s="6" t="inlineStr">
        <is>
          <t>ĐẠT TCVN 1651:2018</t>
        </is>
      </c>
    </row>
    <row r="458" ht="19" customHeight="1">
      <c r="A458" s="6" t="n">
        <v>427</v>
      </c>
      <c r="B458" s="7" t="inlineStr">
        <is>
          <t>Mố M1</t>
        </is>
      </c>
      <c r="C458" s="7" t="inlineStr">
        <is>
          <t>Thân mố / Bệ mố</t>
        </is>
      </c>
      <c r="D458" s="18" t="inlineStr">
        <is>
          <t>P1A</t>
        </is>
      </c>
      <c r="E458" s="19" t="n">
        <v>16</v>
      </c>
      <c r="F458" s="6" t="inlineStr">
        <is>
          <t>CB400-V</t>
        </is>
      </c>
      <c r="G458" s="7" t="inlineStr">
        <is>
          <t>S06</t>
        </is>
      </c>
      <c r="H458" s="20" t="n">
        <v>13.489</v>
      </c>
      <c r="I458" s="21" t="n">
        <v>2</v>
      </c>
      <c r="J458" s="22" t="n">
        <v>1.58</v>
      </c>
      <c r="K458" s="9">
        <f>ROUND(H458*I458*J458, 2)</f>
        <v/>
      </c>
      <c r="L458" s="23">
        <f>ROUND(K458/1000, 3)</f>
        <v/>
      </c>
      <c r="M458" s="8" t="n"/>
      <c r="N458" s="6" t="n"/>
      <c r="O458" s="24">
        <f>IF(AND(E458&lt;=10, F458&lt;&gt;"ASTM A416", INT(P458/20)&gt;INT(P457/20)), "TN Ø10 (Lần " &amp; INT(P458/20) &amp; ")", IF(AND(E458=12, INT(Q458/20)&gt;INT(Q457/20)), "TN Ø12 (Lần " &amp; INT(Q458/20) &amp; ")", IF(AND(E458=14, INT(R458/20)&gt;INT(R457/20)), "TN Ø14 (Lần " &amp; INT(R458/20) &amp; ")", IF(AND(E458=16, INT(S458/20)&gt;INT(S457/20)), "TN Ø16 (Lần " &amp; INT(S458/20) &amp; ")", IF(AND(E458=18, INT(T458/20)&gt;INT(T457/20)), "TN Ø18 (Lần " &amp; INT(T458/20) &amp; ")", IF(AND(E458=20, INT(U458/20)&gt;INT(U457/20)), "TN Ø20 (Lần " &amp; INT(U458/20) &amp; ")", IF(AND(E458=22, INT(V458/20)&gt;INT(V457/20)), "TN Ø22 (Lần " &amp; INT(V458/20) &amp; ")", IF(AND(E458=25, INT(W458/20)&gt;INT(W457/20)), "TN Ø25 (Lần " &amp; INT(W458/20) &amp; ")", IF(AND(E458=28, INT(X458/20)&gt;INT(X457/20)), "TN Ø28 (Lần " &amp; INT(X458/20) &amp; ")", IF(AND(E458=32, INT(Y458/20)&gt;INT(Y457/20)), "TN Ø32 (Lần " &amp; INT(Y458/20) &amp; ")", IF(AND(F458="ASTM A416", INT(Z458/20)&gt;INT(Z457/20)), "TN Cáp 15.2 (Lần " &amp; INT(Z458/20) &amp; ")", "")))))))))))</f>
        <v/>
      </c>
      <c r="P458" s="20">
        <f>ROUND(P457 + IF(AND(E458&lt;=10, F458&lt;&gt;"ASTM A416"), L458, 0), 3)</f>
        <v/>
      </c>
      <c r="Q458" s="20">
        <f>ROUND(Q457 + IF(AND(E458=12, F458&lt;&gt;"ASTM A416"), L458, 0), 3)</f>
        <v/>
      </c>
      <c r="R458" s="20">
        <f>ROUND(R457 + IF(AND(E458=14, F458&lt;&gt;"ASTM A416"), L458, 0), 3)</f>
        <v/>
      </c>
      <c r="S458" s="20">
        <f>ROUND(S457 + IF(AND(E458=16, F458&lt;&gt;"ASTM A416"), L458, 0), 3)</f>
        <v/>
      </c>
      <c r="T458" s="20">
        <f>ROUND(T457 + IF(AND(E458=18, F458&lt;&gt;"ASTM A416"), L458, 0), 3)</f>
        <v/>
      </c>
      <c r="U458" s="20">
        <f>ROUND(U457 + IF(AND(E458=20, F458&lt;&gt;"ASTM A416"), L458, 0), 3)</f>
        <v/>
      </c>
      <c r="V458" s="20">
        <f>ROUND(V457 + IF(AND(E458=22, F458&lt;&gt;"ASTM A416"), L458, 0), 3)</f>
        <v/>
      </c>
      <c r="W458" s="20">
        <f>ROUND(W457 + IF(AND(E458=25, F458&lt;&gt;"ASTM A416"), L458, 0), 3)</f>
        <v/>
      </c>
      <c r="X458" s="20">
        <f>ROUND(X457 + IF(AND(E458=28, F458&lt;&gt;"ASTM A416"), L458, 0), 3)</f>
        <v/>
      </c>
      <c r="Y458" s="20">
        <f>ROUND(Y457 + IF(AND(E458=32, F458&lt;&gt;"ASTM A416"), L458, 0), 3)</f>
        <v/>
      </c>
      <c r="Z458" s="20">
        <f>ROUND(Z457 + IF(F458="ASTM A416", L458, 0), 3)</f>
        <v/>
      </c>
      <c r="AA458" s="11">
        <f>IF(INT(P458/20)&gt;INT(P457/20), "Lần " &amp; INT(P458/20), "")</f>
        <v/>
      </c>
      <c r="AB458" s="11">
        <f>IF(INT(Q458/20)&gt;INT(Q457/20), "Lần " &amp; INT(Q458/20), "")</f>
        <v/>
      </c>
      <c r="AC458" s="11">
        <f>IF(INT(R458/20)&gt;INT(R457/20), "Lần " &amp; INT(R458/20), "")</f>
        <v/>
      </c>
      <c r="AD458" s="11">
        <f>IF(INT(S458/20)&gt;INT(S457/20), "Lần " &amp; INT(S458/20), "")</f>
        <v/>
      </c>
      <c r="AE458" s="11">
        <f>IF(INT(T458/20)&gt;INT(T457/20), "Lần " &amp; INT(T458/20), "")</f>
        <v/>
      </c>
      <c r="AF458" s="11">
        <f>IF(INT(U458/20)&gt;INT(U457/20), "Lần " &amp; INT(U458/20), "")</f>
        <v/>
      </c>
      <c r="AG458" s="11">
        <f>IF(INT(V458/20)&gt;INT(V457/20), "Lần " &amp; INT(V458/20), "")</f>
        <v/>
      </c>
      <c r="AH458" s="11">
        <f>IF(INT(W458/20)&gt;INT(W457/20), "Lần " &amp; INT(W458/20), "")</f>
        <v/>
      </c>
      <c r="AI458" s="11">
        <f>IF(INT(X458/20)&gt;INT(X457/20), "Lần " &amp; INT(X458/20), "")</f>
        <v/>
      </c>
      <c r="AJ458" s="11">
        <f>IF(INT(Y458/20)&gt;INT(Y457/20), "Lần " &amp; INT(Y458/20), "")</f>
        <v/>
      </c>
      <c r="AK458" s="11">
        <f>IF(INT(Z458/20)&gt;INT(Z457/20), "Lần " &amp; INT(Z458/20), "")</f>
        <v/>
      </c>
      <c r="AL458" s="6" t="inlineStr">
        <is>
          <t>ĐẠT TCVN 1651:2018</t>
        </is>
      </c>
    </row>
    <row r="459" ht="19" customHeight="1">
      <c r="A459" s="6" t="n">
        <v>428</v>
      </c>
      <c r="B459" s="7" t="inlineStr">
        <is>
          <t>Mố M1</t>
        </is>
      </c>
      <c r="C459" s="7" t="inlineStr">
        <is>
          <t>Thân mố / Bệ mố</t>
        </is>
      </c>
      <c r="D459" s="18" t="inlineStr">
        <is>
          <t>P1B</t>
        </is>
      </c>
      <c r="E459" s="19" t="n">
        <v>16</v>
      </c>
      <c r="F459" s="6" t="inlineStr">
        <is>
          <t>CB400-V</t>
        </is>
      </c>
      <c r="G459" s="7" t="inlineStr">
        <is>
          <t>S06</t>
        </is>
      </c>
      <c r="H459" s="20" t="n">
        <v>7.743</v>
      </c>
      <c r="I459" s="21" t="n">
        <v>2</v>
      </c>
      <c r="J459" s="22" t="n">
        <v>1.58</v>
      </c>
      <c r="K459" s="9">
        <f>ROUND(H459*I459*J459, 2)</f>
        <v/>
      </c>
      <c r="L459" s="23">
        <f>ROUND(K459/1000, 3)</f>
        <v/>
      </c>
      <c r="M459" s="8" t="n"/>
      <c r="N459" s="6" t="n"/>
      <c r="O459" s="24">
        <f>IF(AND(E459&lt;=10, F459&lt;&gt;"ASTM A416", INT(P459/20)&gt;INT(P458/20)), "TN Ø10 (Lần " &amp; INT(P459/20) &amp; ")", IF(AND(E459=12, INT(Q459/20)&gt;INT(Q458/20)), "TN Ø12 (Lần " &amp; INT(Q459/20) &amp; ")", IF(AND(E459=14, INT(R459/20)&gt;INT(R458/20)), "TN Ø14 (Lần " &amp; INT(R459/20) &amp; ")", IF(AND(E459=16, INT(S459/20)&gt;INT(S458/20)), "TN Ø16 (Lần " &amp; INT(S459/20) &amp; ")", IF(AND(E459=18, INT(T459/20)&gt;INT(T458/20)), "TN Ø18 (Lần " &amp; INT(T459/20) &amp; ")", IF(AND(E459=20, INT(U459/20)&gt;INT(U458/20)), "TN Ø20 (Lần " &amp; INT(U459/20) &amp; ")", IF(AND(E459=22, INT(V459/20)&gt;INT(V458/20)), "TN Ø22 (Lần " &amp; INT(V459/20) &amp; ")", IF(AND(E459=25, INT(W459/20)&gt;INT(W458/20)), "TN Ø25 (Lần " &amp; INT(W459/20) &amp; ")", IF(AND(E459=28, INT(X459/20)&gt;INT(X458/20)), "TN Ø28 (Lần " &amp; INT(X459/20) &amp; ")", IF(AND(E459=32, INT(Y459/20)&gt;INT(Y458/20)), "TN Ø32 (Lần " &amp; INT(Y459/20) &amp; ")", IF(AND(F459="ASTM A416", INT(Z459/20)&gt;INT(Z458/20)), "TN Cáp 15.2 (Lần " &amp; INT(Z459/20) &amp; ")", "")))))))))))</f>
        <v/>
      </c>
      <c r="P459" s="20">
        <f>ROUND(P458 + IF(AND(E459&lt;=10, F459&lt;&gt;"ASTM A416"), L459, 0), 3)</f>
        <v/>
      </c>
      <c r="Q459" s="20">
        <f>ROUND(Q458 + IF(AND(E459=12, F459&lt;&gt;"ASTM A416"), L459, 0), 3)</f>
        <v/>
      </c>
      <c r="R459" s="20">
        <f>ROUND(R458 + IF(AND(E459=14, F459&lt;&gt;"ASTM A416"), L459, 0), 3)</f>
        <v/>
      </c>
      <c r="S459" s="20">
        <f>ROUND(S458 + IF(AND(E459=16, F459&lt;&gt;"ASTM A416"), L459, 0), 3)</f>
        <v/>
      </c>
      <c r="T459" s="20">
        <f>ROUND(T458 + IF(AND(E459=18, F459&lt;&gt;"ASTM A416"), L459, 0), 3)</f>
        <v/>
      </c>
      <c r="U459" s="20">
        <f>ROUND(U458 + IF(AND(E459=20, F459&lt;&gt;"ASTM A416"), L459, 0), 3)</f>
        <v/>
      </c>
      <c r="V459" s="20">
        <f>ROUND(V458 + IF(AND(E459=22, F459&lt;&gt;"ASTM A416"), L459, 0), 3)</f>
        <v/>
      </c>
      <c r="W459" s="20">
        <f>ROUND(W458 + IF(AND(E459=25, F459&lt;&gt;"ASTM A416"), L459, 0), 3)</f>
        <v/>
      </c>
      <c r="X459" s="20">
        <f>ROUND(X458 + IF(AND(E459=28, F459&lt;&gt;"ASTM A416"), L459, 0), 3)</f>
        <v/>
      </c>
      <c r="Y459" s="20">
        <f>ROUND(Y458 + IF(AND(E459=32, F459&lt;&gt;"ASTM A416"), L459, 0), 3)</f>
        <v/>
      </c>
      <c r="Z459" s="20">
        <f>ROUND(Z458 + IF(F459="ASTM A416", L459, 0), 3)</f>
        <v/>
      </c>
      <c r="AA459" s="11">
        <f>IF(INT(P459/20)&gt;INT(P458/20), "Lần " &amp; INT(P459/20), "")</f>
        <v/>
      </c>
      <c r="AB459" s="11">
        <f>IF(INT(Q459/20)&gt;INT(Q458/20), "Lần " &amp; INT(Q459/20), "")</f>
        <v/>
      </c>
      <c r="AC459" s="11">
        <f>IF(INT(R459/20)&gt;INT(R458/20), "Lần " &amp; INT(R459/20), "")</f>
        <v/>
      </c>
      <c r="AD459" s="11">
        <f>IF(INT(S459/20)&gt;INT(S458/20), "Lần " &amp; INT(S459/20), "")</f>
        <v/>
      </c>
      <c r="AE459" s="11">
        <f>IF(INT(T459/20)&gt;INT(T458/20), "Lần " &amp; INT(T459/20), "")</f>
        <v/>
      </c>
      <c r="AF459" s="11">
        <f>IF(INT(U459/20)&gt;INT(U458/20), "Lần " &amp; INT(U459/20), "")</f>
        <v/>
      </c>
      <c r="AG459" s="11">
        <f>IF(INT(V459/20)&gt;INT(V458/20), "Lần " &amp; INT(V459/20), "")</f>
        <v/>
      </c>
      <c r="AH459" s="11">
        <f>IF(INT(W459/20)&gt;INT(W458/20), "Lần " &amp; INT(W459/20), "")</f>
        <v/>
      </c>
      <c r="AI459" s="11">
        <f>IF(INT(X459/20)&gt;INT(X458/20), "Lần " &amp; INT(X459/20), "")</f>
        <v/>
      </c>
      <c r="AJ459" s="11">
        <f>IF(INT(Y459/20)&gt;INT(Y458/20), "Lần " &amp; INT(Y459/20), "")</f>
        <v/>
      </c>
      <c r="AK459" s="11">
        <f>IF(INT(Z459/20)&gt;INT(Z458/20), "Lần " &amp; INT(Z459/20), "")</f>
        <v/>
      </c>
      <c r="AL459" s="6" t="inlineStr">
        <is>
          <t>ĐẠT TCVN 1651:2018</t>
        </is>
      </c>
    </row>
    <row r="460" ht="19" customHeight="1">
      <c r="A460" s="6" t="n">
        <v>429</v>
      </c>
      <c r="B460" s="7" t="inlineStr">
        <is>
          <t>Mố M1</t>
        </is>
      </c>
      <c r="C460" s="7" t="inlineStr">
        <is>
          <t>Thân mố / Bệ mố</t>
        </is>
      </c>
      <c r="D460" s="18" t="inlineStr">
        <is>
          <t>P2</t>
        </is>
      </c>
      <c r="E460" s="19" t="n">
        <v>16</v>
      </c>
      <c r="F460" s="6" t="inlineStr">
        <is>
          <t>CB400-V</t>
        </is>
      </c>
      <c r="G460" s="7" t="inlineStr">
        <is>
          <t>S06</t>
        </is>
      </c>
      <c r="H460" s="20" t="n">
        <v>5.82</v>
      </c>
      <c r="I460" s="21" t="n">
        <v>83</v>
      </c>
      <c r="J460" s="22" t="n">
        <v>1.58</v>
      </c>
      <c r="K460" s="9">
        <f>ROUND(H460*I460*J460, 2)</f>
        <v/>
      </c>
      <c r="L460" s="23">
        <f>ROUND(K460/1000, 3)</f>
        <v/>
      </c>
      <c r="M460" s="8" t="n"/>
      <c r="N460" s="6" t="n"/>
      <c r="O460" s="24">
        <f>IF(AND(E460&lt;=10, F460&lt;&gt;"ASTM A416", INT(P460/20)&gt;INT(P459/20)), "TN Ø10 (Lần " &amp; INT(P460/20) &amp; ")", IF(AND(E460=12, INT(Q460/20)&gt;INT(Q459/20)), "TN Ø12 (Lần " &amp; INT(Q460/20) &amp; ")", IF(AND(E460=14, INT(R460/20)&gt;INT(R459/20)), "TN Ø14 (Lần " &amp; INT(R460/20) &amp; ")", IF(AND(E460=16, INT(S460/20)&gt;INT(S459/20)), "TN Ø16 (Lần " &amp; INT(S460/20) &amp; ")", IF(AND(E460=18, INT(T460/20)&gt;INT(T459/20)), "TN Ø18 (Lần " &amp; INT(T460/20) &amp; ")", IF(AND(E460=20, INT(U460/20)&gt;INT(U459/20)), "TN Ø20 (Lần " &amp; INT(U460/20) &amp; ")", IF(AND(E460=22, INT(V460/20)&gt;INT(V459/20)), "TN Ø22 (Lần " &amp; INT(V460/20) &amp; ")", IF(AND(E460=25, INT(W460/20)&gt;INT(W459/20)), "TN Ø25 (Lần " &amp; INT(W460/20) &amp; ")", IF(AND(E460=28, INT(X460/20)&gt;INT(X459/20)), "TN Ø28 (Lần " &amp; INT(X460/20) &amp; ")", IF(AND(E460=32, INT(Y460/20)&gt;INT(Y459/20)), "TN Ø32 (Lần " &amp; INT(Y460/20) &amp; ")", IF(AND(F460="ASTM A416", INT(Z460/20)&gt;INT(Z459/20)), "TN Cáp 15.2 (Lần " &amp; INT(Z460/20) &amp; ")", "")))))))))))</f>
        <v/>
      </c>
      <c r="P460" s="20">
        <f>ROUND(P459 + IF(AND(E460&lt;=10, F460&lt;&gt;"ASTM A416"), L460, 0), 3)</f>
        <v/>
      </c>
      <c r="Q460" s="20">
        <f>ROUND(Q459 + IF(AND(E460=12, F460&lt;&gt;"ASTM A416"), L460, 0), 3)</f>
        <v/>
      </c>
      <c r="R460" s="20">
        <f>ROUND(R459 + IF(AND(E460=14, F460&lt;&gt;"ASTM A416"), L460, 0), 3)</f>
        <v/>
      </c>
      <c r="S460" s="20">
        <f>ROUND(S459 + IF(AND(E460=16, F460&lt;&gt;"ASTM A416"), L460, 0), 3)</f>
        <v/>
      </c>
      <c r="T460" s="20">
        <f>ROUND(T459 + IF(AND(E460=18, F460&lt;&gt;"ASTM A416"), L460, 0), 3)</f>
        <v/>
      </c>
      <c r="U460" s="20">
        <f>ROUND(U459 + IF(AND(E460=20, F460&lt;&gt;"ASTM A416"), L460, 0), 3)</f>
        <v/>
      </c>
      <c r="V460" s="20">
        <f>ROUND(V459 + IF(AND(E460=22, F460&lt;&gt;"ASTM A416"), L460, 0), 3)</f>
        <v/>
      </c>
      <c r="W460" s="20">
        <f>ROUND(W459 + IF(AND(E460=25, F460&lt;&gt;"ASTM A416"), L460, 0), 3)</f>
        <v/>
      </c>
      <c r="X460" s="20">
        <f>ROUND(X459 + IF(AND(E460=28, F460&lt;&gt;"ASTM A416"), L460, 0), 3)</f>
        <v/>
      </c>
      <c r="Y460" s="20">
        <f>ROUND(Y459 + IF(AND(E460=32, F460&lt;&gt;"ASTM A416"), L460, 0), 3)</f>
        <v/>
      </c>
      <c r="Z460" s="20">
        <f>ROUND(Z459 + IF(F460="ASTM A416", L460, 0), 3)</f>
        <v/>
      </c>
      <c r="AA460" s="11">
        <f>IF(INT(P460/20)&gt;INT(P459/20), "Lần " &amp; INT(P460/20), "")</f>
        <v/>
      </c>
      <c r="AB460" s="11">
        <f>IF(INT(Q460/20)&gt;INT(Q459/20), "Lần " &amp; INT(Q460/20), "")</f>
        <v/>
      </c>
      <c r="AC460" s="11">
        <f>IF(INT(R460/20)&gt;INT(R459/20), "Lần " &amp; INT(R460/20), "")</f>
        <v/>
      </c>
      <c r="AD460" s="11">
        <f>IF(INT(S460/20)&gt;INT(S459/20), "Lần " &amp; INT(S460/20), "")</f>
        <v/>
      </c>
      <c r="AE460" s="11">
        <f>IF(INT(T460/20)&gt;INT(T459/20), "Lần " &amp; INT(T460/20), "")</f>
        <v/>
      </c>
      <c r="AF460" s="11">
        <f>IF(INT(U460/20)&gt;INT(U459/20), "Lần " &amp; INT(U460/20), "")</f>
        <v/>
      </c>
      <c r="AG460" s="11">
        <f>IF(INT(V460/20)&gt;INT(V459/20), "Lần " &amp; INT(V460/20), "")</f>
        <v/>
      </c>
      <c r="AH460" s="11">
        <f>IF(INT(W460/20)&gt;INT(W459/20), "Lần " &amp; INT(W460/20), "")</f>
        <v/>
      </c>
      <c r="AI460" s="11">
        <f>IF(INT(X460/20)&gt;INT(X459/20), "Lần " &amp; INT(X460/20), "")</f>
        <v/>
      </c>
      <c r="AJ460" s="11">
        <f>IF(INT(Y460/20)&gt;INT(Y459/20), "Lần " &amp; INT(Y460/20), "")</f>
        <v/>
      </c>
      <c r="AK460" s="11">
        <f>IF(INT(Z460/20)&gt;INT(Z459/20), "Lần " &amp; INT(Z460/20), "")</f>
        <v/>
      </c>
      <c r="AL460" s="6" t="inlineStr">
        <is>
          <t>ĐẠT TCVN 1651:2018</t>
        </is>
      </c>
    </row>
    <row r="461" ht="19" customHeight="1">
      <c r="A461" s="6" t="n">
        <v>430</v>
      </c>
      <c r="B461" s="7" t="inlineStr">
        <is>
          <t>Mố M1</t>
        </is>
      </c>
      <c r="C461" s="7" t="inlineStr">
        <is>
          <t>Thân mố / Bệ mố</t>
        </is>
      </c>
      <c r="D461" s="18" t="inlineStr">
        <is>
          <t>P3</t>
        </is>
      </c>
      <c r="E461" s="19" t="n">
        <v>16</v>
      </c>
      <c r="F461" s="6" t="inlineStr">
        <is>
          <t>CB400-V</t>
        </is>
      </c>
      <c r="G461" s="7" t="inlineStr">
        <is>
          <t>S57</t>
        </is>
      </c>
      <c r="H461" s="20" t="n">
        <v>2.071</v>
      </c>
      <c r="I461" s="21" t="n">
        <v>83</v>
      </c>
      <c r="J461" s="22" t="n">
        <v>1.58</v>
      </c>
      <c r="K461" s="9">
        <f>ROUND(H461*I461*J461, 2)</f>
        <v/>
      </c>
      <c r="L461" s="23">
        <f>ROUND(K461/1000, 3)</f>
        <v/>
      </c>
      <c r="M461" s="8" t="n"/>
      <c r="N461" s="6" t="n"/>
      <c r="O461" s="24">
        <f>IF(AND(E461&lt;=10, F461&lt;&gt;"ASTM A416", INT(P461/20)&gt;INT(P460/20)), "TN Ø10 (Lần " &amp; INT(P461/20) &amp; ")", IF(AND(E461=12, INT(Q461/20)&gt;INT(Q460/20)), "TN Ø12 (Lần " &amp; INT(Q461/20) &amp; ")", IF(AND(E461=14, INT(R461/20)&gt;INT(R460/20)), "TN Ø14 (Lần " &amp; INT(R461/20) &amp; ")", IF(AND(E461=16, INT(S461/20)&gt;INT(S460/20)), "TN Ø16 (Lần " &amp; INT(S461/20) &amp; ")", IF(AND(E461=18, INT(T461/20)&gt;INT(T460/20)), "TN Ø18 (Lần " &amp; INT(T461/20) &amp; ")", IF(AND(E461=20, INT(U461/20)&gt;INT(U460/20)), "TN Ø20 (Lần " &amp; INT(U461/20) &amp; ")", IF(AND(E461=22, INT(V461/20)&gt;INT(V460/20)), "TN Ø22 (Lần " &amp; INT(V461/20) &amp; ")", IF(AND(E461=25, INT(W461/20)&gt;INT(W460/20)), "TN Ø25 (Lần " &amp; INT(W461/20) &amp; ")", IF(AND(E461=28, INT(X461/20)&gt;INT(X460/20)), "TN Ø28 (Lần " &amp; INT(X461/20) &amp; ")", IF(AND(E461=32, INT(Y461/20)&gt;INT(Y460/20)), "TN Ø32 (Lần " &amp; INT(Y461/20) &amp; ")", IF(AND(F461="ASTM A416", INT(Z461/20)&gt;INT(Z460/20)), "TN Cáp 15.2 (Lần " &amp; INT(Z461/20) &amp; ")", "")))))))))))</f>
        <v/>
      </c>
      <c r="P461" s="20">
        <f>ROUND(P460 + IF(AND(E461&lt;=10, F461&lt;&gt;"ASTM A416"), L461, 0), 3)</f>
        <v/>
      </c>
      <c r="Q461" s="20">
        <f>ROUND(Q460 + IF(AND(E461=12, F461&lt;&gt;"ASTM A416"), L461, 0), 3)</f>
        <v/>
      </c>
      <c r="R461" s="20">
        <f>ROUND(R460 + IF(AND(E461=14, F461&lt;&gt;"ASTM A416"), L461, 0), 3)</f>
        <v/>
      </c>
      <c r="S461" s="20">
        <f>ROUND(S460 + IF(AND(E461=16, F461&lt;&gt;"ASTM A416"), L461, 0), 3)</f>
        <v/>
      </c>
      <c r="T461" s="20">
        <f>ROUND(T460 + IF(AND(E461=18, F461&lt;&gt;"ASTM A416"), L461, 0), 3)</f>
        <v/>
      </c>
      <c r="U461" s="20">
        <f>ROUND(U460 + IF(AND(E461=20, F461&lt;&gt;"ASTM A416"), L461, 0), 3)</f>
        <v/>
      </c>
      <c r="V461" s="20">
        <f>ROUND(V460 + IF(AND(E461=22, F461&lt;&gt;"ASTM A416"), L461, 0), 3)</f>
        <v/>
      </c>
      <c r="W461" s="20">
        <f>ROUND(W460 + IF(AND(E461=25, F461&lt;&gt;"ASTM A416"), L461, 0), 3)</f>
        <v/>
      </c>
      <c r="X461" s="20">
        <f>ROUND(X460 + IF(AND(E461=28, F461&lt;&gt;"ASTM A416"), L461, 0), 3)</f>
        <v/>
      </c>
      <c r="Y461" s="20">
        <f>ROUND(Y460 + IF(AND(E461=32, F461&lt;&gt;"ASTM A416"), L461, 0), 3)</f>
        <v/>
      </c>
      <c r="Z461" s="20">
        <f>ROUND(Z460 + IF(F461="ASTM A416", L461, 0), 3)</f>
        <v/>
      </c>
      <c r="AA461" s="11">
        <f>IF(INT(P461/20)&gt;INT(P460/20), "Lần " &amp; INT(P461/20), "")</f>
        <v/>
      </c>
      <c r="AB461" s="11">
        <f>IF(INT(Q461/20)&gt;INT(Q460/20), "Lần " &amp; INT(Q461/20), "")</f>
        <v/>
      </c>
      <c r="AC461" s="11">
        <f>IF(INT(R461/20)&gt;INT(R460/20), "Lần " &amp; INT(R461/20), "")</f>
        <v/>
      </c>
      <c r="AD461" s="11">
        <f>IF(INT(S461/20)&gt;INT(S460/20), "Lần " &amp; INT(S461/20), "")</f>
        <v/>
      </c>
      <c r="AE461" s="11">
        <f>IF(INT(T461/20)&gt;INT(T460/20), "Lần " &amp; INT(T461/20), "")</f>
        <v/>
      </c>
      <c r="AF461" s="11">
        <f>IF(INT(U461/20)&gt;INT(U460/20), "Lần " &amp; INT(U461/20), "")</f>
        <v/>
      </c>
      <c r="AG461" s="11">
        <f>IF(INT(V461/20)&gt;INT(V460/20), "Lần " &amp; INT(V461/20), "")</f>
        <v/>
      </c>
      <c r="AH461" s="11">
        <f>IF(INT(W461/20)&gt;INT(W460/20), "Lần " &amp; INT(W461/20), "")</f>
        <v/>
      </c>
      <c r="AI461" s="11">
        <f>IF(INT(X461/20)&gt;INT(X460/20), "Lần " &amp; INT(X461/20), "")</f>
        <v/>
      </c>
      <c r="AJ461" s="11">
        <f>IF(INT(Y461/20)&gt;INT(Y460/20), "Lần " &amp; INT(Y461/20), "")</f>
        <v/>
      </c>
      <c r="AK461" s="11">
        <f>IF(INT(Z461/20)&gt;INT(Z460/20), "Lần " &amp; INT(Z461/20), "")</f>
        <v/>
      </c>
      <c r="AL461" s="6" t="inlineStr">
        <is>
          <t>ĐẠT TCVN 1651:2018</t>
        </is>
      </c>
    </row>
    <row r="462" ht="19" customHeight="1">
      <c r="A462" s="6" t="n">
        <v>431</v>
      </c>
      <c r="B462" s="7" t="inlineStr">
        <is>
          <t>Mố M1</t>
        </is>
      </c>
      <c r="C462" s="7" t="inlineStr">
        <is>
          <t>Thân mố / Bệ mố</t>
        </is>
      </c>
      <c r="D462" s="18" t="inlineStr">
        <is>
          <t>P4</t>
        </is>
      </c>
      <c r="E462" s="19" t="n">
        <v>14</v>
      </c>
      <c r="F462" s="6" t="inlineStr">
        <is>
          <t>CB400-V</t>
        </is>
      </c>
      <c r="G462" s="7" t="inlineStr">
        <is>
          <t>S06</t>
        </is>
      </c>
      <c r="H462" s="20" t="n">
        <v>0.585</v>
      </c>
      <c r="I462" s="21" t="n">
        <v>54</v>
      </c>
      <c r="J462" s="22" t="n">
        <v>1.21</v>
      </c>
      <c r="K462" s="9">
        <f>ROUND(H462*I462*J462, 2)</f>
        <v/>
      </c>
      <c r="L462" s="23">
        <f>ROUND(K462/1000, 3)</f>
        <v/>
      </c>
      <c r="M462" s="8" t="n"/>
      <c r="N462" s="6" t="n"/>
      <c r="O462" s="24">
        <f>IF(AND(E462&lt;=10, F462&lt;&gt;"ASTM A416", INT(P462/20)&gt;INT(P461/20)), "TN Ø10 (Lần " &amp; INT(P462/20) &amp; ")", IF(AND(E462=12, INT(Q462/20)&gt;INT(Q461/20)), "TN Ø12 (Lần " &amp; INT(Q462/20) &amp; ")", IF(AND(E462=14, INT(R462/20)&gt;INT(R461/20)), "TN Ø14 (Lần " &amp; INT(R462/20) &amp; ")", IF(AND(E462=16, INT(S462/20)&gt;INT(S461/20)), "TN Ø16 (Lần " &amp; INT(S462/20) &amp; ")", IF(AND(E462=18, INT(T462/20)&gt;INT(T461/20)), "TN Ø18 (Lần " &amp; INT(T462/20) &amp; ")", IF(AND(E462=20, INT(U462/20)&gt;INT(U461/20)), "TN Ø20 (Lần " &amp; INT(U462/20) &amp; ")", IF(AND(E462=22, INT(V462/20)&gt;INT(V461/20)), "TN Ø22 (Lần " &amp; INT(V462/20) &amp; ")", IF(AND(E462=25, INT(W462/20)&gt;INT(W461/20)), "TN Ø25 (Lần " &amp; INT(W462/20) &amp; ")", IF(AND(E462=28, INT(X462/20)&gt;INT(X461/20)), "TN Ø28 (Lần " &amp; INT(X462/20) &amp; ")", IF(AND(E462=32, INT(Y462/20)&gt;INT(Y461/20)), "TN Ø32 (Lần " &amp; INT(Y462/20) &amp; ")", IF(AND(F462="ASTM A416", INT(Z462/20)&gt;INT(Z461/20)), "TN Cáp 15.2 (Lần " &amp; INT(Z462/20) &amp; ")", "")))))))))))</f>
        <v/>
      </c>
      <c r="P462" s="20">
        <f>ROUND(P461 + IF(AND(E462&lt;=10, F462&lt;&gt;"ASTM A416"), L462, 0), 3)</f>
        <v/>
      </c>
      <c r="Q462" s="20">
        <f>ROUND(Q461 + IF(AND(E462=12, F462&lt;&gt;"ASTM A416"), L462, 0), 3)</f>
        <v/>
      </c>
      <c r="R462" s="20">
        <f>ROUND(R461 + IF(AND(E462=14, F462&lt;&gt;"ASTM A416"), L462, 0), 3)</f>
        <v/>
      </c>
      <c r="S462" s="20">
        <f>ROUND(S461 + IF(AND(E462=16, F462&lt;&gt;"ASTM A416"), L462, 0), 3)</f>
        <v/>
      </c>
      <c r="T462" s="20">
        <f>ROUND(T461 + IF(AND(E462=18, F462&lt;&gt;"ASTM A416"), L462, 0), 3)</f>
        <v/>
      </c>
      <c r="U462" s="20">
        <f>ROUND(U461 + IF(AND(E462=20, F462&lt;&gt;"ASTM A416"), L462, 0), 3)</f>
        <v/>
      </c>
      <c r="V462" s="20">
        <f>ROUND(V461 + IF(AND(E462=22, F462&lt;&gt;"ASTM A416"), L462, 0), 3)</f>
        <v/>
      </c>
      <c r="W462" s="20">
        <f>ROUND(W461 + IF(AND(E462=25, F462&lt;&gt;"ASTM A416"), L462, 0), 3)</f>
        <v/>
      </c>
      <c r="X462" s="20">
        <f>ROUND(X461 + IF(AND(E462=28, F462&lt;&gt;"ASTM A416"), L462, 0), 3)</f>
        <v/>
      </c>
      <c r="Y462" s="20">
        <f>ROUND(Y461 + IF(AND(E462=32, F462&lt;&gt;"ASTM A416"), L462, 0), 3)</f>
        <v/>
      </c>
      <c r="Z462" s="20">
        <f>ROUND(Z461 + IF(F462="ASTM A416", L462, 0), 3)</f>
        <v/>
      </c>
      <c r="AA462" s="11">
        <f>IF(INT(P462/20)&gt;INT(P461/20), "Lần " &amp; INT(P462/20), "")</f>
        <v/>
      </c>
      <c r="AB462" s="11">
        <f>IF(INT(Q462/20)&gt;INT(Q461/20), "Lần " &amp; INT(Q462/20), "")</f>
        <v/>
      </c>
      <c r="AC462" s="11">
        <f>IF(INT(R462/20)&gt;INT(R461/20), "Lần " &amp; INT(R462/20), "")</f>
        <v/>
      </c>
      <c r="AD462" s="11">
        <f>IF(INT(S462/20)&gt;INT(S461/20), "Lần " &amp; INT(S462/20), "")</f>
        <v/>
      </c>
      <c r="AE462" s="11">
        <f>IF(INT(T462/20)&gt;INT(T461/20), "Lần " &amp; INT(T462/20), "")</f>
        <v/>
      </c>
      <c r="AF462" s="11">
        <f>IF(INT(U462/20)&gt;INT(U461/20), "Lần " &amp; INT(U462/20), "")</f>
        <v/>
      </c>
      <c r="AG462" s="11">
        <f>IF(INT(V462/20)&gt;INT(V461/20), "Lần " &amp; INT(V462/20), "")</f>
        <v/>
      </c>
      <c r="AH462" s="11">
        <f>IF(INT(W462/20)&gt;INT(W461/20), "Lần " &amp; INT(W462/20), "")</f>
        <v/>
      </c>
      <c r="AI462" s="11">
        <f>IF(INT(X462/20)&gt;INT(X461/20), "Lần " &amp; INT(X462/20), "")</f>
        <v/>
      </c>
      <c r="AJ462" s="11">
        <f>IF(INT(Y462/20)&gt;INT(Y461/20), "Lần " &amp; INT(Y462/20), "")</f>
        <v/>
      </c>
      <c r="AK462" s="11">
        <f>IF(INT(Z462/20)&gt;INT(Z461/20), "Lần " &amp; INT(Z462/20), "")</f>
        <v/>
      </c>
      <c r="AL462" s="6" t="inlineStr">
        <is>
          <t>ĐẠT TCVN 1651:2018</t>
        </is>
      </c>
    </row>
    <row r="463" ht="19" customHeight="1">
      <c r="A463" s="6" t="n">
        <v>432</v>
      </c>
      <c r="B463" s="7" t="inlineStr">
        <is>
          <t>Mố M1</t>
        </is>
      </c>
      <c r="C463" s="7" t="inlineStr">
        <is>
          <t>Thân mố / Bệ mố</t>
        </is>
      </c>
      <c r="D463" s="18" t="inlineStr">
        <is>
          <t>H1</t>
        </is>
      </c>
      <c r="E463" s="19" t="n">
        <v>25</v>
      </c>
      <c r="F463" s="6" t="inlineStr">
        <is>
          <t>CB400-V</t>
        </is>
      </c>
      <c r="G463" s="7" t="inlineStr">
        <is>
          <t>S05</t>
        </is>
      </c>
      <c r="H463" s="20" t="n">
        <v>1.07</v>
      </c>
      <c r="I463" s="21" t="n">
        <v>23</v>
      </c>
      <c r="J463" s="22" t="n">
        <v>3.85</v>
      </c>
      <c r="K463" s="9">
        <f>ROUND(H463*I463*J463, 2)</f>
        <v/>
      </c>
      <c r="L463" s="23">
        <f>ROUND(K463/1000, 3)</f>
        <v/>
      </c>
      <c r="M463" s="8" t="n"/>
      <c r="N463" s="6" t="n"/>
      <c r="O463" s="24">
        <f>IF(AND(E463&lt;=10, F463&lt;&gt;"ASTM A416", INT(P463/20)&gt;INT(P462/20)), "TN Ø10 (Lần " &amp; INT(P463/20) &amp; ")", IF(AND(E463=12, INT(Q463/20)&gt;INT(Q462/20)), "TN Ø12 (Lần " &amp; INT(Q463/20) &amp; ")", IF(AND(E463=14, INT(R463/20)&gt;INT(R462/20)), "TN Ø14 (Lần " &amp; INT(R463/20) &amp; ")", IF(AND(E463=16, INT(S463/20)&gt;INT(S462/20)), "TN Ø16 (Lần " &amp; INT(S463/20) &amp; ")", IF(AND(E463=18, INT(T463/20)&gt;INT(T462/20)), "TN Ø18 (Lần " &amp; INT(T463/20) &amp; ")", IF(AND(E463=20, INT(U463/20)&gt;INT(U462/20)), "TN Ø20 (Lần " &amp; INT(U463/20) &amp; ")", IF(AND(E463=22, INT(V463/20)&gt;INT(V462/20)), "TN Ø22 (Lần " &amp; INT(V463/20) &amp; ")", IF(AND(E463=25, INT(W463/20)&gt;INT(W462/20)), "TN Ø25 (Lần " &amp; INT(W463/20) &amp; ")", IF(AND(E463=28, INT(X463/20)&gt;INT(X462/20)), "TN Ø28 (Lần " &amp; INT(X463/20) &amp; ")", IF(AND(E463=32, INT(Y463/20)&gt;INT(Y462/20)), "TN Ø32 (Lần " &amp; INT(Y463/20) &amp; ")", IF(AND(F463="ASTM A416", INT(Z463/20)&gt;INT(Z462/20)), "TN Cáp 15.2 (Lần " &amp; INT(Z463/20) &amp; ")", "")))))))))))</f>
        <v/>
      </c>
      <c r="P463" s="20">
        <f>ROUND(P462 + IF(AND(E463&lt;=10, F463&lt;&gt;"ASTM A416"), L463, 0), 3)</f>
        <v/>
      </c>
      <c r="Q463" s="20">
        <f>ROUND(Q462 + IF(AND(E463=12, F463&lt;&gt;"ASTM A416"), L463, 0), 3)</f>
        <v/>
      </c>
      <c r="R463" s="20">
        <f>ROUND(R462 + IF(AND(E463=14, F463&lt;&gt;"ASTM A416"), L463, 0), 3)</f>
        <v/>
      </c>
      <c r="S463" s="20">
        <f>ROUND(S462 + IF(AND(E463=16, F463&lt;&gt;"ASTM A416"), L463, 0), 3)</f>
        <v/>
      </c>
      <c r="T463" s="20">
        <f>ROUND(T462 + IF(AND(E463=18, F463&lt;&gt;"ASTM A416"), L463, 0), 3)</f>
        <v/>
      </c>
      <c r="U463" s="20">
        <f>ROUND(U462 + IF(AND(E463=20, F463&lt;&gt;"ASTM A416"), L463, 0), 3)</f>
        <v/>
      </c>
      <c r="V463" s="20">
        <f>ROUND(V462 + IF(AND(E463=22, F463&lt;&gt;"ASTM A416"), L463, 0), 3)</f>
        <v/>
      </c>
      <c r="W463" s="20">
        <f>ROUND(W462 + IF(AND(E463=25, F463&lt;&gt;"ASTM A416"), L463, 0), 3)</f>
        <v/>
      </c>
      <c r="X463" s="20">
        <f>ROUND(X462 + IF(AND(E463=28, F463&lt;&gt;"ASTM A416"), L463, 0), 3)</f>
        <v/>
      </c>
      <c r="Y463" s="20">
        <f>ROUND(Y462 + IF(AND(E463=32, F463&lt;&gt;"ASTM A416"), L463, 0), 3)</f>
        <v/>
      </c>
      <c r="Z463" s="20">
        <f>ROUND(Z462 + IF(F463="ASTM A416", L463, 0), 3)</f>
        <v/>
      </c>
      <c r="AA463" s="11">
        <f>IF(INT(P463/20)&gt;INT(P462/20), "Lần " &amp; INT(P463/20), "")</f>
        <v/>
      </c>
      <c r="AB463" s="11">
        <f>IF(INT(Q463/20)&gt;INT(Q462/20), "Lần " &amp; INT(Q463/20), "")</f>
        <v/>
      </c>
      <c r="AC463" s="11">
        <f>IF(INT(R463/20)&gt;INT(R462/20), "Lần " &amp; INT(R463/20), "")</f>
        <v/>
      </c>
      <c r="AD463" s="11">
        <f>IF(INT(S463/20)&gt;INT(S462/20), "Lần " &amp; INT(S463/20), "")</f>
        <v/>
      </c>
      <c r="AE463" s="11">
        <f>IF(INT(T463/20)&gt;INT(T462/20), "Lần " &amp; INT(T463/20), "")</f>
        <v/>
      </c>
      <c r="AF463" s="11">
        <f>IF(INT(U463/20)&gt;INT(U462/20), "Lần " &amp; INT(U463/20), "")</f>
        <v/>
      </c>
      <c r="AG463" s="11">
        <f>IF(INT(V463/20)&gt;INT(V462/20), "Lần " &amp; INT(V463/20), "")</f>
        <v/>
      </c>
      <c r="AH463" s="11">
        <f>IF(INT(W463/20)&gt;INT(W462/20), "Lần " &amp; INT(W463/20), "")</f>
        <v/>
      </c>
      <c r="AI463" s="11">
        <f>IF(INT(X463/20)&gt;INT(X462/20), "Lần " &amp; INT(X463/20), "")</f>
        <v/>
      </c>
      <c r="AJ463" s="11">
        <f>IF(INT(Y463/20)&gt;INT(Y462/20), "Lần " &amp; INT(Y463/20), "")</f>
        <v/>
      </c>
      <c r="AK463" s="11">
        <f>IF(INT(Z463/20)&gt;INT(Z462/20), "Lần " &amp; INT(Z463/20), "")</f>
        <v/>
      </c>
      <c r="AL463" s="6" t="inlineStr">
        <is>
          <t>ĐẠT TCVN 1651:2018</t>
        </is>
      </c>
    </row>
    <row r="464" ht="19" customHeight="1">
      <c r="A464" s="6" t="n">
        <v>433</v>
      </c>
      <c r="B464" s="7" t="inlineStr">
        <is>
          <t>Mố M1</t>
        </is>
      </c>
      <c r="C464" s="7" t="inlineStr">
        <is>
          <t>Thân mố / Bệ mố</t>
        </is>
      </c>
      <c r="D464" s="18" t="inlineStr">
        <is>
          <t>H2</t>
        </is>
      </c>
      <c r="E464" s="19" t="n">
        <v>8</v>
      </c>
      <c r="F464" s="6" t="inlineStr">
        <is>
          <t>CB240-T</t>
        </is>
      </c>
      <c r="G464" s="7" t="inlineStr">
        <is>
          <t>S32</t>
        </is>
      </c>
      <c r="H464" s="20" t="n">
        <v>2.132</v>
      </c>
      <c r="I464" s="21" t="n">
        <v>23</v>
      </c>
      <c r="J464" s="22" t="n">
        <v>0.395</v>
      </c>
      <c r="K464" s="9">
        <f>ROUND(H464*I464*J464, 2)</f>
        <v/>
      </c>
      <c r="L464" s="23">
        <f>ROUND(K464/1000, 3)</f>
        <v/>
      </c>
      <c r="M464" s="8" t="n"/>
      <c r="N464" s="6" t="n"/>
      <c r="O464" s="24">
        <f>IF(AND(E464&lt;=10, F464&lt;&gt;"ASTM A416", INT(P464/20)&gt;INT(P463/20)), "TN Ø10 (Lần " &amp; INT(P464/20) &amp; ")", IF(AND(E464=12, INT(Q464/20)&gt;INT(Q463/20)), "TN Ø12 (Lần " &amp; INT(Q464/20) &amp; ")", IF(AND(E464=14, INT(R464/20)&gt;INT(R463/20)), "TN Ø14 (Lần " &amp; INT(R464/20) &amp; ")", IF(AND(E464=16, INT(S464/20)&gt;INT(S463/20)), "TN Ø16 (Lần " &amp; INT(S464/20) &amp; ")", IF(AND(E464=18, INT(T464/20)&gt;INT(T463/20)), "TN Ø18 (Lần " &amp; INT(T464/20) &amp; ")", IF(AND(E464=20, INT(U464/20)&gt;INT(U463/20)), "TN Ø20 (Lần " &amp; INT(U464/20) &amp; ")", IF(AND(E464=22, INT(V464/20)&gt;INT(V463/20)), "TN Ø22 (Lần " &amp; INT(V464/20) &amp; ")", IF(AND(E464=25, INT(W464/20)&gt;INT(W463/20)), "TN Ø25 (Lần " &amp; INT(W464/20) &amp; ")", IF(AND(E464=28, INT(X464/20)&gt;INT(X463/20)), "TN Ø28 (Lần " &amp; INT(X464/20) &amp; ")", IF(AND(E464=32, INT(Y464/20)&gt;INT(Y463/20)), "TN Ø32 (Lần " &amp; INT(Y464/20) &amp; ")", IF(AND(F464="ASTM A416", INT(Z464/20)&gt;INT(Z463/20)), "TN Cáp 15.2 (Lần " &amp; INT(Z464/20) &amp; ")", "")))))))))))</f>
        <v/>
      </c>
      <c r="P464" s="20">
        <f>ROUND(P463 + IF(AND(E464&lt;=10, F464&lt;&gt;"ASTM A416"), L464, 0), 3)</f>
        <v/>
      </c>
      <c r="Q464" s="20">
        <f>ROUND(Q463 + IF(AND(E464=12, F464&lt;&gt;"ASTM A416"), L464, 0), 3)</f>
        <v/>
      </c>
      <c r="R464" s="20">
        <f>ROUND(R463 + IF(AND(E464=14, F464&lt;&gt;"ASTM A416"), L464, 0), 3)</f>
        <v/>
      </c>
      <c r="S464" s="20">
        <f>ROUND(S463 + IF(AND(E464=16, F464&lt;&gt;"ASTM A416"), L464, 0), 3)</f>
        <v/>
      </c>
      <c r="T464" s="20">
        <f>ROUND(T463 + IF(AND(E464=18, F464&lt;&gt;"ASTM A416"), L464, 0), 3)</f>
        <v/>
      </c>
      <c r="U464" s="20">
        <f>ROUND(U463 + IF(AND(E464=20, F464&lt;&gt;"ASTM A416"), L464, 0), 3)</f>
        <v/>
      </c>
      <c r="V464" s="20">
        <f>ROUND(V463 + IF(AND(E464=22, F464&lt;&gt;"ASTM A416"), L464, 0), 3)</f>
        <v/>
      </c>
      <c r="W464" s="20">
        <f>ROUND(W463 + IF(AND(E464=25, F464&lt;&gt;"ASTM A416"), L464, 0), 3)</f>
        <v/>
      </c>
      <c r="X464" s="20">
        <f>ROUND(X463 + IF(AND(E464=28, F464&lt;&gt;"ASTM A416"), L464, 0), 3)</f>
        <v/>
      </c>
      <c r="Y464" s="20">
        <f>ROUND(Y463 + IF(AND(E464=32, F464&lt;&gt;"ASTM A416"), L464, 0), 3)</f>
        <v/>
      </c>
      <c r="Z464" s="20">
        <f>ROUND(Z463 + IF(F464="ASTM A416", L464, 0), 3)</f>
        <v/>
      </c>
      <c r="AA464" s="11">
        <f>IF(INT(P464/20)&gt;INT(P463/20), "Lần " &amp; INT(P464/20), "")</f>
        <v/>
      </c>
      <c r="AB464" s="11">
        <f>IF(INT(Q464/20)&gt;INT(Q463/20), "Lần " &amp; INT(Q464/20), "")</f>
        <v/>
      </c>
      <c r="AC464" s="11">
        <f>IF(INT(R464/20)&gt;INT(R463/20), "Lần " &amp; INT(R464/20), "")</f>
        <v/>
      </c>
      <c r="AD464" s="11">
        <f>IF(INT(S464/20)&gt;INT(S463/20), "Lần " &amp; INT(S464/20), "")</f>
        <v/>
      </c>
      <c r="AE464" s="11">
        <f>IF(INT(T464/20)&gt;INT(T463/20), "Lần " &amp; INT(T464/20), "")</f>
        <v/>
      </c>
      <c r="AF464" s="11">
        <f>IF(INT(U464/20)&gt;INT(U463/20), "Lần " &amp; INT(U464/20), "")</f>
        <v/>
      </c>
      <c r="AG464" s="11">
        <f>IF(INT(V464/20)&gt;INT(V463/20), "Lần " &amp; INT(V464/20), "")</f>
        <v/>
      </c>
      <c r="AH464" s="11">
        <f>IF(INT(W464/20)&gt;INT(W463/20), "Lần " &amp; INT(W464/20), "")</f>
        <v/>
      </c>
      <c r="AI464" s="11">
        <f>IF(INT(X464/20)&gt;INT(X463/20), "Lần " &amp; INT(X464/20), "")</f>
        <v/>
      </c>
      <c r="AJ464" s="11">
        <f>IF(INT(Y464/20)&gt;INT(Y463/20), "Lần " &amp; INT(Y464/20), "")</f>
        <v/>
      </c>
      <c r="AK464" s="11">
        <f>IF(INT(Z464/20)&gt;INT(Z463/20), "Lần " &amp; INT(Z464/20), "")</f>
        <v/>
      </c>
      <c r="AL464" s="6" t="inlineStr">
        <is>
          <t>ĐẠT TCVN 1651:2018</t>
        </is>
      </c>
    </row>
    <row r="465" ht="19" customHeight="1">
      <c r="A465" s="6" t="n">
        <v>434</v>
      </c>
      <c r="B465" s="7" t="inlineStr">
        <is>
          <t>Mố M1</t>
        </is>
      </c>
      <c r="C465" s="7" t="inlineStr">
        <is>
          <t>TƯỜNG CÁNH PHẢI</t>
        </is>
      </c>
      <c r="D465" s="18" t="inlineStr">
        <is>
          <t>W1A(P)</t>
        </is>
      </c>
      <c r="E465" s="19" t="n">
        <v>16</v>
      </c>
      <c r="F465" s="6" t="inlineStr">
        <is>
          <t>CB400-V</t>
        </is>
      </c>
      <c r="G465" s="7" t="inlineStr">
        <is>
          <t>S06</t>
        </is>
      </c>
      <c r="H465" s="20" t="n">
        <v>7.322</v>
      </c>
      <c r="I465" s="21" t="n">
        <v>23</v>
      </c>
      <c r="J465" s="22" t="n">
        <v>1.58</v>
      </c>
      <c r="K465" s="9">
        <f>ROUND(H465*I465*J465, 2)</f>
        <v/>
      </c>
      <c r="L465" s="23">
        <f>ROUND(K465/1000, 3)</f>
        <v/>
      </c>
      <c r="M465" s="8" t="n"/>
      <c r="N465" s="6" t="n"/>
      <c r="O465" s="24">
        <f>IF(AND(E465&lt;=10, F465&lt;&gt;"ASTM A416", INT(P465/20)&gt;INT(P464/20)), "TN Ø10 (Lần " &amp; INT(P465/20) &amp; ")", IF(AND(E465=12, INT(Q465/20)&gt;INT(Q464/20)), "TN Ø12 (Lần " &amp; INT(Q465/20) &amp; ")", IF(AND(E465=14, INT(R465/20)&gt;INT(R464/20)), "TN Ø14 (Lần " &amp; INT(R465/20) &amp; ")", IF(AND(E465=16, INT(S465/20)&gt;INT(S464/20)), "TN Ø16 (Lần " &amp; INT(S465/20) &amp; ")", IF(AND(E465=18, INT(T465/20)&gt;INT(T464/20)), "TN Ø18 (Lần " &amp; INT(T465/20) &amp; ")", IF(AND(E465=20, INT(U465/20)&gt;INT(U464/20)), "TN Ø20 (Lần " &amp; INT(U465/20) &amp; ")", IF(AND(E465=22, INT(V465/20)&gt;INT(V464/20)), "TN Ø22 (Lần " &amp; INT(V465/20) &amp; ")", IF(AND(E465=25, INT(W465/20)&gt;INT(W464/20)), "TN Ø25 (Lần " &amp; INT(W465/20) &amp; ")", IF(AND(E465=28, INT(X465/20)&gt;INT(X464/20)), "TN Ø28 (Lần " &amp; INT(X465/20) &amp; ")", IF(AND(E465=32, INT(Y465/20)&gt;INT(Y464/20)), "TN Ø32 (Lần " &amp; INT(Y465/20) &amp; ")", IF(AND(F465="ASTM A416", INT(Z465/20)&gt;INT(Z464/20)), "TN Cáp 15.2 (Lần " &amp; INT(Z465/20) &amp; ")", "")))))))))))</f>
        <v/>
      </c>
      <c r="P465" s="20">
        <f>ROUND(P464 + IF(AND(E465&lt;=10, F465&lt;&gt;"ASTM A416"), L465, 0), 3)</f>
        <v/>
      </c>
      <c r="Q465" s="20">
        <f>ROUND(Q464 + IF(AND(E465=12, F465&lt;&gt;"ASTM A416"), L465, 0), 3)</f>
        <v/>
      </c>
      <c r="R465" s="20">
        <f>ROUND(R464 + IF(AND(E465=14, F465&lt;&gt;"ASTM A416"), L465, 0), 3)</f>
        <v/>
      </c>
      <c r="S465" s="20">
        <f>ROUND(S464 + IF(AND(E465=16, F465&lt;&gt;"ASTM A416"), L465, 0), 3)</f>
        <v/>
      </c>
      <c r="T465" s="20">
        <f>ROUND(T464 + IF(AND(E465=18, F465&lt;&gt;"ASTM A416"), L465, 0), 3)</f>
        <v/>
      </c>
      <c r="U465" s="20">
        <f>ROUND(U464 + IF(AND(E465=20, F465&lt;&gt;"ASTM A416"), L465, 0), 3)</f>
        <v/>
      </c>
      <c r="V465" s="20">
        <f>ROUND(V464 + IF(AND(E465=22, F465&lt;&gt;"ASTM A416"), L465, 0), 3)</f>
        <v/>
      </c>
      <c r="W465" s="20">
        <f>ROUND(W464 + IF(AND(E465=25, F465&lt;&gt;"ASTM A416"), L465, 0), 3)</f>
        <v/>
      </c>
      <c r="X465" s="20">
        <f>ROUND(X464 + IF(AND(E465=28, F465&lt;&gt;"ASTM A416"), L465, 0), 3)</f>
        <v/>
      </c>
      <c r="Y465" s="20">
        <f>ROUND(Y464 + IF(AND(E465=32, F465&lt;&gt;"ASTM A416"), L465, 0), 3)</f>
        <v/>
      </c>
      <c r="Z465" s="20">
        <f>ROUND(Z464 + IF(F465="ASTM A416", L465, 0), 3)</f>
        <v/>
      </c>
      <c r="AA465" s="11">
        <f>IF(INT(P465/20)&gt;INT(P464/20), "Lần " &amp; INT(P465/20), "")</f>
        <v/>
      </c>
      <c r="AB465" s="11">
        <f>IF(INT(Q465/20)&gt;INT(Q464/20), "Lần " &amp; INT(Q465/20), "")</f>
        <v/>
      </c>
      <c r="AC465" s="11">
        <f>IF(INT(R465/20)&gt;INT(R464/20), "Lần " &amp; INT(R465/20), "")</f>
        <v/>
      </c>
      <c r="AD465" s="11">
        <f>IF(INT(S465/20)&gt;INT(S464/20), "Lần " &amp; INT(S465/20), "")</f>
        <v/>
      </c>
      <c r="AE465" s="11">
        <f>IF(INT(T465/20)&gt;INT(T464/20), "Lần " &amp; INT(T465/20), "")</f>
        <v/>
      </c>
      <c r="AF465" s="11">
        <f>IF(INT(U465/20)&gt;INT(U464/20), "Lần " &amp; INT(U465/20), "")</f>
        <v/>
      </c>
      <c r="AG465" s="11">
        <f>IF(INT(V465/20)&gt;INT(V464/20), "Lần " &amp; INT(V465/20), "")</f>
        <v/>
      </c>
      <c r="AH465" s="11">
        <f>IF(INT(W465/20)&gt;INT(W464/20), "Lần " &amp; INT(W465/20), "")</f>
        <v/>
      </c>
      <c r="AI465" s="11">
        <f>IF(INT(X465/20)&gt;INT(X464/20), "Lần " &amp; INT(X465/20), "")</f>
        <v/>
      </c>
      <c r="AJ465" s="11">
        <f>IF(INT(Y465/20)&gt;INT(Y464/20), "Lần " &amp; INT(Y465/20), "")</f>
        <v/>
      </c>
      <c r="AK465" s="11">
        <f>IF(INT(Z465/20)&gt;INT(Z464/20), "Lần " &amp; INT(Z465/20), "")</f>
        <v/>
      </c>
      <c r="AL465" s="6" t="inlineStr">
        <is>
          <t>ĐẠT TCVN 1651:2018</t>
        </is>
      </c>
    </row>
    <row r="466" ht="19" customHeight="1">
      <c r="A466" s="6" t="n">
        <v>435</v>
      </c>
      <c r="B466" s="7" t="inlineStr">
        <is>
          <t>Mố M1</t>
        </is>
      </c>
      <c r="C466" s="7" t="inlineStr">
        <is>
          <t>Thân mố / Bệ mố</t>
        </is>
      </c>
      <c r="D466" s="18" t="inlineStr">
        <is>
          <t>W1B(P)</t>
        </is>
      </c>
      <c r="E466" s="19" t="n">
        <v>16</v>
      </c>
      <c r="F466" s="6" t="inlineStr">
        <is>
          <t>CB400-V</t>
        </is>
      </c>
      <c r="G466" s="7" t="inlineStr">
        <is>
          <t>S06</t>
        </is>
      </c>
      <c r="H466" s="20" t="n">
        <v>2.793</v>
      </c>
      <c r="I466" s="21" t="n">
        <v>17</v>
      </c>
      <c r="J466" s="22" t="n">
        <v>1.58</v>
      </c>
      <c r="K466" s="9">
        <f>ROUND(H466*I466*J466, 2)</f>
        <v/>
      </c>
      <c r="L466" s="23">
        <f>ROUND(K466/1000, 3)</f>
        <v/>
      </c>
      <c r="M466" s="8" t="n"/>
      <c r="N466" s="6" t="n"/>
      <c r="O466" s="24">
        <f>IF(AND(E466&lt;=10, F466&lt;&gt;"ASTM A416", INT(P466/20)&gt;INT(P465/20)), "TN Ø10 (Lần " &amp; INT(P466/20) &amp; ")", IF(AND(E466=12, INT(Q466/20)&gt;INT(Q465/20)), "TN Ø12 (Lần " &amp; INT(Q466/20) &amp; ")", IF(AND(E466=14, INT(R466/20)&gt;INT(R465/20)), "TN Ø14 (Lần " &amp; INT(R466/20) &amp; ")", IF(AND(E466=16, INT(S466/20)&gt;INT(S465/20)), "TN Ø16 (Lần " &amp; INT(S466/20) &amp; ")", IF(AND(E466=18, INT(T466/20)&gt;INT(T465/20)), "TN Ø18 (Lần " &amp; INT(T466/20) &amp; ")", IF(AND(E466=20, INT(U466/20)&gt;INT(U465/20)), "TN Ø20 (Lần " &amp; INT(U466/20) &amp; ")", IF(AND(E466=22, INT(V466/20)&gt;INT(V465/20)), "TN Ø22 (Lần " &amp; INT(V466/20) &amp; ")", IF(AND(E466=25, INT(W466/20)&gt;INT(W465/20)), "TN Ø25 (Lần " &amp; INT(W466/20) &amp; ")", IF(AND(E466=28, INT(X466/20)&gt;INT(X465/20)), "TN Ø28 (Lần " &amp; INT(X466/20) &amp; ")", IF(AND(E466=32, INT(Y466/20)&gt;INT(Y465/20)), "TN Ø32 (Lần " &amp; INT(Y466/20) &amp; ")", IF(AND(F466="ASTM A416", INT(Z466/20)&gt;INT(Z465/20)), "TN Cáp 15.2 (Lần " &amp; INT(Z466/20) &amp; ")", "")))))))))))</f>
        <v/>
      </c>
      <c r="P466" s="20">
        <f>ROUND(P465 + IF(AND(E466&lt;=10, F466&lt;&gt;"ASTM A416"), L466, 0), 3)</f>
        <v/>
      </c>
      <c r="Q466" s="20">
        <f>ROUND(Q465 + IF(AND(E466=12, F466&lt;&gt;"ASTM A416"), L466, 0), 3)</f>
        <v/>
      </c>
      <c r="R466" s="20">
        <f>ROUND(R465 + IF(AND(E466=14, F466&lt;&gt;"ASTM A416"), L466, 0), 3)</f>
        <v/>
      </c>
      <c r="S466" s="20">
        <f>ROUND(S465 + IF(AND(E466=16, F466&lt;&gt;"ASTM A416"), L466, 0), 3)</f>
        <v/>
      </c>
      <c r="T466" s="20">
        <f>ROUND(T465 + IF(AND(E466=18, F466&lt;&gt;"ASTM A416"), L466, 0), 3)</f>
        <v/>
      </c>
      <c r="U466" s="20">
        <f>ROUND(U465 + IF(AND(E466=20, F466&lt;&gt;"ASTM A416"), L466, 0), 3)</f>
        <v/>
      </c>
      <c r="V466" s="20">
        <f>ROUND(V465 + IF(AND(E466=22, F466&lt;&gt;"ASTM A416"), L466, 0), 3)</f>
        <v/>
      </c>
      <c r="W466" s="20">
        <f>ROUND(W465 + IF(AND(E466=25, F466&lt;&gt;"ASTM A416"), L466, 0), 3)</f>
        <v/>
      </c>
      <c r="X466" s="20">
        <f>ROUND(X465 + IF(AND(E466=28, F466&lt;&gt;"ASTM A416"), L466, 0), 3)</f>
        <v/>
      </c>
      <c r="Y466" s="20">
        <f>ROUND(Y465 + IF(AND(E466=32, F466&lt;&gt;"ASTM A416"), L466, 0), 3)</f>
        <v/>
      </c>
      <c r="Z466" s="20">
        <f>ROUND(Z465 + IF(F466="ASTM A416", L466, 0), 3)</f>
        <v/>
      </c>
      <c r="AA466" s="11">
        <f>IF(INT(P466/20)&gt;INT(P465/20), "Lần " &amp; INT(P466/20), "")</f>
        <v/>
      </c>
      <c r="AB466" s="11">
        <f>IF(INT(Q466/20)&gt;INT(Q465/20), "Lần " &amp; INT(Q466/20), "")</f>
        <v/>
      </c>
      <c r="AC466" s="11">
        <f>IF(INT(R466/20)&gt;INT(R465/20), "Lần " &amp; INT(R466/20), "")</f>
        <v/>
      </c>
      <c r="AD466" s="11">
        <f>IF(INT(S466/20)&gt;INT(S465/20), "Lần " &amp; INT(S466/20), "")</f>
        <v/>
      </c>
      <c r="AE466" s="11">
        <f>IF(INT(T466/20)&gt;INT(T465/20), "Lần " &amp; INT(T466/20), "")</f>
        <v/>
      </c>
      <c r="AF466" s="11">
        <f>IF(INT(U466/20)&gt;INT(U465/20), "Lần " &amp; INT(U466/20), "")</f>
        <v/>
      </c>
      <c r="AG466" s="11">
        <f>IF(INT(V466/20)&gt;INT(V465/20), "Lần " &amp; INT(V466/20), "")</f>
        <v/>
      </c>
      <c r="AH466" s="11">
        <f>IF(INT(W466/20)&gt;INT(W465/20), "Lần " &amp; INT(W466/20), "")</f>
        <v/>
      </c>
      <c r="AI466" s="11">
        <f>IF(INT(X466/20)&gt;INT(X465/20), "Lần " &amp; INT(X466/20), "")</f>
        <v/>
      </c>
      <c r="AJ466" s="11">
        <f>IF(INT(Y466/20)&gt;INT(Y465/20), "Lần " &amp; INT(Y466/20), "")</f>
        <v/>
      </c>
      <c r="AK466" s="11">
        <f>IF(INT(Z466/20)&gt;INT(Z465/20), "Lần " &amp; INT(Z466/20), "")</f>
        <v/>
      </c>
      <c r="AL466" s="6" t="inlineStr">
        <is>
          <t>ĐẠT TCVN 1651:2018</t>
        </is>
      </c>
    </row>
    <row r="467" ht="19" customHeight="1">
      <c r="A467" s="6" t="n">
        <v>436</v>
      </c>
      <c r="B467" s="7" t="inlineStr">
        <is>
          <t>Mố M1</t>
        </is>
      </c>
      <c r="C467" s="7" t="inlineStr">
        <is>
          <t>Thân mố / Bệ mố</t>
        </is>
      </c>
      <c r="D467" s="18" t="inlineStr">
        <is>
          <t>W2A(P)</t>
        </is>
      </c>
      <c r="E467" s="19" t="n">
        <v>22</v>
      </c>
      <c r="F467" s="6" t="inlineStr">
        <is>
          <t>CB400-V</t>
        </is>
      </c>
      <c r="G467" s="7" t="inlineStr">
        <is>
          <t>S06</t>
        </is>
      </c>
      <c r="H467" s="20" t="n">
        <v>7.479</v>
      </c>
      <c r="I467" s="21" t="n">
        <v>18</v>
      </c>
      <c r="J467" s="22" t="n">
        <v>2.98</v>
      </c>
      <c r="K467" s="9">
        <f>ROUND(H467*I467*J467, 2)</f>
        <v/>
      </c>
      <c r="L467" s="23">
        <f>ROUND(K467/1000, 3)</f>
        <v/>
      </c>
      <c r="M467" s="8" t="n"/>
      <c r="N467" s="6" t="n"/>
      <c r="O467" s="24">
        <f>IF(AND(E467&lt;=10, F467&lt;&gt;"ASTM A416", INT(P467/20)&gt;INT(P466/20)), "TN Ø10 (Lần " &amp; INT(P467/20) &amp; ")", IF(AND(E467=12, INT(Q467/20)&gt;INT(Q466/20)), "TN Ø12 (Lần " &amp; INT(Q467/20) &amp; ")", IF(AND(E467=14, INT(R467/20)&gt;INT(R466/20)), "TN Ø14 (Lần " &amp; INT(R467/20) &amp; ")", IF(AND(E467=16, INT(S467/20)&gt;INT(S466/20)), "TN Ø16 (Lần " &amp; INT(S467/20) &amp; ")", IF(AND(E467=18, INT(T467/20)&gt;INT(T466/20)), "TN Ø18 (Lần " &amp; INT(T467/20) &amp; ")", IF(AND(E467=20, INT(U467/20)&gt;INT(U466/20)), "TN Ø20 (Lần " &amp; INT(U467/20) &amp; ")", IF(AND(E467=22, INT(V467/20)&gt;INT(V466/20)), "TN Ø22 (Lần " &amp; INT(V467/20) &amp; ")", IF(AND(E467=25, INT(W467/20)&gt;INT(W466/20)), "TN Ø25 (Lần " &amp; INT(W467/20) &amp; ")", IF(AND(E467=28, INT(X467/20)&gt;INT(X466/20)), "TN Ø28 (Lần " &amp; INT(X467/20) &amp; ")", IF(AND(E467=32, INT(Y467/20)&gt;INT(Y466/20)), "TN Ø32 (Lần " &amp; INT(Y467/20) &amp; ")", IF(AND(F467="ASTM A416", INT(Z467/20)&gt;INT(Z466/20)), "TN Cáp 15.2 (Lần " &amp; INT(Z467/20) &amp; ")", "")))))))))))</f>
        <v/>
      </c>
      <c r="P467" s="20">
        <f>ROUND(P466 + IF(AND(E467&lt;=10, F467&lt;&gt;"ASTM A416"), L467, 0), 3)</f>
        <v/>
      </c>
      <c r="Q467" s="20">
        <f>ROUND(Q466 + IF(AND(E467=12, F467&lt;&gt;"ASTM A416"), L467, 0), 3)</f>
        <v/>
      </c>
      <c r="R467" s="20">
        <f>ROUND(R466 + IF(AND(E467=14, F467&lt;&gt;"ASTM A416"), L467, 0), 3)</f>
        <v/>
      </c>
      <c r="S467" s="20">
        <f>ROUND(S466 + IF(AND(E467=16, F467&lt;&gt;"ASTM A416"), L467, 0), 3)</f>
        <v/>
      </c>
      <c r="T467" s="20">
        <f>ROUND(T466 + IF(AND(E467=18, F467&lt;&gt;"ASTM A416"), L467, 0), 3)</f>
        <v/>
      </c>
      <c r="U467" s="20">
        <f>ROUND(U466 + IF(AND(E467=20, F467&lt;&gt;"ASTM A416"), L467, 0), 3)</f>
        <v/>
      </c>
      <c r="V467" s="20">
        <f>ROUND(V466 + IF(AND(E467=22, F467&lt;&gt;"ASTM A416"), L467, 0), 3)</f>
        <v/>
      </c>
      <c r="W467" s="20">
        <f>ROUND(W466 + IF(AND(E467=25, F467&lt;&gt;"ASTM A416"), L467, 0), 3)</f>
        <v/>
      </c>
      <c r="X467" s="20">
        <f>ROUND(X466 + IF(AND(E467=28, F467&lt;&gt;"ASTM A416"), L467, 0), 3)</f>
        <v/>
      </c>
      <c r="Y467" s="20">
        <f>ROUND(Y466 + IF(AND(E467=32, F467&lt;&gt;"ASTM A416"), L467, 0), 3)</f>
        <v/>
      </c>
      <c r="Z467" s="20">
        <f>ROUND(Z466 + IF(F467="ASTM A416", L467, 0), 3)</f>
        <v/>
      </c>
      <c r="AA467" s="11">
        <f>IF(INT(P467/20)&gt;INT(P466/20), "Lần " &amp; INT(P467/20), "")</f>
        <v/>
      </c>
      <c r="AB467" s="11">
        <f>IF(INT(Q467/20)&gt;INT(Q466/20), "Lần " &amp; INT(Q467/20), "")</f>
        <v/>
      </c>
      <c r="AC467" s="11">
        <f>IF(INT(R467/20)&gt;INT(R466/20), "Lần " &amp; INT(R467/20), "")</f>
        <v/>
      </c>
      <c r="AD467" s="11">
        <f>IF(INT(S467/20)&gt;INT(S466/20), "Lần " &amp; INT(S467/20), "")</f>
        <v/>
      </c>
      <c r="AE467" s="11">
        <f>IF(INT(T467/20)&gt;INT(T466/20), "Lần " &amp; INT(T467/20), "")</f>
        <v/>
      </c>
      <c r="AF467" s="11">
        <f>IF(INT(U467/20)&gt;INT(U466/20), "Lần " &amp; INT(U467/20), "")</f>
        <v/>
      </c>
      <c r="AG467" s="11">
        <f>IF(INT(V467/20)&gt;INT(V466/20), "Lần " &amp; INT(V467/20), "")</f>
        <v/>
      </c>
      <c r="AH467" s="11">
        <f>IF(INT(W467/20)&gt;INT(W466/20), "Lần " &amp; INT(W467/20), "")</f>
        <v/>
      </c>
      <c r="AI467" s="11">
        <f>IF(INT(X467/20)&gt;INT(X466/20), "Lần " &amp; INT(X467/20), "")</f>
        <v/>
      </c>
      <c r="AJ467" s="11">
        <f>IF(INT(Y467/20)&gt;INT(Y466/20), "Lần " &amp; INT(Y467/20), "")</f>
        <v/>
      </c>
      <c r="AK467" s="11">
        <f>IF(INT(Z467/20)&gt;INT(Z466/20), "Lần " &amp; INT(Z467/20), "")</f>
        <v/>
      </c>
      <c r="AL467" s="6" t="inlineStr">
        <is>
          <t>ĐẠT TCVN 1651:2018</t>
        </is>
      </c>
    </row>
    <row r="468" ht="19" customHeight="1">
      <c r="A468" s="6" t="n">
        <v>437</v>
      </c>
      <c r="B468" s="7" t="inlineStr">
        <is>
          <t>Mố M1</t>
        </is>
      </c>
      <c r="C468" s="7" t="inlineStr">
        <is>
          <t>Thân mố / Bệ mố</t>
        </is>
      </c>
      <c r="D468" s="18" t="inlineStr">
        <is>
          <t>W2B(P)</t>
        </is>
      </c>
      <c r="E468" s="19" t="n">
        <v>22</v>
      </c>
      <c r="F468" s="6" t="inlineStr">
        <is>
          <t>CB400-V</t>
        </is>
      </c>
      <c r="G468" s="7" t="inlineStr">
        <is>
          <t>S06</t>
        </is>
      </c>
      <c r="H468" s="20" t="n">
        <v>2.955</v>
      </c>
      <c r="I468" s="21" t="n">
        <v>17</v>
      </c>
      <c r="J468" s="22" t="n">
        <v>2.98</v>
      </c>
      <c r="K468" s="9">
        <f>ROUND(H468*I468*J468, 2)</f>
        <v/>
      </c>
      <c r="L468" s="23">
        <f>ROUND(K468/1000, 3)</f>
        <v/>
      </c>
      <c r="M468" s="8" t="n"/>
      <c r="N468" s="6" t="n"/>
      <c r="O468" s="24">
        <f>IF(AND(E468&lt;=10, F468&lt;&gt;"ASTM A416", INT(P468/20)&gt;INT(P467/20)), "TN Ø10 (Lần " &amp; INT(P468/20) &amp; ")", IF(AND(E468=12, INT(Q468/20)&gt;INT(Q467/20)), "TN Ø12 (Lần " &amp; INT(Q468/20) &amp; ")", IF(AND(E468=14, INT(R468/20)&gt;INT(R467/20)), "TN Ø14 (Lần " &amp; INT(R468/20) &amp; ")", IF(AND(E468=16, INT(S468/20)&gt;INT(S467/20)), "TN Ø16 (Lần " &amp; INT(S468/20) &amp; ")", IF(AND(E468=18, INT(T468/20)&gt;INT(T467/20)), "TN Ø18 (Lần " &amp; INT(T468/20) &amp; ")", IF(AND(E468=20, INT(U468/20)&gt;INT(U467/20)), "TN Ø20 (Lần " &amp; INT(U468/20) &amp; ")", IF(AND(E468=22, INT(V468/20)&gt;INT(V467/20)), "TN Ø22 (Lần " &amp; INT(V468/20) &amp; ")", IF(AND(E468=25, INT(W468/20)&gt;INT(W467/20)), "TN Ø25 (Lần " &amp; INT(W468/20) &amp; ")", IF(AND(E468=28, INT(X468/20)&gt;INT(X467/20)), "TN Ø28 (Lần " &amp; INT(X468/20) &amp; ")", IF(AND(E468=32, INT(Y468/20)&gt;INT(Y467/20)), "TN Ø32 (Lần " &amp; INT(Y468/20) &amp; ")", IF(AND(F468="ASTM A416", INT(Z468/20)&gt;INT(Z467/20)), "TN Cáp 15.2 (Lần " &amp; INT(Z468/20) &amp; ")", "")))))))))))</f>
        <v/>
      </c>
      <c r="P468" s="20">
        <f>ROUND(P467 + IF(AND(E468&lt;=10, F468&lt;&gt;"ASTM A416"), L468, 0), 3)</f>
        <v/>
      </c>
      <c r="Q468" s="20">
        <f>ROUND(Q467 + IF(AND(E468=12, F468&lt;&gt;"ASTM A416"), L468, 0), 3)</f>
        <v/>
      </c>
      <c r="R468" s="20">
        <f>ROUND(R467 + IF(AND(E468=14, F468&lt;&gt;"ASTM A416"), L468, 0), 3)</f>
        <v/>
      </c>
      <c r="S468" s="20">
        <f>ROUND(S467 + IF(AND(E468=16, F468&lt;&gt;"ASTM A416"), L468, 0), 3)</f>
        <v/>
      </c>
      <c r="T468" s="20">
        <f>ROUND(T467 + IF(AND(E468=18, F468&lt;&gt;"ASTM A416"), L468, 0), 3)</f>
        <v/>
      </c>
      <c r="U468" s="20">
        <f>ROUND(U467 + IF(AND(E468=20, F468&lt;&gt;"ASTM A416"), L468, 0), 3)</f>
        <v/>
      </c>
      <c r="V468" s="20">
        <f>ROUND(V467 + IF(AND(E468=22, F468&lt;&gt;"ASTM A416"), L468, 0), 3)</f>
        <v/>
      </c>
      <c r="W468" s="20">
        <f>ROUND(W467 + IF(AND(E468=25, F468&lt;&gt;"ASTM A416"), L468, 0), 3)</f>
        <v/>
      </c>
      <c r="X468" s="20">
        <f>ROUND(X467 + IF(AND(E468=28, F468&lt;&gt;"ASTM A416"), L468, 0), 3)</f>
        <v/>
      </c>
      <c r="Y468" s="20">
        <f>ROUND(Y467 + IF(AND(E468=32, F468&lt;&gt;"ASTM A416"), L468, 0), 3)</f>
        <v/>
      </c>
      <c r="Z468" s="20">
        <f>ROUND(Z467 + IF(F468="ASTM A416", L468, 0), 3)</f>
        <v/>
      </c>
      <c r="AA468" s="11">
        <f>IF(INT(P468/20)&gt;INT(P467/20), "Lần " &amp; INT(P468/20), "")</f>
        <v/>
      </c>
      <c r="AB468" s="11">
        <f>IF(INT(Q468/20)&gt;INT(Q467/20), "Lần " &amp; INT(Q468/20), "")</f>
        <v/>
      </c>
      <c r="AC468" s="11">
        <f>IF(INT(R468/20)&gt;INT(R467/20), "Lần " &amp; INT(R468/20), "")</f>
        <v/>
      </c>
      <c r="AD468" s="11">
        <f>IF(INT(S468/20)&gt;INT(S467/20), "Lần " &amp; INT(S468/20), "")</f>
        <v/>
      </c>
      <c r="AE468" s="11">
        <f>IF(INT(T468/20)&gt;INT(T467/20), "Lần " &amp; INT(T468/20), "")</f>
        <v/>
      </c>
      <c r="AF468" s="11">
        <f>IF(INT(U468/20)&gt;INT(U467/20), "Lần " &amp; INT(U468/20), "")</f>
        <v/>
      </c>
      <c r="AG468" s="11">
        <f>IF(INT(V468/20)&gt;INT(V467/20), "Lần " &amp; INT(V468/20), "")</f>
        <v/>
      </c>
      <c r="AH468" s="11">
        <f>IF(INT(W468/20)&gt;INT(W467/20), "Lần " &amp; INT(W468/20), "")</f>
        <v/>
      </c>
      <c r="AI468" s="11">
        <f>IF(INT(X468/20)&gt;INT(X467/20), "Lần " &amp; INT(X468/20), "")</f>
        <v/>
      </c>
      <c r="AJ468" s="11">
        <f>IF(INT(Y468/20)&gt;INT(Y467/20), "Lần " &amp; INT(Y468/20), "")</f>
        <v/>
      </c>
      <c r="AK468" s="11">
        <f>IF(INT(Z468/20)&gt;INT(Z467/20), "Lần " &amp; INT(Z468/20), "")</f>
        <v/>
      </c>
      <c r="AL468" s="6" t="inlineStr">
        <is>
          <t>ĐẠT TCVN 1651:2018</t>
        </is>
      </c>
    </row>
    <row r="469" ht="19" customHeight="1">
      <c r="A469" s="6" t="n">
        <v>438</v>
      </c>
      <c r="B469" s="7" t="inlineStr">
        <is>
          <t>Mố M1</t>
        </is>
      </c>
      <c r="C469" s="7" t="inlineStr">
        <is>
          <t>Thân mố / Bệ mố</t>
        </is>
      </c>
      <c r="D469" s="18" t="inlineStr">
        <is>
          <t>W3A(P)</t>
        </is>
      </c>
      <c r="E469" s="19" t="n">
        <v>16</v>
      </c>
      <c r="F469" s="6" t="inlineStr">
        <is>
          <t>CB400-V</t>
        </is>
      </c>
      <c r="G469" s="7" t="inlineStr">
        <is>
          <t>S06</t>
        </is>
      </c>
      <c r="H469" s="20" t="n">
        <v>4.832</v>
      </c>
      <c r="I469" s="21" t="n">
        <v>23</v>
      </c>
      <c r="J469" s="22" t="n">
        <v>1.58</v>
      </c>
      <c r="K469" s="9">
        <f>ROUND(H469*I469*J469, 2)</f>
        <v/>
      </c>
      <c r="L469" s="23">
        <f>ROUND(K469/1000, 3)</f>
        <v/>
      </c>
      <c r="M469" s="8" t="n"/>
      <c r="N469" s="6" t="n"/>
      <c r="O469" s="24">
        <f>IF(AND(E469&lt;=10, F469&lt;&gt;"ASTM A416", INT(P469/20)&gt;INT(P468/20)), "TN Ø10 (Lần " &amp; INT(P469/20) &amp; ")", IF(AND(E469=12, INT(Q469/20)&gt;INT(Q468/20)), "TN Ø12 (Lần " &amp; INT(Q469/20) &amp; ")", IF(AND(E469=14, INT(R469/20)&gt;INT(R468/20)), "TN Ø14 (Lần " &amp; INT(R469/20) &amp; ")", IF(AND(E469=16, INT(S469/20)&gt;INT(S468/20)), "TN Ø16 (Lần " &amp; INT(S469/20) &amp; ")", IF(AND(E469=18, INT(T469/20)&gt;INT(T468/20)), "TN Ø18 (Lần " &amp; INT(T469/20) &amp; ")", IF(AND(E469=20, INT(U469/20)&gt;INT(U468/20)), "TN Ø20 (Lần " &amp; INT(U469/20) &amp; ")", IF(AND(E469=22, INT(V469/20)&gt;INT(V468/20)), "TN Ø22 (Lần " &amp; INT(V469/20) &amp; ")", IF(AND(E469=25, INT(W469/20)&gt;INT(W468/20)), "TN Ø25 (Lần " &amp; INT(W469/20) &amp; ")", IF(AND(E469=28, INT(X469/20)&gt;INT(X468/20)), "TN Ø28 (Lần " &amp; INT(X469/20) &amp; ")", IF(AND(E469=32, INT(Y469/20)&gt;INT(Y468/20)), "TN Ø32 (Lần " &amp; INT(Y469/20) &amp; ")", IF(AND(F469="ASTM A416", INT(Z469/20)&gt;INT(Z468/20)), "TN Cáp 15.2 (Lần " &amp; INT(Z469/20) &amp; ")", "")))))))))))</f>
        <v/>
      </c>
      <c r="P469" s="20">
        <f>ROUND(P468 + IF(AND(E469&lt;=10, F469&lt;&gt;"ASTM A416"), L469, 0), 3)</f>
        <v/>
      </c>
      <c r="Q469" s="20">
        <f>ROUND(Q468 + IF(AND(E469=12, F469&lt;&gt;"ASTM A416"), L469, 0), 3)</f>
        <v/>
      </c>
      <c r="R469" s="20">
        <f>ROUND(R468 + IF(AND(E469=14, F469&lt;&gt;"ASTM A416"), L469, 0), 3)</f>
        <v/>
      </c>
      <c r="S469" s="20">
        <f>ROUND(S468 + IF(AND(E469=16, F469&lt;&gt;"ASTM A416"), L469, 0), 3)</f>
        <v/>
      </c>
      <c r="T469" s="20">
        <f>ROUND(T468 + IF(AND(E469=18, F469&lt;&gt;"ASTM A416"), L469, 0), 3)</f>
        <v/>
      </c>
      <c r="U469" s="20">
        <f>ROUND(U468 + IF(AND(E469=20, F469&lt;&gt;"ASTM A416"), L469, 0), 3)</f>
        <v/>
      </c>
      <c r="V469" s="20">
        <f>ROUND(V468 + IF(AND(E469=22, F469&lt;&gt;"ASTM A416"), L469, 0), 3)</f>
        <v/>
      </c>
      <c r="W469" s="20">
        <f>ROUND(W468 + IF(AND(E469=25, F469&lt;&gt;"ASTM A416"), L469, 0), 3)</f>
        <v/>
      </c>
      <c r="X469" s="20">
        <f>ROUND(X468 + IF(AND(E469=28, F469&lt;&gt;"ASTM A416"), L469, 0), 3)</f>
        <v/>
      </c>
      <c r="Y469" s="20">
        <f>ROUND(Y468 + IF(AND(E469=32, F469&lt;&gt;"ASTM A416"), L469, 0), 3)</f>
        <v/>
      </c>
      <c r="Z469" s="20">
        <f>ROUND(Z468 + IF(F469="ASTM A416", L469, 0), 3)</f>
        <v/>
      </c>
      <c r="AA469" s="11">
        <f>IF(INT(P469/20)&gt;INT(P468/20), "Lần " &amp; INT(P469/20), "")</f>
        <v/>
      </c>
      <c r="AB469" s="11">
        <f>IF(INT(Q469/20)&gt;INT(Q468/20), "Lần " &amp; INT(Q469/20), "")</f>
        <v/>
      </c>
      <c r="AC469" s="11">
        <f>IF(INT(R469/20)&gt;INT(R468/20), "Lần " &amp; INT(R469/20), "")</f>
        <v/>
      </c>
      <c r="AD469" s="11">
        <f>IF(INT(S469/20)&gt;INT(S468/20), "Lần " &amp; INT(S469/20), "")</f>
        <v/>
      </c>
      <c r="AE469" s="11">
        <f>IF(INT(T469/20)&gt;INT(T468/20), "Lần " &amp; INT(T469/20), "")</f>
        <v/>
      </c>
      <c r="AF469" s="11">
        <f>IF(INT(U469/20)&gt;INT(U468/20), "Lần " &amp; INT(U469/20), "")</f>
        <v/>
      </c>
      <c r="AG469" s="11">
        <f>IF(INT(V469/20)&gt;INT(V468/20), "Lần " &amp; INT(V469/20), "")</f>
        <v/>
      </c>
      <c r="AH469" s="11">
        <f>IF(INT(W469/20)&gt;INT(W468/20), "Lần " &amp; INT(W469/20), "")</f>
        <v/>
      </c>
      <c r="AI469" s="11">
        <f>IF(INT(X469/20)&gt;INT(X468/20), "Lần " &amp; INT(X469/20), "")</f>
        <v/>
      </c>
      <c r="AJ469" s="11">
        <f>IF(INT(Y469/20)&gt;INT(Y468/20), "Lần " &amp; INT(Y469/20), "")</f>
        <v/>
      </c>
      <c r="AK469" s="11">
        <f>IF(INT(Z469/20)&gt;INT(Z468/20), "Lần " &amp; INT(Z469/20), "")</f>
        <v/>
      </c>
      <c r="AL469" s="6" t="inlineStr">
        <is>
          <t>ĐẠT TCVN 1651:2018</t>
        </is>
      </c>
    </row>
    <row r="470" ht="19" customHeight="1">
      <c r="A470" s="6" t="n">
        <v>439</v>
      </c>
      <c r="B470" s="7" t="inlineStr">
        <is>
          <t>Mố M1</t>
        </is>
      </c>
      <c r="C470" s="7" t="inlineStr">
        <is>
          <t>Thân mố / Bệ mố</t>
        </is>
      </c>
      <c r="D470" s="18" t="inlineStr">
        <is>
          <t>W3B(P)</t>
        </is>
      </c>
      <c r="E470" s="19" t="n">
        <v>16</v>
      </c>
      <c r="F470" s="6" t="inlineStr">
        <is>
          <t>CB400-V</t>
        </is>
      </c>
      <c r="G470" s="7" t="inlineStr">
        <is>
          <t>S06</t>
        </is>
      </c>
      <c r="H470" s="20" t="n">
        <v>5.67</v>
      </c>
      <c r="I470" s="21" t="n">
        <v>11</v>
      </c>
      <c r="J470" s="22" t="n">
        <v>1.58</v>
      </c>
      <c r="K470" s="9">
        <f>ROUND(H470*I470*J470, 2)</f>
        <v/>
      </c>
      <c r="L470" s="23">
        <f>ROUND(K470/1000, 3)</f>
        <v/>
      </c>
      <c r="M470" s="8" t="n"/>
      <c r="N470" s="6" t="n"/>
      <c r="O470" s="24">
        <f>IF(AND(E470&lt;=10, F470&lt;&gt;"ASTM A416", INT(P470/20)&gt;INT(P469/20)), "TN Ø10 (Lần " &amp; INT(P470/20) &amp; ")", IF(AND(E470=12, INT(Q470/20)&gt;INT(Q469/20)), "TN Ø12 (Lần " &amp; INT(Q470/20) &amp; ")", IF(AND(E470=14, INT(R470/20)&gt;INT(R469/20)), "TN Ø14 (Lần " &amp; INT(R470/20) &amp; ")", IF(AND(E470=16, INT(S470/20)&gt;INT(S469/20)), "TN Ø16 (Lần " &amp; INT(S470/20) &amp; ")", IF(AND(E470=18, INT(T470/20)&gt;INT(T469/20)), "TN Ø18 (Lần " &amp; INT(T470/20) &amp; ")", IF(AND(E470=20, INT(U470/20)&gt;INT(U469/20)), "TN Ø20 (Lần " &amp; INT(U470/20) &amp; ")", IF(AND(E470=22, INT(V470/20)&gt;INT(V469/20)), "TN Ø22 (Lần " &amp; INT(V470/20) &amp; ")", IF(AND(E470=25, INT(W470/20)&gt;INT(W469/20)), "TN Ø25 (Lần " &amp; INT(W470/20) &amp; ")", IF(AND(E470=28, INT(X470/20)&gt;INT(X469/20)), "TN Ø28 (Lần " &amp; INT(X470/20) &amp; ")", IF(AND(E470=32, INT(Y470/20)&gt;INT(Y469/20)), "TN Ø32 (Lần " &amp; INT(Y470/20) &amp; ")", IF(AND(F470="ASTM A416", INT(Z470/20)&gt;INT(Z469/20)), "TN Cáp 15.2 (Lần " &amp; INT(Z470/20) &amp; ")", "")))))))))))</f>
        <v/>
      </c>
      <c r="P470" s="20">
        <f>ROUND(P469 + IF(AND(E470&lt;=10, F470&lt;&gt;"ASTM A416"), L470, 0), 3)</f>
        <v/>
      </c>
      <c r="Q470" s="20">
        <f>ROUND(Q469 + IF(AND(E470=12, F470&lt;&gt;"ASTM A416"), L470, 0), 3)</f>
        <v/>
      </c>
      <c r="R470" s="20">
        <f>ROUND(R469 + IF(AND(E470=14, F470&lt;&gt;"ASTM A416"), L470, 0), 3)</f>
        <v/>
      </c>
      <c r="S470" s="20">
        <f>ROUND(S469 + IF(AND(E470=16, F470&lt;&gt;"ASTM A416"), L470, 0), 3)</f>
        <v/>
      </c>
      <c r="T470" s="20">
        <f>ROUND(T469 + IF(AND(E470=18, F470&lt;&gt;"ASTM A416"), L470, 0), 3)</f>
        <v/>
      </c>
      <c r="U470" s="20">
        <f>ROUND(U469 + IF(AND(E470=20, F470&lt;&gt;"ASTM A416"), L470, 0), 3)</f>
        <v/>
      </c>
      <c r="V470" s="20">
        <f>ROUND(V469 + IF(AND(E470=22, F470&lt;&gt;"ASTM A416"), L470, 0), 3)</f>
        <v/>
      </c>
      <c r="W470" s="20">
        <f>ROUND(W469 + IF(AND(E470=25, F470&lt;&gt;"ASTM A416"), L470, 0), 3)</f>
        <v/>
      </c>
      <c r="X470" s="20">
        <f>ROUND(X469 + IF(AND(E470=28, F470&lt;&gt;"ASTM A416"), L470, 0), 3)</f>
        <v/>
      </c>
      <c r="Y470" s="20">
        <f>ROUND(Y469 + IF(AND(E470=32, F470&lt;&gt;"ASTM A416"), L470, 0), 3)</f>
        <v/>
      </c>
      <c r="Z470" s="20">
        <f>ROUND(Z469 + IF(F470="ASTM A416", L470, 0), 3)</f>
        <v/>
      </c>
      <c r="AA470" s="11">
        <f>IF(INT(P470/20)&gt;INT(P469/20), "Lần " &amp; INT(P470/20), "")</f>
        <v/>
      </c>
      <c r="AB470" s="11">
        <f>IF(INT(Q470/20)&gt;INT(Q469/20), "Lần " &amp; INT(Q470/20), "")</f>
        <v/>
      </c>
      <c r="AC470" s="11">
        <f>IF(INT(R470/20)&gt;INT(R469/20), "Lần " &amp; INT(R470/20), "")</f>
        <v/>
      </c>
      <c r="AD470" s="11">
        <f>IF(INT(S470/20)&gt;INT(S469/20), "Lần " &amp; INT(S470/20), "")</f>
        <v/>
      </c>
      <c r="AE470" s="11">
        <f>IF(INT(T470/20)&gt;INT(T469/20), "Lần " &amp; INT(T470/20), "")</f>
        <v/>
      </c>
      <c r="AF470" s="11">
        <f>IF(INT(U470/20)&gt;INT(U469/20), "Lần " &amp; INT(U470/20), "")</f>
        <v/>
      </c>
      <c r="AG470" s="11">
        <f>IF(INT(V470/20)&gt;INT(V469/20), "Lần " &amp; INT(V470/20), "")</f>
        <v/>
      </c>
      <c r="AH470" s="11">
        <f>IF(INT(W470/20)&gt;INT(W469/20), "Lần " &amp; INT(W470/20), "")</f>
        <v/>
      </c>
      <c r="AI470" s="11">
        <f>IF(INT(X470/20)&gt;INT(X469/20), "Lần " &amp; INT(X470/20), "")</f>
        <v/>
      </c>
      <c r="AJ470" s="11">
        <f>IF(INT(Y470/20)&gt;INT(Y469/20), "Lần " &amp; INT(Y470/20), "")</f>
        <v/>
      </c>
      <c r="AK470" s="11">
        <f>IF(INT(Z470/20)&gt;INT(Z469/20), "Lần " &amp; INT(Z470/20), "")</f>
        <v/>
      </c>
      <c r="AL470" s="6" t="inlineStr">
        <is>
          <t>ĐẠT TCVN 1651:2018</t>
        </is>
      </c>
    </row>
    <row r="471" ht="19" customHeight="1">
      <c r="A471" s="6" t="n">
        <v>440</v>
      </c>
      <c r="B471" s="7" t="inlineStr">
        <is>
          <t>Mố M1</t>
        </is>
      </c>
      <c r="C471" s="7" t="inlineStr">
        <is>
          <t>Thân mố / Bệ mố</t>
        </is>
      </c>
      <c r="D471" s="18" t="inlineStr">
        <is>
          <t>W3C(P)</t>
        </is>
      </c>
      <c r="E471" s="19" t="n">
        <v>16</v>
      </c>
      <c r="F471" s="6" t="inlineStr">
        <is>
          <t>CB400-V</t>
        </is>
      </c>
      <c r="G471" s="7" t="inlineStr">
        <is>
          <t>S06</t>
        </is>
      </c>
      <c r="H471" s="20" t="n">
        <v>5.945</v>
      </c>
      <c r="I471" s="21" t="n">
        <v>6</v>
      </c>
      <c r="J471" s="22" t="n">
        <v>1.58</v>
      </c>
      <c r="K471" s="9">
        <f>ROUND(H471*I471*J471, 2)</f>
        <v/>
      </c>
      <c r="L471" s="23">
        <f>ROUND(K471/1000, 3)</f>
        <v/>
      </c>
      <c r="M471" s="8" t="n"/>
      <c r="N471" s="6" t="n"/>
      <c r="O471" s="24">
        <f>IF(AND(E471&lt;=10, F471&lt;&gt;"ASTM A416", INT(P471/20)&gt;INT(P470/20)), "TN Ø10 (Lần " &amp; INT(P471/20) &amp; ")", IF(AND(E471=12, INT(Q471/20)&gt;INT(Q470/20)), "TN Ø12 (Lần " &amp; INT(Q471/20) &amp; ")", IF(AND(E471=14, INT(R471/20)&gt;INT(R470/20)), "TN Ø14 (Lần " &amp; INT(R471/20) &amp; ")", IF(AND(E471=16, INT(S471/20)&gt;INT(S470/20)), "TN Ø16 (Lần " &amp; INT(S471/20) &amp; ")", IF(AND(E471=18, INT(T471/20)&gt;INT(T470/20)), "TN Ø18 (Lần " &amp; INT(T471/20) &amp; ")", IF(AND(E471=20, INT(U471/20)&gt;INT(U470/20)), "TN Ø20 (Lần " &amp; INT(U471/20) &amp; ")", IF(AND(E471=22, INT(V471/20)&gt;INT(V470/20)), "TN Ø22 (Lần " &amp; INT(V471/20) &amp; ")", IF(AND(E471=25, INT(W471/20)&gt;INT(W470/20)), "TN Ø25 (Lần " &amp; INT(W471/20) &amp; ")", IF(AND(E471=28, INT(X471/20)&gt;INT(X470/20)), "TN Ø28 (Lần " &amp; INT(X471/20) &amp; ")", IF(AND(E471=32, INT(Y471/20)&gt;INT(Y470/20)), "TN Ø32 (Lần " &amp; INT(Y471/20) &amp; ")", IF(AND(F471="ASTM A416", INT(Z471/20)&gt;INT(Z470/20)), "TN Cáp 15.2 (Lần " &amp; INT(Z471/20) &amp; ")", "")))))))))))</f>
        <v/>
      </c>
      <c r="P471" s="20">
        <f>ROUND(P470 + IF(AND(E471&lt;=10, F471&lt;&gt;"ASTM A416"), L471, 0), 3)</f>
        <v/>
      </c>
      <c r="Q471" s="20">
        <f>ROUND(Q470 + IF(AND(E471=12, F471&lt;&gt;"ASTM A416"), L471, 0), 3)</f>
        <v/>
      </c>
      <c r="R471" s="20">
        <f>ROUND(R470 + IF(AND(E471=14, F471&lt;&gt;"ASTM A416"), L471, 0), 3)</f>
        <v/>
      </c>
      <c r="S471" s="20">
        <f>ROUND(S470 + IF(AND(E471=16, F471&lt;&gt;"ASTM A416"), L471, 0), 3)</f>
        <v/>
      </c>
      <c r="T471" s="20">
        <f>ROUND(T470 + IF(AND(E471=18, F471&lt;&gt;"ASTM A416"), L471, 0), 3)</f>
        <v/>
      </c>
      <c r="U471" s="20">
        <f>ROUND(U470 + IF(AND(E471=20, F471&lt;&gt;"ASTM A416"), L471, 0), 3)</f>
        <v/>
      </c>
      <c r="V471" s="20">
        <f>ROUND(V470 + IF(AND(E471=22, F471&lt;&gt;"ASTM A416"), L471, 0), 3)</f>
        <v/>
      </c>
      <c r="W471" s="20">
        <f>ROUND(W470 + IF(AND(E471=25, F471&lt;&gt;"ASTM A416"), L471, 0), 3)</f>
        <v/>
      </c>
      <c r="X471" s="20">
        <f>ROUND(X470 + IF(AND(E471=28, F471&lt;&gt;"ASTM A416"), L471, 0), 3)</f>
        <v/>
      </c>
      <c r="Y471" s="20">
        <f>ROUND(Y470 + IF(AND(E471=32, F471&lt;&gt;"ASTM A416"), L471, 0), 3)</f>
        <v/>
      </c>
      <c r="Z471" s="20">
        <f>ROUND(Z470 + IF(F471="ASTM A416", L471, 0), 3)</f>
        <v/>
      </c>
      <c r="AA471" s="11">
        <f>IF(INT(P471/20)&gt;INT(P470/20), "Lần " &amp; INT(P471/20), "")</f>
        <v/>
      </c>
      <c r="AB471" s="11">
        <f>IF(INT(Q471/20)&gt;INT(Q470/20), "Lần " &amp; INT(Q471/20), "")</f>
        <v/>
      </c>
      <c r="AC471" s="11">
        <f>IF(INT(R471/20)&gt;INT(R470/20), "Lần " &amp; INT(R471/20), "")</f>
        <v/>
      </c>
      <c r="AD471" s="11">
        <f>IF(INT(S471/20)&gt;INT(S470/20), "Lần " &amp; INT(S471/20), "")</f>
        <v/>
      </c>
      <c r="AE471" s="11">
        <f>IF(INT(T471/20)&gt;INT(T470/20), "Lần " &amp; INT(T471/20), "")</f>
        <v/>
      </c>
      <c r="AF471" s="11">
        <f>IF(INT(U471/20)&gt;INT(U470/20), "Lần " &amp; INT(U471/20), "")</f>
        <v/>
      </c>
      <c r="AG471" s="11">
        <f>IF(INT(V471/20)&gt;INT(V470/20), "Lần " &amp; INT(V471/20), "")</f>
        <v/>
      </c>
      <c r="AH471" s="11">
        <f>IF(INT(W471/20)&gt;INT(W470/20), "Lần " &amp; INT(W471/20), "")</f>
        <v/>
      </c>
      <c r="AI471" s="11">
        <f>IF(INT(X471/20)&gt;INT(X470/20), "Lần " &amp; INT(X471/20), "")</f>
        <v/>
      </c>
      <c r="AJ471" s="11">
        <f>IF(INT(Y471/20)&gt;INT(Y470/20), "Lần " &amp; INT(Y471/20), "")</f>
        <v/>
      </c>
      <c r="AK471" s="11">
        <f>IF(INT(Z471/20)&gt;INT(Z470/20), "Lần " &amp; INT(Z471/20), "")</f>
        <v/>
      </c>
      <c r="AL471" s="6" t="inlineStr">
        <is>
          <t>ĐẠT TCVN 1651:2018</t>
        </is>
      </c>
    </row>
    <row r="472" ht="19" customHeight="1">
      <c r="A472" s="6" t="n">
        <v>441</v>
      </c>
      <c r="B472" s="7" t="inlineStr">
        <is>
          <t>Mố M1</t>
        </is>
      </c>
      <c r="C472" s="7" t="inlineStr">
        <is>
          <t>Thân mố / Bệ mố</t>
        </is>
      </c>
      <c r="D472" s="18" t="inlineStr">
        <is>
          <t>W3D(P)</t>
        </is>
      </c>
      <c r="E472" s="19" t="n">
        <v>16</v>
      </c>
      <c r="F472" s="6" t="inlineStr">
        <is>
          <t>CB400-V</t>
        </is>
      </c>
      <c r="G472" s="7" t="inlineStr">
        <is>
          <t>S06</t>
        </is>
      </c>
      <c r="H472" s="20" t="n">
        <v>6.332</v>
      </c>
      <c r="I472" s="21" t="n">
        <v>8</v>
      </c>
      <c r="J472" s="22" t="n">
        <v>1.58</v>
      </c>
      <c r="K472" s="9">
        <f>ROUND(H472*I472*J472, 2)</f>
        <v/>
      </c>
      <c r="L472" s="23">
        <f>ROUND(K472/1000, 3)</f>
        <v/>
      </c>
      <c r="M472" s="8" t="n"/>
      <c r="N472" s="6" t="n"/>
      <c r="O472" s="24">
        <f>IF(AND(E472&lt;=10, F472&lt;&gt;"ASTM A416", INT(P472/20)&gt;INT(P471/20)), "TN Ø10 (Lần " &amp; INT(P472/20) &amp; ")", IF(AND(E472=12, INT(Q472/20)&gt;INT(Q471/20)), "TN Ø12 (Lần " &amp; INT(Q472/20) &amp; ")", IF(AND(E472=14, INT(R472/20)&gt;INT(R471/20)), "TN Ø14 (Lần " &amp; INT(R472/20) &amp; ")", IF(AND(E472=16, INT(S472/20)&gt;INT(S471/20)), "TN Ø16 (Lần " &amp; INT(S472/20) &amp; ")", IF(AND(E472=18, INT(T472/20)&gt;INT(T471/20)), "TN Ø18 (Lần " &amp; INT(T472/20) &amp; ")", IF(AND(E472=20, INT(U472/20)&gt;INT(U471/20)), "TN Ø20 (Lần " &amp; INT(U472/20) &amp; ")", IF(AND(E472=22, INT(V472/20)&gt;INT(V471/20)), "TN Ø22 (Lần " &amp; INT(V472/20) &amp; ")", IF(AND(E472=25, INT(W472/20)&gt;INT(W471/20)), "TN Ø25 (Lần " &amp; INT(W472/20) &amp; ")", IF(AND(E472=28, INT(X472/20)&gt;INT(X471/20)), "TN Ø28 (Lần " &amp; INT(X472/20) &amp; ")", IF(AND(E472=32, INT(Y472/20)&gt;INT(Y471/20)), "TN Ø32 (Lần " &amp; INT(Y472/20) &amp; ")", IF(AND(F472="ASTM A416", INT(Z472/20)&gt;INT(Z471/20)), "TN Cáp 15.2 (Lần " &amp; INT(Z472/20) &amp; ")", "")))))))))))</f>
        <v/>
      </c>
      <c r="P472" s="20">
        <f>ROUND(P471 + IF(AND(E472&lt;=10, F472&lt;&gt;"ASTM A416"), L472, 0), 3)</f>
        <v/>
      </c>
      <c r="Q472" s="20">
        <f>ROUND(Q471 + IF(AND(E472=12, F472&lt;&gt;"ASTM A416"), L472, 0), 3)</f>
        <v/>
      </c>
      <c r="R472" s="20">
        <f>ROUND(R471 + IF(AND(E472=14, F472&lt;&gt;"ASTM A416"), L472, 0), 3)</f>
        <v/>
      </c>
      <c r="S472" s="20">
        <f>ROUND(S471 + IF(AND(E472=16, F472&lt;&gt;"ASTM A416"), L472, 0), 3)</f>
        <v/>
      </c>
      <c r="T472" s="20">
        <f>ROUND(T471 + IF(AND(E472=18, F472&lt;&gt;"ASTM A416"), L472, 0), 3)</f>
        <v/>
      </c>
      <c r="U472" s="20">
        <f>ROUND(U471 + IF(AND(E472=20, F472&lt;&gt;"ASTM A416"), L472, 0), 3)</f>
        <v/>
      </c>
      <c r="V472" s="20">
        <f>ROUND(V471 + IF(AND(E472=22, F472&lt;&gt;"ASTM A416"), L472, 0), 3)</f>
        <v/>
      </c>
      <c r="W472" s="20">
        <f>ROUND(W471 + IF(AND(E472=25, F472&lt;&gt;"ASTM A416"), L472, 0), 3)</f>
        <v/>
      </c>
      <c r="X472" s="20">
        <f>ROUND(X471 + IF(AND(E472=28, F472&lt;&gt;"ASTM A416"), L472, 0), 3)</f>
        <v/>
      </c>
      <c r="Y472" s="20">
        <f>ROUND(Y471 + IF(AND(E472=32, F472&lt;&gt;"ASTM A416"), L472, 0), 3)</f>
        <v/>
      </c>
      <c r="Z472" s="20">
        <f>ROUND(Z471 + IF(F472="ASTM A416", L472, 0), 3)</f>
        <v/>
      </c>
      <c r="AA472" s="11">
        <f>IF(INT(P472/20)&gt;INT(P471/20), "Lần " &amp; INT(P472/20), "")</f>
        <v/>
      </c>
      <c r="AB472" s="11">
        <f>IF(INT(Q472/20)&gt;INT(Q471/20), "Lần " &amp; INT(Q472/20), "")</f>
        <v/>
      </c>
      <c r="AC472" s="11">
        <f>IF(INT(R472/20)&gt;INT(R471/20), "Lần " &amp; INT(R472/20), "")</f>
        <v/>
      </c>
      <c r="AD472" s="11">
        <f>IF(INT(S472/20)&gt;INT(S471/20), "Lần " &amp; INT(S472/20), "")</f>
        <v/>
      </c>
      <c r="AE472" s="11">
        <f>IF(INT(T472/20)&gt;INT(T471/20), "Lần " &amp; INT(T472/20), "")</f>
        <v/>
      </c>
      <c r="AF472" s="11">
        <f>IF(INT(U472/20)&gt;INT(U471/20), "Lần " &amp; INT(U472/20), "")</f>
        <v/>
      </c>
      <c r="AG472" s="11">
        <f>IF(INT(V472/20)&gt;INT(V471/20), "Lần " &amp; INT(V472/20), "")</f>
        <v/>
      </c>
      <c r="AH472" s="11">
        <f>IF(INT(W472/20)&gt;INT(W471/20), "Lần " &amp; INT(W472/20), "")</f>
        <v/>
      </c>
      <c r="AI472" s="11">
        <f>IF(INT(X472/20)&gt;INT(X471/20), "Lần " &amp; INT(X472/20), "")</f>
        <v/>
      </c>
      <c r="AJ472" s="11">
        <f>IF(INT(Y472/20)&gt;INT(Y471/20), "Lần " &amp; INT(Y472/20), "")</f>
        <v/>
      </c>
      <c r="AK472" s="11">
        <f>IF(INT(Z472/20)&gt;INT(Z471/20), "Lần " &amp; INT(Z472/20), "")</f>
        <v/>
      </c>
      <c r="AL472" s="6" t="inlineStr">
        <is>
          <t>ĐẠT TCVN 1651:2018</t>
        </is>
      </c>
    </row>
    <row r="473" ht="19" customHeight="1">
      <c r="A473" s="6" t="n">
        <v>442</v>
      </c>
      <c r="B473" s="7" t="inlineStr">
        <is>
          <t>Mố M1</t>
        </is>
      </c>
      <c r="C473" s="7" t="inlineStr">
        <is>
          <t>Thân mố / Bệ mố</t>
        </is>
      </c>
      <c r="D473" s="18" t="inlineStr">
        <is>
          <t>W3E(P)</t>
        </is>
      </c>
      <c r="E473" s="19" t="n">
        <v>16</v>
      </c>
      <c r="F473" s="6" t="inlineStr">
        <is>
          <t>CB400-V</t>
        </is>
      </c>
      <c r="G473" s="7" t="inlineStr">
        <is>
          <t>S06</t>
        </is>
      </c>
      <c r="H473" s="20" t="n">
        <v>4.168</v>
      </c>
      <c r="I473" s="21" t="n">
        <v>1</v>
      </c>
      <c r="J473" s="22" t="n">
        <v>1.58</v>
      </c>
      <c r="K473" s="9">
        <f>ROUND(H473*I473*J473, 2)</f>
        <v/>
      </c>
      <c r="L473" s="23">
        <f>ROUND(K473/1000, 3)</f>
        <v/>
      </c>
      <c r="M473" s="8" t="n"/>
      <c r="N473" s="6" t="n"/>
      <c r="O473" s="24">
        <f>IF(AND(E473&lt;=10, F473&lt;&gt;"ASTM A416", INT(P473/20)&gt;INT(P472/20)), "TN Ø10 (Lần " &amp; INT(P473/20) &amp; ")", IF(AND(E473=12, INT(Q473/20)&gt;INT(Q472/20)), "TN Ø12 (Lần " &amp; INT(Q473/20) &amp; ")", IF(AND(E473=14, INT(R473/20)&gt;INT(R472/20)), "TN Ø14 (Lần " &amp; INT(R473/20) &amp; ")", IF(AND(E473=16, INT(S473/20)&gt;INT(S472/20)), "TN Ø16 (Lần " &amp; INT(S473/20) &amp; ")", IF(AND(E473=18, INT(T473/20)&gt;INT(T472/20)), "TN Ø18 (Lần " &amp; INT(T473/20) &amp; ")", IF(AND(E473=20, INT(U473/20)&gt;INT(U472/20)), "TN Ø20 (Lần " &amp; INT(U473/20) &amp; ")", IF(AND(E473=22, INT(V473/20)&gt;INT(V472/20)), "TN Ø22 (Lần " &amp; INT(V473/20) &amp; ")", IF(AND(E473=25, INT(W473/20)&gt;INT(W472/20)), "TN Ø25 (Lần " &amp; INT(W473/20) &amp; ")", IF(AND(E473=28, INT(X473/20)&gt;INT(X472/20)), "TN Ø28 (Lần " &amp; INT(X473/20) &amp; ")", IF(AND(E473=32, INT(Y473/20)&gt;INT(Y472/20)), "TN Ø32 (Lần " &amp; INT(Y473/20) &amp; ")", IF(AND(F473="ASTM A416", INT(Z473/20)&gt;INT(Z472/20)), "TN Cáp 15.2 (Lần " &amp; INT(Z473/20) &amp; ")", "")))))))))))</f>
        <v/>
      </c>
      <c r="P473" s="20">
        <f>ROUND(P472 + IF(AND(E473&lt;=10, F473&lt;&gt;"ASTM A416"), L473, 0), 3)</f>
        <v/>
      </c>
      <c r="Q473" s="20">
        <f>ROUND(Q472 + IF(AND(E473=12, F473&lt;&gt;"ASTM A416"), L473, 0), 3)</f>
        <v/>
      </c>
      <c r="R473" s="20">
        <f>ROUND(R472 + IF(AND(E473=14, F473&lt;&gt;"ASTM A416"), L473, 0), 3)</f>
        <v/>
      </c>
      <c r="S473" s="20">
        <f>ROUND(S472 + IF(AND(E473=16, F473&lt;&gt;"ASTM A416"), L473, 0), 3)</f>
        <v/>
      </c>
      <c r="T473" s="20">
        <f>ROUND(T472 + IF(AND(E473=18, F473&lt;&gt;"ASTM A416"), L473, 0), 3)</f>
        <v/>
      </c>
      <c r="U473" s="20">
        <f>ROUND(U472 + IF(AND(E473=20, F473&lt;&gt;"ASTM A416"), L473, 0), 3)</f>
        <v/>
      </c>
      <c r="V473" s="20">
        <f>ROUND(V472 + IF(AND(E473=22, F473&lt;&gt;"ASTM A416"), L473, 0), 3)</f>
        <v/>
      </c>
      <c r="W473" s="20">
        <f>ROUND(W472 + IF(AND(E473=25, F473&lt;&gt;"ASTM A416"), L473, 0), 3)</f>
        <v/>
      </c>
      <c r="X473" s="20">
        <f>ROUND(X472 + IF(AND(E473=28, F473&lt;&gt;"ASTM A416"), L473, 0), 3)</f>
        <v/>
      </c>
      <c r="Y473" s="20">
        <f>ROUND(Y472 + IF(AND(E473=32, F473&lt;&gt;"ASTM A416"), L473, 0), 3)</f>
        <v/>
      </c>
      <c r="Z473" s="20">
        <f>ROUND(Z472 + IF(F473="ASTM A416", L473, 0), 3)</f>
        <v/>
      </c>
      <c r="AA473" s="11">
        <f>IF(INT(P473/20)&gt;INT(P472/20), "Lần " &amp; INT(P473/20), "")</f>
        <v/>
      </c>
      <c r="AB473" s="11">
        <f>IF(INT(Q473/20)&gt;INT(Q472/20), "Lần " &amp; INT(Q473/20), "")</f>
        <v/>
      </c>
      <c r="AC473" s="11">
        <f>IF(INT(R473/20)&gt;INT(R472/20), "Lần " &amp; INT(R473/20), "")</f>
        <v/>
      </c>
      <c r="AD473" s="11">
        <f>IF(INT(S473/20)&gt;INT(S472/20), "Lần " &amp; INT(S473/20), "")</f>
        <v/>
      </c>
      <c r="AE473" s="11">
        <f>IF(INT(T473/20)&gt;INT(T472/20), "Lần " &amp; INT(T473/20), "")</f>
        <v/>
      </c>
      <c r="AF473" s="11">
        <f>IF(INT(U473/20)&gt;INT(U472/20), "Lần " &amp; INT(U473/20), "")</f>
        <v/>
      </c>
      <c r="AG473" s="11">
        <f>IF(INT(V473/20)&gt;INT(V472/20), "Lần " &amp; INT(V473/20), "")</f>
        <v/>
      </c>
      <c r="AH473" s="11">
        <f>IF(INT(W473/20)&gt;INT(W472/20), "Lần " &amp; INT(W473/20), "")</f>
        <v/>
      </c>
      <c r="AI473" s="11">
        <f>IF(INT(X473/20)&gt;INT(X472/20), "Lần " &amp; INT(X473/20), "")</f>
        <v/>
      </c>
      <c r="AJ473" s="11">
        <f>IF(INT(Y473/20)&gt;INT(Y472/20), "Lần " &amp; INT(Y473/20), "")</f>
        <v/>
      </c>
      <c r="AK473" s="11">
        <f>IF(INT(Z473/20)&gt;INT(Z472/20), "Lần " &amp; INT(Z473/20), "")</f>
        <v/>
      </c>
      <c r="AL473" s="6" t="inlineStr">
        <is>
          <t>ĐẠT TCVN 1651:2018</t>
        </is>
      </c>
    </row>
    <row r="474" ht="19" customHeight="1">
      <c r="A474" s="6" t="n">
        <v>443</v>
      </c>
      <c r="B474" s="7" t="inlineStr">
        <is>
          <t>Mố M1</t>
        </is>
      </c>
      <c r="C474" s="7" t="inlineStr">
        <is>
          <t>Thân mố / Bệ mố</t>
        </is>
      </c>
      <c r="D474" s="18" t="inlineStr">
        <is>
          <t>W3F(P)</t>
        </is>
      </c>
      <c r="E474" s="19" t="n">
        <v>16</v>
      </c>
      <c r="F474" s="6" t="inlineStr">
        <is>
          <t>CB400-V</t>
        </is>
      </c>
      <c r="G474" s="7" t="inlineStr">
        <is>
          <t>S06</t>
        </is>
      </c>
      <c r="H474" s="20" t="n">
        <v>6.334</v>
      </c>
      <c r="I474" s="21" t="n">
        <v>1</v>
      </c>
      <c r="J474" s="22" t="n">
        <v>1.58</v>
      </c>
      <c r="K474" s="9">
        <f>ROUND(H474*I474*J474, 2)</f>
        <v/>
      </c>
      <c r="L474" s="23">
        <f>ROUND(K474/1000, 3)</f>
        <v/>
      </c>
      <c r="M474" s="8" t="n"/>
      <c r="N474" s="6" t="n"/>
      <c r="O474" s="24">
        <f>IF(AND(E474&lt;=10, F474&lt;&gt;"ASTM A416", INT(P474/20)&gt;INT(P473/20)), "TN Ø10 (Lần " &amp; INT(P474/20) &amp; ")", IF(AND(E474=12, INT(Q474/20)&gt;INT(Q473/20)), "TN Ø12 (Lần " &amp; INT(Q474/20) &amp; ")", IF(AND(E474=14, INT(R474/20)&gt;INT(R473/20)), "TN Ø14 (Lần " &amp; INT(R474/20) &amp; ")", IF(AND(E474=16, INT(S474/20)&gt;INT(S473/20)), "TN Ø16 (Lần " &amp; INT(S474/20) &amp; ")", IF(AND(E474=18, INT(T474/20)&gt;INT(T473/20)), "TN Ø18 (Lần " &amp; INT(T474/20) &amp; ")", IF(AND(E474=20, INT(U474/20)&gt;INT(U473/20)), "TN Ø20 (Lần " &amp; INT(U474/20) &amp; ")", IF(AND(E474=22, INT(V474/20)&gt;INT(V473/20)), "TN Ø22 (Lần " &amp; INT(V474/20) &amp; ")", IF(AND(E474=25, INT(W474/20)&gt;INT(W473/20)), "TN Ø25 (Lần " &amp; INT(W474/20) &amp; ")", IF(AND(E474=28, INT(X474/20)&gt;INT(X473/20)), "TN Ø28 (Lần " &amp; INT(X474/20) &amp; ")", IF(AND(E474=32, INT(Y474/20)&gt;INT(Y473/20)), "TN Ø32 (Lần " &amp; INT(Y474/20) &amp; ")", IF(AND(F474="ASTM A416", INT(Z474/20)&gt;INT(Z473/20)), "TN Cáp 15.2 (Lần " &amp; INT(Z474/20) &amp; ")", "")))))))))))</f>
        <v/>
      </c>
      <c r="P474" s="20">
        <f>ROUND(P473 + IF(AND(E474&lt;=10, F474&lt;&gt;"ASTM A416"), L474, 0), 3)</f>
        <v/>
      </c>
      <c r="Q474" s="20">
        <f>ROUND(Q473 + IF(AND(E474=12, F474&lt;&gt;"ASTM A416"), L474, 0), 3)</f>
        <v/>
      </c>
      <c r="R474" s="20">
        <f>ROUND(R473 + IF(AND(E474=14, F474&lt;&gt;"ASTM A416"), L474, 0), 3)</f>
        <v/>
      </c>
      <c r="S474" s="20">
        <f>ROUND(S473 + IF(AND(E474=16, F474&lt;&gt;"ASTM A416"), L474, 0), 3)</f>
        <v/>
      </c>
      <c r="T474" s="20">
        <f>ROUND(T473 + IF(AND(E474=18, F474&lt;&gt;"ASTM A416"), L474, 0), 3)</f>
        <v/>
      </c>
      <c r="U474" s="20">
        <f>ROUND(U473 + IF(AND(E474=20, F474&lt;&gt;"ASTM A416"), L474, 0), 3)</f>
        <v/>
      </c>
      <c r="V474" s="20">
        <f>ROUND(V473 + IF(AND(E474=22, F474&lt;&gt;"ASTM A416"), L474, 0), 3)</f>
        <v/>
      </c>
      <c r="W474" s="20">
        <f>ROUND(W473 + IF(AND(E474=25, F474&lt;&gt;"ASTM A416"), L474, 0), 3)</f>
        <v/>
      </c>
      <c r="X474" s="20">
        <f>ROUND(X473 + IF(AND(E474=28, F474&lt;&gt;"ASTM A416"), L474, 0), 3)</f>
        <v/>
      </c>
      <c r="Y474" s="20">
        <f>ROUND(Y473 + IF(AND(E474=32, F474&lt;&gt;"ASTM A416"), L474, 0), 3)</f>
        <v/>
      </c>
      <c r="Z474" s="20">
        <f>ROUND(Z473 + IF(F474="ASTM A416", L474, 0), 3)</f>
        <v/>
      </c>
      <c r="AA474" s="11">
        <f>IF(INT(P474/20)&gt;INT(P473/20), "Lần " &amp; INT(P474/20), "")</f>
        <v/>
      </c>
      <c r="AB474" s="11">
        <f>IF(INT(Q474/20)&gt;INT(Q473/20), "Lần " &amp; INT(Q474/20), "")</f>
        <v/>
      </c>
      <c r="AC474" s="11">
        <f>IF(INT(R474/20)&gt;INT(R473/20), "Lần " &amp; INT(R474/20), "")</f>
        <v/>
      </c>
      <c r="AD474" s="11">
        <f>IF(INT(S474/20)&gt;INT(S473/20), "Lần " &amp; INT(S474/20), "")</f>
        <v/>
      </c>
      <c r="AE474" s="11">
        <f>IF(INT(T474/20)&gt;INT(T473/20), "Lần " &amp; INT(T474/20), "")</f>
        <v/>
      </c>
      <c r="AF474" s="11">
        <f>IF(INT(U474/20)&gt;INT(U473/20), "Lần " &amp; INT(U474/20), "")</f>
        <v/>
      </c>
      <c r="AG474" s="11">
        <f>IF(INT(V474/20)&gt;INT(V473/20), "Lần " &amp; INT(V474/20), "")</f>
        <v/>
      </c>
      <c r="AH474" s="11">
        <f>IF(INT(W474/20)&gt;INT(W473/20), "Lần " &amp; INT(W474/20), "")</f>
        <v/>
      </c>
      <c r="AI474" s="11">
        <f>IF(INT(X474/20)&gt;INT(X473/20), "Lần " &amp; INT(X474/20), "")</f>
        <v/>
      </c>
      <c r="AJ474" s="11">
        <f>IF(INT(Y474/20)&gt;INT(Y473/20), "Lần " &amp; INT(Y474/20), "")</f>
        <v/>
      </c>
      <c r="AK474" s="11">
        <f>IF(INT(Z474/20)&gt;INT(Z473/20), "Lần " &amp; INT(Z474/20), "")</f>
        <v/>
      </c>
      <c r="AL474" s="6" t="inlineStr">
        <is>
          <t>ĐẠT TCVN 1651:2018</t>
        </is>
      </c>
    </row>
    <row r="475" ht="19" customHeight="1">
      <c r="A475" s="6" t="n">
        <v>444</v>
      </c>
      <c r="B475" s="7" t="inlineStr">
        <is>
          <t>Mố M1</t>
        </is>
      </c>
      <c r="C475" s="7" t="inlineStr">
        <is>
          <t>Thân mố / Bệ mố</t>
        </is>
      </c>
      <c r="D475" s="18" t="inlineStr">
        <is>
          <t>W4A(P)</t>
        </is>
      </c>
      <c r="E475" s="19" t="n">
        <v>22</v>
      </c>
      <c r="F475" s="6" t="inlineStr">
        <is>
          <t>CB400-V</t>
        </is>
      </c>
      <c r="G475" s="7" t="inlineStr">
        <is>
          <t>S06</t>
        </is>
      </c>
      <c r="H475" s="20" t="n">
        <v>4.994</v>
      </c>
      <c r="I475" s="21" t="n">
        <v>23</v>
      </c>
      <c r="J475" s="22" t="n">
        <v>2.98</v>
      </c>
      <c r="K475" s="9">
        <f>ROUND(H475*I475*J475, 2)</f>
        <v/>
      </c>
      <c r="L475" s="23">
        <f>ROUND(K475/1000, 3)</f>
        <v/>
      </c>
      <c r="M475" s="8" t="n"/>
      <c r="N475" s="6" t="n"/>
      <c r="O475" s="24">
        <f>IF(AND(E475&lt;=10, F475&lt;&gt;"ASTM A416", INT(P475/20)&gt;INT(P474/20)), "TN Ø10 (Lần " &amp; INT(P475/20) &amp; ")", IF(AND(E475=12, INT(Q475/20)&gt;INT(Q474/20)), "TN Ø12 (Lần " &amp; INT(Q475/20) &amp; ")", IF(AND(E475=14, INT(R475/20)&gt;INT(R474/20)), "TN Ø14 (Lần " &amp; INT(R475/20) &amp; ")", IF(AND(E475=16, INT(S475/20)&gt;INT(S474/20)), "TN Ø16 (Lần " &amp; INT(S475/20) &amp; ")", IF(AND(E475=18, INT(T475/20)&gt;INT(T474/20)), "TN Ø18 (Lần " &amp; INT(T475/20) &amp; ")", IF(AND(E475=20, INT(U475/20)&gt;INT(U474/20)), "TN Ø20 (Lần " &amp; INT(U475/20) &amp; ")", IF(AND(E475=22, INT(V475/20)&gt;INT(V474/20)), "TN Ø22 (Lần " &amp; INT(V475/20) &amp; ")", IF(AND(E475=25, INT(W475/20)&gt;INT(W474/20)), "TN Ø25 (Lần " &amp; INT(W475/20) &amp; ")", IF(AND(E475=28, INT(X475/20)&gt;INT(X474/20)), "TN Ø28 (Lần " &amp; INT(X475/20) &amp; ")", IF(AND(E475=32, INT(Y475/20)&gt;INT(Y474/20)), "TN Ø32 (Lần " &amp; INT(Y475/20) &amp; ")", IF(AND(F475="ASTM A416", INT(Z475/20)&gt;INT(Z474/20)), "TN Cáp 15.2 (Lần " &amp; INT(Z475/20) &amp; ")", "")))))))))))</f>
        <v/>
      </c>
      <c r="P475" s="20">
        <f>ROUND(P474 + IF(AND(E475&lt;=10, F475&lt;&gt;"ASTM A416"), L475, 0), 3)</f>
        <v/>
      </c>
      <c r="Q475" s="20">
        <f>ROUND(Q474 + IF(AND(E475=12, F475&lt;&gt;"ASTM A416"), L475, 0), 3)</f>
        <v/>
      </c>
      <c r="R475" s="20">
        <f>ROUND(R474 + IF(AND(E475=14, F475&lt;&gt;"ASTM A416"), L475, 0), 3)</f>
        <v/>
      </c>
      <c r="S475" s="20">
        <f>ROUND(S474 + IF(AND(E475=16, F475&lt;&gt;"ASTM A416"), L475, 0), 3)</f>
        <v/>
      </c>
      <c r="T475" s="20">
        <f>ROUND(T474 + IF(AND(E475=18, F475&lt;&gt;"ASTM A416"), L475, 0), 3)</f>
        <v/>
      </c>
      <c r="U475" s="20">
        <f>ROUND(U474 + IF(AND(E475=20, F475&lt;&gt;"ASTM A416"), L475, 0), 3)</f>
        <v/>
      </c>
      <c r="V475" s="20">
        <f>ROUND(V474 + IF(AND(E475=22, F475&lt;&gt;"ASTM A416"), L475, 0), 3)</f>
        <v/>
      </c>
      <c r="W475" s="20">
        <f>ROUND(W474 + IF(AND(E475=25, F475&lt;&gt;"ASTM A416"), L475, 0), 3)</f>
        <v/>
      </c>
      <c r="X475" s="20">
        <f>ROUND(X474 + IF(AND(E475=28, F475&lt;&gt;"ASTM A416"), L475, 0), 3)</f>
        <v/>
      </c>
      <c r="Y475" s="20">
        <f>ROUND(Y474 + IF(AND(E475=32, F475&lt;&gt;"ASTM A416"), L475, 0), 3)</f>
        <v/>
      </c>
      <c r="Z475" s="20">
        <f>ROUND(Z474 + IF(F475="ASTM A416", L475, 0), 3)</f>
        <v/>
      </c>
      <c r="AA475" s="11">
        <f>IF(INT(P475/20)&gt;INT(P474/20), "Lần " &amp; INT(P475/20), "")</f>
        <v/>
      </c>
      <c r="AB475" s="11">
        <f>IF(INT(Q475/20)&gt;INT(Q474/20), "Lần " &amp; INT(Q475/20), "")</f>
        <v/>
      </c>
      <c r="AC475" s="11">
        <f>IF(INT(R475/20)&gt;INT(R474/20), "Lần " &amp; INT(R475/20), "")</f>
        <v/>
      </c>
      <c r="AD475" s="11">
        <f>IF(INT(S475/20)&gt;INT(S474/20), "Lần " &amp; INT(S475/20), "")</f>
        <v/>
      </c>
      <c r="AE475" s="11">
        <f>IF(INT(T475/20)&gt;INT(T474/20), "Lần " &amp; INT(T475/20), "")</f>
        <v/>
      </c>
      <c r="AF475" s="11">
        <f>IF(INT(U475/20)&gt;INT(U474/20), "Lần " &amp; INT(U475/20), "")</f>
        <v/>
      </c>
      <c r="AG475" s="11">
        <f>IF(INT(V475/20)&gt;INT(V474/20), "Lần " &amp; INT(V475/20), "")</f>
        <v/>
      </c>
      <c r="AH475" s="11">
        <f>IF(INT(W475/20)&gt;INT(W474/20), "Lần " &amp; INT(W475/20), "")</f>
        <v/>
      </c>
      <c r="AI475" s="11">
        <f>IF(INT(X475/20)&gt;INT(X474/20), "Lần " &amp; INT(X475/20), "")</f>
        <v/>
      </c>
      <c r="AJ475" s="11">
        <f>IF(INT(Y475/20)&gt;INT(Y474/20), "Lần " &amp; INT(Y475/20), "")</f>
        <v/>
      </c>
      <c r="AK475" s="11">
        <f>IF(INT(Z475/20)&gt;INT(Z474/20), "Lần " &amp; INT(Z475/20), "")</f>
        <v/>
      </c>
      <c r="AL475" s="6" t="inlineStr">
        <is>
          <t>ĐẠT TCVN 1651:2018</t>
        </is>
      </c>
    </row>
    <row r="476" ht="19" customHeight="1">
      <c r="A476" s="6" t="n">
        <v>445</v>
      </c>
      <c r="B476" s="7" t="inlineStr">
        <is>
          <t>Mố M1</t>
        </is>
      </c>
      <c r="C476" s="7" t="inlineStr">
        <is>
          <t>Thân mố / Bệ mố</t>
        </is>
      </c>
      <c r="D476" s="18" t="inlineStr">
        <is>
          <t>W4B(P)</t>
        </is>
      </c>
      <c r="E476" s="19" t="n">
        <v>22</v>
      </c>
      <c r="F476" s="6" t="inlineStr">
        <is>
          <t>CB400-V</t>
        </is>
      </c>
      <c r="G476" s="7" t="inlineStr">
        <is>
          <t>S06</t>
        </is>
      </c>
      <c r="H476" s="20" t="n">
        <v>5.832</v>
      </c>
      <c r="I476" s="21" t="n">
        <v>11</v>
      </c>
      <c r="J476" s="22" t="n">
        <v>2.98</v>
      </c>
      <c r="K476" s="9">
        <f>ROUND(H476*I476*J476, 2)</f>
        <v/>
      </c>
      <c r="L476" s="23">
        <f>ROUND(K476/1000, 3)</f>
        <v/>
      </c>
      <c r="M476" s="8" t="n"/>
      <c r="N476" s="6" t="n"/>
      <c r="O476" s="24">
        <f>IF(AND(E476&lt;=10, F476&lt;&gt;"ASTM A416", INT(P476/20)&gt;INT(P475/20)), "TN Ø10 (Lần " &amp; INT(P476/20) &amp; ")", IF(AND(E476=12, INT(Q476/20)&gt;INT(Q475/20)), "TN Ø12 (Lần " &amp; INT(Q476/20) &amp; ")", IF(AND(E476=14, INT(R476/20)&gt;INT(R475/20)), "TN Ø14 (Lần " &amp; INT(R476/20) &amp; ")", IF(AND(E476=16, INT(S476/20)&gt;INT(S475/20)), "TN Ø16 (Lần " &amp; INT(S476/20) &amp; ")", IF(AND(E476=18, INT(T476/20)&gt;INT(T475/20)), "TN Ø18 (Lần " &amp; INT(T476/20) &amp; ")", IF(AND(E476=20, INT(U476/20)&gt;INT(U475/20)), "TN Ø20 (Lần " &amp; INT(U476/20) &amp; ")", IF(AND(E476=22, INT(V476/20)&gt;INT(V475/20)), "TN Ø22 (Lần " &amp; INT(V476/20) &amp; ")", IF(AND(E476=25, INT(W476/20)&gt;INT(W475/20)), "TN Ø25 (Lần " &amp; INT(W476/20) &amp; ")", IF(AND(E476=28, INT(X476/20)&gt;INT(X475/20)), "TN Ø28 (Lần " &amp; INT(X476/20) &amp; ")", IF(AND(E476=32, INT(Y476/20)&gt;INT(Y475/20)), "TN Ø32 (Lần " &amp; INT(Y476/20) &amp; ")", IF(AND(F476="ASTM A416", INT(Z476/20)&gt;INT(Z475/20)), "TN Cáp 15.2 (Lần " &amp; INT(Z476/20) &amp; ")", "")))))))))))</f>
        <v/>
      </c>
      <c r="P476" s="20">
        <f>ROUND(P475 + IF(AND(E476&lt;=10, F476&lt;&gt;"ASTM A416"), L476, 0), 3)</f>
        <v/>
      </c>
      <c r="Q476" s="20">
        <f>ROUND(Q475 + IF(AND(E476=12, F476&lt;&gt;"ASTM A416"), L476, 0), 3)</f>
        <v/>
      </c>
      <c r="R476" s="20">
        <f>ROUND(R475 + IF(AND(E476=14, F476&lt;&gt;"ASTM A416"), L476, 0), 3)</f>
        <v/>
      </c>
      <c r="S476" s="20">
        <f>ROUND(S475 + IF(AND(E476=16, F476&lt;&gt;"ASTM A416"), L476, 0), 3)</f>
        <v/>
      </c>
      <c r="T476" s="20">
        <f>ROUND(T475 + IF(AND(E476=18, F476&lt;&gt;"ASTM A416"), L476, 0), 3)</f>
        <v/>
      </c>
      <c r="U476" s="20">
        <f>ROUND(U475 + IF(AND(E476=20, F476&lt;&gt;"ASTM A416"), L476, 0), 3)</f>
        <v/>
      </c>
      <c r="V476" s="20">
        <f>ROUND(V475 + IF(AND(E476=22, F476&lt;&gt;"ASTM A416"), L476, 0), 3)</f>
        <v/>
      </c>
      <c r="W476" s="20">
        <f>ROUND(W475 + IF(AND(E476=25, F476&lt;&gt;"ASTM A416"), L476, 0), 3)</f>
        <v/>
      </c>
      <c r="X476" s="20">
        <f>ROUND(X475 + IF(AND(E476=28, F476&lt;&gt;"ASTM A416"), L476, 0), 3)</f>
        <v/>
      </c>
      <c r="Y476" s="20">
        <f>ROUND(Y475 + IF(AND(E476=32, F476&lt;&gt;"ASTM A416"), L476, 0), 3)</f>
        <v/>
      </c>
      <c r="Z476" s="20">
        <f>ROUND(Z475 + IF(F476="ASTM A416", L476, 0), 3)</f>
        <v/>
      </c>
      <c r="AA476" s="11">
        <f>IF(INT(P476/20)&gt;INT(P475/20), "Lần " &amp; INT(P476/20), "")</f>
        <v/>
      </c>
      <c r="AB476" s="11">
        <f>IF(INT(Q476/20)&gt;INT(Q475/20), "Lần " &amp; INT(Q476/20), "")</f>
        <v/>
      </c>
      <c r="AC476" s="11">
        <f>IF(INT(R476/20)&gt;INT(R475/20), "Lần " &amp; INT(R476/20), "")</f>
        <v/>
      </c>
      <c r="AD476" s="11">
        <f>IF(INT(S476/20)&gt;INT(S475/20), "Lần " &amp; INT(S476/20), "")</f>
        <v/>
      </c>
      <c r="AE476" s="11">
        <f>IF(INT(T476/20)&gt;INT(T475/20), "Lần " &amp; INT(T476/20), "")</f>
        <v/>
      </c>
      <c r="AF476" s="11">
        <f>IF(INT(U476/20)&gt;INT(U475/20), "Lần " &amp; INT(U476/20), "")</f>
        <v/>
      </c>
      <c r="AG476" s="11">
        <f>IF(INT(V476/20)&gt;INT(V475/20), "Lần " &amp; INT(V476/20), "")</f>
        <v/>
      </c>
      <c r="AH476" s="11">
        <f>IF(INT(W476/20)&gt;INT(W475/20), "Lần " &amp; INT(W476/20), "")</f>
        <v/>
      </c>
      <c r="AI476" s="11">
        <f>IF(INT(X476/20)&gt;INT(X475/20), "Lần " &amp; INT(X476/20), "")</f>
        <v/>
      </c>
      <c r="AJ476" s="11">
        <f>IF(INT(Y476/20)&gt;INT(Y475/20), "Lần " &amp; INT(Y476/20), "")</f>
        <v/>
      </c>
      <c r="AK476" s="11">
        <f>IF(INT(Z476/20)&gt;INT(Z475/20), "Lần " &amp; INT(Z476/20), "")</f>
        <v/>
      </c>
      <c r="AL476" s="6" t="inlineStr">
        <is>
          <t>ĐẠT TCVN 1651:2018</t>
        </is>
      </c>
    </row>
    <row r="477" ht="19" customHeight="1">
      <c r="A477" s="6" t="n">
        <v>446</v>
      </c>
      <c r="B477" s="7" t="inlineStr">
        <is>
          <t>Mố M1</t>
        </is>
      </c>
      <c r="C477" s="7" t="inlineStr">
        <is>
          <t>Thân mố / Bệ mố</t>
        </is>
      </c>
      <c r="D477" s="18" t="inlineStr">
        <is>
          <t>W4C(P)</t>
        </is>
      </c>
      <c r="E477" s="19" t="n">
        <v>22</v>
      </c>
      <c r="F477" s="6" t="inlineStr">
        <is>
          <t>CB400-V</t>
        </is>
      </c>
      <c r="G477" s="7" t="inlineStr">
        <is>
          <t>S06</t>
        </is>
      </c>
      <c r="H477" s="20" t="n">
        <v>6.107</v>
      </c>
      <c r="I477" s="21" t="n">
        <v>6</v>
      </c>
      <c r="J477" s="22" t="n">
        <v>2.98</v>
      </c>
      <c r="K477" s="9">
        <f>ROUND(H477*I477*J477, 2)</f>
        <v/>
      </c>
      <c r="L477" s="23">
        <f>ROUND(K477/1000, 3)</f>
        <v/>
      </c>
      <c r="M477" s="8" t="n"/>
      <c r="N477" s="6" t="n"/>
      <c r="O477" s="24">
        <f>IF(AND(E477&lt;=10, F477&lt;&gt;"ASTM A416", INT(P477/20)&gt;INT(P476/20)), "TN Ø10 (Lần " &amp; INT(P477/20) &amp; ")", IF(AND(E477=12, INT(Q477/20)&gt;INT(Q476/20)), "TN Ø12 (Lần " &amp; INT(Q477/20) &amp; ")", IF(AND(E477=14, INT(R477/20)&gt;INT(R476/20)), "TN Ø14 (Lần " &amp; INT(R477/20) &amp; ")", IF(AND(E477=16, INT(S477/20)&gt;INT(S476/20)), "TN Ø16 (Lần " &amp; INT(S477/20) &amp; ")", IF(AND(E477=18, INT(T477/20)&gt;INT(T476/20)), "TN Ø18 (Lần " &amp; INT(T477/20) &amp; ")", IF(AND(E477=20, INT(U477/20)&gt;INT(U476/20)), "TN Ø20 (Lần " &amp; INT(U477/20) &amp; ")", IF(AND(E477=22, INT(V477/20)&gt;INT(V476/20)), "TN Ø22 (Lần " &amp; INT(V477/20) &amp; ")", IF(AND(E477=25, INT(W477/20)&gt;INT(W476/20)), "TN Ø25 (Lần " &amp; INT(W477/20) &amp; ")", IF(AND(E477=28, INT(X477/20)&gt;INT(X476/20)), "TN Ø28 (Lần " &amp; INT(X477/20) &amp; ")", IF(AND(E477=32, INT(Y477/20)&gt;INT(Y476/20)), "TN Ø32 (Lần " &amp; INT(Y477/20) &amp; ")", IF(AND(F477="ASTM A416", INT(Z477/20)&gt;INT(Z476/20)), "TN Cáp 15.2 (Lần " &amp; INT(Z477/20) &amp; ")", "")))))))))))</f>
        <v/>
      </c>
      <c r="P477" s="20">
        <f>ROUND(P476 + IF(AND(E477&lt;=10, F477&lt;&gt;"ASTM A416"), L477, 0), 3)</f>
        <v/>
      </c>
      <c r="Q477" s="20">
        <f>ROUND(Q476 + IF(AND(E477=12, F477&lt;&gt;"ASTM A416"), L477, 0), 3)</f>
        <v/>
      </c>
      <c r="R477" s="20">
        <f>ROUND(R476 + IF(AND(E477=14, F477&lt;&gt;"ASTM A416"), L477, 0), 3)</f>
        <v/>
      </c>
      <c r="S477" s="20">
        <f>ROUND(S476 + IF(AND(E477=16, F477&lt;&gt;"ASTM A416"), L477, 0), 3)</f>
        <v/>
      </c>
      <c r="T477" s="20">
        <f>ROUND(T476 + IF(AND(E477=18, F477&lt;&gt;"ASTM A416"), L477, 0), 3)</f>
        <v/>
      </c>
      <c r="U477" s="20">
        <f>ROUND(U476 + IF(AND(E477=20, F477&lt;&gt;"ASTM A416"), L477, 0), 3)</f>
        <v/>
      </c>
      <c r="V477" s="20">
        <f>ROUND(V476 + IF(AND(E477=22, F477&lt;&gt;"ASTM A416"), L477, 0), 3)</f>
        <v/>
      </c>
      <c r="W477" s="20">
        <f>ROUND(W476 + IF(AND(E477=25, F477&lt;&gt;"ASTM A416"), L477, 0), 3)</f>
        <v/>
      </c>
      <c r="X477" s="20">
        <f>ROUND(X476 + IF(AND(E477=28, F477&lt;&gt;"ASTM A416"), L477, 0), 3)</f>
        <v/>
      </c>
      <c r="Y477" s="20">
        <f>ROUND(Y476 + IF(AND(E477=32, F477&lt;&gt;"ASTM A416"), L477, 0), 3)</f>
        <v/>
      </c>
      <c r="Z477" s="20">
        <f>ROUND(Z476 + IF(F477="ASTM A416", L477, 0), 3)</f>
        <v/>
      </c>
      <c r="AA477" s="11">
        <f>IF(INT(P477/20)&gt;INT(P476/20), "Lần " &amp; INT(P477/20), "")</f>
        <v/>
      </c>
      <c r="AB477" s="11">
        <f>IF(INT(Q477/20)&gt;INT(Q476/20), "Lần " &amp; INT(Q477/20), "")</f>
        <v/>
      </c>
      <c r="AC477" s="11">
        <f>IF(INT(R477/20)&gt;INT(R476/20), "Lần " &amp; INT(R477/20), "")</f>
        <v/>
      </c>
      <c r="AD477" s="11">
        <f>IF(INT(S477/20)&gt;INT(S476/20), "Lần " &amp; INT(S477/20), "")</f>
        <v/>
      </c>
      <c r="AE477" s="11">
        <f>IF(INT(T477/20)&gt;INT(T476/20), "Lần " &amp; INT(T477/20), "")</f>
        <v/>
      </c>
      <c r="AF477" s="11">
        <f>IF(INT(U477/20)&gt;INT(U476/20), "Lần " &amp; INT(U477/20), "")</f>
        <v/>
      </c>
      <c r="AG477" s="11">
        <f>IF(INT(V477/20)&gt;INT(V476/20), "Lần " &amp; INT(V477/20), "")</f>
        <v/>
      </c>
      <c r="AH477" s="11">
        <f>IF(INT(W477/20)&gt;INT(W476/20), "Lần " &amp; INT(W477/20), "")</f>
        <v/>
      </c>
      <c r="AI477" s="11">
        <f>IF(INT(X477/20)&gt;INT(X476/20), "Lần " &amp; INT(X477/20), "")</f>
        <v/>
      </c>
      <c r="AJ477" s="11">
        <f>IF(INT(Y477/20)&gt;INT(Y476/20), "Lần " &amp; INT(Y477/20), "")</f>
        <v/>
      </c>
      <c r="AK477" s="11">
        <f>IF(INT(Z477/20)&gt;INT(Z476/20), "Lần " &amp; INT(Z477/20), "")</f>
        <v/>
      </c>
      <c r="AL477" s="6" t="inlineStr">
        <is>
          <t>ĐẠT TCVN 1651:2018</t>
        </is>
      </c>
    </row>
    <row r="478" ht="19" customHeight="1">
      <c r="A478" s="6" t="n">
        <v>447</v>
      </c>
      <c r="B478" s="7" t="inlineStr">
        <is>
          <t>Mố M1</t>
        </is>
      </c>
      <c r="C478" s="7" t="inlineStr">
        <is>
          <t>Thân mố / Bệ mố</t>
        </is>
      </c>
      <c r="D478" s="18" t="inlineStr">
        <is>
          <t>W4D(P)</t>
        </is>
      </c>
      <c r="E478" s="19" t="n">
        <v>22</v>
      </c>
      <c r="F478" s="6" t="inlineStr">
        <is>
          <t>CB400-V</t>
        </is>
      </c>
      <c r="G478" s="7" t="inlineStr">
        <is>
          <t>S06</t>
        </is>
      </c>
      <c r="H478" s="20" t="n">
        <v>6.494</v>
      </c>
      <c r="I478" s="21" t="n">
        <v>8</v>
      </c>
      <c r="J478" s="22" t="n">
        <v>2.98</v>
      </c>
      <c r="K478" s="9">
        <f>ROUND(H478*I478*J478, 2)</f>
        <v/>
      </c>
      <c r="L478" s="23">
        <f>ROUND(K478/1000, 3)</f>
        <v/>
      </c>
      <c r="M478" s="8" t="n"/>
      <c r="N478" s="6" t="n"/>
      <c r="O478" s="24">
        <f>IF(AND(E478&lt;=10, F478&lt;&gt;"ASTM A416", INT(P478/20)&gt;INT(P477/20)), "TN Ø10 (Lần " &amp; INT(P478/20) &amp; ")", IF(AND(E478=12, INT(Q478/20)&gt;INT(Q477/20)), "TN Ø12 (Lần " &amp; INT(Q478/20) &amp; ")", IF(AND(E478=14, INT(R478/20)&gt;INT(R477/20)), "TN Ø14 (Lần " &amp; INT(R478/20) &amp; ")", IF(AND(E478=16, INT(S478/20)&gt;INT(S477/20)), "TN Ø16 (Lần " &amp; INT(S478/20) &amp; ")", IF(AND(E478=18, INT(T478/20)&gt;INT(T477/20)), "TN Ø18 (Lần " &amp; INT(T478/20) &amp; ")", IF(AND(E478=20, INT(U478/20)&gt;INT(U477/20)), "TN Ø20 (Lần " &amp; INT(U478/20) &amp; ")", IF(AND(E478=22, INT(V478/20)&gt;INT(V477/20)), "TN Ø22 (Lần " &amp; INT(V478/20) &amp; ")", IF(AND(E478=25, INT(W478/20)&gt;INT(W477/20)), "TN Ø25 (Lần " &amp; INT(W478/20) &amp; ")", IF(AND(E478=28, INT(X478/20)&gt;INT(X477/20)), "TN Ø28 (Lần " &amp; INT(X478/20) &amp; ")", IF(AND(E478=32, INT(Y478/20)&gt;INT(Y477/20)), "TN Ø32 (Lần " &amp; INT(Y478/20) &amp; ")", IF(AND(F478="ASTM A416", INT(Z478/20)&gt;INT(Z477/20)), "TN Cáp 15.2 (Lần " &amp; INT(Z478/20) &amp; ")", "")))))))))))</f>
        <v/>
      </c>
      <c r="P478" s="20">
        <f>ROUND(P477 + IF(AND(E478&lt;=10, F478&lt;&gt;"ASTM A416"), L478, 0), 3)</f>
        <v/>
      </c>
      <c r="Q478" s="20">
        <f>ROUND(Q477 + IF(AND(E478=12, F478&lt;&gt;"ASTM A416"), L478, 0), 3)</f>
        <v/>
      </c>
      <c r="R478" s="20">
        <f>ROUND(R477 + IF(AND(E478=14, F478&lt;&gt;"ASTM A416"), L478, 0), 3)</f>
        <v/>
      </c>
      <c r="S478" s="20">
        <f>ROUND(S477 + IF(AND(E478=16, F478&lt;&gt;"ASTM A416"), L478, 0), 3)</f>
        <v/>
      </c>
      <c r="T478" s="20">
        <f>ROUND(T477 + IF(AND(E478=18, F478&lt;&gt;"ASTM A416"), L478, 0), 3)</f>
        <v/>
      </c>
      <c r="U478" s="20">
        <f>ROUND(U477 + IF(AND(E478=20, F478&lt;&gt;"ASTM A416"), L478, 0), 3)</f>
        <v/>
      </c>
      <c r="V478" s="20">
        <f>ROUND(V477 + IF(AND(E478=22, F478&lt;&gt;"ASTM A416"), L478, 0), 3)</f>
        <v/>
      </c>
      <c r="W478" s="20">
        <f>ROUND(W477 + IF(AND(E478=25, F478&lt;&gt;"ASTM A416"), L478, 0), 3)</f>
        <v/>
      </c>
      <c r="X478" s="20">
        <f>ROUND(X477 + IF(AND(E478=28, F478&lt;&gt;"ASTM A416"), L478, 0), 3)</f>
        <v/>
      </c>
      <c r="Y478" s="20">
        <f>ROUND(Y477 + IF(AND(E478=32, F478&lt;&gt;"ASTM A416"), L478, 0), 3)</f>
        <v/>
      </c>
      <c r="Z478" s="20">
        <f>ROUND(Z477 + IF(F478="ASTM A416", L478, 0), 3)</f>
        <v/>
      </c>
      <c r="AA478" s="11">
        <f>IF(INT(P478/20)&gt;INT(P477/20), "Lần " &amp; INT(P478/20), "")</f>
        <v/>
      </c>
      <c r="AB478" s="11">
        <f>IF(INT(Q478/20)&gt;INT(Q477/20), "Lần " &amp; INT(Q478/20), "")</f>
        <v/>
      </c>
      <c r="AC478" s="11">
        <f>IF(INT(R478/20)&gt;INT(R477/20), "Lần " &amp; INT(R478/20), "")</f>
        <v/>
      </c>
      <c r="AD478" s="11">
        <f>IF(INT(S478/20)&gt;INT(S477/20), "Lần " &amp; INT(S478/20), "")</f>
        <v/>
      </c>
      <c r="AE478" s="11">
        <f>IF(INT(T478/20)&gt;INT(T477/20), "Lần " &amp; INT(T478/20), "")</f>
        <v/>
      </c>
      <c r="AF478" s="11">
        <f>IF(INT(U478/20)&gt;INT(U477/20), "Lần " &amp; INT(U478/20), "")</f>
        <v/>
      </c>
      <c r="AG478" s="11">
        <f>IF(INT(V478/20)&gt;INT(V477/20), "Lần " &amp; INT(V478/20), "")</f>
        <v/>
      </c>
      <c r="AH478" s="11">
        <f>IF(INT(W478/20)&gt;INT(W477/20), "Lần " &amp; INT(W478/20), "")</f>
        <v/>
      </c>
      <c r="AI478" s="11">
        <f>IF(INT(X478/20)&gt;INT(X477/20), "Lần " &amp; INT(X478/20), "")</f>
        <v/>
      </c>
      <c r="AJ478" s="11">
        <f>IF(INT(Y478/20)&gt;INT(Y477/20), "Lần " &amp; INT(Y478/20), "")</f>
        <v/>
      </c>
      <c r="AK478" s="11">
        <f>IF(INT(Z478/20)&gt;INT(Z477/20), "Lần " &amp; INT(Z478/20), "")</f>
        <v/>
      </c>
      <c r="AL478" s="6" t="inlineStr">
        <is>
          <t>ĐẠT TCVN 1651:2018</t>
        </is>
      </c>
    </row>
    <row r="479" ht="19" customHeight="1">
      <c r="A479" s="6" t="n">
        <v>448</v>
      </c>
      <c r="B479" s="7" t="inlineStr">
        <is>
          <t>Mố M1</t>
        </is>
      </c>
      <c r="C479" s="7" t="inlineStr">
        <is>
          <t>Thân mố / Bệ mố</t>
        </is>
      </c>
      <c r="D479" s="18" t="inlineStr">
        <is>
          <t>W4E(P)</t>
        </is>
      </c>
      <c r="E479" s="19" t="n">
        <v>22</v>
      </c>
      <c r="F479" s="6" t="inlineStr">
        <is>
          <t>CB400-V</t>
        </is>
      </c>
      <c r="G479" s="7" t="inlineStr">
        <is>
          <t>S06</t>
        </is>
      </c>
      <c r="H479" s="20" t="n">
        <v>4.33</v>
      </c>
      <c r="I479" s="21" t="n">
        <v>1</v>
      </c>
      <c r="J479" s="22" t="n">
        <v>2.98</v>
      </c>
      <c r="K479" s="9">
        <f>ROUND(H479*I479*J479, 2)</f>
        <v/>
      </c>
      <c r="L479" s="23">
        <f>ROUND(K479/1000, 3)</f>
        <v/>
      </c>
      <c r="M479" s="8" t="n"/>
      <c r="N479" s="6" t="n"/>
      <c r="O479" s="24">
        <f>IF(AND(E479&lt;=10, F479&lt;&gt;"ASTM A416", INT(P479/20)&gt;INT(P478/20)), "TN Ø10 (Lần " &amp; INT(P479/20) &amp; ")", IF(AND(E479=12, INT(Q479/20)&gt;INT(Q478/20)), "TN Ø12 (Lần " &amp; INT(Q479/20) &amp; ")", IF(AND(E479=14, INT(R479/20)&gt;INT(R478/20)), "TN Ø14 (Lần " &amp; INT(R479/20) &amp; ")", IF(AND(E479=16, INT(S479/20)&gt;INT(S478/20)), "TN Ø16 (Lần " &amp; INT(S479/20) &amp; ")", IF(AND(E479=18, INT(T479/20)&gt;INT(T478/20)), "TN Ø18 (Lần " &amp; INT(T479/20) &amp; ")", IF(AND(E479=20, INT(U479/20)&gt;INT(U478/20)), "TN Ø20 (Lần " &amp; INT(U479/20) &amp; ")", IF(AND(E479=22, INT(V479/20)&gt;INT(V478/20)), "TN Ø22 (Lần " &amp; INT(V479/20) &amp; ")", IF(AND(E479=25, INT(W479/20)&gt;INT(W478/20)), "TN Ø25 (Lần " &amp; INT(W479/20) &amp; ")", IF(AND(E479=28, INT(X479/20)&gt;INT(X478/20)), "TN Ø28 (Lần " &amp; INT(X479/20) &amp; ")", IF(AND(E479=32, INT(Y479/20)&gt;INT(Y478/20)), "TN Ø32 (Lần " &amp; INT(Y479/20) &amp; ")", IF(AND(F479="ASTM A416", INT(Z479/20)&gt;INT(Z478/20)), "TN Cáp 15.2 (Lần " &amp; INT(Z479/20) &amp; ")", "")))))))))))</f>
        <v/>
      </c>
      <c r="P479" s="20">
        <f>ROUND(P478 + IF(AND(E479&lt;=10, F479&lt;&gt;"ASTM A416"), L479, 0), 3)</f>
        <v/>
      </c>
      <c r="Q479" s="20">
        <f>ROUND(Q478 + IF(AND(E479=12, F479&lt;&gt;"ASTM A416"), L479, 0), 3)</f>
        <v/>
      </c>
      <c r="R479" s="20">
        <f>ROUND(R478 + IF(AND(E479=14, F479&lt;&gt;"ASTM A416"), L479, 0), 3)</f>
        <v/>
      </c>
      <c r="S479" s="20">
        <f>ROUND(S478 + IF(AND(E479=16, F479&lt;&gt;"ASTM A416"), L479, 0), 3)</f>
        <v/>
      </c>
      <c r="T479" s="20">
        <f>ROUND(T478 + IF(AND(E479=18, F479&lt;&gt;"ASTM A416"), L479, 0), 3)</f>
        <v/>
      </c>
      <c r="U479" s="20">
        <f>ROUND(U478 + IF(AND(E479=20, F479&lt;&gt;"ASTM A416"), L479, 0), 3)</f>
        <v/>
      </c>
      <c r="V479" s="20">
        <f>ROUND(V478 + IF(AND(E479=22, F479&lt;&gt;"ASTM A416"), L479, 0), 3)</f>
        <v/>
      </c>
      <c r="W479" s="20">
        <f>ROUND(W478 + IF(AND(E479=25, F479&lt;&gt;"ASTM A416"), L479, 0), 3)</f>
        <v/>
      </c>
      <c r="X479" s="20">
        <f>ROUND(X478 + IF(AND(E479=28, F479&lt;&gt;"ASTM A416"), L479, 0), 3)</f>
        <v/>
      </c>
      <c r="Y479" s="20">
        <f>ROUND(Y478 + IF(AND(E479=32, F479&lt;&gt;"ASTM A416"), L479, 0), 3)</f>
        <v/>
      </c>
      <c r="Z479" s="20">
        <f>ROUND(Z478 + IF(F479="ASTM A416", L479, 0), 3)</f>
        <v/>
      </c>
      <c r="AA479" s="11">
        <f>IF(INT(P479/20)&gt;INT(P478/20), "Lần " &amp; INT(P479/20), "")</f>
        <v/>
      </c>
      <c r="AB479" s="11">
        <f>IF(INT(Q479/20)&gt;INT(Q478/20), "Lần " &amp; INT(Q479/20), "")</f>
        <v/>
      </c>
      <c r="AC479" s="11">
        <f>IF(INT(R479/20)&gt;INT(R478/20), "Lần " &amp; INT(R479/20), "")</f>
        <v/>
      </c>
      <c r="AD479" s="11">
        <f>IF(INT(S479/20)&gt;INT(S478/20), "Lần " &amp; INT(S479/20), "")</f>
        <v/>
      </c>
      <c r="AE479" s="11">
        <f>IF(INT(T479/20)&gt;INT(T478/20), "Lần " &amp; INT(T479/20), "")</f>
        <v/>
      </c>
      <c r="AF479" s="11">
        <f>IF(INT(U479/20)&gt;INT(U478/20), "Lần " &amp; INT(U479/20), "")</f>
        <v/>
      </c>
      <c r="AG479" s="11">
        <f>IF(INT(V479/20)&gt;INT(V478/20), "Lần " &amp; INT(V479/20), "")</f>
        <v/>
      </c>
      <c r="AH479" s="11">
        <f>IF(INT(W479/20)&gt;INT(W478/20), "Lần " &amp; INT(W479/20), "")</f>
        <v/>
      </c>
      <c r="AI479" s="11">
        <f>IF(INT(X479/20)&gt;INT(X478/20), "Lần " &amp; INT(X479/20), "")</f>
        <v/>
      </c>
      <c r="AJ479" s="11">
        <f>IF(INT(Y479/20)&gt;INT(Y478/20), "Lần " &amp; INT(Y479/20), "")</f>
        <v/>
      </c>
      <c r="AK479" s="11">
        <f>IF(INT(Z479/20)&gt;INT(Z478/20), "Lần " &amp; INT(Z479/20), "")</f>
        <v/>
      </c>
      <c r="AL479" s="6" t="inlineStr">
        <is>
          <t>ĐẠT TCVN 1651:2018</t>
        </is>
      </c>
    </row>
    <row r="480" ht="19" customHeight="1">
      <c r="A480" s="6" t="n">
        <v>449</v>
      </c>
      <c r="B480" s="7" t="inlineStr">
        <is>
          <t>Mố M1</t>
        </is>
      </c>
      <c r="C480" s="7" t="inlineStr">
        <is>
          <t>Thân mố / Bệ mố</t>
        </is>
      </c>
      <c r="D480" s="18" t="inlineStr">
        <is>
          <t>W4F(P)</t>
        </is>
      </c>
      <c r="E480" s="19" t="n">
        <v>22</v>
      </c>
      <c r="F480" s="6" t="inlineStr">
        <is>
          <t>CB400-V</t>
        </is>
      </c>
      <c r="G480" s="7" t="inlineStr">
        <is>
          <t>S06</t>
        </is>
      </c>
      <c r="H480" s="20" t="n">
        <v>6.496</v>
      </c>
      <c r="I480" s="21" t="n">
        <v>1</v>
      </c>
      <c r="J480" s="22" t="n">
        <v>2.98</v>
      </c>
      <c r="K480" s="9">
        <f>ROUND(H480*I480*J480, 2)</f>
        <v/>
      </c>
      <c r="L480" s="23">
        <f>ROUND(K480/1000, 3)</f>
        <v/>
      </c>
      <c r="M480" s="8" t="n"/>
      <c r="N480" s="6" t="n"/>
      <c r="O480" s="24">
        <f>IF(AND(E480&lt;=10, F480&lt;&gt;"ASTM A416", INT(P480/20)&gt;INT(P479/20)), "TN Ø10 (Lần " &amp; INT(P480/20) &amp; ")", IF(AND(E480=12, INT(Q480/20)&gt;INT(Q479/20)), "TN Ø12 (Lần " &amp; INT(Q480/20) &amp; ")", IF(AND(E480=14, INT(R480/20)&gt;INT(R479/20)), "TN Ø14 (Lần " &amp; INT(R480/20) &amp; ")", IF(AND(E480=16, INT(S480/20)&gt;INT(S479/20)), "TN Ø16 (Lần " &amp; INT(S480/20) &amp; ")", IF(AND(E480=18, INT(T480/20)&gt;INT(T479/20)), "TN Ø18 (Lần " &amp; INT(T480/20) &amp; ")", IF(AND(E480=20, INT(U480/20)&gt;INT(U479/20)), "TN Ø20 (Lần " &amp; INT(U480/20) &amp; ")", IF(AND(E480=22, INT(V480/20)&gt;INT(V479/20)), "TN Ø22 (Lần " &amp; INT(V480/20) &amp; ")", IF(AND(E480=25, INT(W480/20)&gt;INT(W479/20)), "TN Ø25 (Lần " &amp; INT(W480/20) &amp; ")", IF(AND(E480=28, INT(X480/20)&gt;INT(X479/20)), "TN Ø28 (Lần " &amp; INT(X480/20) &amp; ")", IF(AND(E480=32, INT(Y480/20)&gt;INT(Y479/20)), "TN Ø32 (Lần " &amp; INT(Y480/20) &amp; ")", IF(AND(F480="ASTM A416", INT(Z480/20)&gt;INT(Z479/20)), "TN Cáp 15.2 (Lần " &amp; INT(Z480/20) &amp; ")", "")))))))))))</f>
        <v/>
      </c>
      <c r="P480" s="20">
        <f>ROUND(P479 + IF(AND(E480&lt;=10, F480&lt;&gt;"ASTM A416"), L480, 0), 3)</f>
        <v/>
      </c>
      <c r="Q480" s="20">
        <f>ROUND(Q479 + IF(AND(E480=12, F480&lt;&gt;"ASTM A416"), L480, 0), 3)</f>
        <v/>
      </c>
      <c r="R480" s="20">
        <f>ROUND(R479 + IF(AND(E480=14, F480&lt;&gt;"ASTM A416"), L480, 0), 3)</f>
        <v/>
      </c>
      <c r="S480" s="20">
        <f>ROUND(S479 + IF(AND(E480=16, F480&lt;&gt;"ASTM A416"), L480, 0), 3)</f>
        <v/>
      </c>
      <c r="T480" s="20">
        <f>ROUND(T479 + IF(AND(E480=18, F480&lt;&gt;"ASTM A416"), L480, 0), 3)</f>
        <v/>
      </c>
      <c r="U480" s="20">
        <f>ROUND(U479 + IF(AND(E480=20, F480&lt;&gt;"ASTM A416"), L480, 0), 3)</f>
        <v/>
      </c>
      <c r="V480" s="20">
        <f>ROUND(V479 + IF(AND(E480=22, F480&lt;&gt;"ASTM A416"), L480, 0), 3)</f>
        <v/>
      </c>
      <c r="W480" s="20">
        <f>ROUND(W479 + IF(AND(E480=25, F480&lt;&gt;"ASTM A416"), L480, 0), 3)</f>
        <v/>
      </c>
      <c r="X480" s="20">
        <f>ROUND(X479 + IF(AND(E480=28, F480&lt;&gt;"ASTM A416"), L480, 0), 3)</f>
        <v/>
      </c>
      <c r="Y480" s="20">
        <f>ROUND(Y479 + IF(AND(E480=32, F480&lt;&gt;"ASTM A416"), L480, 0), 3)</f>
        <v/>
      </c>
      <c r="Z480" s="20">
        <f>ROUND(Z479 + IF(F480="ASTM A416", L480, 0), 3)</f>
        <v/>
      </c>
      <c r="AA480" s="11">
        <f>IF(INT(P480/20)&gt;INT(P479/20), "Lần " &amp; INT(P480/20), "")</f>
        <v/>
      </c>
      <c r="AB480" s="11">
        <f>IF(INT(Q480/20)&gt;INT(Q479/20), "Lần " &amp; INT(Q480/20), "")</f>
        <v/>
      </c>
      <c r="AC480" s="11">
        <f>IF(INT(R480/20)&gt;INT(R479/20), "Lần " &amp; INT(R480/20), "")</f>
        <v/>
      </c>
      <c r="AD480" s="11">
        <f>IF(INT(S480/20)&gt;INT(S479/20), "Lần " &amp; INT(S480/20), "")</f>
        <v/>
      </c>
      <c r="AE480" s="11">
        <f>IF(INT(T480/20)&gt;INT(T479/20), "Lần " &amp; INT(T480/20), "")</f>
        <v/>
      </c>
      <c r="AF480" s="11">
        <f>IF(INT(U480/20)&gt;INT(U479/20), "Lần " &amp; INT(U480/20), "")</f>
        <v/>
      </c>
      <c r="AG480" s="11">
        <f>IF(INT(V480/20)&gt;INT(V479/20), "Lần " &amp; INT(V480/20), "")</f>
        <v/>
      </c>
      <c r="AH480" s="11">
        <f>IF(INT(W480/20)&gt;INT(W479/20), "Lần " &amp; INT(W480/20), "")</f>
        <v/>
      </c>
      <c r="AI480" s="11">
        <f>IF(INT(X480/20)&gt;INT(X479/20), "Lần " &amp; INT(X480/20), "")</f>
        <v/>
      </c>
      <c r="AJ480" s="11">
        <f>IF(INT(Y480/20)&gt;INT(Y479/20), "Lần " &amp; INT(Y480/20), "")</f>
        <v/>
      </c>
      <c r="AK480" s="11">
        <f>IF(INT(Z480/20)&gt;INT(Z479/20), "Lần " &amp; INT(Z480/20), "")</f>
        <v/>
      </c>
      <c r="AL480" s="6" t="inlineStr">
        <is>
          <t>ĐẠT TCVN 1651:2018</t>
        </is>
      </c>
    </row>
    <row r="481" ht="19" customHeight="1">
      <c r="A481" s="6" t="n">
        <v>450</v>
      </c>
      <c r="B481" s="7" t="inlineStr">
        <is>
          <t>Mố M1</t>
        </is>
      </c>
      <c r="C481" s="7" t="inlineStr">
        <is>
          <t>Thân mố / Bệ mố</t>
        </is>
      </c>
      <c r="D481" s="18" t="inlineStr">
        <is>
          <t>W5A(P)</t>
        </is>
      </c>
      <c r="E481" s="19" t="n">
        <v>16</v>
      </c>
      <c r="F481" s="6" t="inlineStr">
        <is>
          <t>CB400-V</t>
        </is>
      </c>
      <c r="G481" s="7" t="inlineStr">
        <is>
          <t>S05</t>
        </is>
      </c>
      <c r="H481" s="20" t="n">
        <v>5.211</v>
      </c>
      <c r="I481" s="21" t="n">
        <v>1</v>
      </c>
      <c r="J481" s="22" t="n">
        <v>1.58</v>
      </c>
      <c r="K481" s="9">
        <f>ROUND(H481*I481*J481, 2)</f>
        <v/>
      </c>
      <c r="L481" s="23">
        <f>ROUND(K481/1000, 3)</f>
        <v/>
      </c>
      <c r="M481" s="8" t="n"/>
      <c r="N481" s="6" t="n"/>
      <c r="O481" s="24">
        <f>IF(AND(E481&lt;=10, F481&lt;&gt;"ASTM A416", INT(P481/20)&gt;INT(P480/20)), "TN Ø10 (Lần " &amp; INT(P481/20) &amp; ")", IF(AND(E481=12, INT(Q481/20)&gt;INT(Q480/20)), "TN Ø12 (Lần " &amp; INT(Q481/20) &amp; ")", IF(AND(E481=14, INT(R481/20)&gt;INT(R480/20)), "TN Ø14 (Lần " &amp; INT(R481/20) &amp; ")", IF(AND(E481=16, INT(S481/20)&gt;INT(S480/20)), "TN Ø16 (Lần " &amp; INT(S481/20) &amp; ")", IF(AND(E481=18, INT(T481/20)&gt;INT(T480/20)), "TN Ø18 (Lần " &amp; INT(T481/20) &amp; ")", IF(AND(E481=20, INT(U481/20)&gt;INT(U480/20)), "TN Ø20 (Lần " &amp; INT(U481/20) &amp; ")", IF(AND(E481=22, INT(V481/20)&gt;INT(V480/20)), "TN Ø22 (Lần " &amp; INT(V481/20) &amp; ")", IF(AND(E481=25, INT(W481/20)&gt;INT(W480/20)), "TN Ø25 (Lần " &amp; INT(W481/20) &amp; ")", IF(AND(E481=28, INT(X481/20)&gt;INT(X480/20)), "TN Ø28 (Lần " &amp; INT(X481/20) &amp; ")", IF(AND(E481=32, INT(Y481/20)&gt;INT(Y480/20)), "TN Ø32 (Lần " &amp; INT(Y481/20) &amp; ")", IF(AND(F481="ASTM A416", INT(Z481/20)&gt;INT(Z480/20)), "TN Cáp 15.2 (Lần " &amp; INT(Z481/20) &amp; ")", "")))))))))))</f>
        <v/>
      </c>
      <c r="P481" s="20">
        <f>ROUND(P480 + IF(AND(E481&lt;=10, F481&lt;&gt;"ASTM A416"), L481, 0), 3)</f>
        <v/>
      </c>
      <c r="Q481" s="20">
        <f>ROUND(Q480 + IF(AND(E481=12, F481&lt;&gt;"ASTM A416"), L481, 0), 3)</f>
        <v/>
      </c>
      <c r="R481" s="20">
        <f>ROUND(R480 + IF(AND(E481=14, F481&lt;&gt;"ASTM A416"), L481, 0), 3)</f>
        <v/>
      </c>
      <c r="S481" s="20">
        <f>ROUND(S480 + IF(AND(E481=16, F481&lt;&gt;"ASTM A416"), L481, 0), 3)</f>
        <v/>
      </c>
      <c r="T481" s="20">
        <f>ROUND(T480 + IF(AND(E481=18, F481&lt;&gt;"ASTM A416"), L481, 0), 3)</f>
        <v/>
      </c>
      <c r="U481" s="20">
        <f>ROUND(U480 + IF(AND(E481=20, F481&lt;&gt;"ASTM A416"), L481, 0), 3)</f>
        <v/>
      </c>
      <c r="V481" s="20">
        <f>ROUND(V480 + IF(AND(E481=22, F481&lt;&gt;"ASTM A416"), L481, 0), 3)</f>
        <v/>
      </c>
      <c r="W481" s="20">
        <f>ROUND(W480 + IF(AND(E481=25, F481&lt;&gt;"ASTM A416"), L481, 0), 3)</f>
        <v/>
      </c>
      <c r="X481" s="20">
        <f>ROUND(X480 + IF(AND(E481=28, F481&lt;&gt;"ASTM A416"), L481, 0), 3)</f>
        <v/>
      </c>
      <c r="Y481" s="20">
        <f>ROUND(Y480 + IF(AND(E481=32, F481&lt;&gt;"ASTM A416"), L481, 0), 3)</f>
        <v/>
      </c>
      <c r="Z481" s="20">
        <f>ROUND(Z480 + IF(F481="ASTM A416", L481, 0), 3)</f>
        <v/>
      </c>
      <c r="AA481" s="11">
        <f>IF(INT(P481/20)&gt;INT(P480/20), "Lần " &amp; INT(P481/20), "")</f>
        <v/>
      </c>
      <c r="AB481" s="11">
        <f>IF(INT(Q481/20)&gt;INT(Q480/20), "Lần " &amp; INT(Q481/20), "")</f>
        <v/>
      </c>
      <c r="AC481" s="11">
        <f>IF(INT(R481/20)&gt;INT(R480/20), "Lần " &amp; INT(R481/20), "")</f>
        <v/>
      </c>
      <c r="AD481" s="11">
        <f>IF(INT(S481/20)&gt;INT(S480/20), "Lần " &amp; INT(S481/20), "")</f>
        <v/>
      </c>
      <c r="AE481" s="11">
        <f>IF(INT(T481/20)&gt;INT(T480/20), "Lần " &amp; INT(T481/20), "")</f>
        <v/>
      </c>
      <c r="AF481" s="11">
        <f>IF(INT(U481/20)&gt;INT(U480/20), "Lần " &amp; INT(U481/20), "")</f>
        <v/>
      </c>
      <c r="AG481" s="11">
        <f>IF(INT(V481/20)&gt;INT(V480/20), "Lần " &amp; INT(V481/20), "")</f>
        <v/>
      </c>
      <c r="AH481" s="11">
        <f>IF(INT(W481/20)&gt;INT(W480/20), "Lần " &amp; INT(W481/20), "")</f>
        <v/>
      </c>
      <c r="AI481" s="11">
        <f>IF(INT(X481/20)&gt;INT(X480/20), "Lần " &amp; INT(X481/20), "")</f>
        <v/>
      </c>
      <c r="AJ481" s="11">
        <f>IF(INT(Y481/20)&gt;INT(Y480/20), "Lần " &amp; INT(Y481/20), "")</f>
        <v/>
      </c>
      <c r="AK481" s="11">
        <f>IF(INT(Z481/20)&gt;INT(Z480/20), "Lần " &amp; INT(Z481/20), "")</f>
        <v/>
      </c>
      <c r="AL481" s="6" t="inlineStr">
        <is>
          <t>ĐẠT TCVN 1651:2018</t>
        </is>
      </c>
    </row>
    <row r="482" ht="19" customHeight="1">
      <c r="A482" s="6" t="n">
        <v>451</v>
      </c>
      <c r="B482" s="7" t="inlineStr">
        <is>
          <t>Mố M1</t>
        </is>
      </c>
      <c r="C482" s="7" t="inlineStr">
        <is>
          <t>Thân mố / Bệ mố</t>
        </is>
      </c>
      <c r="D482" s="18" t="inlineStr">
        <is>
          <t>W5B(P)</t>
        </is>
      </c>
      <c r="E482" s="19" t="n">
        <v>16</v>
      </c>
      <c r="F482" s="6" t="inlineStr">
        <is>
          <t>CB400-V</t>
        </is>
      </c>
      <c r="G482" s="7" t="inlineStr">
        <is>
          <t>S02</t>
        </is>
      </c>
      <c r="H482" s="20" t="n">
        <v>7.121</v>
      </c>
      <c r="I482" s="21" t="n">
        <v>1</v>
      </c>
      <c r="J482" s="22" t="n">
        <v>1.58</v>
      </c>
      <c r="K482" s="9">
        <f>ROUND(H482*I482*J482, 2)</f>
        <v/>
      </c>
      <c r="L482" s="23">
        <f>ROUND(K482/1000, 3)</f>
        <v/>
      </c>
      <c r="M482" s="8" t="n"/>
      <c r="N482" s="6" t="n"/>
      <c r="O482" s="24">
        <f>IF(AND(E482&lt;=10, F482&lt;&gt;"ASTM A416", INT(P482/20)&gt;INT(P481/20)), "TN Ø10 (Lần " &amp; INT(P482/20) &amp; ")", IF(AND(E482=12, INT(Q482/20)&gt;INT(Q481/20)), "TN Ø12 (Lần " &amp; INT(Q482/20) &amp; ")", IF(AND(E482=14, INT(R482/20)&gt;INT(R481/20)), "TN Ø14 (Lần " &amp; INT(R482/20) &amp; ")", IF(AND(E482=16, INT(S482/20)&gt;INT(S481/20)), "TN Ø16 (Lần " &amp; INT(S482/20) &amp; ")", IF(AND(E482=18, INT(T482/20)&gt;INT(T481/20)), "TN Ø18 (Lần " &amp; INT(T482/20) &amp; ")", IF(AND(E482=20, INT(U482/20)&gt;INT(U481/20)), "TN Ø20 (Lần " &amp; INT(U482/20) &amp; ")", IF(AND(E482=22, INT(V482/20)&gt;INT(V481/20)), "TN Ø22 (Lần " &amp; INT(V482/20) &amp; ")", IF(AND(E482=25, INT(W482/20)&gt;INT(W481/20)), "TN Ø25 (Lần " &amp; INT(W482/20) &amp; ")", IF(AND(E482=28, INT(X482/20)&gt;INT(X481/20)), "TN Ø28 (Lần " &amp; INT(X482/20) &amp; ")", IF(AND(E482=32, INT(Y482/20)&gt;INT(Y481/20)), "TN Ø32 (Lần " &amp; INT(Y482/20) &amp; ")", IF(AND(F482="ASTM A416", INT(Z482/20)&gt;INT(Z481/20)), "TN Cáp 15.2 (Lần " &amp; INT(Z482/20) &amp; ")", "")))))))))))</f>
        <v/>
      </c>
      <c r="P482" s="20">
        <f>ROUND(P481 + IF(AND(E482&lt;=10, F482&lt;&gt;"ASTM A416"), L482, 0), 3)</f>
        <v/>
      </c>
      <c r="Q482" s="20">
        <f>ROUND(Q481 + IF(AND(E482=12, F482&lt;&gt;"ASTM A416"), L482, 0), 3)</f>
        <v/>
      </c>
      <c r="R482" s="20">
        <f>ROUND(R481 + IF(AND(E482=14, F482&lt;&gt;"ASTM A416"), L482, 0), 3)</f>
        <v/>
      </c>
      <c r="S482" s="20">
        <f>ROUND(S481 + IF(AND(E482=16, F482&lt;&gt;"ASTM A416"), L482, 0), 3)</f>
        <v/>
      </c>
      <c r="T482" s="20">
        <f>ROUND(T481 + IF(AND(E482=18, F482&lt;&gt;"ASTM A416"), L482, 0), 3)</f>
        <v/>
      </c>
      <c r="U482" s="20">
        <f>ROUND(U481 + IF(AND(E482=20, F482&lt;&gt;"ASTM A416"), L482, 0), 3)</f>
        <v/>
      </c>
      <c r="V482" s="20">
        <f>ROUND(V481 + IF(AND(E482=22, F482&lt;&gt;"ASTM A416"), L482, 0), 3)</f>
        <v/>
      </c>
      <c r="W482" s="20">
        <f>ROUND(W481 + IF(AND(E482=25, F482&lt;&gt;"ASTM A416"), L482, 0), 3)</f>
        <v/>
      </c>
      <c r="X482" s="20">
        <f>ROUND(X481 + IF(AND(E482=28, F482&lt;&gt;"ASTM A416"), L482, 0), 3)</f>
        <v/>
      </c>
      <c r="Y482" s="20">
        <f>ROUND(Y481 + IF(AND(E482=32, F482&lt;&gt;"ASTM A416"), L482, 0), 3)</f>
        <v/>
      </c>
      <c r="Z482" s="20">
        <f>ROUND(Z481 + IF(F482="ASTM A416", L482, 0), 3)</f>
        <v/>
      </c>
      <c r="AA482" s="11">
        <f>IF(INT(P482/20)&gt;INT(P481/20), "Lần " &amp; INT(P482/20), "")</f>
        <v/>
      </c>
      <c r="AB482" s="11">
        <f>IF(INT(Q482/20)&gt;INT(Q481/20), "Lần " &amp; INT(Q482/20), "")</f>
        <v/>
      </c>
      <c r="AC482" s="11">
        <f>IF(INT(R482/20)&gt;INT(R481/20), "Lần " &amp; INT(R482/20), "")</f>
        <v/>
      </c>
      <c r="AD482" s="11">
        <f>IF(INT(S482/20)&gt;INT(S481/20), "Lần " &amp; INT(S482/20), "")</f>
        <v/>
      </c>
      <c r="AE482" s="11">
        <f>IF(INT(T482/20)&gt;INT(T481/20), "Lần " &amp; INT(T482/20), "")</f>
        <v/>
      </c>
      <c r="AF482" s="11">
        <f>IF(INT(U482/20)&gt;INT(U481/20), "Lần " &amp; INT(U482/20), "")</f>
        <v/>
      </c>
      <c r="AG482" s="11">
        <f>IF(INT(V482/20)&gt;INT(V481/20), "Lần " &amp; INT(V482/20), "")</f>
        <v/>
      </c>
      <c r="AH482" s="11">
        <f>IF(INT(W482/20)&gt;INT(W481/20), "Lần " &amp; INT(W482/20), "")</f>
        <v/>
      </c>
      <c r="AI482" s="11">
        <f>IF(INT(X482/20)&gt;INT(X481/20), "Lần " &amp; INT(X482/20), "")</f>
        <v/>
      </c>
      <c r="AJ482" s="11">
        <f>IF(INT(Y482/20)&gt;INT(Y481/20), "Lần " &amp; INT(Y482/20), "")</f>
        <v/>
      </c>
      <c r="AK482" s="11">
        <f>IF(INT(Z482/20)&gt;INT(Z481/20), "Lần " &amp; INT(Z482/20), "")</f>
        <v/>
      </c>
      <c r="AL482" s="6" t="inlineStr">
        <is>
          <t>ĐẠT TCVN 1651:2018</t>
        </is>
      </c>
    </row>
    <row r="483" ht="19" customHeight="1">
      <c r="A483" s="6" t="n">
        <v>452</v>
      </c>
      <c r="B483" s="7" t="inlineStr">
        <is>
          <t>Mố M1</t>
        </is>
      </c>
      <c r="C483" s="7" t="inlineStr">
        <is>
          <t>Thân mố / Bệ mố</t>
        </is>
      </c>
      <c r="D483" s="18" t="inlineStr">
        <is>
          <t>W6</t>
        </is>
      </c>
      <c r="E483" s="19" t="n">
        <v>16</v>
      </c>
      <c r="F483" s="6" t="inlineStr">
        <is>
          <t>CB400-V</t>
        </is>
      </c>
      <c r="G483" s="7" t="inlineStr">
        <is>
          <t>S06</t>
        </is>
      </c>
      <c r="H483" s="20" t="n">
        <v>0.615</v>
      </c>
      <c r="I483" s="21" t="n">
        <v>49</v>
      </c>
      <c r="J483" s="22" t="n">
        <v>1.58</v>
      </c>
      <c r="K483" s="9">
        <f>ROUND(H483*I483*J483, 2)</f>
        <v/>
      </c>
      <c r="L483" s="23">
        <f>ROUND(K483/1000, 3)</f>
        <v/>
      </c>
      <c r="M483" s="8" t="n"/>
      <c r="N483" s="6" t="n"/>
      <c r="O483" s="24">
        <f>IF(AND(E483&lt;=10, F483&lt;&gt;"ASTM A416", INT(P483/20)&gt;INT(P482/20)), "TN Ø10 (Lần " &amp; INT(P483/20) &amp; ")", IF(AND(E483=12, INT(Q483/20)&gt;INT(Q482/20)), "TN Ø12 (Lần " &amp; INT(Q483/20) &amp; ")", IF(AND(E483=14, INT(R483/20)&gt;INT(R482/20)), "TN Ø14 (Lần " &amp; INT(R483/20) &amp; ")", IF(AND(E483=16, INT(S483/20)&gt;INT(S482/20)), "TN Ø16 (Lần " &amp; INT(S483/20) &amp; ")", IF(AND(E483=18, INT(T483/20)&gt;INT(T482/20)), "TN Ø18 (Lần " &amp; INT(T483/20) &amp; ")", IF(AND(E483=20, INT(U483/20)&gt;INT(U482/20)), "TN Ø20 (Lần " &amp; INT(U483/20) &amp; ")", IF(AND(E483=22, INT(V483/20)&gt;INT(V482/20)), "TN Ø22 (Lần " &amp; INT(V483/20) &amp; ")", IF(AND(E483=25, INT(W483/20)&gt;INT(W482/20)), "TN Ø25 (Lần " &amp; INT(W483/20) &amp; ")", IF(AND(E483=28, INT(X483/20)&gt;INT(X482/20)), "TN Ø28 (Lần " &amp; INT(X483/20) &amp; ")", IF(AND(E483=32, INT(Y483/20)&gt;INT(Y482/20)), "TN Ø32 (Lần " &amp; INT(Y483/20) &amp; ")", IF(AND(F483="ASTM A416", INT(Z483/20)&gt;INT(Z482/20)), "TN Cáp 15.2 (Lần " &amp; INT(Z483/20) &amp; ")", "")))))))))))</f>
        <v/>
      </c>
      <c r="P483" s="20">
        <f>ROUND(P482 + IF(AND(E483&lt;=10, F483&lt;&gt;"ASTM A416"), L483, 0), 3)</f>
        <v/>
      </c>
      <c r="Q483" s="20">
        <f>ROUND(Q482 + IF(AND(E483=12, F483&lt;&gt;"ASTM A416"), L483, 0), 3)</f>
        <v/>
      </c>
      <c r="R483" s="20">
        <f>ROUND(R482 + IF(AND(E483=14, F483&lt;&gt;"ASTM A416"), L483, 0), 3)</f>
        <v/>
      </c>
      <c r="S483" s="20">
        <f>ROUND(S482 + IF(AND(E483=16, F483&lt;&gt;"ASTM A416"), L483, 0), 3)</f>
        <v/>
      </c>
      <c r="T483" s="20">
        <f>ROUND(T482 + IF(AND(E483=18, F483&lt;&gt;"ASTM A416"), L483, 0), 3)</f>
        <v/>
      </c>
      <c r="U483" s="20">
        <f>ROUND(U482 + IF(AND(E483=20, F483&lt;&gt;"ASTM A416"), L483, 0), 3)</f>
        <v/>
      </c>
      <c r="V483" s="20">
        <f>ROUND(V482 + IF(AND(E483=22, F483&lt;&gt;"ASTM A416"), L483, 0), 3)</f>
        <v/>
      </c>
      <c r="W483" s="20">
        <f>ROUND(W482 + IF(AND(E483=25, F483&lt;&gt;"ASTM A416"), L483, 0), 3)</f>
        <v/>
      </c>
      <c r="X483" s="20">
        <f>ROUND(X482 + IF(AND(E483=28, F483&lt;&gt;"ASTM A416"), L483, 0), 3)</f>
        <v/>
      </c>
      <c r="Y483" s="20">
        <f>ROUND(Y482 + IF(AND(E483=32, F483&lt;&gt;"ASTM A416"), L483, 0), 3)</f>
        <v/>
      </c>
      <c r="Z483" s="20">
        <f>ROUND(Z482 + IF(F483="ASTM A416", L483, 0), 3)</f>
        <v/>
      </c>
      <c r="AA483" s="11">
        <f>IF(INT(P483/20)&gt;INT(P482/20), "Lần " &amp; INT(P483/20), "")</f>
        <v/>
      </c>
      <c r="AB483" s="11">
        <f>IF(INT(Q483/20)&gt;INT(Q482/20), "Lần " &amp; INT(Q483/20), "")</f>
        <v/>
      </c>
      <c r="AC483" s="11">
        <f>IF(INT(R483/20)&gt;INT(R482/20), "Lần " &amp; INT(R483/20), "")</f>
        <v/>
      </c>
      <c r="AD483" s="11">
        <f>IF(INT(S483/20)&gt;INT(S482/20), "Lần " &amp; INT(S483/20), "")</f>
        <v/>
      </c>
      <c r="AE483" s="11">
        <f>IF(INT(T483/20)&gt;INT(T482/20), "Lần " &amp; INT(T483/20), "")</f>
        <v/>
      </c>
      <c r="AF483" s="11">
        <f>IF(INT(U483/20)&gt;INT(U482/20), "Lần " &amp; INT(U483/20), "")</f>
        <v/>
      </c>
      <c r="AG483" s="11">
        <f>IF(INT(V483/20)&gt;INT(V482/20), "Lần " &amp; INT(V483/20), "")</f>
        <v/>
      </c>
      <c r="AH483" s="11">
        <f>IF(INT(W483/20)&gt;INT(W482/20), "Lần " &amp; INT(W483/20), "")</f>
        <v/>
      </c>
      <c r="AI483" s="11">
        <f>IF(INT(X483/20)&gt;INT(X482/20), "Lần " &amp; INT(X483/20), "")</f>
        <v/>
      </c>
      <c r="AJ483" s="11">
        <f>IF(INT(Y483/20)&gt;INT(Y482/20), "Lần " &amp; INT(Y483/20), "")</f>
        <v/>
      </c>
      <c r="AK483" s="11">
        <f>IF(INT(Z483/20)&gt;INT(Z482/20), "Lần " &amp; INT(Z483/20), "")</f>
        <v/>
      </c>
      <c r="AL483" s="6" t="inlineStr">
        <is>
          <t>ĐẠT TCVN 1651:2018</t>
        </is>
      </c>
    </row>
    <row r="484" ht="19" customHeight="1">
      <c r="A484" s="6" t="n">
        <v>453</v>
      </c>
      <c r="B484" s="7" t="inlineStr">
        <is>
          <t>Mố M1</t>
        </is>
      </c>
      <c r="C484" s="7" t="inlineStr">
        <is>
          <t>Thân mố / Bệ mố</t>
        </is>
      </c>
      <c r="D484" s="18" t="inlineStr">
        <is>
          <t>W7</t>
        </is>
      </c>
      <c r="E484" s="19" t="n">
        <v>16</v>
      </c>
      <c r="F484" s="6" t="inlineStr">
        <is>
          <t>CB400-V</t>
        </is>
      </c>
      <c r="G484" s="7" t="inlineStr">
        <is>
          <t>S06</t>
        </is>
      </c>
      <c r="H484" s="20" t="n">
        <v>0.615</v>
      </c>
      <c r="I484" s="21" t="n">
        <v>46</v>
      </c>
      <c r="J484" s="22" t="n">
        <v>1.58</v>
      </c>
      <c r="K484" s="9">
        <f>ROUND(H484*I484*J484, 2)</f>
        <v/>
      </c>
      <c r="L484" s="23">
        <f>ROUND(K484/1000, 3)</f>
        <v/>
      </c>
      <c r="M484" s="8" t="n"/>
      <c r="N484" s="6" t="n"/>
      <c r="O484" s="24">
        <f>IF(AND(E484&lt;=10, F484&lt;&gt;"ASTM A416", INT(P484/20)&gt;INT(P483/20)), "TN Ø10 (Lần " &amp; INT(P484/20) &amp; ")", IF(AND(E484=12, INT(Q484/20)&gt;INT(Q483/20)), "TN Ø12 (Lần " &amp; INT(Q484/20) &amp; ")", IF(AND(E484=14, INT(R484/20)&gt;INT(R483/20)), "TN Ø14 (Lần " &amp; INT(R484/20) &amp; ")", IF(AND(E484=16, INT(S484/20)&gt;INT(S483/20)), "TN Ø16 (Lần " &amp; INT(S484/20) &amp; ")", IF(AND(E484=18, INT(T484/20)&gt;INT(T483/20)), "TN Ø18 (Lần " &amp; INT(T484/20) &amp; ")", IF(AND(E484=20, INT(U484/20)&gt;INT(U483/20)), "TN Ø20 (Lần " &amp; INT(U484/20) &amp; ")", IF(AND(E484=22, INT(V484/20)&gt;INT(V483/20)), "TN Ø22 (Lần " &amp; INT(V484/20) &amp; ")", IF(AND(E484=25, INT(W484/20)&gt;INT(W483/20)), "TN Ø25 (Lần " &amp; INT(W484/20) &amp; ")", IF(AND(E484=28, INT(X484/20)&gt;INT(X483/20)), "TN Ø28 (Lần " &amp; INT(X484/20) &amp; ")", IF(AND(E484=32, INT(Y484/20)&gt;INT(Y483/20)), "TN Ø32 (Lần " &amp; INT(Y484/20) &amp; ")", IF(AND(F484="ASTM A416", INT(Z484/20)&gt;INT(Z483/20)), "TN Cáp 15.2 (Lần " &amp; INT(Z484/20) &amp; ")", "")))))))))))</f>
        <v/>
      </c>
      <c r="P484" s="20">
        <f>ROUND(P483 + IF(AND(E484&lt;=10, F484&lt;&gt;"ASTM A416"), L484, 0), 3)</f>
        <v/>
      </c>
      <c r="Q484" s="20">
        <f>ROUND(Q483 + IF(AND(E484=12, F484&lt;&gt;"ASTM A416"), L484, 0), 3)</f>
        <v/>
      </c>
      <c r="R484" s="20">
        <f>ROUND(R483 + IF(AND(E484=14, F484&lt;&gt;"ASTM A416"), L484, 0), 3)</f>
        <v/>
      </c>
      <c r="S484" s="20">
        <f>ROUND(S483 + IF(AND(E484=16, F484&lt;&gt;"ASTM A416"), L484, 0), 3)</f>
        <v/>
      </c>
      <c r="T484" s="20">
        <f>ROUND(T483 + IF(AND(E484=18, F484&lt;&gt;"ASTM A416"), L484, 0), 3)</f>
        <v/>
      </c>
      <c r="U484" s="20">
        <f>ROUND(U483 + IF(AND(E484=20, F484&lt;&gt;"ASTM A416"), L484, 0), 3)</f>
        <v/>
      </c>
      <c r="V484" s="20">
        <f>ROUND(V483 + IF(AND(E484=22, F484&lt;&gt;"ASTM A416"), L484, 0), 3)</f>
        <v/>
      </c>
      <c r="W484" s="20">
        <f>ROUND(W483 + IF(AND(E484=25, F484&lt;&gt;"ASTM A416"), L484, 0), 3)</f>
        <v/>
      </c>
      <c r="X484" s="20">
        <f>ROUND(X483 + IF(AND(E484=28, F484&lt;&gt;"ASTM A416"), L484, 0), 3)</f>
        <v/>
      </c>
      <c r="Y484" s="20">
        <f>ROUND(Y483 + IF(AND(E484=32, F484&lt;&gt;"ASTM A416"), L484, 0), 3)</f>
        <v/>
      </c>
      <c r="Z484" s="20">
        <f>ROUND(Z483 + IF(F484="ASTM A416", L484, 0), 3)</f>
        <v/>
      </c>
      <c r="AA484" s="11">
        <f>IF(INT(P484/20)&gt;INT(P483/20), "Lần " &amp; INT(P484/20), "")</f>
        <v/>
      </c>
      <c r="AB484" s="11">
        <f>IF(INT(Q484/20)&gt;INT(Q483/20), "Lần " &amp; INT(Q484/20), "")</f>
        <v/>
      </c>
      <c r="AC484" s="11">
        <f>IF(INT(R484/20)&gt;INT(R483/20), "Lần " &amp; INT(R484/20), "")</f>
        <v/>
      </c>
      <c r="AD484" s="11">
        <f>IF(INT(S484/20)&gt;INT(S483/20), "Lần " &amp; INT(S484/20), "")</f>
        <v/>
      </c>
      <c r="AE484" s="11">
        <f>IF(INT(T484/20)&gt;INT(T483/20), "Lần " &amp; INT(T484/20), "")</f>
        <v/>
      </c>
      <c r="AF484" s="11">
        <f>IF(INT(U484/20)&gt;INT(U483/20), "Lần " &amp; INT(U484/20), "")</f>
        <v/>
      </c>
      <c r="AG484" s="11">
        <f>IF(INT(V484/20)&gt;INT(V483/20), "Lần " &amp; INT(V484/20), "")</f>
        <v/>
      </c>
      <c r="AH484" s="11">
        <f>IF(INT(W484/20)&gt;INT(W483/20), "Lần " &amp; INT(W484/20), "")</f>
        <v/>
      </c>
      <c r="AI484" s="11">
        <f>IF(INT(X484/20)&gt;INT(X483/20), "Lần " &amp; INT(X484/20), "")</f>
        <v/>
      </c>
      <c r="AJ484" s="11">
        <f>IF(INT(Y484/20)&gt;INT(Y483/20), "Lần " &amp; INT(Y484/20), "")</f>
        <v/>
      </c>
      <c r="AK484" s="11">
        <f>IF(INT(Z484/20)&gt;INT(Z483/20), "Lần " &amp; INT(Z484/20), "")</f>
        <v/>
      </c>
      <c r="AL484" s="6" t="inlineStr">
        <is>
          <t>ĐẠT TCVN 1651:2018</t>
        </is>
      </c>
    </row>
    <row r="485" ht="19" customHeight="1">
      <c r="A485" s="6" t="n">
        <v>454</v>
      </c>
      <c r="B485" s="7" t="inlineStr">
        <is>
          <t>Mố M1</t>
        </is>
      </c>
      <c r="C485" s="7" t="inlineStr">
        <is>
          <t>Thân mố / Bệ mố</t>
        </is>
      </c>
      <c r="D485" s="18" t="inlineStr">
        <is>
          <t>W8(P)</t>
        </is>
      </c>
      <c r="E485" s="19" t="n">
        <v>16</v>
      </c>
      <c r="F485" s="6" t="inlineStr">
        <is>
          <t>CB400-V</t>
        </is>
      </c>
      <c r="G485" s="7" t="inlineStr">
        <is>
          <t>S02</t>
        </is>
      </c>
      <c r="H485" s="20" t="n">
        <v>8.749000000000001</v>
      </c>
      <c r="I485" s="21" t="n">
        <v>2</v>
      </c>
      <c r="J485" s="22" t="n">
        <v>1.58</v>
      </c>
      <c r="K485" s="9">
        <f>ROUND(H485*I485*J485, 2)</f>
        <v/>
      </c>
      <c r="L485" s="23">
        <f>ROUND(K485/1000, 3)</f>
        <v/>
      </c>
      <c r="M485" s="8" t="n"/>
      <c r="N485" s="6" t="n"/>
      <c r="O485" s="24">
        <f>IF(AND(E485&lt;=10, F485&lt;&gt;"ASTM A416", INT(P485/20)&gt;INT(P484/20)), "TN Ø10 (Lần " &amp; INT(P485/20) &amp; ")", IF(AND(E485=12, INT(Q485/20)&gt;INT(Q484/20)), "TN Ø12 (Lần " &amp; INT(Q485/20) &amp; ")", IF(AND(E485=14, INT(R485/20)&gt;INT(R484/20)), "TN Ø14 (Lần " &amp; INT(R485/20) &amp; ")", IF(AND(E485=16, INT(S485/20)&gt;INT(S484/20)), "TN Ø16 (Lần " &amp; INT(S485/20) &amp; ")", IF(AND(E485=18, INT(T485/20)&gt;INT(T484/20)), "TN Ø18 (Lần " &amp; INT(T485/20) &amp; ")", IF(AND(E485=20, INT(U485/20)&gt;INT(U484/20)), "TN Ø20 (Lần " &amp; INT(U485/20) &amp; ")", IF(AND(E485=22, INT(V485/20)&gt;INT(V484/20)), "TN Ø22 (Lần " &amp; INT(V485/20) &amp; ")", IF(AND(E485=25, INT(W485/20)&gt;INT(W484/20)), "TN Ø25 (Lần " &amp; INT(W485/20) &amp; ")", IF(AND(E485=28, INT(X485/20)&gt;INT(X484/20)), "TN Ø28 (Lần " &amp; INT(X485/20) &amp; ")", IF(AND(E485=32, INT(Y485/20)&gt;INT(Y484/20)), "TN Ø32 (Lần " &amp; INT(Y485/20) &amp; ")", IF(AND(F485="ASTM A416", INT(Z485/20)&gt;INT(Z484/20)), "TN Cáp 15.2 (Lần " &amp; INT(Z485/20) &amp; ")", "")))))))))))</f>
        <v/>
      </c>
      <c r="P485" s="20">
        <f>ROUND(P484 + IF(AND(E485&lt;=10, F485&lt;&gt;"ASTM A416"), L485, 0), 3)</f>
        <v/>
      </c>
      <c r="Q485" s="20">
        <f>ROUND(Q484 + IF(AND(E485=12, F485&lt;&gt;"ASTM A416"), L485, 0), 3)</f>
        <v/>
      </c>
      <c r="R485" s="20">
        <f>ROUND(R484 + IF(AND(E485=14, F485&lt;&gt;"ASTM A416"), L485, 0), 3)</f>
        <v/>
      </c>
      <c r="S485" s="20">
        <f>ROUND(S484 + IF(AND(E485=16, F485&lt;&gt;"ASTM A416"), L485, 0), 3)</f>
        <v/>
      </c>
      <c r="T485" s="20">
        <f>ROUND(T484 + IF(AND(E485=18, F485&lt;&gt;"ASTM A416"), L485, 0), 3)</f>
        <v/>
      </c>
      <c r="U485" s="20">
        <f>ROUND(U484 + IF(AND(E485=20, F485&lt;&gt;"ASTM A416"), L485, 0), 3)</f>
        <v/>
      </c>
      <c r="V485" s="20">
        <f>ROUND(V484 + IF(AND(E485=22, F485&lt;&gt;"ASTM A416"), L485, 0), 3)</f>
        <v/>
      </c>
      <c r="W485" s="20">
        <f>ROUND(W484 + IF(AND(E485=25, F485&lt;&gt;"ASTM A416"), L485, 0), 3)</f>
        <v/>
      </c>
      <c r="X485" s="20">
        <f>ROUND(X484 + IF(AND(E485=28, F485&lt;&gt;"ASTM A416"), L485, 0), 3)</f>
        <v/>
      </c>
      <c r="Y485" s="20">
        <f>ROUND(Y484 + IF(AND(E485=32, F485&lt;&gt;"ASTM A416"), L485, 0), 3)</f>
        <v/>
      </c>
      <c r="Z485" s="20">
        <f>ROUND(Z484 + IF(F485="ASTM A416", L485, 0), 3)</f>
        <v/>
      </c>
      <c r="AA485" s="11">
        <f>IF(INT(P485/20)&gt;INT(P484/20), "Lần " &amp; INT(P485/20), "")</f>
        <v/>
      </c>
      <c r="AB485" s="11">
        <f>IF(INT(Q485/20)&gt;INT(Q484/20), "Lần " &amp; INT(Q485/20), "")</f>
        <v/>
      </c>
      <c r="AC485" s="11">
        <f>IF(INT(R485/20)&gt;INT(R484/20), "Lần " &amp; INT(R485/20), "")</f>
        <v/>
      </c>
      <c r="AD485" s="11">
        <f>IF(INT(S485/20)&gt;INT(S484/20), "Lần " &amp; INT(S485/20), "")</f>
        <v/>
      </c>
      <c r="AE485" s="11">
        <f>IF(INT(T485/20)&gt;INT(T484/20), "Lần " &amp; INT(T485/20), "")</f>
        <v/>
      </c>
      <c r="AF485" s="11">
        <f>IF(INT(U485/20)&gt;INT(U484/20), "Lần " &amp; INT(U485/20), "")</f>
        <v/>
      </c>
      <c r="AG485" s="11">
        <f>IF(INT(V485/20)&gt;INT(V484/20), "Lần " &amp; INT(V485/20), "")</f>
        <v/>
      </c>
      <c r="AH485" s="11">
        <f>IF(INT(W485/20)&gt;INT(W484/20), "Lần " &amp; INT(W485/20), "")</f>
        <v/>
      </c>
      <c r="AI485" s="11">
        <f>IF(INT(X485/20)&gt;INT(X484/20), "Lần " &amp; INT(X485/20), "")</f>
        <v/>
      </c>
      <c r="AJ485" s="11">
        <f>IF(INT(Y485/20)&gt;INT(Y484/20), "Lần " &amp; INT(Y485/20), "")</f>
        <v/>
      </c>
      <c r="AK485" s="11">
        <f>IF(INT(Z485/20)&gt;INT(Z484/20), "Lần " &amp; INT(Z485/20), "")</f>
        <v/>
      </c>
      <c r="AL485" s="6" t="inlineStr">
        <is>
          <t>ĐẠT TCVN 1651:2018</t>
        </is>
      </c>
    </row>
    <row r="486" ht="19" customHeight="1">
      <c r="A486" s="6" t="n">
        <v>455</v>
      </c>
      <c r="B486" s="7" t="inlineStr">
        <is>
          <t>Mố M1</t>
        </is>
      </c>
      <c r="C486" s="7" t="inlineStr">
        <is>
          <t>Thân mố / Bệ mố</t>
        </is>
      </c>
      <c r="D486" s="18" t="inlineStr">
        <is>
          <t>W9</t>
        </is>
      </c>
      <c r="E486" s="19" t="n">
        <v>16</v>
      </c>
      <c r="F486" s="6" t="inlineStr">
        <is>
          <t>CB400-V</t>
        </is>
      </c>
      <c r="G486" s="7" t="inlineStr">
        <is>
          <t>S05</t>
        </is>
      </c>
      <c r="H486" s="20" t="n">
        <v>1.881</v>
      </c>
      <c r="I486" s="21" t="n">
        <v>40</v>
      </c>
      <c r="J486" s="22" t="n">
        <v>1.58</v>
      </c>
      <c r="K486" s="9">
        <f>ROUND(H486*I486*J486, 2)</f>
        <v/>
      </c>
      <c r="L486" s="23">
        <f>ROUND(K486/1000, 3)</f>
        <v/>
      </c>
      <c r="M486" s="8" t="n"/>
      <c r="N486" s="6" t="n"/>
      <c r="O486" s="24">
        <f>IF(AND(E486&lt;=10, F486&lt;&gt;"ASTM A416", INT(P486/20)&gt;INT(P485/20)), "TN Ø10 (Lần " &amp; INT(P486/20) &amp; ")", IF(AND(E486=12, INT(Q486/20)&gt;INT(Q485/20)), "TN Ø12 (Lần " &amp; INT(Q486/20) &amp; ")", IF(AND(E486=14, INT(R486/20)&gt;INT(R485/20)), "TN Ø14 (Lần " &amp; INT(R486/20) &amp; ")", IF(AND(E486=16, INT(S486/20)&gt;INT(S485/20)), "TN Ø16 (Lần " &amp; INT(S486/20) &amp; ")", IF(AND(E486=18, INT(T486/20)&gt;INT(T485/20)), "TN Ø18 (Lần " &amp; INT(T486/20) &amp; ")", IF(AND(E486=20, INT(U486/20)&gt;INT(U485/20)), "TN Ø20 (Lần " &amp; INT(U486/20) &amp; ")", IF(AND(E486=22, INT(V486/20)&gt;INT(V485/20)), "TN Ø22 (Lần " &amp; INT(V486/20) &amp; ")", IF(AND(E486=25, INT(W486/20)&gt;INT(W485/20)), "TN Ø25 (Lần " &amp; INT(W486/20) &amp; ")", IF(AND(E486=28, INT(X486/20)&gt;INT(X485/20)), "TN Ø28 (Lần " &amp; INT(X486/20) &amp; ")", IF(AND(E486=32, INT(Y486/20)&gt;INT(Y485/20)), "TN Ø32 (Lần " &amp; INT(Y486/20) &amp; ")", IF(AND(F486="ASTM A416", INT(Z486/20)&gt;INT(Z485/20)), "TN Cáp 15.2 (Lần " &amp; INT(Z486/20) &amp; ")", "")))))))))))</f>
        <v/>
      </c>
      <c r="P486" s="20">
        <f>ROUND(P485 + IF(AND(E486&lt;=10, F486&lt;&gt;"ASTM A416"), L486, 0), 3)</f>
        <v/>
      </c>
      <c r="Q486" s="20">
        <f>ROUND(Q485 + IF(AND(E486=12, F486&lt;&gt;"ASTM A416"), L486, 0), 3)</f>
        <v/>
      </c>
      <c r="R486" s="20">
        <f>ROUND(R485 + IF(AND(E486=14, F486&lt;&gt;"ASTM A416"), L486, 0), 3)</f>
        <v/>
      </c>
      <c r="S486" s="20">
        <f>ROUND(S485 + IF(AND(E486=16, F486&lt;&gt;"ASTM A416"), L486, 0), 3)</f>
        <v/>
      </c>
      <c r="T486" s="20">
        <f>ROUND(T485 + IF(AND(E486=18, F486&lt;&gt;"ASTM A416"), L486, 0), 3)</f>
        <v/>
      </c>
      <c r="U486" s="20">
        <f>ROUND(U485 + IF(AND(E486=20, F486&lt;&gt;"ASTM A416"), L486, 0), 3)</f>
        <v/>
      </c>
      <c r="V486" s="20">
        <f>ROUND(V485 + IF(AND(E486=22, F486&lt;&gt;"ASTM A416"), L486, 0), 3)</f>
        <v/>
      </c>
      <c r="W486" s="20">
        <f>ROUND(W485 + IF(AND(E486=25, F486&lt;&gt;"ASTM A416"), L486, 0), 3)</f>
        <v/>
      </c>
      <c r="X486" s="20">
        <f>ROUND(X485 + IF(AND(E486=28, F486&lt;&gt;"ASTM A416"), L486, 0), 3)</f>
        <v/>
      </c>
      <c r="Y486" s="20">
        <f>ROUND(Y485 + IF(AND(E486=32, F486&lt;&gt;"ASTM A416"), L486, 0), 3)</f>
        <v/>
      </c>
      <c r="Z486" s="20">
        <f>ROUND(Z485 + IF(F486="ASTM A416", L486, 0), 3)</f>
        <v/>
      </c>
      <c r="AA486" s="11">
        <f>IF(INT(P486/20)&gt;INT(P485/20), "Lần " &amp; INT(P486/20), "")</f>
        <v/>
      </c>
      <c r="AB486" s="11">
        <f>IF(INT(Q486/20)&gt;INT(Q485/20), "Lần " &amp; INT(Q486/20), "")</f>
        <v/>
      </c>
      <c r="AC486" s="11">
        <f>IF(INT(R486/20)&gt;INT(R485/20), "Lần " &amp; INT(R486/20), "")</f>
        <v/>
      </c>
      <c r="AD486" s="11">
        <f>IF(INT(S486/20)&gt;INT(S485/20), "Lần " &amp; INT(S486/20), "")</f>
        <v/>
      </c>
      <c r="AE486" s="11">
        <f>IF(INT(T486/20)&gt;INT(T485/20), "Lần " &amp; INT(T486/20), "")</f>
        <v/>
      </c>
      <c r="AF486" s="11">
        <f>IF(INT(U486/20)&gt;INT(U485/20), "Lần " &amp; INT(U486/20), "")</f>
        <v/>
      </c>
      <c r="AG486" s="11">
        <f>IF(INT(V486/20)&gt;INT(V485/20), "Lần " &amp; INT(V486/20), "")</f>
        <v/>
      </c>
      <c r="AH486" s="11">
        <f>IF(INT(W486/20)&gt;INT(W485/20), "Lần " &amp; INT(W486/20), "")</f>
        <v/>
      </c>
      <c r="AI486" s="11">
        <f>IF(INT(X486/20)&gt;INT(X485/20), "Lần " &amp; INT(X486/20), "")</f>
        <v/>
      </c>
      <c r="AJ486" s="11">
        <f>IF(INT(Y486/20)&gt;INT(Y485/20), "Lần " &amp; INT(Y486/20), "")</f>
        <v/>
      </c>
      <c r="AK486" s="11">
        <f>IF(INT(Z486/20)&gt;INT(Z485/20), "Lần " &amp; INT(Z486/20), "")</f>
        <v/>
      </c>
      <c r="AL486" s="6" t="inlineStr">
        <is>
          <t>ĐẠT TCVN 1651:2018</t>
        </is>
      </c>
    </row>
    <row r="487" ht="19" customHeight="1">
      <c r="A487" s="6" t="n">
        <v>456</v>
      </c>
      <c r="B487" s="7" t="inlineStr">
        <is>
          <t>Mố M1</t>
        </is>
      </c>
      <c r="C487" s="7" t="inlineStr">
        <is>
          <t>TƯỜNG CÁNH PHẢI</t>
        </is>
      </c>
      <c r="D487" s="18" t="inlineStr">
        <is>
          <t>W1A(T)</t>
        </is>
      </c>
      <c r="E487" s="19" t="n">
        <v>16</v>
      </c>
      <c r="F487" s="6" t="inlineStr">
        <is>
          <t>CB400-V</t>
        </is>
      </c>
      <c r="G487" s="7" t="inlineStr">
        <is>
          <t>S06</t>
        </is>
      </c>
      <c r="H487" s="20" t="n">
        <v>7.558</v>
      </c>
      <c r="I487" s="21" t="n">
        <v>23</v>
      </c>
      <c r="J487" s="22" t="n">
        <v>1.58</v>
      </c>
      <c r="K487" s="9">
        <f>ROUND(H487*I487*J487, 2)</f>
        <v/>
      </c>
      <c r="L487" s="23">
        <f>ROUND(K487/1000, 3)</f>
        <v/>
      </c>
      <c r="M487" s="8" t="n"/>
      <c r="N487" s="6" t="n"/>
      <c r="O487" s="24">
        <f>IF(AND(E487&lt;=10, F487&lt;&gt;"ASTM A416", INT(P487/20)&gt;INT(P486/20)), "TN Ø10 (Lần " &amp; INT(P487/20) &amp; ")", IF(AND(E487=12, INT(Q487/20)&gt;INT(Q486/20)), "TN Ø12 (Lần " &amp; INT(Q487/20) &amp; ")", IF(AND(E487=14, INT(R487/20)&gt;INT(R486/20)), "TN Ø14 (Lần " &amp; INT(R487/20) &amp; ")", IF(AND(E487=16, INT(S487/20)&gt;INT(S486/20)), "TN Ø16 (Lần " &amp; INT(S487/20) &amp; ")", IF(AND(E487=18, INT(T487/20)&gt;INT(T486/20)), "TN Ø18 (Lần " &amp; INT(T487/20) &amp; ")", IF(AND(E487=20, INT(U487/20)&gt;INT(U486/20)), "TN Ø20 (Lần " &amp; INT(U487/20) &amp; ")", IF(AND(E487=22, INT(V487/20)&gt;INT(V486/20)), "TN Ø22 (Lần " &amp; INT(V487/20) &amp; ")", IF(AND(E487=25, INT(W487/20)&gt;INT(W486/20)), "TN Ø25 (Lần " &amp; INT(W487/20) &amp; ")", IF(AND(E487=28, INT(X487/20)&gt;INT(X486/20)), "TN Ø28 (Lần " &amp; INT(X487/20) &amp; ")", IF(AND(E487=32, INT(Y487/20)&gt;INT(Y486/20)), "TN Ø32 (Lần " &amp; INT(Y487/20) &amp; ")", IF(AND(F487="ASTM A416", INT(Z487/20)&gt;INT(Z486/20)), "TN Cáp 15.2 (Lần " &amp; INT(Z487/20) &amp; ")", "")))))))))))</f>
        <v/>
      </c>
      <c r="P487" s="20">
        <f>ROUND(P486 + IF(AND(E487&lt;=10, F487&lt;&gt;"ASTM A416"), L487, 0), 3)</f>
        <v/>
      </c>
      <c r="Q487" s="20">
        <f>ROUND(Q486 + IF(AND(E487=12, F487&lt;&gt;"ASTM A416"), L487, 0), 3)</f>
        <v/>
      </c>
      <c r="R487" s="20">
        <f>ROUND(R486 + IF(AND(E487=14, F487&lt;&gt;"ASTM A416"), L487, 0), 3)</f>
        <v/>
      </c>
      <c r="S487" s="20">
        <f>ROUND(S486 + IF(AND(E487=16, F487&lt;&gt;"ASTM A416"), L487, 0), 3)</f>
        <v/>
      </c>
      <c r="T487" s="20">
        <f>ROUND(T486 + IF(AND(E487=18, F487&lt;&gt;"ASTM A416"), L487, 0), 3)</f>
        <v/>
      </c>
      <c r="U487" s="20">
        <f>ROUND(U486 + IF(AND(E487=20, F487&lt;&gt;"ASTM A416"), L487, 0), 3)</f>
        <v/>
      </c>
      <c r="V487" s="20">
        <f>ROUND(V486 + IF(AND(E487=22, F487&lt;&gt;"ASTM A416"), L487, 0), 3)</f>
        <v/>
      </c>
      <c r="W487" s="20">
        <f>ROUND(W486 + IF(AND(E487=25, F487&lt;&gt;"ASTM A416"), L487, 0), 3)</f>
        <v/>
      </c>
      <c r="X487" s="20">
        <f>ROUND(X486 + IF(AND(E487=28, F487&lt;&gt;"ASTM A416"), L487, 0), 3)</f>
        <v/>
      </c>
      <c r="Y487" s="20">
        <f>ROUND(Y486 + IF(AND(E487=32, F487&lt;&gt;"ASTM A416"), L487, 0), 3)</f>
        <v/>
      </c>
      <c r="Z487" s="20">
        <f>ROUND(Z486 + IF(F487="ASTM A416", L487, 0), 3)</f>
        <v/>
      </c>
      <c r="AA487" s="11">
        <f>IF(INT(P487/20)&gt;INT(P486/20), "Lần " &amp; INT(P487/20), "")</f>
        <v/>
      </c>
      <c r="AB487" s="11">
        <f>IF(INT(Q487/20)&gt;INT(Q486/20), "Lần " &amp; INT(Q487/20), "")</f>
        <v/>
      </c>
      <c r="AC487" s="11">
        <f>IF(INT(R487/20)&gt;INT(R486/20), "Lần " &amp; INT(R487/20), "")</f>
        <v/>
      </c>
      <c r="AD487" s="11">
        <f>IF(INT(S487/20)&gt;INT(S486/20), "Lần " &amp; INT(S487/20), "")</f>
        <v/>
      </c>
      <c r="AE487" s="11">
        <f>IF(INT(T487/20)&gt;INT(T486/20), "Lần " &amp; INT(T487/20), "")</f>
        <v/>
      </c>
      <c r="AF487" s="11">
        <f>IF(INT(U487/20)&gt;INT(U486/20), "Lần " &amp; INT(U487/20), "")</f>
        <v/>
      </c>
      <c r="AG487" s="11">
        <f>IF(INT(V487/20)&gt;INT(V486/20), "Lần " &amp; INT(V487/20), "")</f>
        <v/>
      </c>
      <c r="AH487" s="11">
        <f>IF(INT(W487/20)&gt;INT(W486/20), "Lần " &amp; INT(W487/20), "")</f>
        <v/>
      </c>
      <c r="AI487" s="11">
        <f>IF(INT(X487/20)&gt;INT(X486/20), "Lần " &amp; INT(X487/20), "")</f>
        <v/>
      </c>
      <c r="AJ487" s="11">
        <f>IF(INT(Y487/20)&gt;INT(Y486/20), "Lần " &amp; INT(Y487/20), "")</f>
        <v/>
      </c>
      <c r="AK487" s="11">
        <f>IF(INT(Z487/20)&gt;INT(Z486/20), "Lần " &amp; INT(Z487/20), "")</f>
        <v/>
      </c>
      <c r="AL487" s="6" t="inlineStr">
        <is>
          <t>ĐẠT TCVN 1651:2018</t>
        </is>
      </c>
    </row>
    <row r="488" ht="19" customHeight="1">
      <c r="A488" s="6" t="n">
        <v>457</v>
      </c>
      <c r="B488" s="7" t="inlineStr">
        <is>
          <t>Mố M1</t>
        </is>
      </c>
      <c r="C488" s="7" t="inlineStr">
        <is>
          <t>Thân mố / Bệ mố</t>
        </is>
      </c>
      <c r="D488" s="18" t="inlineStr">
        <is>
          <t>W1B(T)</t>
        </is>
      </c>
      <c r="E488" s="19" t="n">
        <v>16</v>
      </c>
      <c r="F488" s="6" t="inlineStr">
        <is>
          <t>CB400-V</t>
        </is>
      </c>
      <c r="G488" s="7" t="inlineStr">
        <is>
          <t>S06</t>
        </is>
      </c>
      <c r="H488" s="20" t="n">
        <v>2.791</v>
      </c>
      <c r="I488" s="21" t="n">
        <v>17</v>
      </c>
      <c r="J488" s="22" t="n">
        <v>1.58</v>
      </c>
      <c r="K488" s="9">
        <f>ROUND(H488*I488*J488, 2)</f>
        <v/>
      </c>
      <c r="L488" s="23">
        <f>ROUND(K488/1000, 3)</f>
        <v/>
      </c>
      <c r="M488" s="8" t="n"/>
      <c r="N488" s="6" t="n"/>
      <c r="O488" s="24">
        <f>IF(AND(E488&lt;=10, F488&lt;&gt;"ASTM A416", INT(P488/20)&gt;INT(P487/20)), "TN Ø10 (Lần " &amp; INT(P488/20) &amp; ")", IF(AND(E488=12, INT(Q488/20)&gt;INT(Q487/20)), "TN Ø12 (Lần " &amp; INT(Q488/20) &amp; ")", IF(AND(E488=14, INT(R488/20)&gt;INT(R487/20)), "TN Ø14 (Lần " &amp; INT(R488/20) &amp; ")", IF(AND(E488=16, INT(S488/20)&gt;INT(S487/20)), "TN Ø16 (Lần " &amp; INT(S488/20) &amp; ")", IF(AND(E488=18, INT(T488/20)&gt;INT(T487/20)), "TN Ø18 (Lần " &amp; INT(T488/20) &amp; ")", IF(AND(E488=20, INT(U488/20)&gt;INT(U487/20)), "TN Ø20 (Lần " &amp; INT(U488/20) &amp; ")", IF(AND(E488=22, INT(V488/20)&gt;INT(V487/20)), "TN Ø22 (Lần " &amp; INT(V488/20) &amp; ")", IF(AND(E488=25, INT(W488/20)&gt;INT(W487/20)), "TN Ø25 (Lần " &amp; INT(W488/20) &amp; ")", IF(AND(E488=28, INT(X488/20)&gt;INT(X487/20)), "TN Ø28 (Lần " &amp; INT(X488/20) &amp; ")", IF(AND(E488=32, INT(Y488/20)&gt;INT(Y487/20)), "TN Ø32 (Lần " &amp; INT(Y488/20) &amp; ")", IF(AND(F488="ASTM A416", INT(Z488/20)&gt;INT(Z487/20)), "TN Cáp 15.2 (Lần " &amp; INT(Z488/20) &amp; ")", "")))))))))))</f>
        <v/>
      </c>
      <c r="P488" s="20">
        <f>ROUND(P487 + IF(AND(E488&lt;=10, F488&lt;&gt;"ASTM A416"), L488, 0), 3)</f>
        <v/>
      </c>
      <c r="Q488" s="20">
        <f>ROUND(Q487 + IF(AND(E488=12, F488&lt;&gt;"ASTM A416"), L488, 0), 3)</f>
        <v/>
      </c>
      <c r="R488" s="20">
        <f>ROUND(R487 + IF(AND(E488=14, F488&lt;&gt;"ASTM A416"), L488, 0), 3)</f>
        <v/>
      </c>
      <c r="S488" s="20">
        <f>ROUND(S487 + IF(AND(E488=16, F488&lt;&gt;"ASTM A416"), L488, 0), 3)</f>
        <v/>
      </c>
      <c r="T488" s="20">
        <f>ROUND(T487 + IF(AND(E488=18, F488&lt;&gt;"ASTM A416"), L488, 0), 3)</f>
        <v/>
      </c>
      <c r="U488" s="20">
        <f>ROUND(U487 + IF(AND(E488=20, F488&lt;&gt;"ASTM A416"), L488, 0), 3)</f>
        <v/>
      </c>
      <c r="V488" s="20">
        <f>ROUND(V487 + IF(AND(E488=22, F488&lt;&gt;"ASTM A416"), L488, 0), 3)</f>
        <v/>
      </c>
      <c r="W488" s="20">
        <f>ROUND(W487 + IF(AND(E488=25, F488&lt;&gt;"ASTM A416"), L488, 0), 3)</f>
        <v/>
      </c>
      <c r="X488" s="20">
        <f>ROUND(X487 + IF(AND(E488=28, F488&lt;&gt;"ASTM A416"), L488, 0), 3)</f>
        <v/>
      </c>
      <c r="Y488" s="20">
        <f>ROUND(Y487 + IF(AND(E488=32, F488&lt;&gt;"ASTM A416"), L488, 0), 3)</f>
        <v/>
      </c>
      <c r="Z488" s="20">
        <f>ROUND(Z487 + IF(F488="ASTM A416", L488, 0), 3)</f>
        <v/>
      </c>
      <c r="AA488" s="11">
        <f>IF(INT(P488/20)&gt;INT(P487/20), "Lần " &amp; INT(P488/20), "")</f>
        <v/>
      </c>
      <c r="AB488" s="11">
        <f>IF(INT(Q488/20)&gt;INT(Q487/20), "Lần " &amp; INT(Q488/20), "")</f>
        <v/>
      </c>
      <c r="AC488" s="11">
        <f>IF(INT(R488/20)&gt;INT(R487/20), "Lần " &amp; INT(R488/20), "")</f>
        <v/>
      </c>
      <c r="AD488" s="11">
        <f>IF(INT(S488/20)&gt;INT(S487/20), "Lần " &amp; INT(S488/20), "")</f>
        <v/>
      </c>
      <c r="AE488" s="11">
        <f>IF(INT(T488/20)&gt;INT(T487/20), "Lần " &amp; INT(T488/20), "")</f>
        <v/>
      </c>
      <c r="AF488" s="11">
        <f>IF(INT(U488/20)&gt;INT(U487/20), "Lần " &amp; INT(U488/20), "")</f>
        <v/>
      </c>
      <c r="AG488" s="11">
        <f>IF(INT(V488/20)&gt;INT(V487/20), "Lần " &amp; INT(V488/20), "")</f>
        <v/>
      </c>
      <c r="AH488" s="11">
        <f>IF(INT(W488/20)&gt;INT(W487/20), "Lần " &amp; INT(W488/20), "")</f>
        <v/>
      </c>
      <c r="AI488" s="11">
        <f>IF(INT(X488/20)&gt;INT(X487/20), "Lần " &amp; INT(X488/20), "")</f>
        <v/>
      </c>
      <c r="AJ488" s="11">
        <f>IF(INT(Y488/20)&gt;INT(Y487/20), "Lần " &amp; INT(Y488/20), "")</f>
        <v/>
      </c>
      <c r="AK488" s="11">
        <f>IF(INT(Z488/20)&gt;INT(Z487/20), "Lần " &amp; INT(Z488/20), "")</f>
        <v/>
      </c>
      <c r="AL488" s="6" t="inlineStr">
        <is>
          <t>ĐẠT TCVN 1651:2018</t>
        </is>
      </c>
    </row>
    <row r="489" ht="19" customHeight="1">
      <c r="A489" s="6" t="n">
        <v>458</v>
      </c>
      <c r="B489" s="7" t="inlineStr">
        <is>
          <t>Mố M1</t>
        </is>
      </c>
      <c r="C489" s="7" t="inlineStr">
        <is>
          <t>Thân mố / Bệ mố</t>
        </is>
      </c>
      <c r="D489" s="18" t="inlineStr">
        <is>
          <t>W2A(T)</t>
        </is>
      </c>
      <c r="E489" s="19" t="n">
        <v>22</v>
      </c>
      <c r="F489" s="6" t="inlineStr">
        <is>
          <t>CB400-V</t>
        </is>
      </c>
      <c r="G489" s="7" t="inlineStr">
        <is>
          <t>S06</t>
        </is>
      </c>
      <c r="H489" s="20" t="n">
        <v>7.714</v>
      </c>
      <c r="I489" s="21" t="n">
        <v>18</v>
      </c>
      <c r="J489" s="22" t="n">
        <v>2.98</v>
      </c>
      <c r="K489" s="9">
        <f>ROUND(H489*I489*J489, 2)</f>
        <v/>
      </c>
      <c r="L489" s="23">
        <f>ROUND(K489/1000, 3)</f>
        <v/>
      </c>
      <c r="M489" s="8" t="n"/>
      <c r="N489" s="6" t="n"/>
      <c r="O489" s="24">
        <f>IF(AND(E489&lt;=10, F489&lt;&gt;"ASTM A416", INT(P489/20)&gt;INT(P488/20)), "TN Ø10 (Lần " &amp; INT(P489/20) &amp; ")", IF(AND(E489=12, INT(Q489/20)&gt;INT(Q488/20)), "TN Ø12 (Lần " &amp; INT(Q489/20) &amp; ")", IF(AND(E489=14, INT(R489/20)&gt;INT(R488/20)), "TN Ø14 (Lần " &amp; INT(R489/20) &amp; ")", IF(AND(E489=16, INT(S489/20)&gt;INT(S488/20)), "TN Ø16 (Lần " &amp; INT(S489/20) &amp; ")", IF(AND(E489=18, INT(T489/20)&gt;INT(T488/20)), "TN Ø18 (Lần " &amp; INT(T489/20) &amp; ")", IF(AND(E489=20, INT(U489/20)&gt;INT(U488/20)), "TN Ø20 (Lần " &amp; INT(U489/20) &amp; ")", IF(AND(E489=22, INT(V489/20)&gt;INT(V488/20)), "TN Ø22 (Lần " &amp; INT(V489/20) &amp; ")", IF(AND(E489=25, INT(W489/20)&gt;INT(W488/20)), "TN Ø25 (Lần " &amp; INT(W489/20) &amp; ")", IF(AND(E489=28, INT(X489/20)&gt;INT(X488/20)), "TN Ø28 (Lần " &amp; INT(X489/20) &amp; ")", IF(AND(E489=32, INT(Y489/20)&gt;INT(Y488/20)), "TN Ø32 (Lần " &amp; INT(Y489/20) &amp; ")", IF(AND(F489="ASTM A416", INT(Z489/20)&gt;INT(Z488/20)), "TN Cáp 15.2 (Lần " &amp; INT(Z489/20) &amp; ")", "")))))))))))</f>
        <v/>
      </c>
      <c r="P489" s="20">
        <f>ROUND(P488 + IF(AND(E489&lt;=10, F489&lt;&gt;"ASTM A416"), L489, 0), 3)</f>
        <v/>
      </c>
      <c r="Q489" s="20">
        <f>ROUND(Q488 + IF(AND(E489=12, F489&lt;&gt;"ASTM A416"), L489, 0), 3)</f>
        <v/>
      </c>
      <c r="R489" s="20">
        <f>ROUND(R488 + IF(AND(E489=14, F489&lt;&gt;"ASTM A416"), L489, 0), 3)</f>
        <v/>
      </c>
      <c r="S489" s="20">
        <f>ROUND(S488 + IF(AND(E489=16, F489&lt;&gt;"ASTM A416"), L489, 0), 3)</f>
        <v/>
      </c>
      <c r="T489" s="20">
        <f>ROUND(T488 + IF(AND(E489=18, F489&lt;&gt;"ASTM A416"), L489, 0), 3)</f>
        <v/>
      </c>
      <c r="U489" s="20">
        <f>ROUND(U488 + IF(AND(E489=20, F489&lt;&gt;"ASTM A416"), L489, 0), 3)</f>
        <v/>
      </c>
      <c r="V489" s="20">
        <f>ROUND(V488 + IF(AND(E489=22, F489&lt;&gt;"ASTM A416"), L489, 0), 3)</f>
        <v/>
      </c>
      <c r="W489" s="20">
        <f>ROUND(W488 + IF(AND(E489=25, F489&lt;&gt;"ASTM A416"), L489, 0), 3)</f>
        <v/>
      </c>
      <c r="X489" s="20">
        <f>ROUND(X488 + IF(AND(E489=28, F489&lt;&gt;"ASTM A416"), L489, 0), 3)</f>
        <v/>
      </c>
      <c r="Y489" s="20">
        <f>ROUND(Y488 + IF(AND(E489=32, F489&lt;&gt;"ASTM A416"), L489, 0), 3)</f>
        <v/>
      </c>
      <c r="Z489" s="20">
        <f>ROUND(Z488 + IF(F489="ASTM A416", L489, 0), 3)</f>
        <v/>
      </c>
      <c r="AA489" s="11">
        <f>IF(INT(P489/20)&gt;INT(P488/20), "Lần " &amp; INT(P489/20), "")</f>
        <v/>
      </c>
      <c r="AB489" s="11">
        <f>IF(INT(Q489/20)&gt;INT(Q488/20), "Lần " &amp; INT(Q489/20), "")</f>
        <v/>
      </c>
      <c r="AC489" s="11">
        <f>IF(INT(R489/20)&gt;INT(R488/20), "Lần " &amp; INT(R489/20), "")</f>
        <v/>
      </c>
      <c r="AD489" s="11">
        <f>IF(INT(S489/20)&gt;INT(S488/20), "Lần " &amp; INT(S489/20), "")</f>
        <v/>
      </c>
      <c r="AE489" s="11">
        <f>IF(INT(T489/20)&gt;INT(T488/20), "Lần " &amp; INT(T489/20), "")</f>
        <v/>
      </c>
      <c r="AF489" s="11">
        <f>IF(INT(U489/20)&gt;INT(U488/20), "Lần " &amp; INT(U489/20), "")</f>
        <v/>
      </c>
      <c r="AG489" s="11">
        <f>IF(INT(V489/20)&gt;INT(V488/20), "Lần " &amp; INT(V489/20), "")</f>
        <v/>
      </c>
      <c r="AH489" s="11">
        <f>IF(INT(W489/20)&gt;INT(W488/20), "Lần " &amp; INT(W489/20), "")</f>
        <v/>
      </c>
      <c r="AI489" s="11">
        <f>IF(INT(X489/20)&gt;INT(X488/20), "Lần " &amp; INT(X489/20), "")</f>
        <v/>
      </c>
      <c r="AJ489" s="11">
        <f>IF(INT(Y489/20)&gt;INT(Y488/20), "Lần " &amp; INT(Y489/20), "")</f>
        <v/>
      </c>
      <c r="AK489" s="11">
        <f>IF(INT(Z489/20)&gt;INT(Z488/20), "Lần " &amp; INT(Z489/20), "")</f>
        <v/>
      </c>
      <c r="AL489" s="6" t="inlineStr">
        <is>
          <t>ĐẠT TCVN 1651:2018</t>
        </is>
      </c>
    </row>
    <row r="490" ht="19" customHeight="1">
      <c r="A490" s="6" t="n">
        <v>459</v>
      </c>
      <c r="B490" s="7" t="inlineStr">
        <is>
          <t>Mố M1</t>
        </is>
      </c>
      <c r="C490" s="7" t="inlineStr">
        <is>
          <t>Thân mố / Bệ mố</t>
        </is>
      </c>
      <c r="D490" s="18" t="inlineStr">
        <is>
          <t>W2B(T)</t>
        </is>
      </c>
      <c r="E490" s="19" t="n">
        <v>22</v>
      </c>
      <c r="F490" s="6" t="inlineStr">
        <is>
          <t>CB400-V</t>
        </is>
      </c>
      <c r="G490" s="7" t="inlineStr">
        <is>
          <t>S06</t>
        </is>
      </c>
      <c r="H490" s="20" t="n">
        <v>2.953</v>
      </c>
      <c r="I490" s="21" t="n">
        <v>17</v>
      </c>
      <c r="J490" s="22" t="n">
        <v>2.98</v>
      </c>
      <c r="K490" s="9">
        <f>ROUND(H490*I490*J490, 2)</f>
        <v/>
      </c>
      <c r="L490" s="23">
        <f>ROUND(K490/1000, 3)</f>
        <v/>
      </c>
      <c r="M490" s="8" t="n"/>
      <c r="N490" s="6" t="n"/>
      <c r="O490" s="24">
        <f>IF(AND(E490&lt;=10, F490&lt;&gt;"ASTM A416", INT(P490/20)&gt;INT(P489/20)), "TN Ø10 (Lần " &amp; INT(P490/20) &amp; ")", IF(AND(E490=12, INT(Q490/20)&gt;INT(Q489/20)), "TN Ø12 (Lần " &amp; INT(Q490/20) &amp; ")", IF(AND(E490=14, INT(R490/20)&gt;INT(R489/20)), "TN Ø14 (Lần " &amp; INT(R490/20) &amp; ")", IF(AND(E490=16, INT(S490/20)&gt;INT(S489/20)), "TN Ø16 (Lần " &amp; INT(S490/20) &amp; ")", IF(AND(E490=18, INT(T490/20)&gt;INT(T489/20)), "TN Ø18 (Lần " &amp; INT(T490/20) &amp; ")", IF(AND(E490=20, INT(U490/20)&gt;INT(U489/20)), "TN Ø20 (Lần " &amp; INT(U490/20) &amp; ")", IF(AND(E490=22, INT(V490/20)&gt;INT(V489/20)), "TN Ø22 (Lần " &amp; INT(V490/20) &amp; ")", IF(AND(E490=25, INT(W490/20)&gt;INT(W489/20)), "TN Ø25 (Lần " &amp; INT(W490/20) &amp; ")", IF(AND(E490=28, INT(X490/20)&gt;INT(X489/20)), "TN Ø28 (Lần " &amp; INT(X490/20) &amp; ")", IF(AND(E490=32, INT(Y490/20)&gt;INT(Y489/20)), "TN Ø32 (Lần " &amp; INT(Y490/20) &amp; ")", IF(AND(F490="ASTM A416", INT(Z490/20)&gt;INT(Z489/20)), "TN Cáp 15.2 (Lần " &amp; INT(Z490/20) &amp; ")", "")))))))))))</f>
        <v/>
      </c>
      <c r="P490" s="20">
        <f>ROUND(P489 + IF(AND(E490&lt;=10, F490&lt;&gt;"ASTM A416"), L490, 0), 3)</f>
        <v/>
      </c>
      <c r="Q490" s="20">
        <f>ROUND(Q489 + IF(AND(E490=12, F490&lt;&gt;"ASTM A416"), L490, 0), 3)</f>
        <v/>
      </c>
      <c r="R490" s="20">
        <f>ROUND(R489 + IF(AND(E490=14, F490&lt;&gt;"ASTM A416"), L490, 0), 3)</f>
        <v/>
      </c>
      <c r="S490" s="20">
        <f>ROUND(S489 + IF(AND(E490=16, F490&lt;&gt;"ASTM A416"), L490, 0), 3)</f>
        <v/>
      </c>
      <c r="T490" s="20">
        <f>ROUND(T489 + IF(AND(E490=18, F490&lt;&gt;"ASTM A416"), L490, 0), 3)</f>
        <v/>
      </c>
      <c r="U490" s="20">
        <f>ROUND(U489 + IF(AND(E490=20, F490&lt;&gt;"ASTM A416"), L490, 0), 3)</f>
        <v/>
      </c>
      <c r="V490" s="20">
        <f>ROUND(V489 + IF(AND(E490=22, F490&lt;&gt;"ASTM A416"), L490, 0), 3)</f>
        <v/>
      </c>
      <c r="W490" s="20">
        <f>ROUND(W489 + IF(AND(E490=25, F490&lt;&gt;"ASTM A416"), L490, 0), 3)</f>
        <v/>
      </c>
      <c r="X490" s="20">
        <f>ROUND(X489 + IF(AND(E490=28, F490&lt;&gt;"ASTM A416"), L490, 0), 3)</f>
        <v/>
      </c>
      <c r="Y490" s="20">
        <f>ROUND(Y489 + IF(AND(E490=32, F490&lt;&gt;"ASTM A416"), L490, 0), 3)</f>
        <v/>
      </c>
      <c r="Z490" s="20">
        <f>ROUND(Z489 + IF(F490="ASTM A416", L490, 0), 3)</f>
        <v/>
      </c>
      <c r="AA490" s="11">
        <f>IF(INT(P490/20)&gt;INT(P489/20), "Lần " &amp; INT(P490/20), "")</f>
        <v/>
      </c>
      <c r="AB490" s="11">
        <f>IF(INT(Q490/20)&gt;INT(Q489/20), "Lần " &amp; INT(Q490/20), "")</f>
        <v/>
      </c>
      <c r="AC490" s="11">
        <f>IF(INT(R490/20)&gt;INT(R489/20), "Lần " &amp; INT(R490/20), "")</f>
        <v/>
      </c>
      <c r="AD490" s="11">
        <f>IF(INT(S490/20)&gt;INT(S489/20), "Lần " &amp; INT(S490/20), "")</f>
        <v/>
      </c>
      <c r="AE490" s="11">
        <f>IF(INT(T490/20)&gt;INT(T489/20), "Lần " &amp; INT(T490/20), "")</f>
        <v/>
      </c>
      <c r="AF490" s="11">
        <f>IF(INT(U490/20)&gt;INT(U489/20), "Lần " &amp; INT(U490/20), "")</f>
        <v/>
      </c>
      <c r="AG490" s="11">
        <f>IF(INT(V490/20)&gt;INT(V489/20), "Lần " &amp; INT(V490/20), "")</f>
        <v/>
      </c>
      <c r="AH490" s="11">
        <f>IF(INT(W490/20)&gt;INT(W489/20), "Lần " &amp; INT(W490/20), "")</f>
        <v/>
      </c>
      <c r="AI490" s="11">
        <f>IF(INT(X490/20)&gt;INT(X489/20), "Lần " &amp; INT(X490/20), "")</f>
        <v/>
      </c>
      <c r="AJ490" s="11">
        <f>IF(INT(Y490/20)&gt;INT(Y489/20), "Lần " &amp; INT(Y490/20), "")</f>
        <v/>
      </c>
      <c r="AK490" s="11">
        <f>IF(INT(Z490/20)&gt;INT(Z489/20), "Lần " &amp; INT(Z490/20), "")</f>
        <v/>
      </c>
      <c r="AL490" s="6" t="inlineStr">
        <is>
          <t>ĐẠT TCVN 1651:2018</t>
        </is>
      </c>
    </row>
    <row r="491" ht="19" customHeight="1">
      <c r="A491" s="6" t="n">
        <v>460</v>
      </c>
      <c r="B491" s="7" t="inlineStr">
        <is>
          <t>Mố M1</t>
        </is>
      </c>
      <c r="C491" s="7" t="inlineStr">
        <is>
          <t>Thân mố / Bệ mố</t>
        </is>
      </c>
      <c r="D491" s="18" t="inlineStr">
        <is>
          <t>W3A(T)</t>
        </is>
      </c>
      <c r="E491" s="19" t="n">
        <v>16</v>
      </c>
      <c r="F491" s="6" t="inlineStr">
        <is>
          <t>CB400-V</t>
        </is>
      </c>
      <c r="G491" s="7" t="inlineStr">
        <is>
          <t>S06</t>
        </is>
      </c>
      <c r="H491" s="20" t="n">
        <v>4.832</v>
      </c>
      <c r="I491" s="21" t="n">
        <v>25</v>
      </c>
      <c r="J491" s="22" t="n">
        <v>1.58</v>
      </c>
      <c r="K491" s="9">
        <f>ROUND(H491*I491*J491, 2)</f>
        <v/>
      </c>
      <c r="L491" s="23">
        <f>ROUND(K491/1000, 3)</f>
        <v/>
      </c>
      <c r="M491" s="8" t="n"/>
      <c r="N491" s="6" t="n"/>
      <c r="O491" s="24">
        <f>IF(AND(E491&lt;=10, F491&lt;&gt;"ASTM A416", INT(P491/20)&gt;INT(P490/20)), "TN Ø10 (Lần " &amp; INT(P491/20) &amp; ")", IF(AND(E491=12, INT(Q491/20)&gt;INT(Q490/20)), "TN Ø12 (Lần " &amp; INT(Q491/20) &amp; ")", IF(AND(E491=14, INT(R491/20)&gt;INT(R490/20)), "TN Ø14 (Lần " &amp; INT(R491/20) &amp; ")", IF(AND(E491=16, INT(S491/20)&gt;INT(S490/20)), "TN Ø16 (Lần " &amp; INT(S491/20) &amp; ")", IF(AND(E491=18, INT(T491/20)&gt;INT(T490/20)), "TN Ø18 (Lần " &amp; INT(T491/20) &amp; ")", IF(AND(E491=20, INT(U491/20)&gt;INT(U490/20)), "TN Ø20 (Lần " &amp; INT(U491/20) &amp; ")", IF(AND(E491=22, INT(V491/20)&gt;INT(V490/20)), "TN Ø22 (Lần " &amp; INT(V491/20) &amp; ")", IF(AND(E491=25, INT(W491/20)&gt;INT(W490/20)), "TN Ø25 (Lần " &amp; INT(W491/20) &amp; ")", IF(AND(E491=28, INT(X491/20)&gt;INT(X490/20)), "TN Ø28 (Lần " &amp; INT(X491/20) &amp; ")", IF(AND(E491=32, INT(Y491/20)&gt;INT(Y490/20)), "TN Ø32 (Lần " &amp; INT(Y491/20) &amp; ")", IF(AND(F491="ASTM A416", INT(Z491/20)&gt;INT(Z490/20)), "TN Cáp 15.2 (Lần " &amp; INT(Z491/20) &amp; ")", "")))))))))))</f>
        <v/>
      </c>
      <c r="P491" s="20">
        <f>ROUND(P490 + IF(AND(E491&lt;=10, F491&lt;&gt;"ASTM A416"), L491, 0), 3)</f>
        <v/>
      </c>
      <c r="Q491" s="20">
        <f>ROUND(Q490 + IF(AND(E491=12, F491&lt;&gt;"ASTM A416"), L491, 0), 3)</f>
        <v/>
      </c>
      <c r="R491" s="20">
        <f>ROUND(R490 + IF(AND(E491=14, F491&lt;&gt;"ASTM A416"), L491, 0), 3)</f>
        <v/>
      </c>
      <c r="S491" s="20">
        <f>ROUND(S490 + IF(AND(E491=16, F491&lt;&gt;"ASTM A416"), L491, 0), 3)</f>
        <v/>
      </c>
      <c r="T491" s="20">
        <f>ROUND(T490 + IF(AND(E491=18, F491&lt;&gt;"ASTM A416"), L491, 0), 3)</f>
        <v/>
      </c>
      <c r="U491" s="20">
        <f>ROUND(U490 + IF(AND(E491=20, F491&lt;&gt;"ASTM A416"), L491, 0), 3)</f>
        <v/>
      </c>
      <c r="V491" s="20">
        <f>ROUND(V490 + IF(AND(E491=22, F491&lt;&gt;"ASTM A416"), L491, 0), 3)</f>
        <v/>
      </c>
      <c r="W491" s="20">
        <f>ROUND(W490 + IF(AND(E491=25, F491&lt;&gt;"ASTM A416"), L491, 0), 3)</f>
        <v/>
      </c>
      <c r="X491" s="20">
        <f>ROUND(X490 + IF(AND(E491=28, F491&lt;&gt;"ASTM A416"), L491, 0), 3)</f>
        <v/>
      </c>
      <c r="Y491" s="20">
        <f>ROUND(Y490 + IF(AND(E491=32, F491&lt;&gt;"ASTM A416"), L491, 0), 3)</f>
        <v/>
      </c>
      <c r="Z491" s="20">
        <f>ROUND(Z490 + IF(F491="ASTM A416", L491, 0), 3)</f>
        <v/>
      </c>
      <c r="AA491" s="11">
        <f>IF(INT(P491/20)&gt;INT(P490/20), "Lần " &amp; INT(P491/20), "")</f>
        <v/>
      </c>
      <c r="AB491" s="11">
        <f>IF(INT(Q491/20)&gt;INT(Q490/20), "Lần " &amp; INT(Q491/20), "")</f>
        <v/>
      </c>
      <c r="AC491" s="11">
        <f>IF(INT(R491/20)&gt;INT(R490/20), "Lần " &amp; INT(R491/20), "")</f>
        <v/>
      </c>
      <c r="AD491" s="11">
        <f>IF(INT(S491/20)&gt;INT(S490/20), "Lần " &amp; INT(S491/20), "")</f>
        <v/>
      </c>
      <c r="AE491" s="11">
        <f>IF(INT(T491/20)&gt;INT(T490/20), "Lần " &amp; INT(T491/20), "")</f>
        <v/>
      </c>
      <c r="AF491" s="11">
        <f>IF(INT(U491/20)&gt;INT(U490/20), "Lần " &amp; INT(U491/20), "")</f>
        <v/>
      </c>
      <c r="AG491" s="11">
        <f>IF(INT(V491/20)&gt;INT(V490/20), "Lần " &amp; INT(V491/20), "")</f>
        <v/>
      </c>
      <c r="AH491" s="11">
        <f>IF(INT(W491/20)&gt;INT(W490/20), "Lần " &amp; INT(W491/20), "")</f>
        <v/>
      </c>
      <c r="AI491" s="11">
        <f>IF(INT(X491/20)&gt;INT(X490/20), "Lần " &amp; INT(X491/20), "")</f>
        <v/>
      </c>
      <c r="AJ491" s="11">
        <f>IF(INT(Y491/20)&gt;INT(Y490/20), "Lần " &amp; INT(Y491/20), "")</f>
        <v/>
      </c>
      <c r="AK491" s="11">
        <f>IF(INT(Z491/20)&gt;INT(Z490/20), "Lần " &amp; INT(Z491/20), "")</f>
        <v/>
      </c>
      <c r="AL491" s="6" t="inlineStr">
        <is>
          <t>ĐẠT TCVN 1651:2018</t>
        </is>
      </c>
    </row>
    <row r="492" ht="19" customHeight="1">
      <c r="A492" s="6" t="n">
        <v>461</v>
      </c>
      <c r="B492" s="7" t="inlineStr">
        <is>
          <t>Mố M1</t>
        </is>
      </c>
      <c r="C492" s="7" t="inlineStr">
        <is>
          <t>Thân mố / Bệ mố</t>
        </is>
      </c>
      <c r="D492" s="18" t="inlineStr">
        <is>
          <t>W3B(T)</t>
        </is>
      </c>
      <c r="E492" s="19" t="n">
        <v>16</v>
      </c>
      <c r="F492" s="6" t="inlineStr">
        <is>
          <t>CB400-V</t>
        </is>
      </c>
      <c r="G492" s="7" t="inlineStr">
        <is>
          <t>S06</t>
        </is>
      </c>
      <c r="H492" s="20" t="n">
        <v>5.731</v>
      </c>
      <c r="I492" s="21" t="n">
        <v>11</v>
      </c>
      <c r="J492" s="22" t="n">
        <v>1.58</v>
      </c>
      <c r="K492" s="9">
        <f>ROUND(H492*I492*J492, 2)</f>
        <v/>
      </c>
      <c r="L492" s="23">
        <f>ROUND(K492/1000, 3)</f>
        <v/>
      </c>
      <c r="M492" s="8" t="n"/>
      <c r="N492" s="6" t="n"/>
      <c r="O492" s="24">
        <f>IF(AND(E492&lt;=10, F492&lt;&gt;"ASTM A416", INT(P492/20)&gt;INT(P491/20)), "TN Ø10 (Lần " &amp; INT(P492/20) &amp; ")", IF(AND(E492=12, INT(Q492/20)&gt;INT(Q491/20)), "TN Ø12 (Lần " &amp; INT(Q492/20) &amp; ")", IF(AND(E492=14, INT(R492/20)&gt;INT(R491/20)), "TN Ø14 (Lần " &amp; INT(R492/20) &amp; ")", IF(AND(E492=16, INT(S492/20)&gt;INT(S491/20)), "TN Ø16 (Lần " &amp; INT(S492/20) &amp; ")", IF(AND(E492=18, INT(T492/20)&gt;INT(T491/20)), "TN Ø18 (Lần " &amp; INT(T492/20) &amp; ")", IF(AND(E492=20, INT(U492/20)&gt;INT(U491/20)), "TN Ø20 (Lần " &amp; INT(U492/20) &amp; ")", IF(AND(E492=22, INT(V492/20)&gt;INT(V491/20)), "TN Ø22 (Lần " &amp; INT(V492/20) &amp; ")", IF(AND(E492=25, INT(W492/20)&gt;INT(W491/20)), "TN Ø25 (Lần " &amp; INT(W492/20) &amp; ")", IF(AND(E492=28, INT(X492/20)&gt;INT(X491/20)), "TN Ø28 (Lần " &amp; INT(X492/20) &amp; ")", IF(AND(E492=32, INT(Y492/20)&gt;INT(Y491/20)), "TN Ø32 (Lần " &amp; INT(Y492/20) &amp; ")", IF(AND(F492="ASTM A416", INT(Z492/20)&gt;INT(Z491/20)), "TN Cáp 15.2 (Lần " &amp; INT(Z492/20) &amp; ")", "")))))))))))</f>
        <v/>
      </c>
      <c r="P492" s="20">
        <f>ROUND(P491 + IF(AND(E492&lt;=10, F492&lt;&gt;"ASTM A416"), L492, 0), 3)</f>
        <v/>
      </c>
      <c r="Q492" s="20">
        <f>ROUND(Q491 + IF(AND(E492=12, F492&lt;&gt;"ASTM A416"), L492, 0), 3)</f>
        <v/>
      </c>
      <c r="R492" s="20">
        <f>ROUND(R491 + IF(AND(E492=14, F492&lt;&gt;"ASTM A416"), L492, 0), 3)</f>
        <v/>
      </c>
      <c r="S492" s="20">
        <f>ROUND(S491 + IF(AND(E492=16, F492&lt;&gt;"ASTM A416"), L492, 0), 3)</f>
        <v/>
      </c>
      <c r="T492" s="20">
        <f>ROUND(T491 + IF(AND(E492=18, F492&lt;&gt;"ASTM A416"), L492, 0), 3)</f>
        <v/>
      </c>
      <c r="U492" s="20">
        <f>ROUND(U491 + IF(AND(E492=20, F492&lt;&gt;"ASTM A416"), L492, 0), 3)</f>
        <v/>
      </c>
      <c r="V492" s="20">
        <f>ROUND(V491 + IF(AND(E492=22, F492&lt;&gt;"ASTM A416"), L492, 0), 3)</f>
        <v/>
      </c>
      <c r="W492" s="20">
        <f>ROUND(W491 + IF(AND(E492=25, F492&lt;&gt;"ASTM A416"), L492, 0), 3)</f>
        <v/>
      </c>
      <c r="X492" s="20">
        <f>ROUND(X491 + IF(AND(E492=28, F492&lt;&gt;"ASTM A416"), L492, 0), 3)</f>
        <v/>
      </c>
      <c r="Y492" s="20">
        <f>ROUND(Y491 + IF(AND(E492=32, F492&lt;&gt;"ASTM A416"), L492, 0), 3)</f>
        <v/>
      </c>
      <c r="Z492" s="20">
        <f>ROUND(Z491 + IF(F492="ASTM A416", L492, 0), 3)</f>
        <v/>
      </c>
      <c r="AA492" s="11">
        <f>IF(INT(P492/20)&gt;INT(P491/20), "Lần " &amp; INT(P492/20), "")</f>
        <v/>
      </c>
      <c r="AB492" s="11">
        <f>IF(INT(Q492/20)&gt;INT(Q491/20), "Lần " &amp; INT(Q492/20), "")</f>
        <v/>
      </c>
      <c r="AC492" s="11">
        <f>IF(INT(R492/20)&gt;INT(R491/20), "Lần " &amp; INT(R492/20), "")</f>
        <v/>
      </c>
      <c r="AD492" s="11">
        <f>IF(INT(S492/20)&gt;INT(S491/20), "Lần " &amp; INT(S492/20), "")</f>
        <v/>
      </c>
      <c r="AE492" s="11">
        <f>IF(INT(T492/20)&gt;INT(T491/20), "Lần " &amp; INT(T492/20), "")</f>
        <v/>
      </c>
      <c r="AF492" s="11">
        <f>IF(INT(U492/20)&gt;INT(U491/20), "Lần " &amp; INT(U492/20), "")</f>
        <v/>
      </c>
      <c r="AG492" s="11">
        <f>IF(INT(V492/20)&gt;INT(V491/20), "Lần " &amp; INT(V492/20), "")</f>
        <v/>
      </c>
      <c r="AH492" s="11">
        <f>IF(INT(W492/20)&gt;INT(W491/20), "Lần " &amp; INT(W492/20), "")</f>
        <v/>
      </c>
      <c r="AI492" s="11">
        <f>IF(INT(X492/20)&gt;INT(X491/20), "Lần " &amp; INT(X492/20), "")</f>
        <v/>
      </c>
      <c r="AJ492" s="11">
        <f>IF(INT(Y492/20)&gt;INT(Y491/20), "Lần " &amp; INT(Y492/20), "")</f>
        <v/>
      </c>
      <c r="AK492" s="11">
        <f>IF(INT(Z492/20)&gt;INT(Z491/20), "Lần " &amp; INT(Z492/20), "")</f>
        <v/>
      </c>
      <c r="AL492" s="6" t="inlineStr">
        <is>
          <t>ĐẠT TCVN 1651:2018</t>
        </is>
      </c>
    </row>
    <row r="493" ht="19" customHeight="1">
      <c r="A493" s="6" t="n">
        <v>462</v>
      </c>
      <c r="B493" s="7" t="inlineStr">
        <is>
          <t>Mố M1</t>
        </is>
      </c>
      <c r="C493" s="7" t="inlineStr">
        <is>
          <t>Thân mố / Bệ mố</t>
        </is>
      </c>
      <c r="D493" s="18" t="inlineStr">
        <is>
          <t>W3C(T)</t>
        </is>
      </c>
      <c r="E493" s="19" t="n">
        <v>16</v>
      </c>
      <c r="F493" s="6" t="inlineStr">
        <is>
          <t>CB400-V</t>
        </is>
      </c>
      <c r="G493" s="7" t="inlineStr">
        <is>
          <t>S06</t>
        </is>
      </c>
      <c r="H493" s="20" t="n">
        <v>5.934</v>
      </c>
      <c r="I493" s="21" t="n">
        <v>5</v>
      </c>
      <c r="J493" s="22" t="n">
        <v>1.58</v>
      </c>
      <c r="K493" s="9">
        <f>ROUND(H493*I493*J493, 2)</f>
        <v/>
      </c>
      <c r="L493" s="23">
        <f>ROUND(K493/1000, 3)</f>
        <v/>
      </c>
      <c r="M493" s="8" t="n"/>
      <c r="N493" s="6" t="n"/>
      <c r="O493" s="24">
        <f>IF(AND(E493&lt;=10, F493&lt;&gt;"ASTM A416", INT(P493/20)&gt;INT(P492/20)), "TN Ø10 (Lần " &amp; INT(P493/20) &amp; ")", IF(AND(E493=12, INT(Q493/20)&gt;INT(Q492/20)), "TN Ø12 (Lần " &amp; INT(Q493/20) &amp; ")", IF(AND(E493=14, INT(R493/20)&gt;INT(R492/20)), "TN Ø14 (Lần " &amp; INT(R493/20) &amp; ")", IF(AND(E493=16, INT(S493/20)&gt;INT(S492/20)), "TN Ø16 (Lần " &amp; INT(S493/20) &amp; ")", IF(AND(E493=18, INT(T493/20)&gt;INT(T492/20)), "TN Ø18 (Lần " &amp; INT(T493/20) &amp; ")", IF(AND(E493=20, INT(U493/20)&gt;INT(U492/20)), "TN Ø20 (Lần " &amp; INT(U493/20) &amp; ")", IF(AND(E493=22, INT(V493/20)&gt;INT(V492/20)), "TN Ø22 (Lần " &amp; INT(V493/20) &amp; ")", IF(AND(E493=25, INT(W493/20)&gt;INT(W492/20)), "TN Ø25 (Lần " &amp; INT(W493/20) &amp; ")", IF(AND(E493=28, INT(X493/20)&gt;INT(X492/20)), "TN Ø28 (Lần " &amp; INT(X493/20) &amp; ")", IF(AND(E493=32, INT(Y493/20)&gt;INT(Y492/20)), "TN Ø32 (Lần " &amp; INT(Y493/20) &amp; ")", IF(AND(F493="ASTM A416", INT(Z493/20)&gt;INT(Z492/20)), "TN Cáp 15.2 (Lần " &amp; INT(Z493/20) &amp; ")", "")))))))))))</f>
        <v/>
      </c>
      <c r="P493" s="20">
        <f>ROUND(P492 + IF(AND(E493&lt;=10, F493&lt;&gt;"ASTM A416"), L493, 0), 3)</f>
        <v/>
      </c>
      <c r="Q493" s="20">
        <f>ROUND(Q492 + IF(AND(E493=12, F493&lt;&gt;"ASTM A416"), L493, 0), 3)</f>
        <v/>
      </c>
      <c r="R493" s="20">
        <f>ROUND(R492 + IF(AND(E493=14, F493&lt;&gt;"ASTM A416"), L493, 0), 3)</f>
        <v/>
      </c>
      <c r="S493" s="20">
        <f>ROUND(S492 + IF(AND(E493=16, F493&lt;&gt;"ASTM A416"), L493, 0), 3)</f>
        <v/>
      </c>
      <c r="T493" s="20">
        <f>ROUND(T492 + IF(AND(E493=18, F493&lt;&gt;"ASTM A416"), L493, 0), 3)</f>
        <v/>
      </c>
      <c r="U493" s="20">
        <f>ROUND(U492 + IF(AND(E493=20, F493&lt;&gt;"ASTM A416"), L493, 0), 3)</f>
        <v/>
      </c>
      <c r="V493" s="20">
        <f>ROUND(V492 + IF(AND(E493=22, F493&lt;&gt;"ASTM A416"), L493, 0), 3)</f>
        <v/>
      </c>
      <c r="W493" s="20">
        <f>ROUND(W492 + IF(AND(E493=25, F493&lt;&gt;"ASTM A416"), L493, 0), 3)</f>
        <v/>
      </c>
      <c r="X493" s="20">
        <f>ROUND(X492 + IF(AND(E493=28, F493&lt;&gt;"ASTM A416"), L493, 0), 3)</f>
        <v/>
      </c>
      <c r="Y493" s="20">
        <f>ROUND(Y492 + IF(AND(E493=32, F493&lt;&gt;"ASTM A416"), L493, 0), 3)</f>
        <v/>
      </c>
      <c r="Z493" s="20">
        <f>ROUND(Z492 + IF(F493="ASTM A416", L493, 0), 3)</f>
        <v/>
      </c>
      <c r="AA493" s="11">
        <f>IF(INT(P493/20)&gt;INT(P492/20), "Lần " &amp; INT(P493/20), "")</f>
        <v/>
      </c>
      <c r="AB493" s="11">
        <f>IF(INT(Q493/20)&gt;INT(Q492/20), "Lần " &amp; INT(Q493/20), "")</f>
        <v/>
      </c>
      <c r="AC493" s="11">
        <f>IF(INT(R493/20)&gt;INT(R492/20), "Lần " &amp; INT(R493/20), "")</f>
        <v/>
      </c>
      <c r="AD493" s="11">
        <f>IF(INT(S493/20)&gt;INT(S492/20), "Lần " &amp; INT(S493/20), "")</f>
        <v/>
      </c>
      <c r="AE493" s="11">
        <f>IF(INT(T493/20)&gt;INT(T492/20), "Lần " &amp; INT(T493/20), "")</f>
        <v/>
      </c>
      <c r="AF493" s="11">
        <f>IF(INT(U493/20)&gt;INT(U492/20), "Lần " &amp; INT(U493/20), "")</f>
        <v/>
      </c>
      <c r="AG493" s="11">
        <f>IF(INT(V493/20)&gt;INT(V492/20), "Lần " &amp; INT(V493/20), "")</f>
        <v/>
      </c>
      <c r="AH493" s="11">
        <f>IF(INT(W493/20)&gt;INT(W492/20), "Lần " &amp; INT(W493/20), "")</f>
        <v/>
      </c>
      <c r="AI493" s="11">
        <f>IF(INT(X493/20)&gt;INT(X492/20), "Lần " &amp; INT(X493/20), "")</f>
        <v/>
      </c>
      <c r="AJ493" s="11">
        <f>IF(INT(Y493/20)&gt;INT(Y492/20), "Lần " &amp; INT(Y493/20), "")</f>
        <v/>
      </c>
      <c r="AK493" s="11">
        <f>IF(INT(Z493/20)&gt;INT(Z492/20), "Lần " &amp; INT(Z493/20), "")</f>
        <v/>
      </c>
      <c r="AL493" s="6" t="inlineStr">
        <is>
          <t>ĐẠT TCVN 1651:2018</t>
        </is>
      </c>
    </row>
    <row r="494" ht="19" customHeight="1">
      <c r="A494" s="6" t="n">
        <v>463</v>
      </c>
      <c r="B494" s="7" t="inlineStr">
        <is>
          <t>Mố M1</t>
        </is>
      </c>
      <c r="C494" s="7" t="inlineStr">
        <is>
          <t>Thân mố / Bệ mố</t>
        </is>
      </c>
      <c r="D494" s="18" t="inlineStr">
        <is>
          <t>W3D(T)</t>
        </is>
      </c>
      <c r="E494" s="19" t="n">
        <v>16</v>
      </c>
      <c r="F494" s="6" t="inlineStr">
        <is>
          <t>CB400-V</t>
        </is>
      </c>
      <c r="G494" s="7" t="inlineStr">
        <is>
          <t>S06</t>
        </is>
      </c>
      <c r="H494" s="20" t="n">
        <v>6.332</v>
      </c>
      <c r="I494" s="21" t="n">
        <v>8</v>
      </c>
      <c r="J494" s="22" t="n">
        <v>1.58</v>
      </c>
      <c r="K494" s="9">
        <f>ROUND(H494*I494*J494, 2)</f>
        <v/>
      </c>
      <c r="L494" s="23">
        <f>ROUND(K494/1000, 3)</f>
        <v/>
      </c>
      <c r="M494" s="8" t="n"/>
      <c r="N494" s="6" t="n"/>
      <c r="O494" s="24">
        <f>IF(AND(E494&lt;=10, F494&lt;&gt;"ASTM A416", INT(P494/20)&gt;INT(P493/20)), "TN Ø10 (Lần " &amp; INT(P494/20) &amp; ")", IF(AND(E494=12, INT(Q494/20)&gt;INT(Q493/20)), "TN Ø12 (Lần " &amp; INT(Q494/20) &amp; ")", IF(AND(E494=14, INT(R494/20)&gt;INT(R493/20)), "TN Ø14 (Lần " &amp; INT(R494/20) &amp; ")", IF(AND(E494=16, INT(S494/20)&gt;INT(S493/20)), "TN Ø16 (Lần " &amp; INT(S494/20) &amp; ")", IF(AND(E494=18, INT(T494/20)&gt;INT(T493/20)), "TN Ø18 (Lần " &amp; INT(T494/20) &amp; ")", IF(AND(E494=20, INT(U494/20)&gt;INT(U493/20)), "TN Ø20 (Lần " &amp; INT(U494/20) &amp; ")", IF(AND(E494=22, INT(V494/20)&gt;INT(V493/20)), "TN Ø22 (Lần " &amp; INT(V494/20) &amp; ")", IF(AND(E494=25, INT(W494/20)&gt;INT(W493/20)), "TN Ø25 (Lần " &amp; INT(W494/20) &amp; ")", IF(AND(E494=28, INT(X494/20)&gt;INT(X493/20)), "TN Ø28 (Lần " &amp; INT(X494/20) &amp; ")", IF(AND(E494=32, INT(Y494/20)&gt;INT(Y493/20)), "TN Ø32 (Lần " &amp; INT(Y494/20) &amp; ")", IF(AND(F494="ASTM A416", INT(Z494/20)&gt;INT(Z493/20)), "TN Cáp 15.2 (Lần " &amp; INT(Z494/20) &amp; ")", "")))))))))))</f>
        <v/>
      </c>
      <c r="P494" s="20">
        <f>ROUND(P493 + IF(AND(E494&lt;=10, F494&lt;&gt;"ASTM A416"), L494, 0), 3)</f>
        <v/>
      </c>
      <c r="Q494" s="20">
        <f>ROUND(Q493 + IF(AND(E494=12, F494&lt;&gt;"ASTM A416"), L494, 0), 3)</f>
        <v/>
      </c>
      <c r="R494" s="20">
        <f>ROUND(R493 + IF(AND(E494=14, F494&lt;&gt;"ASTM A416"), L494, 0), 3)</f>
        <v/>
      </c>
      <c r="S494" s="20">
        <f>ROUND(S493 + IF(AND(E494=16, F494&lt;&gt;"ASTM A416"), L494, 0), 3)</f>
        <v/>
      </c>
      <c r="T494" s="20">
        <f>ROUND(T493 + IF(AND(E494=18, F494&lt;&gt;"ASTM A416"), L494, 0), 3)</f>
        <v/>
      </c>
      <c r="U494" s="20">
        <f>ROUND(U493 + IF(AND(E494=20, F494&lt;&gt;"ASTM A416"), L494, 0), 3)</f>
        <v/>
      </c>
      <c r="V494" s="20">
        <f>ROUND(V493 + IF(AND(E494=22, F494&lt;&gt;"ASTM A416"), L494, 0), 3)</f>
        <v/>
      </c>
      <c r="W494" s="20">
        <f>ROUND(W493 + IF(AND(E494=25, F494&lt;&gt;"ASTM A416"), L494, 0), 3)</f>
        <v/>
      </c>
      <c r="X494" s="20">
        <f>ROUND(X493 + IF(AND(E494=28, F494&lt;&gt;"ASTM A416"), L494, 0), 3)</f>
        <v/>
      </c>
      <c r="Y494" s="20">
        <f>ROUND(Y493 + IF(AND(E494=32, F494&lt;&gt;"ASTM A416"), L494, 0), 3)</f>
        <v/>
      </c>
      <c r="Z494" s="20">
        <f>ROUND(Z493 + IF(F494="ASTM A416", L494, 0), 3)</f>
        <v/>
      </c>
      <c r="AA494" s="11">
        <f>IF(INT(P494/20)&gt;INT(P493/20), "Lần " &amp; INT(P494/20), "")</f>
        <v/>
      </c>
      <c r="AB494" s="11">
        <f>IF(INT(Q494/20)&gt;INT(Q493/20), "Lần " &amp; INT(Q494/20), "")</f>
        <v/>
      </c>
      <c r="AC494" s="11">
        <f>IF(INT(R494/20)&gt;INT(R493/20), "Lần " &amp; INT(R494/20), "")</f>
        <v/>
      </c>
      <c r="AD494" s="11">
        <f>IF(INT(S494/20)&gt;INT(S493/20), "Lần " &amp; INT(S494/20), "")</f>
        <v/>
      </c>
      <c r="AE494" s="11">
        <f>IF(INT(T494/20)&gt;INT(T493/20), "Lần " &amp; INT(T494/20), "")</f>
        <v/>
      </c>
      <c r="AF494" s="11">
        <f>IF(INT(U494/20)&gt;INT(U493/20), "Lần " &amp; INT(U494/20), "")</f>
        <v/>
      </c>
      <c r="AG494" s="11">
        <f>IF(INT(V494/20)&gt;INT(V493/20), "Lần " &amp; INT(V494/20), "")</f>
        <v/>
      </c>
      <c r="AH494" s="11">
        <f>IF(INT(W494/20)&gt;INT(W493/20), "Lần " &amp; INT(W494/20), "")</f>
        <v/>
      </c>
      <c r="AI494" s="11">
        <f>IF(INT(X494/20)&gt;INT(X493/20), "Lần " &amp; INT(X494/20), "")</f>
        <v/>
      </c>
      <c r="AJ494" s="11">
        <f>IF(INT(Y494/20)&gt;INT(Y493/20), "Lần " &amp; INT(Y494/20), "")</f>
        <v/>
      </c>
      <c r="AK494" s="11">
        <f>IF(INT(Z494/20)&gt;INT(Z493/20), "Lần " &amp; INT(Z494/20), "")</f>
        <v/>
      </c>
      <c r="AL494" s="6" t="inlineStr">
        <is>
          <t>ĐẠT TCVN 1651:2018</t>
        </is>
      </c>
    </row>
    <row r="495" ht="19" customHeight="1">
      <c r="A495" s="6" t="n">
        <v>464</v>
      </c>
      <c r="B495" s="7" t="inlineStr">
        <is>
          <t>Mố M1</t>
        </is>
      </c>
      <c r="C495" s="7" t="inlineStr">
        <is>
          <t>Thân mố / Bệ mố</t>
        </is>
      </c>
      <c r="D495" s="18" t="inlineStr">
        <is>
          <t>W3F(T)</t>
        </is>
      </c>
      <c r="E495" s="19" t="n">
        <v>16</v>
      </c>
      <c r="F495" s="6" t="inlineStr">
        <is>
          <t>CB400-V</t>
        </is>
      </c>
      <c r="G495" s="7" t="inlineStr">
        <is>
          <t>S06</t>
        </is>
      </c>
      <c r="H495" s="20" t="n">
        <v>6.334</v>
      </c>
      <c r="I495" s="21" t="n">
        <v>1</v>
      </c>
      <c r="J495" s="22" t="n">
        <v>1.58</v>
      </c>
      <c r="K495" s="9">
        <f>ROUND(H495*I495*J495, 2)</f>
        <v/>
      </c>
      <c r="L495" s="23">
        <f>ROUND(K495/1000, 3)</f>
        <v/>
      </c>
      <c r="M495" s="8" t="n"/>
      <c r="N495" s="6" t="n"/>
      <c r="O495" s="24">
        <f>IF(AND(E495&lt;=10, F495&lt;&gt;"ASTM A416", INT(P495/20)&gt;INT(P494/20)), "TN Ø10 (Lần " &amp; INT(P495/20) &amp; ")", IF(AND(E495=12, INT(Q495/20)&gt;INT(Q494/20)), "TN Ø12 (Lần " &amp; INT(Q495/20) &amp; ")", IF(AND(E495=14, INT(R495/20)&gt;INT(R494/20)), "TN Ø14 (Lần " &amp; INT(R495/20) &amp; ")", IF(AND(E495=16, INT(S495/20)&gt;INT(S494/20)), "TN Ø16 (Lần " &amp; INT(S495/20) &amp; ")", IF(AND(E495=18, INT(T495/20)&gt;INT(T494/20)), "TN Ø18 (Lần " &amp; INT(T495/20) &amp; ")", IF(AND(E495=20, INT(U495/20)&gt;INT(U494/20)), "TN Ø20 (Lần " &amp; INT(U495/20) &amp; ")", IF(AND(E495=22, INT(V495/20)&gt;INT(V494/20)), "TN Ø22 (Lần " &amp; INT(V495/20) &amp; ")", IF(AND(E495=25, INT(W495/20)&gt;INT(W494/20)), "TN Ø25 (Lần " &amp; INT(W495/20) &amp; ")", IF(AND(E495=28, INT(X495/20)&gt;INT(X494/20)), "TN Ø28 (Lần " &amp; INT(X495/20) &amp; ")", IF(AND(E495=32, INT(Y495/20)&gt;INT(Y494/20)), "TN Ø32 (Lần " &amp; INT(Y495/20) &amp; ")", IF(AND(F495="ASTM A416", INT(Z495/20)&gt;INT(Z494/20)), "TN Cáp 15.2 (Lần " &amp; INT(Z495/20) &amp; ")", "")))))))))))</f>
        <v/>
      </c>
      <c r="P495" s="20">
        <f>ROUND(P494 + IF(AND(E495&lt;=10, F495&lt;&gt;"ASTM A416"), L495, 0), 3)</f>
        <v/>
      </c>
      <c r="Q495" s="20">
        <f>ROUND(Q494 + IF(AND(E495=12, F495&lt;&gt;"ASTM A416"), L495, 0), 3)</f>
        <v/>
      </c>
      <c r="R495" s="20">
        <f>ROUND(R494 + IF(AND(E495=14, F495&lt;&gt;"ASTM A416"), L495, 0), 3)</f>
        <v/>
      </c>
      <c r="S495" s="20">
        <f>ROUND(S494 + IF(AND(E495=16, F495&lt;&gt;"ASTM A416"), L495, 0), 3)</f>
        <v/>
      </c>
      <c r="T495" s="20">
        <f>ROUND(T494 + IF(AND(E495=18, F495&lt;&gt;"ASTM A416"), L495, 0), 3)</f>
        <v/>
      </c>
      <c r="U495" s="20">
        <f>ROUND(U494 + IF(AND(E495=20, F495&lt;&gt;"ASTM A416"), L495, 0), 3)</f>
        <v/>
      </c>
      <c r="V495" s="20">
        <f>ROUND(V494 + IF(AND(E495=22, F495&lt;&gt;"ASTM A416"), L495, 0), 3)</f>
        <v/>
      </c>
      <c r="W495" s="20">
        <f>ROUND(W494 + IF(AND(E495=25, F495&lt;&gt;"ASTM A416"), L495, 0), 3)</f>
        <v/>
      </c>
      <c r="X495" s="20">
        <f>ROUND(X494 + IF(AND(E495=28, F495&lt;&gt;"ASTM A416"), L495, 0), 3)</f>
        <v/>
      </c>
      <c r="Y495" s="20">
        <f>ROUND(Y494 + IF(AND(E495=32, F495&lt;&gt;"ASTM A416"), L495, 0), 3)</f>
        <v/>
      </c>
      <c r="Z495" s="20">
        <f>ROUND(Z494 + IF(F495="ASTM A416", L495, 0), 3)</f>
        <v/>
      </c>
      <c r="AA495" s="11">
        <f>IF(INT(P495/20)&gt;INT(P494/20), "Lần " &amp; INT(P495/20), "")</f>
        <v/>
      </c>
      <c r="AB495" s="11">
        <f>IF(INT(Q495/20)&gt;INT(Q494/20), "Lần " &amp; INT(Q495/20), "")</f>
        <v/>
      </c>
      <c r="AC495" s="11">
        <f>IF(INT(R495/20)&gt;INT(R494/20), "Lần " &amp; INT(R495/20), "")</f>
        <v/>
      </c>
      <c r="AD495" s="11">
        <f>IF(INT(S495/20)&gt;INT(S494/20), "Lần " &amp; INT(S495/20), "")</f>
        <v/>
      </c>
      <c r="AE495" s="11">
        <f>IF(INT(T495/20)&gt;INT(T494/20), "Lần " &amp; INT(T495/20), "")</f>
        <v/>
      </c>
      <c r="AF495" s="11">
        <f>IF(INT(U495/20)&gt;INT(U494/20), "Lần " &amp; INT(U495/20), "")</f>
        <v/>
      </c>
      <c r="AG495" s="11">
        <f>IF(INT(V495/20)&gt;INT(V494/20), "Lần " &amp; INT(V495/20), "")</f>
        <v/>
      </c>
      <c r="AH495" s="11">
        <f>IF(INT(W495/20)&gt;INT(W494/20), "Lần " &amp; INT(W495/20), "")</f>
        <v/>
      </c>
      <c r="AI495" s="11">
        <f>IF(INT(X495/20)&gt;INT(X494/20), "Lần " &amp; INT(X495/20), "")</f>
        <v/>
      </c>
      <c r="AJ495" s="11">
        <f>IF(INT(Y495/20)&gt;INT(Y494/20), "Lần " &amp; INT(Y495/20), "")</f>
        <v/>
      </c>
      <c r="AK495" s="11">
        <f>IF(INT(Z495/20)&gt;INT(Z494/20), "Lần " &amp; INT(Z495/20), "")</f>
        <v/>
      </c>
      <c r="AL495" s="6" t="inlineStr">
        <is>
          <t>ĐẠT TCVN 1651:2018</t>
        </is>
      </c>
    </row>
    <row r="496" ht="19" customHeight="1">
      <c r="A496" s="6" t="n">
        <v>465</v>
      </c>
      <c r="B496" s="7" t="inlineStr">
        <is>
          <t>Mố M1</t>
        </is>
      </c>
      <c r="C496" s="7" t="inlineStr">
        <is>
          <t>Thân mố / Bệ mố</t>
        </is>
      </c>
      <c r="D496" s="18" t="inlineStr">
        <is>
          <t>W4A(T)</t>
        </is>
      </c>
      <c r="E496" s="19" t="n">
        <v>22</v>
      </c>
      <c r="F496" s="6" t="inlineStr">
        <is>
          <t>CB400-V</t>
        </is>
      </c>
      <c r="G496" s="7" t="inlineStr">
        <is>
          <t>S06</t>
        </is>
      </c>
      <c r="H496" s="20" t="n">
        <v>4.994</v>
      </c>
      <c r="I496" s="21" t="n">
        <v>25</v>
      </c>
      <c r="J496" s="22" t="n">
        <v>2.98</v>
      </c>
      <c r="K496" s="9">
        <f>ROUND(H496*I496*J496, 2)</f>
        <v/>
      </c>
      <c r="L496" s="23">
        <f>ROUND(K496/1000, 3)</f>
        <v/>
      </c>
      <c r="M496" s="8" t="n"/>
      <c r="N496" s="6" t="n"/>
      <c r="O496" s="24">
        <f>IF(AND(E496&lt;=10, F496&lt;&gt;"ASTM A416", INT(P496/20)&gt;INT(P495/20)), "TN Ø10 (Lần " &amp; INT(P496/20) &amp; ")", IF(AND(E496=12, INT(Q496/20)&gt;INT(Q495/20)), "TN Ø12 (Lần " &amp; INT(Q496/20) &amp; ")", IF(AND(E496=14, INT(R496/20)&gt;INT(R495/20)), "TN Ø14 (Lần " &amp; INT(R496/20) &amp; ")", IF(AND(E496=16, INT(S496/20)&gt;INT(S495/20)), "TN Ø16 (Lần " &amp; INT(S496/20) &amp; ")", IF(AND(E496=18, INT(T496/20)&gt;INT(T495/20)), "TN Ø18 (Lần " &amp; INT(T496/20) &amp; ")", IF(AND(E496=20, INT(U496/20)&gt;INT(U495/20)), "TN Ø20 (Lần " &amp; INT(U496/20) &amp; ")", IF(AND(E496=22, INT(V496/20)&gt;INT(V495/20)), "TN Ø22 (Lần " &amp; INT(V496/20) &amp; ")", IF(AND(E496=25, INT(W496/20)&gt;INT(W495/20)), "TN Ø25 (Lần " &amp; INT(W496/20) &amp; ")", IF(AND(E496=28, INT(X496/20)&gt;INT(X495/20)), "TN Ø28 (Lần " &amp; INT(X496/20) &amp; ")", IF(AND(E496=32, INT(Y496/20)&gt;INT(Y495/20)), "TN Ø32 (Lần " &amp; INT(Y496/20) &amp; ")", IF(AND(F496="ASTM A416", INT(Z496/20)&gt;INT(Z495/20)), "TN Cáp 15.2 (Lần " &amp; INT(Z496/20) &amp; ")", "")))))))))))</f>
        <v/>
      </c>
      <c r="P496" s="20">
        <f>ROUND(P495 + IF(AND(E496&lt;=10, F496&lt;&gt;"ASTM A416"), L496, 0), 3)</f>
        <v/>
      </c>
      <c r="Q496" s="20">
        <f>ROUND(Q495 + IF(AND(E496=12, F496&lt;&gt;"ASTM A416"), L496, 0), 3)</f>
        <v/>
      </c>
      <c r="R496" s="20">
        <f>ROUND(R495 + IF(AND(E496=14, F496&lt;&gt;"ASTM A416"), L496, 0), 3)</f>
        <v/>
      </c>
      <c r="S496" s="20">
        <f>ROUND(S495 + IF(AND(E496=16, F496&lt;&gt;"ASTM A416"), L496, 0), 3)</f>
        <v/>
      </c>
      <c r="T496" s="20">
        <f>ROUND(T495 + IF(AND(E496=18, F496&lt;&gt;"ASTM A416"), L496, 0), 3)</f>
        <v/>
      </c>
      <c r="U496" s="20">
        <f>ROUND(U495 + IF(AND(E496=20, F496&lt;&gt;"ASTM A416"), L496, 0), 3)</f>
        <v/>
      </c>
      <c r="V496" s="20">
        <f>ROUND(V495 + IF(AND(E496=22, F496&lt;&gt;"ASTM A416"), L496, 0), 3)</f>
        <v/>
      </c>
      <c r="W496" s="20">
        <f>ROUND(W495 + IF(AND(E496=25, F496&lt;&gt;"ASTM A416"), L496, 0), 3)</f>
        <v/>
      </c>
      <c r="X496" s="20">
        <f>ROUND(X495 + IF(AND(E496=28, F496&lt;&gt;"ASTM A416"), L496, 0), 3)</f>
        <v/>
      </c>
      <c r="Y496" s="20">
        <f>ROUND(Y495 + IF(AND(E496=32, F496&lt;&gt;"ASTM A416"), L496, 0), 3)</f>
        <v/>
      </c>
      <c r="Z496" s="20">
        <f>ROUND(Z495 + IF(F496="ASTM A416", L496, 0), 3)</f>
        <v/>
      </c>
      <c r="AA496" s="11">
        <f>IF(INT(P496/20)&gt;INT(P495/20), "Lần " &amp; INT(P496/20), "")</f>
        <v/>
      </c>
      <c r="AB496" s="11">
        <f>IF(INT(Q496/20)&gt;INT(Q495/20), "Lần " &amp; INT(Q496/20), "")</f>
        <v/>
      </c>
      <c r="AC496" s="11">
        <f>IF(INT(R496/20)&gt;INT(R495/20), "Lần " &amp; INT(R496/20), "")</f>
        <v/>
      </c>
      <c r="AD496" s="11">
        <f>IF(INT(S496/20)&gt;INT(S495/20), "Lần " &amp; INT(S496/20), "")</f>
        <v/>
      </c>
      <c r="AE496" s="11">
        <f>IF(INT(T496/20)&gt;INT(T495/20), "Lần " &amp; INT(T496/20), "")</f>
        <v/>
      </c>
      <c r="AF496" s="11">
        <f>IF(INT(U496/20)&gt;INT(U495/20), "Lần " &amp; INT(U496/20), "")</f>
        <v/>
      </c>
      <c r="AG496" s="11">
        <f>IF(INT(V496/20)&gt;INT(V495/20), "Lần " &amp; INT(V496/20), "")</f>
        <v/>
      </c>
      <c r="AH496" s="11">
        <f>IF(INT(W496/20)&gt;INT(W495/20), "Lần " &amp; INT(W496/20), "")</f>
        <v/>
      </c>
      <c r="AI496" s="11">
        <f>IF(INT(X496/20)&gt;INT(X495/20), "Lần " &amp; INT(X496/20), "")</f>
        <v/>
      </c>
      <c r="AJ496" s="11">
        <f>IF(INT(Y496/20)&gt;INT(Y495/20), "Lần " &amp; INT(Y496/20), "")</f>
        <v/>
      </c>
      <c r="AK496" s="11">
        <f>IF(INT(Z496/20)&gt;INT(Z495/20), "Lần " &amp; INT(Z496/20), "")</f>
        <v/>
      </c>
      <c r="AL496" s="6" t="inlineStr">
        <is>
          <t>ĐẠT TCVN 1651:2018</t>
        </is>
      </c>
    </row>
    <row r="497" ht="19" customHeight="1">
      <c r="A497" s="6" t="n">
        <v>466</v>
      </c>
      <c r="B497" s="7" t="inlineStr">
        <is>
          <t>Mố M1</t>
        </is>
      </c>
      <c r="C497" s="7" t="inlineStr">
        <is>
          <t>Thân mố / Bệ mố</t>
        </is>
      </c>
      <c r="D497" s="18" t="inlineStr">
        <is>
          <t>W4B(T)</t>
        </is>
      </c>
      <c r="E497" s="19" t="n">
        <v>22</v>
      </c>
      <c r="F497" s="6" t="inlineStr">
        <is>
          <t>CB400-V</t>
        </is>
      </c>
      <c r="G497" s="7" t="inlineStr">
        <is>
          <t>S06</t>
        </is>
      </c>
      <c r="H497" s="20" t="n">
        <v>5.893</v>
      </c>
      <c r="I497" s="21" t="n">
        <v>11</v>
      </c>
      <c r="J497" s="22" t="n">
        <v>2.98</v>
      </c>
      <c r="K497" s="9">
        <f>ROUND(H497*I497*J497, 2)</f>
        <v/>
      </c>
      <c r="L497" s="23">
        <f>ROUND(K497/1000, 3)</f>
        <v/>
      </c>
      <c r="M497" s="8" t="n"/>
      <c r="N497" s="6" t="n"/>
      <c r="O497" s="24">
        <f>IF(AND(E497&lt;=10, F497&lt;&gt;"ASTM A416", INT(P497/20)&gt;INT(P496/20)), "TN Ø10 (Lần " &amp; INT(P497/20) &amp; ")", IF(AND(E497=12, INT(Q497/20)&gt;INT(Q496/20)), "TN Ø12 (Lần " &amp; INT(Q497/20) &amp; ")", IF(AND(E497=14, INT(R497/20)&gt;INT(R496/20)), "TN Ø14 (Lần " &amp; INT(R497/20) &amp; ")", IF(AND(E497=16, INT(S497/20)&gt;INT(S496/20)), "TN Ø16 (Lần " &amp; INT(S497/20) &amp; ")", IF(AND(E497=18, INT(T497/20)&gt;INT(T496/20)), "TN Ø18 (Lần " &amp; INT(T497/20) &amp; ")", IF(AND(E497=20, INT(U497/20)&gt;INT(U496/20)), "TN Ø20 (Lần " &amp; INT(U497/20) &amp; ")", IF(AND(E497=22, INT(V497/20)&gt;INT(V496/20)), "TN Ø22 (Lần " &amp; INT(V497/20) &amp; ")", IF(AND(E497=25, INT(W497/20)&gt;INT(W496/20)), "TN Ø25 (Lần " &amp; INT(W497/20) &amp; ")", IF(AND(E497=28, INT(X497/20)&gt;INT(X496/20)), "TN Ø28 (Lần " &amp; INT(X497/20) &amp; ")", IF(AND(E497=32, INT(Y497/20)&gt;INT(Y496/20)), "TN Ø32 (Lần " &amp; INT(Y497/20) &amp; ")", IF(AND(F497="ASTM A416", INT(Z497/20)&gt;INT(Z496/20)), "TN Cáp 15.2 (Lần " &amp; INT(Z497/20) &amp; ")", "")))))))))))</f>
        <v/>
      </c>
      <c r="P497" s="20">
        <f>ROUND(P496 + IF(AND(E497&lt;=10, F497&lt;&gt;"ASTM A416"), L497, 0), 3)</f>
        <v/>
      </c>
      <c r="Q497" s="20">
        <f>ROUND(Q496 + IF(AND(E497=12, F497&lt;&gt;"ASTM A416"), L497, 0), 3)</f>
        <v/>
      </c>
      <c r="R497" s="20">
        <f>ROUND(R496 + IF(AND(E497=14, F497&lt;&gt;"ASTM A416"), L497, 0), 3)</f>
        <v/>
      </c>
      <c r="S497" s="20">
        <f>ROUND(S496 + IF(AND(E497=16, F497&lt;&gt;"ASTM A416"), L497, 0), 3)</f>
        <v/>
      </c>
      <c r="T497" s="20">
        <f>ROUND(T496 + IF(AND(E497=18, F497&lt;&gt;"ASTM A416"), L497, 0), 3)</f>
        <v/>
      </c>
      <c r="U497" s="20">
        <f>ROUND(U496 + IF(AND(E497=20, F497&lt;&gt;"ASTM A416"), L497, 0), 3)</f>
        <v/>
      </c>
      <c r="V497" s="20">
        <f>ROUND(V496 + IF(AND(E497=22, F497&lt;&gt;"ASTM A416"), L497, 0), 3)</f>
        <v/>
      </c>
      <c r="W497" s="20">
        <f>ROUND(W496 + IF(AND(E497=25, F497&lt;&gt;"ASTM A416"), L497, 0), 3)</f>
        <v/>
      </c>
      <c r="X497" s="20">
        <f>ROUND(X496 + IF(AND(E497=28, F497&lt;&gt;"ASTM A416"), L497, 0), 3)</f>
        <v/>
      </c>
      <c r="Y497" s="20">
        <f>ROUND(Y496 + IF(AND(E497=32, F497&lt;&gt;"ASTM A416"), L497, 0), 3)</f>
        <v/>
      </c>
      <c r="Z497" s="20">
        <f>ROUND(Z496 + IF(F497="ASTM A416", L497, 0), 3)</f>
        <v/>
      </c>
      <c r="AA497" s="11">
        <f>IF(INT(P497/20)&gt;INT(P496/20), "Lần " &amp; INT(P497/20), "")</f>
        <v/>
      </c>
      <c r="AB497" s="11">
        <f>IF(INT(Q497/20)&gt;INT(Q496/20), "Lần " &amp; INT(Q497/20), "")</f>
        <v/>
      </c>
      <c r="AC497" s="11">
        <f>IF(INT(R497/20)&gt;INT(R496/20), "Lần " &amp; INT(R497/20), "")</f>
        <v/>
      </c>
      <c r="AD497" s="11">
        <f>IF(INT(S497/20)&gt;INT(S496/20), "Lần " &amp; INT(S497/20), "")</f>
        <v/>
      </c>
      <c r="AE497" s="11">
        <f>IF(INT(T497/20)&gt;INT(T496/20), "Lần " &amp; INT(T497/20), "")</f>
        <v/>
      </c>
      <c r="AF497" s="11">
        <f>IF(INT(U497/20)&gt;INT(U496/20), "Lần " &amp; INT(U497/20), "")</f>
        <v/>
      </c>
      <c r="AG497" s="11">
        <f>IF(INT(V497/20)&gt;INT(V496/20), "Lần " &amp; INT(V497/20), "")</f>
        <v/>
      </c>
      <c r="AH497" s="11">
        <f>IF(INT(W497/20)&gt;INT(W496/20), "Lần " &amp; INT(W497/20), "")</f>
        <v/>
      </c>
      <c r="AI497" s="11">
        <f>IF(INT(X497/20)&gt;INT(X496/20), "Lần " &amp; INT(X497/20), "")</f>
        <v/>
      </c>
      <c r="AJ497" s="11">
        <f>IF(INT(Y497/20)&gt;INT(Y496/20), "Lần " &amp; INT(Y497/20), "")</f>
        <v/>
      </c>
      <c r="AK497" s="11">
        <f>IF(INT(Z497/20)&gt;INT(Z496/20), "Lần " &amp; INT(Z497/20), "")</f>
        <v/>
      </c>
      <c r="AL497" s="6" t="inlineStr">
        <is>
          <t>ĐẠT TCVN 1651:2018</t>
        </is>
      </c>
    </row>
    <row r="498" ht="19" customHeight="1">
      <c r="A498" s="6" t="n">
        <v>467</v>
      </c>
      <c r="B498" s="7" t="inlineStr">
        <is>
          <t>Mố M1</t>
        </is>
      </c>
      <c r="C498" s="7" t="inlineStr">
        <is>
          <t>Thân mố / Bệ mố</t>
        </is>
      </c>
      <c r="D498" s="18" t="inlineStr">
        <is>
          <t>W4C(T)</t>
        </is>
      </c>
      <c r="E498" s="19" t="n">
        <v>22</v>
      </c>
      <c r="F498" s="6" t="inlineStr">
        <is>
          <t>CB400-V</t>
        </is>
      </c>
      <c r="G498" s="7" t="inlineStr">
        <is>
          <t>S06</t>
        </is>
      </c>
      <c r="H498" s="20" t="n">
        <v>6.096</v>
      </c>
      <c r="I498" s="21" t="n">
        <v>5</v>
      </c>
      <c r="J498" s="22" t="n">
        <v>2.98</v>
      </c>
      <c r="K498" s="9">
        <f>ROUND(H498*I498*J498, 2)</f>
        <v/>
      </c>
      <c r="L498" s="23">
        <f>ROUND(K498/1000, 3)</f>
        <v/>
      </c>
      <c r="M498" s="8" t="n"/>
      <c r="N498" s="6" t="n"/>
      <c r="O498" s="24">
        <f>IF(AND(E498&lt;=10, F498&lt;&gt;"ASTM A416", INT(P498/20)&gt;INT(P497/20)), "TN Ø10 (Lần " &amp; INT(P498/20) &amp; ")", IF(AND(E498=12, INT(Q498/20)&gt;INT(Q497/20)), "TN Ø12 (Lần " &amp; INT(Q498/20) &amp; ")", IF(AND(E498=14, INT(R498/20)&gt;INT(R497/20)), "TN Ø14 (Lần " &amp; INT(R498/20) &amp; ")", IF(AND(E498=16, INT(S498/20)&gt;INT(S497/20)), "TN Ø16 (Lần " &amp; INT(S498/20) &amp; ")", IF(AND(E498=18, INT(T498/20)&gt;INT(T497/20)), "TN Ø18 (Lần " &amp; INT(T498/20) &amp; ")", IF(AND(E498=20, INT(U498/20)&gt;INT(U497/20)), "TN Ø20 (Lần " &amp; INT(U498/20) &amp; ")", IF(AND(E498=22, INT(V498/20)&gt;INT(V497/20)), "TN Ø22 (Lần " &amp; INT(V498/20) &amp; ")", IF(AND(E498=25, INT(W498/20)&gt;INT(W497/20)), "TN Ø25 (Lần " &amp; INT(W498/20) &amp; ")", IF(AND(E498=28, INT(X498/20)&gt;INT(X497/20)), "TN Ø28 (Lần " &amp; INT(X498/20) &amp; ")", IF(AND(E498=32, INT(Y498/20)&gt;INT(Y497/20)), "TN Ø32 (Lần " &amp; INT(Y498/20) &amp; ")", IF(AND(F498="ASTM A416", INT(Z498/20)&gt;INT(Z497/20)), "TN Cáp 15.2 (Lần " &amp; INT(Z498/20) &amp; ")", "")))))))))))</f>
        <v/>
      </c>
      <c r="P498" s="20">
        <f>ROUND(P497 + IF(AND(E498&lt;=10, F498&lt;&gt;"ASTM A416"), L498, 0), 3)</f>
        <v/>
      </c>
      <c r="Q498" s="20">
        <f>ROUND(Q497 + IF(AND(E498=12, F498&lt;&gt;"ASTM A416"), L498, 0), 3)</f>
        <v/>
      </c>
      <c r="R498" s="20">
        <f>ROUND(R497 + IF(AND(E498=14, F498&lt;&gt;"ASTM A416"), L498, 0), 3)</f>
        <v/>
      </c>
      <c r="S498" s="20">
        <f>ROUND(S497 + IF(AND(E498=16, F498&lt;&gt;"ASTM A416"), L498, 0), 3)</f>
        <v/>
      </c>
      <c r="T498" s="20">
        <f>ROUND(T497 + IF(AND(E498=18, F498&lt;&gt;"ASTM A416"), L498, 0), 3)</f>
        <v/>
      </c>
      <c r="U498" s="20">
        <f>ROUND(U497 + IF(AND(E498=20, F498&lt;&gt;"ASTM A416"), L498, 0), 3)</f>
        <v/>
      </c>
      <c r="V498" s="20">
        <f>ROUND(V497 + IF(AND(E498=22, F498&lt;&gt;"ASTM A416"), L498, 0), 3)</f>
        <v/>
      </c>
      <c r="W498" s="20">
        <f>ROUND(W497 + IF(AND(E498=25, F498&lt;&gt;"ASTM A416"), L498, 0), 3)</f>
        <v/>
      </c>
      <c r="X498" s="20">
        <f>ROUND(X497 + IF(AND(E498=28, F498&lt;&gt;"ASTM A416"), L498, 0), 3)</f>
        <v/>
      </c>
      <c r="Y498" s="20">
        <f>ROUND(Y497 + IF(AND(E498=32, F498&lt;&gt;"ASTM A416"), L498, 0), 3)</f>
        <v/>
      </c>
      <c r="Z498" s="20">
        <f>ROUND(Z497 + IF(F498="ASTM A416", L498, 0), 3)</f>
        <v/>
      </c>
      <c r="AA498" s="11">
        <f>IF(INT(P498/20)&gt;INT(P497/20), "Lần " &amp; INT(P498/20), "")</f>
        <v/>
      </c>
      <c r="AB498" s="11">
        <f>IF(INT(Q498/20)&gt;INT(Q497/20), "Lần " &amp; INT(Q498/20), "")</f>
        <v/>
      </c>
      <c r="AC498" s="11">
        <f>IF(INT(R498/20)&gt;INT(R497/20), "Lần " &amp; INT(R498/20), "")</f>
        <v/>
      </c>
      <c r="AD498" s="11">
        <f>IF(INT(S498/20)&gt;INT(S497/20), "Lần " &amp; INT(S498/20), "")</f>
        <v/>
      </c>
      <c r="AE498" s="11">
        <f>IF(INT(T498/20)&gt;INT(T497/20), "Lần " &amp; INT(T498/20), "")</f>
        <v/>
      </c>
      <c r="AF498" s="11">
        <f>IF(INT(U498/20)&gt;INT(U497/20), "Lần " &amp; INT(U498/20), "")</f>
        <v/>
      </c>
      <c r="AG498" s="11">
        <f>IF(INT(V498/20)&gt;INT(V497/20), "Lần " &amp; INT(V498/20), "")</f>
        <v/>
      </c>
      <c r="AH498" s="11">
        <f>IF(INT(W498/20)&gt;INT(W497/20), "Lần " &amp; INT(W498/20), "")</f>
        <v/>
      </c>
      <c r="AI498" s="11">
        <f>IF(INT(X498/20)&gt;INT(X497/20), "Lần " &amp; INT(X498/20), "")</f>
        <v/>
      </c>
      <c r="AJ498" s="11">
        <f>IF(INT(Y498/20)&gt;INT(Y497/20), "Lần " &amp; INT(Y498/20), "")</f>
        <v/>
      </c>
      <c r="AK498" s="11">
        <f>IF(INT(Z498/20)&gt;INT(Z497/20), "Lần " &amp; INT(Z498/20), "")</f>
        <v/>
      </c>
      <c r="AL498" s="6" t="inlineStr">
        <is>
          <t>ĐẠT TCVN 1651:2018</t>
        </is>
      </c>
    </row>
    <row r="499" ht="19" customHeight="1">
      <c r="A499" s="6" t="n">
        <v>468</v>
      </c>
      <c r="B499" s="7" t="inlineStr">
        <is>
          <t>Mố M1</t>
        </is>
      </c>
      <c r="C499" s="7" t="inlineStr">
        <is>
          <t>Thân mố / Bệ mố</t>
        </is>
      </c>
      <c r="D499" s="18" t="inlineStr">
        <is>
          <t>W4D(T)</t>
        </is>
      </c>
      <c r="E499" s="19" t="n">
        <v>22</v>
      </c>
      <c r="F499" s="6" t="inlineStr">
        <is>
          <t>CB400-V</t>
        </is>
      </c>
      <c r="G499" s="7" t="inlineStr">
        <is>
          <t>S06</t>
        </is>
      </c>
      <c r="H499" s="20" t="n">
        <v>6.494</v>
      </c>
      <c r="I499" s="21" t="n">
        <v>8</v>
      </c>
      <c r="J499" s="22" t="n">
        <v>2.98</v>
      </c>
      <c r="K499" s="9">
        <f>ROUND(H499*I499*J499, 2)</f>
        <v/>
      </c>
      <c r="L499" s="23">
        <f>ROUND(K499/1000, 3)</f>
        <v/>
      </c>
      <c r="M499" s="8" t="n"/>
      <c r="N499" s="6" t="n"/>
      <c r="O499" s="24">
        <f>IF(AND(E499&lt;=10, F499&lt;&gt;"ASTM A416", INT(P499/20)&gt;INT(P498/20)), "TN Ø10 (Lần " &amp; INT(P499/20) &amp; ")", IF(AND(E499=12, INT(Q499/20)&gt;INT(Q498/20)), "TN Ø12 (Lần " &amp; INT(Q499/20) &amp; ")", IF(AND(E499=14, INT(R499/20)&gt;INT(R498/20)), "TN Ø14 (Lần " &amp; INT(R499/20) &amp; ")", IF(AND(E499=16, INT(S499/20)&gt;INT(S498/20)), "TN Ø16 (Lần " &amp; INT(S499/20) &amp; ")", IF(AND(E499=18, INT(T499/20)&gt;INT(T498/20)), "TN Ø18 (Lần " &amp; INT(T499/20) &amp; ")", IF(AND(E499=20, INT(U499/20)&gt;INT(U498/20)), "TN Ø20 (Lần " &amp; INT(U499/20) &amp; ")", IF(AND(E499=22, INT(V499/20)&gt;INT(V498/20)), "TN Ø22 (Lần " &amp; INT(V499/20) &amp; ")", IF(AND(E499=25, INT(W499/20)&gt;INT(W498/20)), "TN Ø25 (Lần " &amp; INT(W499/20) &amp; ")", IF(AND(E499=28, INT(X499/20)&gt;INT(X498/20)), "TN Ø28 (Lần " &amp; INT(X499/20) &amp; ")", IF(AND(E499=32, INT(Y499/20)&gt;INT(Y498/20)), "TN Ø32 (Lần " &amp; INT(Y499/20) &amp; ")", IF(AND(F499="ASTM A416", INT(Z499/20)&gt;INT(Z498/20)), "TN Cáp 15.2 (Lần " &amp; INT(Z499/20) &amp; ")", "")))))))))))</f>
        <v/>
      </c>
      <c r="P499" s="20">
        <f>ROUND(P498 + IF(AND(E499&lt;=10, F499&lt;&gt;"ASTM A416"), L499, 0), 3)</f>
        <v/>
      </c>
      <c r="Q499" s="20">
        <f>ROUND(Q498 + IF(AND(E499=12, F499&lt;&gt;"ASTM A416"), L499, 0), 3)</f>
        <v/>
      </c>
      <c r="R499" s="20">
        <f>ROUND(R498 + IF(AND(E499=14, F499&lt;&gt;"ASTM A416"), L499, 0), 3)</f>
        <v/>
      </c>
      <c r="S499" s="20">
        <f>ROUND(S498 + IF(AND(E499=16, F499&lt;&gt;"ASTM A416"), L499, 0), 3)</f>
        <v/>
      </c>
      <c r="T499" s="20">
        <f>ROUND(T498 + IF(AND(E499=18, F499&lt;&gt;"ASTM A416"), L499, 0), 3)</f>
        <v/>
      </c>
      <c r="U499" s="20">
        <f>ROUND(U498 + IF(AND(E499=20, F499&lt;&gt;"ASTM A416"), L499, 0), 3)</f>
        <v/>
      </c>
      <c r="V499" s="20">
        <f>ROUND(V498 + IF(AND(E499=22, F499&lt;&gt;"ASTM A416"), L499, 0), 3)</f>
        <v/>
      </c>
      <c r="W499" s="20">
        <f>ROUND(W498 + IF(AND(E499=25, F499&lt;&gt;"ASTM A416"), L499, 0), 3)</f>
        <v/>
      </c>
      <c r="X499" s="20">
        <f>ROUND(X498 + IF(AND(E499=28, F499&lt;&gt;"ASTM A416"), L499, 0), 3)</f>
        <v/>
      </c>
      <c r="Y499" s="20">
        <f>ROUND(Y498 + IF(AND(E499=32, F499&lt;&gt;"ASTM A416"), L499, 0), 3)</f>
        <v/>
      </c>
      <c r="Z499" s="20">
        <f>ROUND(Z498 + IF(F499="ASTM A416", L499, 0), 3)</f>
        <v/>
      </c>
      <c r="AA499" s="11">
        <f>IF(INT(P499/20)&gt;INT(P498/20), "Lần " &amp; INT(P499/20), "")</f>
        <v/>
      </c>
      <c r="AB499" s="11">
        <f>IF(INT(Q499/20)&gt;INT(Q498/20), "Lần " &amp; INT(Q499/20), "")</f>
        <v/>
      </c>
      <c r="AC499" s="11">
        <f>IF(INT(R499/20)&gt;INT(R498/20), "Lần " &amp; INT(R499/20), "")</f>
        <v/>
      </c>
      <c r="AD499" s="11">
        <f>IF(INT(S499/20)&gt;INT(S498/20), "Lần " &amp; INT(S499/20), "")</f>
        <v/>
      </c>
      <c r="AE499" s="11">
        <f>IF(INT(T499/20)&gt;INT(T498/20), "Lần " &amp; INT(T499/20), "")</f>
        <v/>
      </c>
      <c r="AF499" s="11">
        <f>IF(INT(U499/20)&gt;INT(U498/20), "Lần " &amp; INT(U499/20), "")</f>
        <v/>
      </c>
      <c r="AG499" s="11">
        <f>IF(INT(V499/20)&gt;INT(V498/20), "Lần " &amp; INT(V499/20), "")</f>
        <v/>
      </c>
      <c r="AH499" s="11">
        <f>IF(INT(W499/20)&gt;INT(W498/20), "Lần " &amp; INT(W499/20), "")</f>
        <v/>
      </c>
      <c r="AI499" s="11">
        <f>IF(INT(X499/20)&gt;INT(X498/20), "Lần " &amp; INT(X499/20), "")</f>
        <v/>
      </c>
      <c r="AJ499" s="11">
        <f>IF(INT(Y499/20)&gt;INT(Y498/20), "Lần " &amp; INT(Y499/20), "")</f>
        <v/>
      </c>
      <c r="AK499" s="11">
        <f>IF(INT(Z499/20)&gt;INT(Z498/20), "Lần " &amp; INT(Z499/20), "")</f>
        <v/>
      </c>
      <c r="AL499" s="6" t="inlineStr">
        <is>
          <t>ĐẠT TCVN 1651:2018</t>
        </is>
      </c>
    </row>
    <row r="500" ht="19" customHeight="1">
      <c r="A500" s="6" t="n">
        <v>469</v>
      </c>
      <c r="B500" s="7" t="inlineStr">
        <is>
          <t>Mố M1</t>
        </is>
      </c>
      <c r="C500" s="7" t="inlineStr">
        <is>
          <t>Thân mố / Bệ mố</t>
        </is>
      </c>
      <c r="D500" s="18" t="inlineStr">
        <is>
          <t>W4F(T)</t>
        </is>
      </c>
      <c r="E500" s="19" t="n">
        <v>22</v>
      </c>
      <c r="F500" s="6" t="inlineStr">
        <is>
          <t>CB400-V</t>
        </is>
      </c>
      <c r="G500" s="7" t="inlineStr">
        <is>
          <t>S06</t>
        </is>
      </c>
      <c r="H500" s="20" t="n">
        <v>6.496</v>
      </c>
      <c r="I500" s="21" t="n">
        <v>1</v>
      </c>
      <c r="J500" s="22" t="n">
        <v>2.98</v>
      </c>
      <c r="K500" s="9">
        <f>ROUND(H500*I500*J500, 2)</f>
        <v/>
      </c>
      <c r="L500" s="23">
        <f>ROUND(K500/1000, 3)</f>
        <v/>
      </c>
      <c r="M500" s="8" t="n"/>
      <c r="N500" s="6" t="n"/>
      <c r="O500" s="24">
        <f>IF(AND(E500&lt;=10, F500&lt;&gt;"ASTM A416", INT(P500/20)&gt;INT(P499/20)), "TN Ø10 (Lần " &amp; INT(P500/20) &amp; ")", IF(AND(E500=12, INT(Q500/20)&gt;INT(Q499/20)), "TN Ø12 (Lần " &amp; INT(Q500/20) &amp; ")", IF(AND(E500=14, INT(R500/20)&gt;INT(R499/20)), "TN Ø14 (Lần " &amp; INT(R500/20) &amp; ")", IF(AND(E500=16, INT(S500/20)&gt;INT(S499/20)), "TN Ø16 (Lần " &amp; INT(S500/20) &amp; ")", IF(AND(E500=18, INT(T500/20)&gt;INT(T499/20)), "TN Ø18 (Lần " &amp; INT(T500/20) &amp; ")", IF(AND(E500=20, INT(U500/20)&gt;INT(U499/20)), "TN Ø20 (Lần " &amp; INT(U500/20) &amp; ")", IF(AND(E500=22, INT(V500/20)&gt;INT(V499/20)), "TN Ø22 (Lần " &amp; INT(V500/20) &amp; ")", IF(AND(E500=25, INT(W500/20)&gt;INT(W499/20)), "TN Ø25 (Lần " &amp; INT(W500/20) &amp; ")", IF(AND(E500=28, INT(X500/20)&gt;INT(X499/20)), "TN Ø28 (Lần " &amp; INT(X500/20) &amp; ")", IF(AND(E500=32, INT(Y500/20)&gt;INT(Y499/20)), "TN Ø32 (Lần " &amp; INT(Y500/20) &amp; ")", IF(AND(F500="ASTM A416", INT(Z500/20)&gt;INT(Z499/20)), "TN Cáp 15.2 (Lần " &amp; INT(Z500/20) &amp; ")", "")))))))))))</f>
        <v/>
      </c>
      <c r="P500" s="20">
        <f>ROUND(P499 + IF(AND(E500&lt;=10, F500&lt;&gt;"ASTM A416"), L500, 0), 3)</f>
        <v/>
      </c>
      <c r="Q500" s="20">
        <f>ROUND(Q499 + IF(AND(E500=12, F500&lt;&gt;"ASTM A416"), L500, 0), 3)</f>
        <v/>
      </c>
      <c r="R500" s="20">
        <f>ROUND(R499 + IF(AND(E500=14, F500&lt;&gt;"ASTM A416"), L500, 0), 3)</f>
        <v/>
      </c>
      <c r="S500" s="20">
        <f>ROUND(S499 + IF(AND(E500=16, F500&lt;&gt;"ASTM A416"), L500, 0), 3)</f>
        <v/>
      </c>
      <c r="T500" s="20">
        <f>ROUND(T499 + IF(AND(E500=18, F500&lt;&gt;"ASTM A416"), L500, 0), 3)</f>
        <v/>
      </c>
      <c r="U500" s="20">
        <f>ROUND(U499 + IF(AND(E500=20, F500&lt;&gt;"ASTM A416"), L500, 0), 3)</f>
        <v/>
      </c>
      <c r="V500" s="20">
        <f>ROUND(V499 + IF(AND(E500=22, F500&lt;&gt;"ASTM A416"), L500, 0), 3)</f>
        <v/>
      </c>
      <c r="W500" s="20">
        <f>ROUND(W499 + IF(AND(E500=25, F500&lt;&gt;"ASTM A416"), L500, 0), 3)</f>
        <v/>
      </c>
      <c r="X500" s="20">
        <f>ROUND(X499 + IF(AND(E500=28, F500&lt;&gt;"ASTM A416"), L500, 0), 3)</f>
        <v/>
      </c>
      <c r="Y500" s="20">
        <f>ROUND(Y499 + IF(AND(E500=32, F500&lt;&gt;"ASTM A416"), L500, 0), 3)</f>
        <v/>
      </c>
      <c r="Z500" s="20">
        <f>ROUND(Z499 + IF(F500="ASTM A416", L500, 0), 3)</f>
        <v/>
      </c>
      <c r="AA500" s="11">
        <f>IF(INT(P500/20)&gt;INT(P499/20), "Lần " &amp; INT(P500/20), "")</f>
        <v/>
      </c>
      <c r="AB500" s="11">
        <f>IF(INT(Q500/20)&gt;INT(Q499/20), "Lần " &amp; INT(Q500/20), "")</f>
        <v/>
      </c>
      <c r="AC500" s="11">
        <f>IF(INT(R500/20)&gt;INT(R499/20), "Lần " &amp; INT(R500/20), "")</f>
        <v/>
      </c>
      <c r="AD500" s="11">
        <f>IF(INT(S500/20)&gt;INT(S499/20), "Lần " &amp; INT(S500/20), "")</f>
        <v/>
      </c>
      <c r="AE500" s="11">
        <f>IF(INT(T500/20)&gt;INT(T499/20), "Lần " &amp; INT(T500/20), "")</f>
        <v/>
      </c>
      <c r="AF500" s="11">
        <f>IF(INT(U500/20)&gt;INT(U499/20), "Lần " &amp; INT(U500/20), "")</f>
        <v/>
      </c>
      <c r="AG500" s="11">
        <f>IF(INT(V500/20)&gt;INT(V499/20), "Lần " &amp; INT(V500/20), "")</f>
        <v/>
      </c>
      <c r="AH500" s="11">
        <f>IF(INT(W500/20)&gt;INT(W499/20), "Lần " &amp; INT(W500/20), "")</f>
        <v/>
      </c>
      <c r="AI500" s="11">
        <f>IF(INT(X500/20)&gt;INT(X499/20), "Lần " &amp; INT(X500/20), "")</f>
        <v/>
      </c>
      <c r="AJ500" s="11">
        <f>IF(INT(Y500/20)&gt;INT(Y499/20), "Lần " &amp; INT(Y500/20), "")</f>
        <v/>
      </c>
      <c r="AK500" s="11">
        <f>IF(INT(Z500/20)&gt;INT(Z499/20), "Lần " &amp; INT(Z500/20), "")</f>
        <v/>
      </c>
      <c r="AL500" s="6" t="inlineStr">
        <is>
          <t>ĐẠT TCVN 1651:2018</t>
        </is>
      </c>
    </row>
    <row r="501" ht="19" customHeight="1">
      <c r="A501" s="6" t="n">
        <v>470</v>
      </c>
      <c r="B501" s="7" t="inlineStr">
        <is>
          <t>Mố M1</t>
        </is>
      </c>
      <c r="C501" s="7" t="inlineStr">
        <is>
          <t>Thân mố / Bệ mố</t>
        </is>
      </c>
      <c r="D501" s="18" t="inlineStr">
        <is>
          <t>W5A(T)</t>
        </is>
      </c>
      <c r="E501" s="19" t="n">
        <v>16</v>
      </c>
      <c r="F501" s="6" t="inlineStr">
        <is>
          <t>CB400-V</t>
        </is>
      </c>
      <c r="G501" s="7" t="inlineStr">
        <is>
          <t>S05</t>
        </is>
      </c>
      <c r="H501" s="20" t="n">
        <v>4.711</v>
      </c>
      <c r="I501" s="21" t="n">
        <v>1</v>
      </c>
      <c r="J501" s="22" t="n">
        <v>1.58</v>
      </c>
      <c r="K501" s="9">
        <f>ROUND(H501*I501*J501, 2)</f>
        <v/>
      </c>
      <c r="L501" s="23">
        <f>ROUND(K501/1000, 3)</f>
        <v/>
      </c>
      <c r="M501" s="8" t="n"/>
      <c r="N501" s="6" t="n"/>
      <c r="O501" s="24">
        <f>IF(AND(E501&lt;=10, F501&lt;&gt;"ASTM A416", INT(P501/20)&gt;INT(P500/20)), "TN Ø10 (Lần " &amp; INT(P501/20) &amp; ")", IF(AND(E501=12, INT(Q501/20)&gt;INT(Q500/20)), "TN Ø12 (Lần " &amp; INT(Q501/20) &amp; ")", IF(AND(E501=14, INT(R501/20)&gt;INT(R500/20)), "TN Ø14 (Lần " &amp; INT(R501/20) &amp; ")", IF(AND(E501=16, INT(S501/20)&gt;INT(S500/20)), "TN Ø16 (Lần " &amp; INT(S501/20) &amp; ")", IF(AND(E501=18, INT(T501/20)&gt;INT(T500/20)), "TN Ø18 (Lần " &amp; INT(T501/20) &amp; ")", IF(AND(E501=20, INT(U501/20)&gt;INT(U500/20)), "TN Ø20 (Lần " &amp; INT(U501/20) &amp; ")", IF(AND(E501=22, INT(V501/20)&gt;INT(V500/20)), "TN Ø22 (Lần " &amp; INT(V501/20) &amp; ")", IF(AND(E501=25, INT(W501/20)&gt;INT(W500/20)), "TN Ø25 (Lần " &amp; INT(W501/20) &amp; ")", IF(AND(E501=28, INT(X501/20)&gt;INT(X500/20)), "TN Ø28 (Lần " &amp; INT(X501/20) &amp; ")", IF(AND(E501=32, INT(Y501/20)&gt;INT(Y500/20)), "TN Ø32 (Lần " &amp; INT(Y501/20) &amp; ")", IF(AND(F501="ASTM A416", INT(Z501/20)&gt;INT(Z500/20)), "TN Cáp 15.2 (Lần " &amp; INT(Z501/20) &amp; ")", "")))))))))))</f>
        <v/>
      </c>
      <c r="P501" s="20">
        <f>ROUND(P500 + IF(AND(E501&lt;=10, F501&lt;&gt;"ASTM A416"), L501, 0), 3)</f>
        <v/>
      </c>
      <c r="Q501" s="20">
        <f>ROUND(Q500 + IF(AND(E501=12, F501&lt;&gt;"ASTM A416"), L501, 0), 3)</f>
        <v/>
      </c>
      <c r="R501" s="20">
        <f>ROUND(R500 + IF(AND(E501=14, F501&lt;&gt;"ASTM A416"), L501, 0), 3)</f>
        <v/>
      </c>
      <c r="S501" s="20">
        <f>ROUND(S500 + IF(AND(E501=16, F501&lt;&gt;"ASTM A416"), L501, 0), 3)</f>
        <v/>
      </c>
      <c r="T501" s="20">
        <f>ROUND(T500 + IF(AND(E501=18, F501&lt;&gt;"ASTM A416"), L501, 0), 3)</f>
        <v/>
      </c>
      <c r="U501" s="20">
        <f>ROUND(U500 + IF(AND(E501=20, F501&lt;&gt;"ASTM A416"), L501, 0), 3)</f>
        <v/>
      </c>
      <c r="V501" s="20">
        <f>ROUND(V500 + IF(AND(E501=22, F501&lt;&gt;"ASTM A416"), L501, 0), 3)</f>
        <v/>
      </c>
      <c r="W501" s="20">
        <f>ROUND(W500 + IF(AND(E501=25, F501&lt;&gt;"ASTM A416"), L501, 0), 3)</f>
        <v/>
      </c>
      <c r="X501" s="20">
        <f>ROUND(X500 + IF(AND(E501=28, F501&lt;&gt;"ASTM A416"), L501, 0), 3)</f>
        <v/>
      </c>
      <c r="Y501" s="20">
        <f>ROUND(Y500 + IF(AND(E501=32, F501&lt;&gt;"ASTM A416"), L501, 0), 3)</f>
        <v/>
      </c>
      <c r="Z501" s="20">
        <f>ROUND(Z500 + IF(F501="ASTM A416", L501, 0), 3)</f>
        <v/>
      </c>
      <c r="AA501" s="11">
        <f>IF(INT(P501/20)&gt;INT(P500/20), "Lần " &amp; INT(P501/20), "")</f>
        <v/>
      </c>
      <c r="AB501" s="11">
        <f>IF(INT(Q501/20)&gt;INT(Q500/20), "Lần " &amp; INT(Q501/20), "")</f>
        <v/>
      </c>
      <c r="AC501" s="11">
        <f>IF(INT(R501/20)&gt;INT(R500/20), "Lần " &amp; INT(R501/20), "")</f>
        <v/>
      </c>
      <c r="AD501" s="11">
        <f>IF(INT(S501/20)&gt;INT(S500/20), "Lần " &amp; INT(S501/20), "")</f>
        <v/>
      </c>
      <c r="AE501" s="11">
        <f>IF(INT(T501/20)&gt;INT(T500/20), "Lần " &amp; INT(T501/20), "")</f>
        <v/>
      </c>
      <c r="AF501" s="11">
        <f>IF(INT(U501/20)&gt;INT(U500/20), "Lần " &amp; INT(U501/20), "")</f>
        <v/>
      </c>
      <c r="AG501" s="11">
        <f>IF(INT(V501/20)&gt;INT(V500/20), "Lần " &amp; INT(V501/20), "")</f>
        <v/>
      </c>
      <c r="AH501" s="11">
        <f>IF(INT(W501/20)&gt;INT(W500/20), "Lần " &amp; INT(W501/20), "")</f>
        <v/>
      </c>
      <c r="AI501" s="11">
        <f>IF(INT(X501/20)&gt;INT(X500/20), "Lần " &amp; INT(X501/20), "")</f>
        <v/>
      </c>
      <c r="AJ501" s="11">
        <f>IF(INT(Y501/20)&gt;INT(Y500/20), "Lần " &amp; INT(Y501/20), "")</f>
        <v/>
      </c>
      <c r="AK501" s="11">
        <f>IF(INT(Z501/20)&gt;INT(Z500/20), "Lần " &amp; INT(Z501/20), "")</f>
        <v/>
      </c>
      <c r="AL501" s="6" t="inlineStr">
        <is>
          <t>ĐẠT TCVN 1651:2018</t>
        </is>
      </c>
    </row>
    <row r="502" ht="19" customHeight="1">
      <c r="A502" s="6" t="n">
        <v>471</v>
      </c>
      <c r="B502" s="7" t="inlineStr">
        <is>
          <t>Mố M1</t>
        </is>
      </c>
      <c r="C502" s="7" t="inlineStr">
        <is>
          <t>Thân mố / Bệ mố</t>
        </is>
      </c>
      <c r="D502" s="18" t="inlineStr">
        <is>
          <t>W5B(T)</t>
        </is>
      </c>
      <c r="E502" s="19" t="n">
        <v>16</v>
      </c>
      <c r="F502" s="6" t="inlineStr">
        <is>
          <t>CB400-V</t>
        </is>
      </c>
      <c r="G502" s="7" t="inlineStr">
        <is>
          <t>S02</t>
        </is>
      </c>
      <c r="H502" s="20" t="n">
        <v>7.357</v>
      </c>
      <c r="I502" s="21" t="n">
        <v>1</v>
      </c>
      <c r="J502" s="22" t="n">
        <v>1.58</v>
      </c>
      <c r="K502" s="9">
        <f>ROUND(H502*I502*J502, 2)</f>
        <v/>
      </c>
      <c r="L502" s="23">
        <f>ROUND(K502/1000, 3)</f>
        <v/>
      </c>
      <c r="M502" s="8" t="n"/>
      <c r="N502" s="6" t="n"/>
      <c r="O502" s="24">
        <f>IF(AND(E502&lt;=10, F502&lt;&gt;"ASTM A416", INT(P502/20)&gt;INT(P501/20)), "TN Ø10 (Lần " &amp; INT(P502/20) &amp; ")", IF(AND(E502=12, INT(Q502/20)&gt;INT(Q501/20)), "TN Ø12 (Lần " &amp; INT(Q502/20) &amp; ")", IF(AND(E502=14, INT(R502/20)&gt;INT(R501/20)), "TN Ø14 (Lần " &amp; INT(R502/20) &amp; ")", IF(AND(E502=16, INT(S502/20)&gt;INT(S501/20)), "TN Ø16 (Lần " &amp; INT(S502/20) &amp; ")", IF(AND(E502=18, INT(T502/20)&gt;INT(T501/20)), "TN Ø18 (Lần " &amp; INT(T502/20) &amp; ")", IF(AND(E502=20, INT(U502/20)&gt;INT(U501/20)), "TN Ø20 (Lần " &amp; INT(U502/20) &amp; ")", IF(AND(E502=22, INT(V502/20)&gt;INT(V501/20)), "TN Ø22 (Lần " &amp; INT(V502/20) &amp; ")", IF(AND(E502=25, INT(W502/20)&gt;INT(W501/20)), "TN Ø25 (Lần " &amp; INT(W502/20) &amp; ")", IF(AND(E502=28, INT(X502/20)&gt;INT(X501/20)), "TN Ø28 (Lần " &amp; INT(X502/20) &amp; ")", IF(AND(E502=32, INT(Y502/20)&gt;INT(Y501/20)), "TN Ø32 (Lần " &amp; INT(Y502/20) &amp; ")", IF(AND(F502="ASTM A416", INT(Z502/20)&gt;INT(Z501/20)), "TN Cáp 15.2 (Lần " &amp; INT(Z502/20) &amp; ")", "")))))))))))</f>
        <v/>
      </c>
      <c r="P502" s="20">
        <f>ROUND(P501 + IF(AND(E502&lt;=10, F502&lt;&gt;"ASTM A416"), L502, 0), 3)</f>
        <v/>
      </c>
      <c r="Q502" s="20">
        <f>ROUND(Q501 + IF(AND(E502=12, F502&lt;&gt;"ASTM A416"), L502, 0), 3)</f>
        <v/>
      </c>
      <c r="R502" s="20">
        <f>ROUND(R501 + IF(AND(E502=14, F502&lt;&gt;"ASTM A416"), L502, 0), 3)</f>
        <v/>
      </c>
      <c r="S502" s="20">
        <f>ROUND(S501 + IF(AND(E502=16, F502&lt;&gt;"ASTM A416"), L502, 0), 3)</f>
        <v/>
      </c>
      <c r="T502" s="20">
        <f>ROUND(T501 + IF(AND(E502=18, F502&lt;&gt;"ASTM A416"), L502, 0), 3)</f>
        <v/>
      </c>
      <c r="U502" s="20">
        <f>ROUND(U501 + IF(AND(E502=20, F502&lt;&gt;"ASTM A416"), L502, 0), 3)</f>
        <v/>
      </c>
      <c r="V502" s="20">
        <f>ROUND(V501 + IF(AND(E502=22, F502&lt;&gt;"ASTM A416"), L502, 0), 3)</f>
        <v/>
      </c>
      <c r="W502" s="20">
        <f>ROUND(W501 + IF(AND(E502=25, F502&lt;&gt;"ASTM A416"), L502, 0), 3)</f>
        <v/>
      </c>
      <c r="X502" s="20">
        <f>ROUND(X501 + IF(AND(E502=28, F502&lt;&gt;"ASTM A416"), L502, 0), 3)</f>
        <v/>
      </c>
      <c r="Y502" s="20">
        <f>ROUND(Y501 + IF(AND(E502=32, F502&lt;&gt;"ASTM A416"), L502, 0), 3)</f>
        <v/>
      </c>
      <c r="Z502" s="20">
        <f>ROUND(Z501 + IF(F502="ASTM A416", L502, 0), 3)</f>
        <v/>
      </c>
      <c r="AA502" s="11">
        <f>IF(INT(P502/20)&gt;INT(P501/20), "Lần " &amp; INT(P502/20), "")</f>
        <v/>
      </c>
      <c r="AB502" s="11">
        <f>IF(INT(Q502/20)&gt;INT(Q501/20), "Lần " &amp; INT(Q502/20), "")</f>
        <v/>
      </c>
      <c r="AC502" s="11">
        <f>IF(INT(R502/20)&gt;INT(R501/20), "Lần " &amp; INT(R502/20), "")</f>
        <v/>
      </c>
      <c r="AD502" s="11">
        <f>IF(INT(S502/20)&gt;INT(S501/20), "Lần " &amp; INT(S502/20), "")</f>
        <v/>
      </c>
      <c r="AE502" s="11">
        <f>IF(INT(T502/20)&gt;INT(T501/20), "Lần " &amp; INT(T502/20), "")</f>
        <v/>
      </c>
      <c r="AF502" s="11">
        <f>IF(INT(U502/20)&gt;INT(U501/20), "Lần " &amp; INT(U502/20), "")</f>
        <v/>
      </c>
      <c r="AG502" s="11">
        <f>IF(INT(V502/20)&gt;INT(V501/20), "Lần " &amp; INT(V502/20), "")</f>
        <v/>
      </c>
      <c r="AH502" s="11">
        <f>IF(INT(W502/20)&gt;INT(W501/20), "Lần " &amp; INT(W502/20), "")</f>
        <v/>
      </c>
      <c r="AI502" s="11">
        <f>IF(INT(X502/20)&gt;INT(X501/20), "Lần " &amp; INT(X502/20), "")</f>
        <v/>
      </c>
      <c r="AJ502" s="11">
        <f>IF(INT(Y502/20)&gt;INT(Y501/20), "Lần " &amp; INT(Y502/20), "")</f>
        <v/>
      </c>
      <c r="AK502" s="11">
        <f>IF(INT(Z502/20)&gt;INT(Z501/20), "Lần " &amp; INT(Z502/20), "")</f>
        <v/>
      </c>
      <c r="AL502" s="6" t="inlineStr">
        <is>
          <t>ĐẠT TCVN 1651:2018</t>
        </is>
      </c>
    </row>
    <row r="503" ht="19" customHeight="1">
      <c r="A503" s="6" t="n">
        <v>472</v>
      </c>
      <c r="B503" s="7" t="inlineStr">
        <is>
          <t>Mố M1</t>
        </is>
      </c>
      <c r="C503" s="7" t="inlineStr">
        <is>
          <t>Thân mố / Bệ mố</t>
        </is>
      </c>
      <c r="D503" s="18" t="inlineStr">
        <is>
          <t>W6</t>
        </is>
      </c>
      <c r="E503" s="19" t="n">
        <v>16</v>
      </c>
      <c r="F503" s="6" t="inlineStr">
        <is>
          <t>CB400-V</t>
        </is>
      </c>
      <c r="G503" s="7" t="inlineStr">
        <is>
          <t>S06</t>
        </is>
      </c>
      <c r="H503" s="20" t="n">
        <v>0.615</v>
      </c>
      <c r="I503" s="21" t="n">
        <v>49</v>
      </c>
      <c r="J503" s="22" t="n">
        <v>1.58</v>
      </c>
      <c r="K503" s="9">
        <f>ROUND(H503*I503*J503, 2)</f>
        <v/>
      </c>
      <c r="L503" s="23">
        <f>ROUND(K503/1000, 3)</f>
        <v/>
      </c>
      <c r="M503" s="8" t="n"/>
      <c r="N503" s="6" t="n"/>
      <c r="O503" s="24">
        <f>IF(AND(E503&lt;=10, F503&lt;&gt;"ASTM A416", INT(P503/20)&gt;INT(P502/20)), "TN Ø10 (Lần " &amp; INT(P503/20) &amp; ")", IF(AND(E503=12, INT(Q503/20)&gt;INT(Q502/20)), "TN Ø12 (Lần " &amp; INT(Q503/20) &amp; ")", IF(AND(E503=14, INT(R503/20)&gt;INT(R502/20)), "TN Ø14 (Lần " &amp; INT(R503/20) &amp; ")", IF(AND(E503=16, INT(S503/20)&gt;INT(S502/20)), "TN Ø16 (Lần " &amp; INT(S503/20) &amp; ")", IF(AND(E503=18, INT(T503/20)&gt;INT(T502/20)), "TN Ø18 (Lần " &amp; INT(T503/20) &amp; ")", IF(AND(E503=20, INT(U503/20)&gt;INT(U502/20)), "TN Ø20 (Lần " &amp; INT(U503/20) &amp; ")", IF(AND(E503=22, INT(V503/20)&gt;INT(V502/20)), "TN Ø22 (Lần " &amp; INT(V503/20) &amp; ")", IF(AND(E503=25, INT(W503/20)&gt;INT(W502/20)), "TN Ø25 (Lần " &amp; INT(W503/20) &amp; ")", IF(AND(E503=28, INT(X503/20)&gt;INT(X502/20)), "TN Ø28 (Lần " &amp; INT(X503/20) &amp; ")", IF(AND(E503=32, INT(Y503/20)&gt;INT(Y502/20)), "TN Ø32 (Lần " &amp; INT(Y503/20) &amp; ")", IF(AND(F503="ASTM A416", INT(Z503/20)&gt;INT(Z502/20)), "TN Cáp 15.2 (Lần " &amp; INT(Z503/20) &amp; ")", "")))))))))))</f>
        <v/>
      </c>
      <c r="P503" s="20">
        <f>ROUND(P502 + IF(AND(E503&lt;=10, F503&lt;&gt;"ASTM A416"), L503, 0), 3)</f>
        <v/>
      </c>
      <c r="Q503" s="20">
        <f>ROUND(Q502 + IF(AND(E503=12, F503&lt;&gt;"ASTM A416"), L503, 0), 3)</f>
        <v/>
      </c>
      <c r="R503" s="20">
        <f>ROUND(R502 + IF(AND(E503=14, F503&lt;&gt;"ASTM A416"), L503, 0), 3)</f>
        <v/>
      </c>
      <c r="S503" s="20">
        <f>ROUND(S502 + IF(AND(E503=16, F503&lt;&gt;"ASTM A416"), L503, 0), 3)</f>
        <v/>
      </c>
      <c r="T503" s="20">
        <f>ROUND(T502 + IF(AND(E503=18, F503&lt;&gt;"ASTM A416"), L503, 0), 3)</f>
        <v/>
      </c>
      <c r="U503" s="20">
        <f>ROUND(U502 + IF(AND(E503=20, F503&lt;&gt;"ASTM A416"), L503, 0), 3)</f>
        <v/>
      </c>
      <c r="V503" s="20">
        <f>ROUND(V502 + IF(AND(E503=22, F503&lt;&gt;"ASTM A416"), L503, 0), 3)</f>
        <v/>
      </c>
      <c r="W503" s="20">
        <f>ROUND(W502 + IF(AND(E503=25, F503&lt;&gt;"ASTM A416"), L503, 0), 3)</f>
        <v/>
      </c>
      <c r="X503" s="20">
        <f>ROUND(X502 + IF(AND(E503=28, F503&lt;&gt;"ASTM A416"), L503, 0), 3)</f>
        <v/>
      </c>
      <c r="Y503" s="20">
        <f>ROUND(Y502 + IF(AND(E503=32, F503&lt;&gt;"ASTM A416"), L503, 0), 3)</f>
        <v/>
      </c>
      <c r="Z503" s="20">
        <f>ROUND(Z502 + IF(F503="ASTM A416", L503, 0), 3)</f>
        <v/>
      </c>
      <c r="AA503" s="11">
        <f>IF(INT(P503/20)&gt;INT(P502/20), "Lần " &amp; INT(P503/20), "")</f>
        <v/>
      </c>
      <c r="AB503" s="11">
        <f>IF(INT(Q503/20)&gt;INT(Q502/20), "Lần " &amp; INT(Q503/20), "")</f>
        <v/>
      </c>
      <c r="AC503" s="11">
        <f>IF(INT(R503/20)&gt;INT(R502/20), "Lần " &amp; INT(R503/20), "")</f>
        <v/>
      </c>
      <c r="AD503" s="11">
        <f>IF(INT(S503/20)&gt;INT(S502/20), "Lần " &amp; INT(S503/20), "")</f>
        <v/>
      </c>
      <c r="AE503" s="11">
        <f>IF(INT(T503/20)&gt;INT(T502/20), "Lần " &amp; INT(T503/20), "")</f>
        <v/>
      </c>
      <c r="AF503" s="11">
        <f>IF(INT(U503/20)&gt;INT(U502/20), "Lần " &amp; INT(U503/20), "")</f>
        <v/>
      </c>
      <c r="AG503" s="11">
        <f>IF(INT(V503/20)&gt;INT(V502/20), "Lần " &amp; INT(V503/20), "")</f>
        <v/>
      </c>
      <c r="AH503" s="11">
        <f>IF(INT(W503/20)&gt;INT(W502/20), "Lần " &amp; INT(W503/20), "")</f>
        <v/>
      </c>
      <c r="AI503" s="11">
        <f>IF(INT(X503/20)&gt;INT(X502/20), "Lần " &amp; INT(X503/20), "")</f>
        <v/>
      </c>
      <c r="AJ503" s="11">
        <f>IF(INT(Y503/20)&gt;INT(Y502/20), "Lần " &amp; INT(Y503/20), "")</f>
        <v/>
      </c>
      <c r="AK503" s="11">
        <f>IF(INT(Z503/20)&gt;INT(Z502/20), "Lần " &amp; INT(Z503/20), "")</f>
        <v/>
      </c>
      <c r="AL503" s="6" t="inlineStr">
        <is>
          <t>ĐẠT TCVN 1651:2018</t>
        </is>
      </c>
    </row>
    <row r="504" ht="19" customHeight="1">
      <c r="A504" s="6" t="n">
        <v>473</v>
      </c>
      <c r="B504" s="7" t="inlineStr">
        <is>
          <t>Mố M1</t>
        </is>
      </c>
      <c r="C504" s="7" t="inlineStr">
        <is>
          <t>Thân mố / Bệ mố</t>
        </is>
      </c>
      <c r="D504" s="18" t="inlineStr">
        <is>
          <t>W7</t>
        </is>
      </c>
      <c r="E504" s="19" t="n">
        <v>16</v>
      </c>
      <c r="F504" s="6" t="inlineStr">
        <is>
          <t>CB400-V</t>
        </is>
      </c>
      <c r="G504" s="7" t="inlineStr">
        <is>
          <t>S06</t>
        </is>
      </c>
      <c r="H504" s="20" t="n">
        <v>0.615</v>
      </c>
      <c r="I504" s="21" t="n">
        <v>54</v>
      </c>
      <c r="J504" s="22" t="n">
        <v>1.58</v>
      </c>
      <c r="K504" s="9">
        <f>ROUND(H504*I504*J504, 2)</f>
        <v/>
      </c>
      <c r="L504" s="23">
        <f>ROUND(K504/1000, 3)</f>
        <v/>
      </c>
      <c r="M504" s="8" t="n"/>
      <c r="N504" s="6" t="n"/>
      <c r="O504" s="24">
        <f>IF(AND(E504&lt;=10, F504&lt;&gt;"ASTM A416", INT(P504/20)&gt;INT(P503/20)), "TN Ø10 (Lần " &amp; INT(P504/20) &amp; ")", IF(AND(E504=12, INT(Q504/20)&gt;INT(Q503/20)), "TN Ø12 (Lần " &amp; INT(Q504/20) &amp; ")", IF(AND(E504=14, INT(R504/20)&gt;INT(R503/20)), "TN Ø14 (Lần " &amp; INT(R504/20) &amp; ")", IF(AND(E504=16, INT(S504/20)&gt;INT(S503/20)), "TN Ø16 (Lần " &amp; INT(S504/20) &amp; ")", IF(AND(E504=18, INT(T504/20)&gt;INT(T503/20)), "TN Ø18 (Lần " &amp; INT(T504/20) &amp; ")", IF(AND(E504=20, INT(U504/20)&gt;INT(U503/20)), "TN Ø20 (Lần " &amp; INT(U504/20) &amp; ")", IF(AND(E504=22, INT(V504/20)&gt;INT(V503/20)), "TN Ø22 (Lần " &amp; INT(V504/20) &amp; ")", IF(AND(E504=25, INT(W504/20)&gt;INT(W503/20)), "TN Ø25 (Lần " &amp; INT(W504/20) &amp; ")", IF(AND(E504=28, INT(X504/20)&gt;INT(X503/20)), "TN Ø28 (Lần " &amp; INT(X504/20) &amp; ")", IF(AND(E504=32, INT(Y504/20)&gt;INT(Y503/20)), "TN Ø32 (Lần " &amp; INT(Y504/20) &amp; ")", IF(AND(F504="ASTM A416", INT(Z504/20)&gt;INT(Z503/20)), "TN Cáp 15.2 (Lần " &amp; INT(Z504/20) &amp; ")", "")))))))))))</f>
        <v/>
      </c>
      <c r="P504" s="20">
        <f>ROUND(P503 + IF(AND(E504&lt;=10, F504&lt;&gt;"ASTM A416"), L504, 0), 3)</f>
        <v/>
      </c>
      <c r="Q504" s="20">
        <f>ROUND(Q503 + IF(AND(E504=12, F504&lt;&gt;"ASTM A416"), L504, 0), 3)</f>
        <v/>
      </c>
      <c r="R504" s="20">
        <f>ROUND(R503 + IF(AND(E504=14, F504&lt;&gt;"ASTM A416"), L504, 0), 3)</f>
        <v/>
      </c>
      <c r="S504" s="20">
        <f>ROUND(S503 + IF(AND(E504=16, F504&lt;&gt;"ASTM A416"), L504, 0), 3)</f>
        <v/>
      </c>
      <c r="T504" s="20">
        <f>ROUND(T503 + IF(AND(E504=18, F504&lt;&gt;"ASTM A416"), L504, 0), 3)</f>
        <v/>
      </c>
      <c r="U504" s="20">
        <f>ROUND(U503 + IF(AND(E504=20, F504&lt;&gt;"ASTM A416"), L504, 0), 3)</f>
        <v/>
      </c>
      <c r="V504" s="20">
        <f>ROUND(V503 + IF(AND(E504=22, F504&lt;&gt;"ASTM A416"), L504, 0), 3)</f>
        <v/>
      </c>
      <c r="W504" s="20">
        <f>ROUND(W503 + IF(AND(E504=25, F504&lt;&gt;"ASTM A416"), L504, 0), 3)</f>
        <v/>
      </c>
      <c r="X504" s="20">
        <f>ROUND(X503 + IF(AND(E504=28, F504&lt;&gt;"ASTM A416"), L504, 0), 3)</f>
        <v/>
      </c>
      <c r="Y504" s="20">
        <f>ROUND(Y503 + IF(AND(E504=32, F504&lt;&gt;"ASTM A416"), L504, 0), 3)</f>
        <v/>
      </c>
      <c r="Z504" s="20">
        <f>ROUND(Z503 + IF(F504="ASTM A416", L504, 0), 3)</f>
        <v/>
      </c>
      <c r="AA504" s="11">
        <f>IF(INT(P504/20)&gt;INT(P503/20), "Lần " &amp; INT(P504/20), "")</f>
        <v/>
      </c>
      <c r="AB504" s="11">
        <f>IF(INT(Q504/20)&gt;INT(Q503/20), "Lần " &amp; INT(Q504/20), "")</f>
        <v/>
      </c>
      <c r="AC504" s="11">
        <f>IF(INT(R504/20)&gt;INT(R503/20), "Lần " &amp; INT(R504/20), "")</f>
        <v/>
      </c>
      <c r="AD504" s="11">
        <f>IF(INT(S504/20)&gt;INT(S503/20), "Lần " &amp; INT(S504/20), "")</f>
        <v/>
      </c>
      <c r="AE504" s="11">
        <f>IF(INT(T504/20)&gt;INT(T503/20), "Lần " &amp; INT(T504/20), "")</f>
        <v/>
      </c>
      <c r="AF504" s="11">
        <f>IF(INT(U504/20)&gt;INT(U503/20), "Lần " &amp; INT(U504/20), "")</f>
        <v/>
      </c>
      <c r="AG504" s="11">
        <f>IF(INT(V504/20)&gt;INT(V503/20), "Lần " &amp; INT(V504/20), "")</f>
        <v/>
      </c>
      <c r="AH504" s="11">
        <f>IF(INT(W504/20)&gt;INT(W503/20), "Lần " &amp; INT(W504/20), "")</f>
        <v/>
      </c>
      <c r="AI504" s="11">
        <f>IF(INT(X504/20)&gt;INT(X503/20), "Lần " &amp; INT(X504/20), "")</f>
        <v/>
      </c>
      <c r="AJ504" s="11">
        <f>IF(INT(Y504/20)&gt;INT(Y503/20), "Lần " &amp; INT(Y504/20), "")</f>
        <v/>
      </c>
      <c r="AK504" s="11">
        <f>IF(INT(Z504/20)&gt;INT(Z503/20), "Lần " &amp; INT(Z504/20), "")</f>
        <v/>
      </c>
      <c r="AL504" s="6" t="inlineStr">
        <is>
          <t>ĐẠT TCVN 1651:2018</t>
        </is>
      </c>
    </row>
    <row r="505" ht="19" customHeight="1">
      <c r="A505" s="6" t="n">
        <v>474</v>
      </c>
      <c r="B505" s="7" t="inlineStr">
        <is>
          <t>Mố M1</t>
        </is>
      </c>
      <c r="C505" s="7" t="inlineStr">
        <is>
          <t>Thân mố / Bệ mố</t>
        </is>
      </c>
      <c r="D505" s="18" t="inlineStr">
        <is>
          <t>W8(T)</t>
        </is>
      </c>
      <c r="E505" s="19" t="n">
        <v>16</v>
      </c>
      <c r="F505" s="6" t="inlineStr">
        <is>
          <t>CB400-V</t>
        </is>
      </c>
      <c r="G505" s="7" t="inlineStr">
        <is>
          <t>S02</t>
        </is>
      </c>
      <c r="H505" s="20" t="n">
        <v>8.978999999999999</v>
      </c>
      <c r="I505" s="21" t="n">
        <v>2</v>
      </c>
      <c r="J505" s="22" t="n">
        <v>1.58</v>
      </c>
      <c r="K505" s="9">
        <f>ROUND(H505*I505*J505, 2)</f>
        <v/>
      </c>
      <c r="L505" s="23">
        <f>ROUND(K505/1000, 3)</f>
        <v/>
      </c>
      <c r="M505" s="8" t="n"/>
      <c r="N505" s="6" t="n"/>
      <c r="O505" s="24">
        <f>IF(AND(E505&lt;=10, F505&lt;&gt;"ASTM A416", INT(P505/20)&gt;INT(P504/20)), "TN Ø10 (Lần " &amp; INT(P505/20) &amp; ")", IF(AND(E505=12, INT(Q505/20)&gt;INT(Q504/20)), "TN Ø12 (Lần " &amp; INT(Q505/20) &amp; ")", IF(AND(E505=14, INT(R505/20)&gt;INT(R504/20)), "TN Ø14 (Lần " &amp; INT(R505/20) &amp; ")", IF(AND(E505=16, INT(S505/20)&gt;INT(S504/20)), "TN Ø16 (Lần " &amp; INT(S505/20) &amp; ")", IF(AND(E505=18, INT(T505/20)&gt;INT(T504/20)), "TN Ø18 (Lần " &amp; INT(T505/20) &amp; ")", IF(AND(E505=20, INT(U505/20)&gt;INT(U504/20)), "TN Ø20 (Lần " &amp; INT(U505/20) &amp; ")", IF(AND(E505=22, INT(V505/20)&gt;INT(V504/20)), "TN Ø22 (Lần " &amp; INT(V505/20) &amp; ")", IF(AND(E505=25, INT(W505/20)&gt;INT(W504/20)), "TN Ø25 (Lần " &amp; INT(W505/20) &amp; ")", IF(AND(E505=28, INT(X505/20)&gt;INT(X504/20)), "TN Ø28 (Lần " &amp; INT(X505/20) &amp; ")", IF(AND(E505=32, INT(Y505/20)&gt;INT(Y504/20)), "TN Ø32 (Lần " &amp; INT(Y505/20) &amp; ")", IF(AND(F505="ASTM A416", INT(Z505/20)&gt;INT(Z504/20)), "TN Cáp 15.2 (Lần " &amp; INT(Z505/20) &amp; ")", "")))))))))))</f>
        <v/>
      </c>
      <c r="P505" s="20">
        <f>ROUND(P504 + IF(AND(E505&lt;=10, F505&lt;&gt;"ASTM A416"), L505, 0), 3)</f>
        <v/>
      </c>
      <c r="Q505" s="20">
        <f>ROUND(Q504 + IF(AND(E505=12, F505&lt;&gt;"ASTM A416"), L505, 0), 3)</f>
        <v/>
      </c>
      <c r="R505" s="20">
        <f>ROUND(R504 + IF(AND(E505=14, F505&lt;&gt;"ASTM A416"), L505, 0), 3)</f>
        <v/>
      </c>
      <c r="S505" s="20">
        <f>ROUND(S504 + IF(AND(E505=16, F505&lt;&gt;"ASTM A416"), L505, 0), 3)</f>
        <v/>
      </c>
      <c r="T505" s="20">
        <f>ROUND(T504 + IF(AND(E505=18, F505&lt;&gt;"ASTM A416"), L505, 0), 3)</f>
        <v/>
      </c>
      <c r="U505" s="20">
        <f>ROUND(U504 + IF(AND(E505=20, F505&lt;&gt;"ASTM A416"), L505, 0), 3)</f>
        <v/>
      </c>
      <c r="V505" s="20">
        <f>ROUND(V504 + IF(AND(E505=22, F505&lt;&gt;"ASTM A416"), L505, 0), 3)</f>
        <v/>
      </c>
      <c r="W505" s="20">
        <f>ROUND(W504 + IF(AND(E505=25, F505&lt;&gt;"ASTM A416"), L505, 0), 3)</f>
        <v/>
      </c>
      <c r="X505" s="20">
        <f>ROUND(X504 + IF(AND(E505=28, F505&lt;&gt;"ASTM A416"), L505, 0), 3)</f>
        <v/>
      </c>
      <c r="Y505" s="20">
        <f>ROUND(Y504 + IF(AND(E505=32, F505&lt;&gt;"ASTM A416"), L505, 0), 3)</f>
        <v/>
      </c>
      <c r="Z505" s="20">
        <f>ROUND(Z504 + IF(F505="ASTM A416", L505, 0), 3)</f>
        <v/>
      </c>
      <c r="AA505" s="11">
        <f>IF(INT(P505/20)&gt;INT(P504/20), "Lần " &amp; INT(P505/20), "")</f>
        <v/>
      </c>
      <c r="AB505" s="11">
        <f>IF(INT(Q505/20)&gt;INT(Q504/20), "Lần " &amp; INT(Q505/20), "")</f>
        <v/>
      </c>
      <c r="AC505" s="11">
        <f>IF(INT(R505/20)&gt;INT(R504/20), "Lần " &amp; INT(R505/20), "")</f>
        <v/>
      </c>
      <c r="AD505" s="11">
        <f>IF(INT(S505/20)&gt;INT(S504/20), "Lần " &amp; INT(S505/20), "")</f>
        <v/>
      </c>
      <c r="AE505" s="11">
        <f>IF(INT(T505/20)&gt;INT(T504/20), "Lần " &amp; INT(T505/20), "")</f>
        <v/>
      </c>
      <c r="AF505" s="11">
        <f>IF(INT(U505/20)&gt;INT(U504/20), "Lần " &amp; INT(U505/20), "")</f>
        <v/>
      </c>
      <c r="AG505" s="11">
        <f>IF(INT(V505/20)&gt;INT(V504/20), "Lần " &amp; INT(V505/20), "")</f>
        <v/>
      </c>
      <c r="AH505" s="11">
        <f>IF(INT(W505/20)&gt;INT(W504/20), "Lần " &amp; INT(W505/20), "")</f>
        <v/>
      </c>
      <c r="AI505" s="11">
        <f>IF(INT(X505/20)&gt;INT(X504/20), "Lần " &amp; INT(X505/20), "")</f>
        <v/>
      </c>
      <c r="AJ505" s="11">
        <f>IF(INT(Y505/20)&gt;INT(Y504/20), "Lần " &amp; INT(Y505/20), "")</f>
        <v/>
      </c>
      <c r="AK505" s="11">
        <f>IF(INT(Z505/20)&gt;INT(Z504/20), "Lần " &amp; INT(Z505/20), "")</f>
        <v/>
      </c>
      <c r="AL505" s="6" t="inlineStr">
        <is>
          <t>ĐẠT TCVN 1651:2018</t>
        </is>
      </c>
    </row>
    <row r="506" ht="19" customHeight="1">
      <c r="A506" s="6" t="n">
        <v>475</v>
      </c>
      <c r="B506" s="7" t="inlineStr">
        <is>
          <t>Mố M1</t>
        </is>
      </c>
      <c r="C506" s="7" t="inlineStr">
        <is>
          <t>Thân mố / Bệ mố</t>
        </is>
      </c>
      <c r="D506" s="18" t="inlineStr">
        <is>
          <t>W9</t>
        </is>
      </c>
      <c r="E506" s="19" t="n">
        <v>16</v>
      </c>
      <c r="F506" s="6" t="inlineStr">
        <is>
          <t>CB400-V</t>
        </is>
      </c>
      <c r="G506" s="7" t="inlineStr">
        <is>
          <t>S05</t>
        </is>
      </c>
      <c r="H506" s="20" t="n">
        <v>1.881</v>
      </c>
      <c r="I506" s="21" t="n">
        <v>42</v>
      </c>
      <c r="J506" s="22" t="n">
        <v>1.58</v>
      </c>
      <c r="K506" s="9">
        <f>ROUND(H506*I506*J506, 2)</f>
        <v/>
      </c>
      <c r="L506" s="23">
        <f>ROUND(K506/1000, 3)</f>
        <v/>
      </c>
      <c r="M506" s="8" t="n"/>
      <c r="N506" s="6" t="n"/>
      <c r="O506" s="24">
        <f>IF(AND(E506&lt;=10, F506&lt;&gt;"ASTM A416", INT(P506/20)&gt;INT(P505/20)), "TN Ø10 (Lần " &amp; INT(P506/20) &amp; ")", IF(AND(E506=12, INT(Q506/20)&gt;INT(Q505/20)), "TN Ø12 (Lần " &amp; INT(Q506/20) &amp; ")", IF(AND(E506=14, INT(R506/20)&gt;INT(R505/20)), "TN Ø14 (Lần " &amp; INT(R506/20) &amp; ")", IF(AND(E506=16, INT(S506/20)&gt;INT(S505/20)), "TN Ø16 (Lần " &amp; INT(S506/20) &amp; ")", IF(AND(E506=18, INT(T506/20)&gt;INT(T505/20)), "TN Ø18 (Lần " &amp; INT(T506/20) &amp; ")", IF(AND(E506=20, INT(U506/20)&gt;INT(U505/20)), "TN Ø20 (Lần " &amp; INT(U506/20) &amp; ")", IF(AND(E506=22, INT(V506/20)&gt;INT(V505/20)), "TN Ø22 (Lần " &amp; INT(V506/20) &amp; ")", IF(AND(E506=25, INT(W506/20)&gt;INT(W505/20)), "TN Ø25 (Lần " &amp; INT(W506/20) &amp; ")", IF(AND(E506=28, INT(X506/20)&gt;INT(X505/20)), "TN Ø28 (Lần " &amp; INT(X506/20) &amp; ")", IF(AND(E506=32, INT(Y506/20)&gt;INT(Y505/20)), "TN Ø32 (Lần " &amp; INT(Y506/20) &amp; ")", IF(AND(F506="ASTM A416", INT(Z506/20)&gt;INT(Z505/20)), "TN Cáp 15.2 (Lần " &amp; INT(Z506/20) &amp; ")", "")))))))))))</f>
        <v/>
      </c>
      <c r="P506" s="20">
        <f>ROUND(P505 + IF(AND(E506&lt;=10, F506&lt;&gt;"ASTM A416"), L506, 0), 3)</f>
        <v/>
      </c>
      <c r="Q506" s="20">
        <f>ROUND(Q505 + IF(AND(E506=12, F506&lt;&gt;"ASTM A416"), L506, 0), 3)</f>
        <v/>
      </c>
      <c r="R506" s="20">
        <f>ROUND(R505 + IF(AND(E506=14, F506&lt;&gt;"ASTM A416"), L506, 0), 3)</f>
        <v/>
      </c>
      <c r="S506" s="20">
        <f>ROUND(S505 + IF(AND(E506=16, F506&lt;&gt;"ASTM A416"), L506, 0), 3)</f>
        <v/>
      </c>
      <c r="T506" s="20">
        <f>ROUND(T505 + IF(AND(E506=18, F506&lt;&gt;"ASTM A416"), L506, 0), 3)</f>
        <v/>
      </c>
      <c r="U506" s="20">
        <f>ROUND(U505 + IF(AND(E506=20, F506&lt;&gt;"ASTM A416"), L506, 0), 3)</f>
        <v/>
      </c>
      <c r="V506" s="20">
        <f>ROUND(V505 + IF(AND(E506=22, F506&lt;&gt;"ASTM A416"), L506, 0), 3)</f>
        <v/>
      </c>
      <c r="W506" s="20">
        <f>ROUND(W505 + IF(AND(E506=25, F506&lt;&gt;"ASTM A416"), L506, 0), 3)</f>
        <v/>
      </c>
      <c r="X506" s="20">
        <f>ROUND(X505 + IF(AND(E506=28, F506&lt;&gt;"ASTM A416"), L506, 0), 3)</f>
        <v/>
      </c>
      <c r="Y506" s="20">
        <f>ROUND(Y505 + IF(AND(E506=32, F506&lt;&gt;"ASTM A416"), L506, 0), 3)</f>
        <v/>
      </c>
      <c r="Z506" s="20">
        <f>ROUND(Z505 + IF(F506="ASTM A416", L506, 0), 3)</f>
        <v/>
      </c>
      <c r="AA506" s="11">
        <f>IF(INT(P506/20)&gt;INT(P505/20), "Lần " &amp; INT(P506/20), "")</f>
        <v/>
      </c>
      <c r="AB506" s="11">
        <f>IF(INT(Q506/20)&gt;INT(Q505/20), "Lần " &amp; INT(Q506/20), "")</f>
        <v/>
      </c>
      <c r="AC506" s="11">
        <f>IF(INT(R506/20)&gt;INT(R505/20), "Lần " &amp; INT(R506/20), "")</f>
        <v/>
      </c>
      <c r="AD506" s="11">
        <f>IF(INT(S506/20)&gt;INT(S505/20), "Lần " &amp; INT(S506/20), "")</f>
        <v/>
      </c>
      <c r="AE506" s="11">
        <f>IF(INT(T506/20)&gt;INT(T505/20), "Lần " &amp; INT(T506/20), "")</f>
        <v/>
      </c>
      <c r="AF506" s="11">
        <f>IF(INT(U506/20)&gt;INT(U505/20), "Lần " &amp; INT(U506/20), "")</f>
        <v/>
      </c>
      <c r="AG506" s="11">
        <f>IF(INT(V506/20)&gt;INT(V505/20), "Lần " &amp; INT(V506/20), "")</f>
        <v/>
      </c>
      <c r="AH506" s="11">
        <f>IF(INT(W506/20)&gt;INT(W505/20), "Lần " &amp; INT(W506/20), "")</f>
        <v/>
      </c>
      <c r="AI506" s="11">
        <f>IF(INT(X506/20)&gt;INT(X505/20), "Lần " &amp; INT(X506/20), "")</f>
        <v/>
      </c>
      <c r="AJ506" s="11">
        <f>IF(INT(Y506/20)&gt;INT(Y505/20), "Lần " &amp; INT(Y506/20), "")</f>
        <v/>
      </c>
      <c r="AK506" s="11">
        <f>IF(INT(Z506/20)&gt;INT(Z505/20), "Lần " &amp; INT(Z506/20), "")</f>
        <v/>
      </c>
      <c r="AL506" s="6" t="inlineStr">
        <is>
          <t>ĐẠT TCVN 1651:2018</t>
        </is>
      </c>
    </row>
    <row r="507" ht="19" customHeight="1">
      <c r="A507" s="6" t="n">
        <v>476</v>
      </c>
      <c r="B507" s="7" t="inlineStr">
        <is>
          <t>Mố M1</t>
        </is>
      </c>
      <c r="C507" s="7" t="inlineStr">
        <is>
          <t>Ụ CHỐNG CHUYỂN VỊ</t>
        </is>
      </c>
      <c r="D507" s="18" t="inlineStr">
        <is>
          <t>U1</t>
        </is>
      </c>
      <c r="E507" s="19" t="n">
        <v>16</v>
      </c>
      <c r="F507" s="6" t="inlineStr">
        <is>
          <t>CB400-V</t>
        </is>
      </c>
      <c r="G507" s="7" t="inlineStr">
        <is>
          <t>S06</t>
        </is>
      </c>
      <c r="H507" s="20" t="n">
        <v>4.192</v>
      </c>
      <c r="I507" s="21" t="n">
        <v>8</v>
      </c>
      <c r="J507" s="22" t="n">
        <v>1.58</v>
      </c>
      <c r="K507" s="9">
        <f>ROUND(H507*I507*J507, 2)</f>
        <v/>
      </c>
      <c r="L507" s="23">
        <f>ROUND(K507/1000, 3)</f>
        <v/>
      </c>
      <c r="M507" s="8" t="n"/>
      <c r="N507" s="6" t="n"/>
      <c r="O507" s="24">
        <f>IF(AND(E507&lt;=10, F507&lt;&gt;"ASTM A416", INT(P507/20)&gt;INT(P506/20)), "TN Ø10 (Lần " &amp; INT(P507/20) &amp; ")", IF(AND(E507=12, INT(Q507/20)&gt;INT(Q506/20)), "TN Ø12 (Lần " &amp; INT(Q507/20) &amp; ")", IF(AND(E507=14, INT(R507/20)&gt;INT(R506/20)), "TN Ø14 (Lần " &amp; INT(R507/20) &amp; ")", IF(AND(E507=16, INT(S507/20)&gt;INT(S506/20)), "TN Ø16 (Lần " &amp; INT(S507/20) &amp; ")", IF(AND(E507=18, INT(T507/20)&gt;INT(T506/20)), "TN Ø18 (Lần " &amp; INT(T507/20) &amp; ")", IF(AND(E507=20, INT(U507/20)&gt;INT(U506/20)), "TN Ø20 (Lần " &amp; INT(U507/20) &amp; ")", IF(AND(E507=22, INT(V507/20)&gt;INT(V506/20)), "TN Ø22 (Lần " &amp; INT(V507/20) &amp; ")", IF(AND(E507=25, INT(W507/20)&gt;INT(W506/20)), "TN Ø25 (Lần " &amp; INT(W507/20) &amp; ")", IF(AND(E507=28, INT(X507/20)&gt;INT(X506/20)), "TN Ø28 (Lần " &amp; INT(X507/20) &amp; ")", IF(AND(E507=32, INT(Y507/20)&gt;INT(Y506/20)), "TN Ø32 (Lần " &amp; INT(Y507/20) &amp; ")", IF(AND(F507="ASTM A416", INT(Z507/20)&gt;INT(Z506/20)), "TN Cáp 15.2 (Lần " &amp; INT(Z507/20) &amp; ")", "")))))))))))</f>
        <v/>
      </c>
      <c r="P507" s="20">
        <f>ROUND(P506 + IF(AND(E507&lt;=10, F507&lt;&gt;"ASTM A416"), L507, 0), 3)</f>
        <v/>
      </c>
      <c r="Q507" s="20">
        <f>ROUND(Q506 + IF(AND(E507=12, F507&lt;&gt;"ASTM A416"), L507, 0), 3)</f>
        <v/>
      </c>
      <c r="R507" s="20">
        <f>ROUND(R506 + IF(AND(E507=14, F507&lt;&gt;"ASTM A416"), L507, 0), 3)</f>
        <v/>
      </c>
      <c r="S507" s="20">
        <f>ROUND(S506 + IF(AND(E507=16, F507&lt;&gt;"ASTM A416"), L507, 0), 3)</f>
        <v/>
      </c>
      <c r="T507" s="20">
        <f>ROUND(T506 + IF(AND(E507=18, F507&lt;&gt;"ASTM A416"), L507, 0), 3)</f>
        <v/>
      </c>
      <c r="U507" s="20">
        <f>ROUND(U506 + IF(AND(E507=20, F507&lt;&gt;"ASTM A416"), L507, 0), 3)</f>
        <v/>
      </c>
      <c r="V507" s="20">
        <f>ROUND(V506 + IF(AND(E507=22, F507&lt;&gt;"ASTM A416"), L507, 0), 3)</f>
        <v/>
      </c>
      <c r="W507" s="20">
        <f>ROUND(W506 + IF(AND(E507=25, F507&lt;&gt;"ASTM A416"), L507, 0), 3)</f>
        <v/>
      </c>
      <c r="X507" s="20">
        <f>ROUND(X506 + IF(AND(E507=28, F507&lt;&gt;"ASTM A416"), L507, 0), 3)</f>
        <v/>
      </c>
      <c r="Y507" s="20">
        <f>ROUND(Y506 + IF(AND(E507=32, F507&lt;&gt;"ASTM A416"), L507, 0), 3)</f>
        <v/>
      </c>
      <c r="Z507" s="20">
        <f>ROUND(Z506 + IF(F507="ASTM A416", L507, 0), 3)</f>
        <v/>
      </c>
      <c r="AA507" s="11">
        <f>IF(INT(P507/20)&gt;INT(P506/20), "Lần " &amp; INT(P507/20), "")</f>
        <v/>
      </c>
      <c r="AB507" s="11">
        <f>IF(INT(Q507/20)&gt;INT(Q506/20), "Lần " &amp; INT(Q507/20), "")</f>
        <v/>
      </c>
      <c r="AC507" s="11">
        <f>IF(INT(R507/20)&gt;INT(R506/20), "Lần " &amp; INT(R507/20), "")</f>
        <v/>
      </c>
      <c r="AD507" s="11">
        <f>IF(INT(S507/20)&gt;INT(S506/20), "Lần " &amp; INT(S507/20), "")</f>
        <v/>
      </c>
      <c r="AE507" s="11">
        <f>IF(INT(T507/20)&gt;INT(T506/20), "Lần " &amp; INT(T507/20), "")</f>
        <v/>
      </c>
      <c r="AF507" s="11">
        <f>IF(INT(U507/20)&gt;INT(U506/20), "Lần " &amp; INT(U507/20), "")</f>
        <v/>
      </c>
      <c r="AG507" s="11">
        <f>IF(INT(V507/20)&gt;INT(V506/20), "Lần " &amp; INT(V507/20), "")</f>
        <v/>
      </c>
      <c r="AH507" s="11">
        <f>IF(INT(W507/20)&gt;INT(W506/20), "Lần " &amp; INT(W507/20), "")</f>
        <v/>
      </c>
      <c r="AI507" s="11">
        <f>IF(INT(X507/20)&gt;INT(X506/20), "Lần " &amp; INT(X507/20), "")</f>
        <v/>
      </c>
      <c r="AJ507" s="11">
        <f>IF(INT(Y507/20)&gt;INT(Y506/20), "Lần " &amp; INT(Y507/20), "")</f>
        <v/>
      </c>
      <c r="AK507" s="11">
        <f>IF(INT(Z507/20)&gt;INT(Z506/20), "Lần " &amp; INT(Z507/20), "")</f>
        <v/>
      </c>
      <c r="AL507" s="6" t="inlineStr">
        <is>
          <t>ĐẠT TCVN 1651:2018</t>
        </is>
      </c>
    </row>
    <row r="508" ht="19" customHeight="1">
      <c r="A508" s="6" t="n">
        <v>477</v>
      </c>
      <c r="B508" s="7" t="inlineStr">
        <is>
          <t>Mố M1</t>
        </is>
      </c>
      <c r="C508" s="7" t="inlineStr">
        <is>
          <t>Thân mố / Bệ mố</t>
        </is>
      </c>
      <c r="D508" s="18" t="inlineStr">
        <is>
          <t>U2</t>
        </is>
      </c>
      <c r="E508" s="19" t="n">
        <v>16</v>
      </c>
      <c r="F508" s="6" t="inlineStr">
        <is>
          <t>CB400-V</t>
        </is>
      </c>
      <c r="G508" s="7" t="inlineStr">
        <is>
          <t>S06</t>
        </is>
      </c>
      <c r="H508" s="20" t="n">
        <v>3.892</v>
      </c>
      <c r="I508" s="21" t="n">
        <v>12</v>
      </c>
      <c r="J508" s="22" t="n">
        <v>1.58</v>
      </c>
      <c r="K508" s="9">
        <f>ROUND(H508*I508*J508, 2)</f>
        <v/>
      </c>
      <c r="L508" s="23">
        <f>ROUND(K508/1000, 3)</f>
        <v/>
      </c>
      <c r="M508" s="8" t="n"/>
      <c r="N508" s="6" t="n"/>
      <c r="O508" s="24">
        <f>IF(AND(E508&lt;=10, F508&lt;&gt;"ASTM A416", INT(P508/20)&gt;INT(P507/20)), "TN Ø10 (Lần " &amp; INT(P508/20) &amp; ")", IF(AND(E508=12, INT(Q508/20)&gt;INT(Q507/20)), "TN Ø12 (Lần " &amp; INT(Q508/20) &amp; ")", IF(AND(E508=14, INT(R508/20)&gt;INT(R507/20)), "TN Ø14 (Lần " &amp; INT(R508/20) &amp; ")", IF(AND(E508=16, INT(S508/20)&gt;INT(S507/20)), "TN Ø16 (Lần " &amp; INT(S508/20) &amp; ")", IF(AND(E508=18, INT(T508/20)&gt;INT(T507/20)), "TN Ø18 (Lần " &amp; INT(T508/20) &amp; ")", IF(AND(E508=20, INT(U508/20)&gt;INT(U507/20)), "TN Ø20 (Lần " &amp; INT(U508/20) &amp; ")", IF(AND(E508=22, INT(V508/20)&gt;INT(V507/20)), "TN Ø22 (Lần " &amp; INT(V508/20) &amp; ")", IF(AND(E508=25, INT(W508/20)&gt;INT(W507/20)), "TN Ø25 (Lần " &amp; INT(W508/20) &amp; ")", IF(AND(E508=28, INT(X508/20)&gt;INT(X507/20)), "TN Ø28 (Lần " &amp; INT(X508/20) &amp; ")", IF(AND(E508=32, INT(Y508/20)&gt;INT(Y507/20)), "TN Ø32 (Lần " &amp; INT(Y508/20) &amp; ")", IF(AND(F508="ASTM A416", INT(Z508/20)&gt;INT(Z507/20)), "TN Cáp 15.2 (Lần " &amp; INT(Z508/20) &amp; ")", "")))))))))))</f>
        <v/>
      </c>
      <c r="P508" s="20">
        <f>ROUND(P507 + IF(AND(E508&lt;=10, F508&lt;&gt;"ASTM A416"), L508, 0), 3)</f>
        <v/>
      </c>
      <c r="Q508" s="20">
        <f>ROUND(Q507 + IF(AND(E508=12, F508&lt;&gt;"ASTM A416"), L508, 0), 3)</f>
        <v/>
      </c>
      <c r="R508" s="20">
        <f>ROUND(R507 + IF(AND(E508=14, F508&lt;&gt;"ASTM A416"), L508, 0), 3)</f>
        <v/>
      </c>
      <c r="S508" s="20">
        <f>ROUND(S507 + IF(AND(E508=16, F508&lt;&gt;"ASTM A416"), L508, 0), 3)</f>
        <v/>
      </c>
      <c r="T508" s="20">
        <f>ROUND(T507 + IF(AND(E508=18, F508&lt;&gt;"ASTM A416"), L508, 0), 3)</f>
        <v/>
      </c>
      <c r="U508" s="20">
        <f>ROUND(U507 + IF(AND(E508=20, F508&lt;&gt;"ASTM A416"), L508, 0), 3)</f>
        <v/>
      </c>
      <c r="V508" s="20">
        <f>ROUND(V507 + IF(AND(E508=22, F508&lt;&gt;"ASTM A416"), L508, 0), 3)</f>
        <v/>
      </c>
      <c r="W508" s="20">
        <f>ROUND(W507 + IF(AND(E508=25, F508&lt;&gt;"ASTM A416"), L508, 0), 3)</f>
        <v/>
      </c>
      <c r="X508" s="20">
        <f>ROUND(X507 + IF(AND(E508=28, F508&lt;&gt;"ASTM A416"), L508, 0), 3)</f>
        <v/>
      </c>
      <c r="Y508" s="20">
        <f>ROUND(Y507 + IF(AND(E508=32, F508&lt;&gt;"ASTM A416"), L508, 0), 3)</f>
        <v/>
      </c>
      <c r="Z508" s="20">
        <f>ROUND(Z507 + IF(F508="ASTM A416", L508, 0), 3)</f>
        <v/>
      </c>
      <c r="AA508" s="11">
        <f>IF(INT(P508/20)&gt;INT(P507/20), "Lần " &amp; INT(P508/20), "")</f>
        <v/>
      </c>
      <c r="AB508" s="11">
        <f>IF(INT(Q508/20)&gt;INT(Q507/20), "Lần " &amp; INT(Q508/20), "")</f>
        <v/>
      </c>
      <c r="AC508" s="11">
        <f>IF(INT(R508/20)&gt;INT(R507/20), "Lần " &amp; INT(R508/20), "")</f>
        <v/>
      </c>
      <c r="AD508" s="11">
        <f>IF(INT(S508/20)&gt;INT(S507/20), "Lần " &amp; INT(S508/20), "")</f>
        <v/>
      </c>
      <c r="AE508" s="11">
        <f>IF(INT(T508/20)&gt;INT(T507/20), "Lần " &amp; INT(T508/20), "")</f>
        <v/>
      </c>
      <c r="AF508" s="11">
        <f>IF(INT(U508/20)&gt;INT(U507/20), "Lần " &amp; INT(U508/20), "")</f>
        <v/>
      </c>
      <c r="AG508" s="11">
        <f>IF(INT(V508/20)&gt;INT(V507/20), "Lần " &amp; INT(V508/20), "")</f>
        <v/>
      </c>
      <c r="AH508" s="11">
        <f>IF(INT(W508/20)&gt;INT(W507/20), "Lần " &amp; INT(W508/20), "")</f>
        <v/>
      </c>
      <c r="AI508" s="11">
        <f>IF(INT(X508/20)&gt;INT(X507/20), "Lần " &amp; INT(X508/20), "")</f>
        <v/>
      </c>
      <c r="AJ508" s="11">
        <f>IF(INT(Y508/20)&gt;INT(Y507/20), "Lần " &amp; INT(Y508/20), "")</f>
        <v/>
      </c>
      <c r="AK508" s="11">
        <f>IF(INT(Z508/20)&gt;INT(Z507/20), "Lần " &amp; INT(Z508/20), "")</f>
        <v/>
      </c>
      <c r="AL508" s="6" t="inlineStr">
        <is>
          <t>ĐẠT TCVN 1651:2018</t>
        </is>
      </c>
    </row>
    <row r="509" ht="19" customHeight="1">
      <c r="A509" s="6" t="n">
        <v>478</v>
      </c>
      <c r="B509" s="7" t="inlineStr">
        <is>
          <t>Mố M1</t>
        </is>
      </c>
      <c r="C509" s="7" t="inlineStr">
        <is>
          <t>Thân mố / Bệ mố</t>
        </is>
      </c>
      <c r="D509" s="18" t="inlineStr">
        <is>
          <t>U3</t>
        </is>
      </c>
      <c r="E509" s="19" t="n">
        <v>16</v>
      </c>
      <c r="F509" s="6" t="inlineStr">
        <is>
          <t>CB400-V</t>
        </is>
      </c>
      <c r="G509" s="7" t="inlineStr">
        <is>
          <t>S51</t>
        </is>
      </c>
      <c r="H509" s="20" t="n">
        <v>3.256</v>
      </c>
      <c r="I509" s="21" t="n">
        <v>24</v>
      </c>
      <c r="J509" s="22" t="n">
        <v>1.58</v>
      </c>
      <c r="K509" s="9">
        <f>ROUND(H509*I509*J509, 2)</f>
        <v/>
      </c>
      <c r="L509" s="23">
        <f>ROUND(K509/1000, 3)</f>
        <v/>
      </c>
      <c r="M509" s="8" t="n"/>
      <c r="N509" s="6" t="n"/>
      <c r="O509" s="24">
        <f>IF(AND(E509&lt;=10, F509&lt;&gt;"ASTM A416", INT(P509/20)&gt;INT(P508/20)), "TN Ø10 (Lần " &amp; INT(P509/20) &amp; ")", IF(AND(E509=12, INT(Q509/20)&gt;INT(Q508/20)), "TN Ø12 (Lần " &amp; INT(Q509/20) &amp; ")", IF(AND(E509=14, INT(R509/20)&gt;INT(R508/20)), "TN Ø14 (Lần " &amp; INT(R509/20) &amp; ")", IF(AND(E509=16, INT(S509/20)&gt;INT(S508/20)), "TN Ø16 (Lần " &amp; INT(S509/20) &amp; ")", IF(AND(E509=18, INT(T509/20)&gt;INT(T508/20)), "TN Ø18 (Lần " &amp; INT(T509/20) &amp; ")", IF(AND(E509=20, INT(U509/20)&gt;INT(U508/20)), "TN Ø20 (Lần " &amp; INT(U509/20) &amp; ")", IF(AND(E509=22, INT(V509/20)&gt;INT(V508/20)), "TN Ø22 (Lần " &amp; INT(V509/20) &amp; ")", IF(AND(E509=25, INT(W509/20)&gt;INT(W508/20)), "TN Ø25 (Lần " &amp; INT(W509/20) &amp; ")", IF(AND(E509=28, INT(X509/20)&gt;INT(X508/20)), "TN Ø28 (Lần " &amp; INT(X509/20) &amp; ")", IF(AND(E509=32, INT(Y509/20)&gt;INT(Y508/20)), "TN Ø32 (Lần " &amp; INT(Y509/20) &amp; ")", IF(AND(F509="ASTM A416", INT(Z509/20)&gt;INT(Z508/20)), "TN Cáp 15.2 (Lần " &amp; INT(Z509/20) &amp; ")", "")))))))))))</f>
        <v/>
      </c>
      <c r="P509" s="20">
        <f>ROUND(P508 + IF(AND(E509&lt;=10, F509&lt;&gt;"ASTM A416"), L509, 0), 3)</f>
        <v/>
      </c>
      <c r="Q509" s="20">
        <f>ROUND(Q508 + IF(AND(E509=12, F509&lt;&gt;"ASTM A416"), L509, 0), 3)</f>
        <v/>
      </c>
      <c r="R509" s="20">
        <f>ROUND(R508 + IF(AND(E509=14, F509&lt;&gt;"ASTM A416"), L509, 0), 3)</f>
        <v/>
      </c>
      <c r="S509" s="20">
        <f>ROUND(S508 + IF(AND(E509=16, F509&lt;&gt;"ASTM A416"), L509, 0), 3)</f>
        <v/>
      </c>
      <c r="T509" s="20">
        <f>ROUND(T508 + IF(AND(E509=18, F509&lt;&gt;"ASTM A416"), L509, 0), 3)</f>
        <v/>
      </c>
      <c r="U509" s="20">
        <f>ROUND(U508 + IF(AND(E509=20, F509&lt;&gt;"ASTM A416"), L509, 0), 3)</f>
        <v/>
      </c>
      <c r="V509" s="20">
        <f>ROUND(V508 + IF(AND(E509=22, F509&lt;&gt;"ASTM A416"), L509, 0), 3)</f>
        <v/>
      </c>
      <c r="W509" s="20">
        <f>ROUND(W508 + IF(AND(E509=25, F509&lt;&gt;"ASTM A416"), L509, 0), 3)</f>
        <v/>
      </c>
      <c r="X509" s="20">
        <f>ROUND(X508 + IF(AND(E509=28, F509&lt;&gt;"ASTM A416"), L509, 0), 3)</f>
        <v/>
      </c>
      <c r="Y509" s="20">
        <f>ROUND(Y508 + IF(AND(E509=32, F509&lt;&gt;"ASTM A416"), L509, 0), 3)</f>
        <v/>
      </c>
      <c r="Z509" s="20">
        <f>ROUND(Z508 + IF(F509="ASTM A416", L509, 0), 3)</f>
        <v/>
      </c>
      <c r="AA509" s="11">
        <f>IF(INT(P509/20)&gt;INT(P508/20), "Lần " &amp; INT(P509/20), "")</f>
        <v/>
      </c>
      <c r="AB509" s="11">
        <f>IF(INT(Q509/20)&gt;INT(Q508/20), "Lần " &amp; INT(Q509/20), "")</f>
        <v/>
      </c>
      <c r="AC509" s="11">
        <f>IF(INT(R509/20)&gt;INT(R508/20), "Lần " &amp; INT(R509/20), "")</f>
        <v/>
      </c>
      <c r="AD509" s="11">
        <f>IF(INT(S509/20)&gt;INT(S508/20), "Lần " &amp; INT(S509/20), "")</f>
        <v/>
      </c>
      <c r="AE509" s="11">
        <f>IF(INT(T509/20)&gt;INT(T508/20), "Lần " &amp; INT(T509/20), "")</f>
        <v/>
      </c>
      <c r="AF509" s="11">
        <f>IF(INT(U509/20)&gt;INT(U508/20), "Lần " &amp; INT(U509/20), "")</f>
        <v/>
      </c>
      <c r="AG509" s="11">
        <f>IF(INT(V509/20)&gt;INT(V508/20), "Lần " &amp; INT(V509/20), "")</f>
        <v/>
      </c>
      <c r="AH509" s="11">
        <f>IF(INT(W509/20)&gt;INT(W508/20), "Lần " &amp; INT(W509/20), "")</f>
        <v/>
      </c>
      <c r="AI509" s="11">
        <f>IF(INT(X509/20)&gt;INT(X508/20), "Lần " &amp; INT(X509/20), "")</f>
        <v/>
      </c>
      <c r="AJ509" s="11">
        <f>IF(INT(Y509/20)&gt;INT(Y508/20), "Lần " &amp; INT(Y509/20), "")</f>
        <v/>
      </c>
      <c r="AK509" s="11">
        <f>IF(INT(Z509/20)&gt;INT(Z508/20), "Lần " &amp; INT(Z509/20), "")</f>
        <v/>
      </c>
      <c r="AL509" s="6" t="inlineStr">
        <is>
          <t>ĐẠT TCVN 1651:2018</t>
        </is>
      </c>
    </row>
    <row r="510" ht="19" customHeight="1">
      <c r="A510" s="6" t="n">
        <v>479</v>
      </c>
      <c r="B510" s="7" t="inlineStr">
        <is>
          <t>Mố M1</t>
        </is>
      </c>
      <c r="C510" s="7" t="inlineStr">
        <is>
          <t>Thân mố / Bệ mố</t>
        </is>
      </c>
      <c r="D510" s="18" t="inlineStr">
        <is>
          <t>U4</t>
        </is>
      </c>
      <c r="E510" s="19" t="n">
        <v>16</v>
      </c>
      <c r="F510" s="6" t="inlineStr">
        <is>
          <t>CB400-V</t>
        </is>
      </c>
      <c r="G510" s="7" t="inlineStr">
        <is>
          <t>S32</t>
        </is>
      </c>
      <c r="H510" s="20" t="n">
        <v>1.64</v>
      </c>
      <c r="I510" s="21" t="n">
        <v>4</v>
      </c>
      <c r="J510" s="22" t="n">
        <v>1.58</v>
      </c>
      <c r="K510" s="9">
        <f>ROUND(H510*I510*J510, 2)</f>
        <v/>
      </c>
      <c r="L510" s="23">
        <f>ROUND(K510/1000, 3)</f>
        <v/>
      </c>
      <c r="M510" s="8" t="n"/>
      <c r="N510" s="6" t="n"/>
      <c r="O510" s="24">
        <f>IF(AND(E510&lt;=10, F510&lt;&gt;"ASTM A416", INT(P510/20)&gt;INT(P509/20)), "TN Ø10 (Lần " &amp; INT(P510/20) &amp; ")", IF(AND(E510=12, INT(Q510/20)&gt;INT(Q509/20)), "TN Ø12 (Lần " &amp; INT(Q510/20) &amp; ")", IF(AND(E510=14, INT(R510/20)&gt;INT(R509/20)), "TN Ø14 (Lần " &amp; INT(R510/20) &amp; ")", IF(AND(E510=16, INT(S510/20)&gt;INT(S509/20)), "TN Ø16 (Lần " &amp; INT(S510/20) &amp; ")", IF(AND(E510=18, INT(T510/20)&gt;INT(T509/20)), "TN Ø18 (Lần " &amp; INT(T510/20) &amp; ")", IF(AND(E510=20, INT(U510/20)&gt;INT(U509/20)), "TN Ø20 (Lần " &amp; INT(U510/20) &amp; ")", IF(AND(E510=22, INT(V510/20)&gt;INT(V509/20)), "TN Ø22 (Lần " &amp; INT(V510/20) &amp; ")", IF(AND(E510=25, INT(W510/20)&gt;INT(W509/20)), "TN Ø25 (Lần " &amp; INT(W510/20) &amp; ")", IF(AND(E510=28, INT(X510/20)&gt;INT(X509/20)), "TN Ø28 (Lần " &amp; INT(X510/20) &amp; ")", IF(AND(E510=32, INT(Y510/20)&gt;INT(Y509/20)), "TN Ø32 (Lần " &amp; INT(Y510/20) &amp; ")", IF(AND(F510="ASTM A416", INT(Z510/20)&gt;INT(Z509/20)), "TN Cáp 15.2 (Lần " &amp; INT(Z510/20) &amp; ")", "")))))))))))</f>
        <v/>
      </c>
      <c r="P510" s="20">
        <f>ROUND(P509 + IF(AND(E510&lt;=10, F510&lt;&gt;"ASTM A416"), L510, 0), 3)</f>
        <v/>
      </c>
      <c r="Q510" s="20">
        <f>ROUND(Q509 + IF(AND(E510=12, F510&lt;&gt;"ASTM A416"), L510, 0), 3)</f>
        <v/>
      </c>
      <c r="R510" s="20">
        <f>ROUND(R509 + IF(AND(E510=14, F510&lt;&gt;"ASTM A416"), L510, 0), 3)</f>
        <v/>
      </c>
      <c r="S510" s="20">
        <f>ROUND(S509 + IF(AND(E510=16, F510&lt;&gt;"ASTM A416"), L510, 0), 3)</f>
        <v/>
      </c>
      <c r="T510" s="20">
        <f>ROUND(T509 + IF(AND(E510=18, F510&lt;&gt;"ASTM A416"), L510, 0), 3)</f>
        <v/>
      </c>
      <c r="U510" s="20">
        <f>ROUND(U509 + IF(AND(E510=20, F510&lt;&gt;"ASTM A416"), L510, 0), 3)</f>
        <v/>
      </c>
      <c r="V510" s="20">
        <f>ROUND(V509 + IF(AND(E510=22, F510&lt;&gt;"ASTM A416"), L510, 0), 3)</f>
        <v/>
      </c>
      <c r="W510" s="20">
        <f>ROUND(W509 + IF(AND(E510=25, F510&lt;&gt;"ASTM A416"), L510, 0), 3)</f>
        <v/>
      </c>
      <c r="X510" s="20">
        <f>ROUND(X509 + IF(AND(E510=28, F510&lt;&gt;"ASTM A416"), L510, 0), 3)</f>
        <v/>
      </c>
      <c r="Y510" s="20">
        <f>ROUND(Y509 + IF(AND(E510=32, F510&lt;&gt;"ASTM A416"), L510, 0), 3)</f>
        <v/>
      </c>
      <c r="Z510" s="20">
        <f>ROUND(Z509 + IF(F510="ASTM A416", L510, 0), 3)</f>
        <v/>
      </c>
      <c r="AA510" s="11">
        <f>IF(INT(P510/20)&gt;INT(P509/20), "Lần " &amp; INT(P510/20), "")</f>
        <v/>
      </c>
      <c r="AB510" s="11">
        <f>IF(INT(Q510/20)&gt;INT(Q509/20), "Lần " &amp; INT(Q510/20), "")</f>
        <v/>
      </c>
      <c r="AC510" s="11">
        <f>IF(INT(R510/20)&gt;INT(R509/20), "Lần " &amp; INT(R510/20), "")</f>
        <v/>
      </c>
      <c r="AD510" s="11">
        <f>IF(INT(S510/20)&gt;INT(S509/20), "Lần " &amp; INT(S510/20), "")</f>
        <v/>
      </c>
      <c r="AE510" s="11">
        <f>IF(INT(T510/20)&gt;INT(T509/20), "Lần " &amp; INT(T510/20), "")</f>
        <v/>
      </c>
      <c r="AF510" s="11">
        <f>IF(INT(U510/20)&gt;INT(U509/20), "Lần " &amp; INT(U510/20), "")</f>
        <v/>
      </c>
      <c r="AG510" s="11">
        <f>IF(INT(V510/20)&gt;INT(V509/20), "Lần " &amp; INT(V510/20), "")</f>
        <v/>
      </c>
      <c r="AH510" s="11">
        <f>IF(INT(W510/20)&gt;INT(W509/20), "Lần " &amp; INT(W510/20), "")</f>
        <v/>
      </c>
      <c r="AI510" s="11">
        <f>IF(INT(X510/20)&gt;INT(X509/20), "Lần " &amp; INT(X510/20), "")</f>
        <v/>
      </c>
      <c r="AJ510" s="11">
        <f>IF(INT(Y510/20)&gt;INT(Y509/20), "Lần " &amp; INT(Y510/20), "")</f>
        <v/>
      </c>
      <c r="AK510" s="11">
        <f>IF(INT(Z510/20)&gt;INT(Z509/20), "Lần " &amp; INT(Z510/20), "")</f>
        <v/>
      </c>
      <c r="AL510" s="6" t="inlineStr">
        <is>
          <t>ĐẠT TCVN 1651:2018</t>
        </is>
      </c>
    </row>
    <row r="511" ht="19" customHeight="1">
      <c r="A511" s="6" t="n">
        <v>480</v>
      </c>
      <c r="B511" s="7" t="inlineStr">
        <is>
          <t>Mố M1</t>
        </is>
      </c>
      <c r="C511" s="7" t="inlineStr">
        <is>
          <t>VỮA ĐỆM</t>
        </is>
      </c>
      <c r="D511" s="18" t="inlineStr">
        <is>
          <t>B1</t>
        </is>
      </c>
      <c r="E511" s="19" t="n">
        <v>8</v>
      </c>
      <c r="F511" s="6" t="inlineStr">
        <is>
          <t>CB240-T</t>
        </is>
      </c>
      <c r="G511" s="7" t="inlineStr">
        <is>
          <t>S01</t>
        </is>
      </c>
      <c r="H511" s="20" t="n">
        <v>0.64</v>
      </c>
      <c r="I511" s="21" t="n">
        <v>50</v>
      </c>
      <c r="J511" s="22" t="n">
        <v>0.395</v>
      </c>
      <c r="K511" s="9">
        <f>ROUND(H511*I511*J511, 2)</f>
        <v/>
      </c>
      <c r="L511" s="23">
        <f>ROUND(K511/1000, 3)</f>
        <v/>
      </c>
      <c r="M511" s="8" t="n"/>
      <c r="N511" s="6" t="n"/>
      <c r="O511" s="24">
        <f>IF(AND(E511&lt;=10, F511&lt;&gt;"ASTM A416", INT(P511/20)&gt;INT(P510/20)), "TN Ø10 (Lần " &amp; INT(P511/20) &amp; ")", IF(AND(E511=12, INT(Q511/20)&gt;INT(Q510/20)), "TN Ø12 (Lần " &amp; INT(Q511/20) &amp; ")", IF(AND(E511=14, INT(R511/20)&gt;INT(R510/20)), "TN Ø14 (Lần " &amp; INT(R511/20) &amp; ")", IF(AND(E511=16, INT(S511/20)&gt;INT(S510/20)), "TN Ø16 (Lần " &amp; INT(S511/20) &amp; ")", IF(AND(E511=18, INT(T511/20)&gt;INT(T510/20)), "TN Ø18 (Lần " &amp; INT(T511/20) &amp; ")", IF(AND(E511=20, INT(U511/20)&gt;INT(U510/20)), "TN Ø20 (Lần " &amp; INT(U511/20) &amp; ")", IF(AND(E511=22, INT(V511/20)&gt;INT(V510/20)), "TN Ø22 (Lần " &amp; INT(V511/20) &amp; ")", IF(AND(E511=25, INT(W511/20)&gt;INT(W510/20)), "TN Ø25 (Lần " &amp; INT(W511/20) &amp; ")", IF(AND(E511=28, INT(X511/20)&gt;INT(X510/20)), "TN Ø28 (Lần " &amp; INT(X511/20) &amp; ")", IF(AND(E511=32, INT(Y511/20)&gt;INT(Y510/20)), "TN Ø32 (Lần " &amp; INT(Y511/20) &amp; ")", IF(AND(F511="ASTM A416", INT(Z511/20)&gt;INT(Z510/20)), "TN Cáp 15.2 (Lần " &amp; INT(Z511/20) &amp; ")", "")))))))))))</f>
        <v/>
      </c>
      <c r="P511" s="20">
        <f>ROUND(P510 + IF(AND(E511&lt;=10, F511&lt;&gt;"ASTM A416"), L511, 0), 3)</f>
        <v/>
      </c>
      <c r="Q511" s="20">
        <f>ROUND(Q510 + IF(AND(E511=12, F511&lt;&gt;"ASTM A416"), L511, 0), 3)</f>
        <v/>
      </c>
      <c r="R511" s="20">
        <f>ROUND(R510 + IF(AND(E511=14, F511&lt;&gt;"ASTM A416"), L511, 0), 3)</f>
        <v/>
      </c>
      <c r="S511" s="20">
        <f>ROUND(S510 + IF(AND(E511=16, F511&lt;&gt;"ASTM A416"), L511, 0), 3)</f>
        <v/>
      </c>
      <c r="T511" s="20">
        <f>ROUND(T510 + IF(AND(E511=18, F511&lt;&gt;"ASTM A416"), L511, 0), 3)</f>
        <v/>
      </c>
      <c r="U511" s="20">
        <f>ROUND(U510 + IF(AND(E511=20, F511&lt;&gt;"ASTM A416"), L511, 0), 3)</f>
        <v/>
      </c>
      <c r="V511" s="20">
        <f>ROUND(V510 + IF(AND(E511=22, F511&lt;&gt;"ASTM A416"), L511, 0), 3)</f>
        <v/>
      </c>
      <c r="W511" s="20">
        <f>ROUND(W510 + IF(AND(E511=25, F511&lt;&gt;"ASTM A416"), L511, 0), 3)</f>
        <v/>
      </c>
      <c r="X511" s="20">
        <f>ROUND(X510 + IF(AND(E511=28, F511&lt;&gt;"ASTM A416"), L511, 0), 3)</f>
        <v/>
      </c>
      <c r="Y511" s="20">
        <f>ROUND(Y510 + IF(AND(E511=32, F511&lt;&gt;"ASTM A416"), L511, 0), 3)</f>
        <v/>
      </c>
      <c r="Z511" s="20">
        <f>ROUND(Z510 + IF(F511="ASTM A416", L511, 0), 3)</f>
        <v/>
      </c>
      <c r="AA511" s="11">
        <f>IF(INT(P511/20)&gt;INT(P510/20), "Lần " &amp; INT(P511/20), "")</f>
        <v/>
      </c>
      <c r="AB511" s="11">
        <f>IF(INT(Q511/20)&gt;INT(Q510/20), "Lần " &amp; INT(Q511/20), "")</f>
        <v/>
      </c>
      <c r="AC511" s="11">
        <f>IF(INT(R511/20)&gt;INT(R510/20), "Lần " &amp; INT(R511/20), "")</f>
        <v/>
      </c>
      <c r="AD511" s="11">
        <f>IF(INT(S511/20)&gt;INT(S510/20), "Lần " &amp; INT(S511/20), "")</f>
        <v/>
      </c>
      <c r="AE511" s="11">
        <f>IF(INT(T511/20)&gt;INT(T510/20), "Lần " &amp; INT(T511/20), "")</f>
        <v/>
      </c>
      <c r="AF511" s="11">
        <f>IF(INT(U511/20)&gt;INT(U510/20), "Lần " &amp; INT(U511/20), "")</f>
        <v/>
      </c>
      <c r="AG511" s="11">
        <f>IF(INT(V511/20)&gt;INT(V510/20), "Lần " &amp; INT(V511/20), "")</f>
        <v/>
      </c>
      <c r="AH511" s="11">
        <f>IF(INT(W511/20)&gt;INT(W510/20), "Lần " &amp; INT(W511/20), "")</f>
        <v/>
      </c>
      <c r="AI511" s="11">
        <f>IF(INT(X511/20)&gt;INT(X510/20), "Lần " &amp; INT(X511/20), "")</f>
        <v/>
      </c>
      <c r="AJ511" s="11">
        <f>IF(INT(Y511/20)&gt;INT(Y510/20), "Lần " &amp; INT(Y511/20), "")</f>
        <v/>
      </c>
      <c r="AK511" s="11">
        <f>IF(INT(Z511/20)&gt;INT(Z510/20), "Lần " &amp; INT(Z511/20), "")</f>
        <v/>
      </c>
      <c r="AL511" s="6" t="inlineStr">
        <is>
          <t>ĐẠT TCVN 1651:2018</t>
        </is>
      </c>
    </row>
    <row r="512" ht="19" customHeight="1">
      <c r="A512" s="6" t="n">
        <v>481</v>
      </c>
      <c r="B512" s="7" t="inlineStr">
        <is>
          <t>Mố M1</t>
        </is>
      </c>
      <c r="C512" s="7" t="inlineStr">
        <is>
          <t>Thân mố / Bệ mố</t>
        </is>
      </c>
      <c r="D512" s="18" t="inlineStr">
        <is>
          <t>B2</t>
        </is>
      </c>
      <c r="E512" s="19" t="n">
        <v>8</v>
      </c>
      <c r="F512" s="6" t="inlineStr">
        <is>
          <t>CB240-T</t>
        </is>
      </c>
      <c r="G512" s="7" t="inlineStr">
        <is>
          <t>S01</t>
        </is>
      </c>
      <c r="H512" s="20" t="n">
        <v>0.48</v>
      </c>
      <c r="I512" s="21" t="n">
        <v>65</v>
      </c>
      <c r="J512" s="22" t="n">
        <v>0.395</v>
      </c>
      <c r="K512" s="9">
        <f>ROUND(H512*I512*J512, 2)</f>
        <v/>
      </c>
      <c r="L512" s="23">
        <f>ROUND(K512/1000, 3)</f>
        <v/>
      </c>
      <c r="M512" s="8" t="n"/>
      <c r="N512" s="6" t="n"/>
      <c r="O512" s="24">
        <f>IF(AND(E512&lt;=10, F512&lt;&gt;"ASTM A416", INT(P512/20)&gt;INT(P511/20)), "TN Ø10 (Lần " &amp; INT(P512/20) &amp; ")", IF(AND(E512=12, INT(Q512/20)&gt;INT(Q511/20)), "TN Ø12 (Lần " &amp; INT(Q512/20) &amp; ")", IF(AND(E512=14, INT(R512/20)&gt;INT(R511/20)), "TN Ø14 (Lần " &amp; INT(R512/20) &amp; ")", IF(AND(E512=16, INT(S512/20)&gt;INT(S511/20)), "TN Ø16 (Lần " &amp; INT(S512/20) &amp; ")", IF(AND(E512=18, INT(T512/20)&gt;INT(T511/20)), "TN Ø18 (Lần " &amp; INT(T512/20) &amp; ")", IF(AND(E512=20, INT(U512/20)&gt;INT(U511/20)), "TN Ø20 (Lần " &amp; INT(U512/20) &amp; ")", IF(AND(E512=22, INT(V512/20)&gt;INT(V511/20)), "TN Ø22 (Lần " &amp; INT(V512/20) &amp; ")", IF(AND(E512=25, INT(W512/20)&gt;INT(W511/20)), "TN Ø25 (Lần " &amp; INT(W512/20) &amp; ")", IF(AND(E512=28, INT(X512/20)&gt;INT(X511/20)), "TN Ø28 (Lần " &amp; INT(X512/20) &amp; ")", IF(AND(E512=32, INT(Y512/20)&gt;INT(Y511/20)), "TN Ø32 (Lần " &amp; INT(Y512/20) &amp; ")", IF(AND(F512="ASTM A416", INT(Z512/20)&gt;INT(Z511/20)), "TN Cáp 15.2 (Lần " &amp; INT(Z512/20) &amp; ")", "")))))))))))</f>
        <v/>
      </c>
      <c r="P512" s="20">
        <f>ROUND(P511 + IF(AND(E512&lt;=10, F512&lt;&gt;"ASTM A416"), L512, 0), 3)</f>
        <v/>
      </c>
      <c r="Q512" s="20">
        <f>ROUND(Q511 + IF(AND(E512=12, F512&lt;&gt;"ASTM A416"), L512, 0), 3)</f>
        <v/>
      </c>
      <c r="R512" s="20">
        <f>ROUND(R511 + IF(AND(E512=14, F512&lt;&gt;"ASTM A416"), L512, 0), 3)</f>
        <v/>
      </c>
      <c r="S512" s="20">
        <f>ROUND(S511 + IF(AND(E512=16, F512&lt;&gt;"ASTM A416"), L512, 0), 3)</f>
        <v/>
      </c>
      <c r="T512" s="20">
        <f>ROUND(T511 + IF(AND(E512=18, F512&lt;&gt;"ASTM A416"), L512, 0), 3)</f>
        <v/>
      </c>
      <c r="U512" s="20">
        <f>ROUND(U511 + IF(AND(E512=20, F512&lt;&gt;"ASTM A416"), L512, 0), 3)</f>
        <v/>
      </c>
      <c r="V512" s="20">
        <f>ROUND(V511 + IF(AND(E512=22, F512&lt;&gt;"ASTM A416"), L512, 0), 3)</f>
        <v/>
      </c>
      <c r="W512" s="20">
        <f>ROUND(W511 + IF(AND(E512=25, F512&lt;&gt;"ASTM A416"), L512, 0), 3)</f>
        <v/>
      </c>
      <c r="X512" s="20">
        <f>ROUND(X511 + IF(AND(E512=28, F512&lt;&gt;"ASTM A416"), L512, 0), 3)</f>
        <v/>
      </c>
      <c r="Y512" s="20">
        <f>ROUND(Y511 + IF(AND(E512=32, F512&lt;&gt;"ASTM A416"), L512, 0), 3)</f>
        <v/>
      </c>
      <c r="Z512" s="20">
        <f>ROUND(Z511 + IF(F512="ASTM A416", L512, 0), 3)</f>
        <v/>
      </c>
      <c r="AA512" s="11">
        <f>IF(INT(P512/20)&gt;INT(P511/20), "Lần " &amp; INT(P512/20), "")</f>
        <v/>
      </c>
      <c r="AB512" s="11">
        <f>IF(INT(Q512/20)&gt;INT(Q511/20), "Lần " &amp; INT(Q512/20), "")</f>
        <v/>
      </c>
      <c r="AC512" s="11">
        <f>IF(INT(R512/20)&gt;INT(R511/20), "Lần " &amp; INT(R512/20), "")</f>
        <v/>
      </c>
      <c r="AD512" s="11">
        <f>IF(INT(S512/20)&gt;INT(S511/20), "Lần " &amp; INT(S512/20), "")</f>
        <v/>
      </c>
      <c r="AE512" s="11">
        <f>IF(INT(T512/20)&gt;INT(T511/20), "Lần " &amp; INT(T512/20), "")</f>
        <v/>
      </c>
      <c r="AF512" s="11">
        <f>IF(INT(U512/20)&gt;INT(U511/20), "Lần " &amp; INT(U512/20), "")</f>
        <v/>
      </c>
      <c r="AG512" s="11">
        <f>IF(INT(V512/20)&gt;INT(V511/20), "Lần " &amp; INT(V512/20), "")</f>
        <v/>
      </c>
      <c r="AH512" s="11">
        <f>IF(INT(W512/20)&gt;INT(W511/20), "Lần " &amp; INT(W512/20), "")</f>
        <v/>
      </c>
      <c r="AI512" s="11">
        <f>IF(INT(X512/20)&gt;INT(X511/20), "Lần " &amp; INT(X512/20), "")</f>
        <v/>
      </c>
      <c r="AJ512" s="11">
        <f>IF(INT(Y512/20)&gt;INT(Y511/20), "Lần " &amp; INT(Y512/20), "")</f>
        <v/>
      </c>
      <c r="AK512" s="11">
        <f>IF(INT(Z512/20)&gt;INT(Z511/20), "Lần " &amp; INT(Z512/20), "")</f>
        <v/>
      </c>
      <c r="AL512" s="6" t="inlineStr">
        <is>
          <t>ĐẠT TCVN 1651:2018</t>
        </is>
      </c>
    </row>
    <row r="513" ht="19" customHeight="1">
      <c r="A513" s="6" t="n">
        <v>482</v>
      </c>
      <c r="B513" s="7" t="inlineStr">
        <is>
          <t>Mố M1</t>
        </is>
      </c>
      <c r="C513" s="7" t="inlineStr">
        <is>
          <t>TƯỜNG TAI</t>
        </is>
      </c>
      <c r="D513" s="18" t="inlineStr">
        <is>
          <t>T1</t>
        </is>
      </c>
      <c r="E513" s="19" t="n">
        <v>16</v>
      </c>
      <c r="F513" s="6" t="inlineStr">
        <is>
          <t>CB400-V</t>
        </is>
      </c>
      <c r="G513" s="7" t="inlineStr">
        <is>
          <t>S01</t>
        </is>
      </c>
      <c r="H513" s="20" t="n">
        <v>1.89</v>
      </c>
      <c r="I513" s="21" t="n">
        <v>14</v>
      </c>
      <c r="J513" s="22" t="n">
        <v>1.58</v>
      </c>
      <c r="K513" s="9">
        <f>ROUND(H513*I513*J513, 2)</f>
        <v/>
      </c>
      <c r="L513" s="23">
        <f>ROUND(K513/1000, 3)</f>
        <v/>
      </c>
      <c r="M513" s="8" t="n"/>
      <c r="N513" s="6" t="n"/>
      <c r="O513" s="24">
        <f>IF(AND(E513&lt;=10, F513&lt;&gt;"ASTM A416", INT(P513/20)&gt;INT(P512/20)), "TN Ø10 (Lần " &amp; INT(P513/20) &amp; ")", IF(AND(E513=12, INT(Q513/20)&gt;INT(Q512/20)), "TN Ø12 (Lần " &amp; INT(Q513/20) &amp; ")", IF(AND(E513=14, INT(R513/20)&gt;INT(R512/20)), "TN Ø14 (Lần " &amp; INT(R513/20) &amp; ")", IF(AND(E513=16, INT(S513/20)&gt;INT(S512/20)), "TN Ø16 (Lần " &amp; INT(S513/20) &amp; ")", IF(AND(E513=18, INT(T513/20)&gt;INT(T512/20)), "TN Ø18 (Lần " &amp; INT(T513/20) &amp; ")", IF(AND(E513=20, INT(U513/20)&gt;INT(U512/20)), "TN Ø20 (Lần " &amp; INT(U513/20) &amp; ")", IF(AND(E513=22, INT(V513/20)&gt;INT(V512/20)), "TN Ø22 (Lần " &amp; INT(V513/20) &amp; ")", IF(AND(E513=25, INT(W513/20)&gt;INT(W512/20)), "TN Ø25 (Lần " &amp; INT(W513/20) &amp; ")", IF(AND(E513=28, INT(X513/20)&gt;INT(X512/20)), "TN Ø28 (Lần " &amp; INT(X513/20) &amp; ")", IF(AND(E513=32, INT(Y513/20)&gt;INT(Y512/20)), "TN Ø32 (Lần " &amp; INT(Y513/20) &amp; ")", IF(AND(F513="ASTM A416", INT(Z513/20)&gt;INT(Z512/20)), "TN Cáp 15.2 (Lần " &amp; INT(Z513/20) &amp; ")", "")))))))))))</f>
        <v/>
      </c>
      <c r="P513" s="20">
        <f>ROUND(P512 + IF(AND(E513&lt;=10, F513&lt;&gt;"ASTM A416"), L513, 0), 3)</f>
        <v/>
      </c>
      <c r="Q513" s="20">
        <f>ROUND(Q512 + IF(AND(E513=12, F513&lt;&gt;"ASTM A416"), L513, 0), 3)</f>
        <v/>
      </c>
      <c r="R513" s="20">
        <f>ROUND(R512 + IF(AND(E513=14, F513&lt;&gt;"ASTM A416"), L513, 0), 3)</f>
        <v/>
      </c>
      <c r="S513" s="20">
        <f>ROUND(S512 + IF(AND(E513=16, F513&lt;&gt;"ASTM A416"), L513, 0), 3)</f>
        <v/>
      </c>
      <c r="T513" s="20">
        <f>ROUND(T512 + IF(AND(E513=18, F513&lt;&gt;"ASTM A416"), L513, 0), 3)</f>
        <v/>
      </c>
      <c r="U513" s="20">
        <f>ROUND(U512 + IF(AND(E513=20, F513&lt;&gt;"ASTM A416"), L513, 0), 3)</f>
        <v/>
      </c>
      <c r="V513" s="20">
        <f>ROUND(V512 + IF(AND(E513=22, F513&lt;&gt;"ASTM A416"), L513, 0), 3)</f>
        <v/>
      </c>
      <c r="W513" s="20">
        <f>ROUND(W512 + IF(AND(E513=25, F513&lt;&gt;"ASTM A416"), L513, 0), 3)</f>
        <v/>
      </c>
      <c r="X513" s="20">
        <f>ROUND(X512 + IF(AND(E513=28, F513&lt;&gt;"ASTM A416"), L513, 0), 3)</f>
        <v/>
      </c>
      <c r="Y513" s="20">
        <f>ROUND(Y512 + IF(AND(E513=32, F513&lt;&gt;"ASTM A416"), L513, 0), 3)</f>
        <v/>
      </c>
      <c r="Z513" s="20">
        <f>ROUND(Z512 + IF(F513="ASTM A416", L513, 0), 3)</f>
        <v/>
      </c>
      <c r="AA513" s="11">
        <f>IF(INT(P513/20)&gt;INT(P512/20), "Lần " &amp; INT(P513/20), "")</f>
        <v/>
      </c>
      <c r="AB513" s="11">
        <f>IF(INT(Q513/20)&gt;INT(Q512/20), "Lần " &amp; INT(Q513/20), "")</f>
        <v/>
      </c>
      <c r="AC513" s="11">
        <f>IF(INT(R513/20)&gt;INT(R512/20), "Lần " &amp; INT(R513/20), "")</f>
        <v/>
      </c>
      <c r="AD513" s="11">
        <f>IF(INT(S513/20)&gt;INT(S512/20), "Lần " &amp; INT(S513/20), "")</f>
        <v/>
      </c>
      <c r="AE513" s="11">
        <f>IF(INT(T513/20)&gt;INT(T512/20), "Lần " &amp; INT(T513/20), "")</f>
        <v/>
      </c>
      <c r="AF513" s="11">
        <f>IF(INT(U513/20)&gt;INT(U512/20), "Lần " &amp; INT(U513/20), "")</f>
        <v/>
      </c>
      <c r="AG513" s="11">
        <f>IF(INT(V513/20)&gt;INT(V512/20), "Lần " &amp; INT(V513/20), "")</f>
        <v/>
      </c>
      <c r="AH513" s="11">
        <f>IF(INT(W513/20)&gt;INT(W512/20), "Lần " &amp; INT(W513/20), "")</f>
        <v/>
      </c>
      <c r="AI513" s="11">
        <f>IF(INT(X513/20)&gt;INT(X512/20), "Lần " &amp; INT(X513/20), "")</f>
        <v/>
      </c>
      <c r="AJ513" s="11">
        <f>IF(INT(Y513/20)&gt;INT(Y512/20), "Lần " &amp; INT(Y513/20), "")</f>
        <v/>
      </c>
      <c r="AK513" s="11">
        <f>IF(INT(Z513/20)&gt;INT(Z512/20), "Lần " &amp; INT(Z513/20), "")</f>
        <v/>
      </c>
      <c r="AL513" s="6" t="inlineStr">
        <is>
          <t>ĐẠT TCVN 1651:2018</t>
        </is>
      </c>
    </row>
    <row r="514" ht="19" customHeight="1">
      <c r="A514" s="6" t="n">
        <v>483</v>
      </c>
      <c r="B514" s="7" t="inlineStr">
        <is>
          <t>Mố M1</t>
        </is>
      </c>
      <c r="C514" s="7" t="inlineStr">
        <is>
          <t>Thân mố / Bệ mố</t>
        </is>
      </c>
      <c r="D514" s="18" t="inlineStr">
        <is>
          <t>T2</t>
        </is>
      </c>
      <c r="E514" s="19" t="n">
        <v>16</v>
      </c>
      <c r="F514" s="6" t="inlineStr">
        <is>
          <t>CB400-V</t>
        </is>
      </c>
      <c r="G514" s="7" t="inlineStr">
        <is>
          <t>S01</t>
        </is>
      </c>
      <c r="H514" s="20" t="n">
        <v>1.59</v>
      </c>
      <c r="I514" s="21" t="n">
        <v>18</v>
      </c>
      <c r="J514" s="22" t="n">
        <v>1.58</v>
      </c>
      <c r="K514" s="9">
        <f>ROUND(H514*I514*J514, 2)</f>
        <v/>
      </c>
      <c r="L514" s="23">
        <f>ROUND(K514/1000, 3)</f>
        <v/>
      </c>
      <c r="M514" s="8" t="n"/>
      <c r="N514" s="6" t="n"/>
      <c r="O514" s="24">
        <f>IF(AND(E514&lt;=10, F514&lt;&gt;"ASTM A416", INT(P514/20)&gt;INT(P513/20)), "TN Ø10 (Lần " &amp; INT(P514/20) &amp; ")", IF(AND(E514=12, INT(Q514/20)&gt;INT(Q513/20)), "TN Ø12 (Lần " &amp; INT(Q514/20) &amp; ")", IF(AND(E514=14, INT(R514/20)&gt;INT(R513/20)), "TN Ø14 (Lần " &amp; INT(R514/20) &amp; ")", IF(AND(E514=16, INT(S514/20)&gt;INT(S513/20)), "TN Ø16 (Lần " &amp; INT(S514/20) &amp; ")", IF(AND(E514=18, INT(T514/20)&gt;INT(T513/20)), "TN Ø18 (Lần " &amp; INT(T514/20) &amp; ")", IF(AND(E514=20, INT(U514/20)&gt;INT(U513/20)), "TN Ø20 (Lần " &amp; INT(U514/20) &amp; ")", IF(AND(E514=22, INT(V514/20)&gt;INT(V513/20)), "TN Ø22 (Lần " &amp; INT(V514/20) &amp; ")", IF(AND(E514=25, INT(W514/20)&gt;INT(W513/20)), "TN Ø25 (Lần " &amp; INT(W514/20) &amp; ")", IF(AND(E514=28, INT(X514/20)&gt;INT(X513/20)), "TN Ø28 (Lần " &amp; INT(X514/20) &amp; ")", IF(AND(E514=32, INT(Y514/20)&gt;INT(Y513/20)), "TN Ø32 (Lần " &amp; INT(Y514/20) &amp; ")", IF(AND(F514="ASTM A416", INT(Z514/20)&gt;INT(Z513/20)), "TN Cáp 15.2 (Lần " &amp; INT(Z514/20) &amp; ")", "")))))))))))</f>
        <v/>
      </c>
      <c r="P514" s="20">
        <f>ROUND(P513 + IF(AND(E514&lt;=10, F514&lt;&gt;"ASTM A416"), L514, 0), 3)</f>
        <v/>
      </c>
      <c r="Q514" s="20">
        <f>ROUND(Q513 + IF(AND(E514=12, F514&lt;&gt;"ASTM A416"), L514, 0), 3)</f>
        <v/>
      </c>
      <c r="R514" s="20">
        <f>ROUND(R513 + IF(AND(E514=14, F514&lt;&gt;"ASTM A416"), L514, 0), 3)</f>
        <v/>
      </c>
      <c r="S514" s="20">
        <f>ROUND(S513 + IF(AND(E514=16, F514&lt;&gt;"ASTM A416"), L514, 0), 3)</f>
        <v/>
      </c>
      <c r="T514" s="20">
        <f>ROUND(T513 + IF(AND(E514=18, F514&lt;&gt;"ASTM A416"), L514, 0), 3)</f>
        <v/>
      </c>
      <c r="U514" s="20">
        <f>ROUND(U513 + IF(AND(E514=20, F514&lt;&gt;"ASTM A416"), L514, 0), 3)</f>
        <v/>
      </c>
      <c r="V514" s="20">
        <f>ROUND(V513 + IF(AND(E514=22, F514&lt;&gt;"ASTM A416"), L514, 0), 3)</f>
        <v/>
      </c>
      <c r="W514" s="20">
        <f>ROUND(W513 + IF(AND(E514=25, F514&lt;&gt;"ASTM A416"), L514, 0), 3)</f>
        <v/>
      </c>
      <c r="X514" s="20">
        <f>ROUND(X513 + IF(AND(E514=28, F514&lt;&gt;"ASTM A416"), L514, 0), 3)</f>
        <v/>
      </c>
      <c r="Y514" s="20">
        <f>ROUND(Y513 + IF(AND(E514=32, F514&lt;&gt;"ASTM A416"), L514, 0), 3)</f>
        <v/>
      </c>
      <c r="Z514" s="20">
        <f>ROUND(Z513 + IF(F514="ASTM A416", L514, 0), 3)</f>
        <v/>
      </c>
      <c r="AA514" s="11">
        <f>IF(INT(P514/20)&gt;INT(P513/20), "Lần " &amp; INT(P514/20), "")</f>
        <v/>
      </c>
      <c r="AB514" s="11">
        <f>IF(INT(Q514/20)&gt;INT(Q513/20), "Lần " &amp; INT(Q514/20), "")</f>
        <v/>
      </c>
      <c r="AC514" s="11">
        <f>IF(INT(R514/20)&gt;INT(R513/20), "Lần " &amp; INT(R514/20), "")</f>
        <v/>
      </c>
      <c r="AD514" s="11">
        <f>IF(INT(S514/20)&gt;INT(S513/20), "Lần " &amp; INT(S514/20), "")</f>
        <v/>
      </c>
      <c r="AE514" s="11">
        <f>IF(INT(T514/20)&gt;INT(T513/20), "Lần " &amp; INT(T514/20), "")</f>
        <v/>
      </c>
      <c r="AF514" s="11">
        <f>IF(INT(U514/20)&gt;INT(U513/20), "Lần " &amp; INT(U514/20), "")</f>
        <v/>
      </c>
      <c r="AG514" s="11">
        <f>IF(INT(V514/20)&gt;INT(V513/20), "Lần " &amp; INT(V514/20), "")</f>
        <v/>
      </c>
      <c r="AH514" s="11">
        <f>IF(INT(W514/20)&gt;INT(W513/20), "Lần " &amp; INT(W514/20), "")</f>
        <v/>
      </c>
      <c r="AI514" s="11">
        <f>IF(INT(X514/20)&gt;INT(X513/20), "Lần " &amp; INT(X514/20), "")</f>
        <v/>
      </c>
      <c r="AJ514" s="11">
        <f>IF(INT(Y514/20)&gt;INT(Y513/20), "Lần " &amp; INT(Y514/20), "")</f>
        <v/>
      </c>
      <c r="AK514" s="11">
        <f>IF(INT(Z514/20)&gt;INT(Z513/20), "Lần " &amp; INT(Z514/20), "")</f>
        <v/>
      </c>
      <c r="AL514" s="6" t="inlineStr">
        <is>
          <t>ĐẠT TCVN 1651:2018</t>
        </is>
      </c>
    </row>
    <row r="515" ht="19" customHeight="1">
      <c r="A515" s="6" t="n">
        <v>484</v>
      </c>
      <c r="B515" s="7" t="inlineStr">
        <is>
          <t>Mố M1</t>
        </is>
      </c>
      <c r="C515" s="7" t="inlineStr">
        <is>
          <t>GỜ LAN CAN</t>
        </is>
      </c>
      <c r="D515" s="18" t="inlineStr">
        <is>
          <t>G1</t>
        </is>
      </c>
      <c r="E515" s="19" t="n">
        <v>14</v>
      </c>
      <c r="F515" s="6" t="inlineStr">
        <is>
          <t>CB400-V</t>
        </is>
      </c>
      <c r="G515" s="7" t="inlineStr">
        <is>
          <t>S01</t>
        </is>
      </c>
      <c r="H515" s="20" t="n">
        <v>5.9</v>
      </c>
      <c r="I515" s="21" t="n">
        <v>19</v>
      </c>
      <c r="J515" s="22" t="n">
        <v>1.21</v>
      </c>
      <c r="K515" s="9">
        <f>ROUND(H515*I515*J515, 2)</f>
        <v/>
      </c>
      <c r="L515" s="23">
        <f>ROUND(K515/1000, 3)</f>
        <v/>
      </c>
      <c r="M515" s="8" t="n"/>
      <c r="N515" s="6" t="n"/>
      <c r="O515" s="24">
        <f>IF(AND(E515&lt;=10, F515&lt;&gt;"ASTM A416", INT(P515/20)&gt;INT(P514/20)), "TN Ø10 (Lần " &amp; INT(P515/20) &amp; ")", IF(AND(E515=12, INT(Q515/20)&gt;INT(Q514/20)), "TN Ø12 (Lần " &amp; INT(Q515/20) &amp; ")", IF(AND(E515=14, INT(R515/20)&gt;INT(R514/20)), "TN Ø14 (Lần " &amp; INT(R515/20) &amp; ")", IF(AND(E515=16, INT(S515/20)&gt;INT(S514/20)), "TN Ø16 (Lần " &amp; INT(S515/20) &amp; ")", IF(AND(E515=18, INT(T515/20)&gt;INT(T514/20)), "TN Ø18 (Lần " &amp; INT(T515/20) &amp; ")", IF(AND(E515=20, INT(U515/20)&gt;INT(U514/20)), "TN Ø20 (Lần " &amp; INT(U515/20) &amp; ")", IF(AND(E515=22, INT(V515/20)&gt;INT(V514/20)), "TN Ø22 (Lần " &amp; INT(V515/20) &amp; ")", IF(AND(E515=25, INT(W515/20)&gt;INT(W514/20)), "TN Ø25 (Lần " &amp; INT(W515/20) &amp; ")", IF(AND(E515=28, INT(X515/20)&gt;INT(X514/20)), "TN Ø28 (Lần " &amp; INT(X515/20) &amp; ")", IF(AND(E515=32, INT(Y515/20)&gt;INT(Y514/20)), "TN Ø32 (Lần " &amp; INT(Y515/20) &amp; ")", IF(AND(F515="ASTM A416", INT(Z515/20)&gt;INT(Z514/20)), "TN Cáp 15.2 (Lần " &amp; INT(Z515/20) &amp; ")", "")))))))))))</f>
        <v/>
      </c>
      <c r="P515" s="20">
        <f>ROUND(P514 + IF(AND(E515&lt;=10, F515&lt;&gt;"ASTM A416"), L515, 0), 3)</f>
        <v/>
      </c>
      <c r="Q515" s="20">
        <f>ROUND(Q514 + IF(AND(E515=12, F515&lt;&gt;"ASTM A416"), L515, 0), 3)</f>
        <v/>
      </c>
      <c r="R515" s="20">
        <f>ROUND(R514 + IF(AND(E515=14, F515&lt;&gt;"ASTM A416"), L515, 0), 3)</f>
        <v/>
      </c>
      <c r="S515" s="20">
        <f>ROUND(S514 + IF(AND(E515=16, F515&lt;&gt;"ASTM A416"), L515, 0), 3)</f>
        <v/>
      </c>
      <c r="T515" s="20">
        <f>ROUND(T514 + IF(AND(E515=18, F515&lt;&gt;"ASTM A416"), L515, 0), 3)</f>
        <v/>
      </c>
      <c r="U515" s="20">
        <f>ROUND(U514 + IF(AND(E515=20, F515&lt;&gt;"ASTM A416"), L515, 0), 3)</f>
        <v/>
      </c>
      <c r="V515" s="20">
        <f>ROUND(V514 + IF(AND(E515=22, F515&lt;&gt;"ASTM A416"), L515, 0), 3)</f>
        <v/>
      </c>
      <c r="W515" s="20">
        <f>ROUND(W514 + IF(AND(E515=25, F515&lt;&gt;"ASTM A416"), L515, 0), 3)</f>
        <v/>
      </c>
      <c r="X515" s="20">
        <f>ROUND(X514 + IF(AND(E515=28, F515&lt;&gt;"ASTM A416"), L515, 0), 3)</f>
        <v/>
      </c>
      <c r="Y515" s="20">
        <f>ROUND(Y514 + IF(AND(E515=32, F515&lt;&gt;"ASTM A416"), L515, 0), 3)</f>
        <v/>
      </c>
      <c r="Z515" s="20">
        <f>ROUND(Z514 + IF(F515="ASTM A416", L515, 0), 3)</f>
        <v/>
      </c>
      <c r="AA515" s="11">
        <f>IF(INT(P515/20)&gt;INT(P514/20), "Lần " &amp; INT(P515/20), "")</f>
        <v/>
      </c>
      <c r="AB515" s="11">
        <f>IF(INT(Q515/20)&gt;INT(Q514/20), "Lần " &amp; INT(Q515/20), "")</f>
        <v/>
      </c>
      <c r="AC515" s="11">
        <f>IF(INT(R515/20)&gt;INT(R514/20), "Lần " &amp; INT(R515/20), "")</f>
        <v/>
      </c>
      <c r="AD515" s="11">
        <f>IF(INT(S515/20)&gt;INT(S514/20), "Lần " &amp; INT(S515/20), "")</f>
        <v/>
      </c>
      <c r="AE515" s="11">
        <f>IF(INT(T515/20)&gt;INT(T514/20), "Lần " &amp; INT(T515/20), "")</f>
        <v/>
      </c>
      <c r="AF515" s="11">
        <f>IF(INT(U515/20)&gt;INT(U514/20), "Lần " &amp; INT(U515/20), "")</f>
        <v/>
      </c>
      <c r="AG515" s="11">
        <f>IF(INT(V515/20)&gt;INT(V514/20), "Lần " &amp; INT(V515/20), "")</f>
        <v/>
      </c>
      <c r="AH515" s="11">
        <f>IF(INT(W515/20)&gt;INT(W514/20), "Lần " &amp; INT(W515/20), "")</f>
        <v/>
      </c>
      <c r="AI515" s="11">
        <f>IF(INT(X515/20)&gt;INT(X514/20), "Lần " &amp; INT(X515/20), "")</f>
        <v/>
      </c>
      <c r="AJ515" s="11">
        <f>IF(INT(Y515/20)&gt;INT(Y514/20), "Lần " &amp; INT(Y515/20), "")</f>
        <v/>
      </c>
      <c r="AK515" s="11">
        <f>IF(INT(Z515/20)&gt;INT(Z514/20), "Lần " &amp; INT(Z515/20), "")</f>
        <v/>
      </c>
      <c r="AL515" s="6" t="inlineStr">
        <is>
          <t>ĐẠT TCVN 1651:2018</t>
        </is>
      </c>
    </row>
    <row r="516" ht="19" customHeight="1">
      <c r="A516" s="6" t="n">
        <v>485</v>
      </c>
      <c r="B516" s="7" t="inlineStr">
        <is>
          <t>Mố M1</t>
        </is>
      </c>
      <c r="C516" s="7" t="inlineStr">
        <is>
          <t>Thân mố / Bệ mố</t>
        </is>
      </c>
      <c r="D516" s="18" t="inlineStr">
        <is>
          <t>G2</t>
        </is>
      </c>
      <c r="E516" s="19" t="n">
        <v>18</v>
      </c>
      <c r="F516" s="6" t="inlineStr">
        <is>
          <t>CB400-V</t>
        </is>
      </c>
      <c r="G516" s="7" t="inlineStr">
        <is>
          <t>S57</t>
        </is>
      </c>
      <c r="H516" s="20" t="n">
        <v>3.265</v>
      </c>
      <c r="I516" s="21" t="n">
        <v>40</v>
      </c>
      <c r="J516" s="22" t="n">
        <v>2</v>
      </c>
      <c r="K516" s="9">
        <f>ROUND(H516*I516*J516, 2)</f>
        <v/>
      </c>
      <c r="L516" s="23">
        <f>ROUND(K516/1000, 3)</f>
        <v/>
      </c>
      <c r="M516" s="8" t="n"/>
      <c r="N516" s="6" t="n"/>
      <c r="O516" s="24">
        <f>IF(AND(E516&lt;=10, F516&lt;&gt;"ASTM A416", INT(P516/20)&gt;INT(P515/20)), "TN Ø10 (Lần " &amp; INT(P516/20) &amp; ")", IF(AND(E516=12, INT(Q516/20)&gt;INT(Q515/20)), "TN Ø12 (Lần " &amp; INT(Q516/20) &amp; ")", IF(AND(E516=14, INT(R516/20)&gt;INT(R515/20)), "TN Ø14 (Lần " &amp; INT(R516/20) &amp; ")", IF(AND(E516=16, INT(S516/20)&gt;INT(S515/20)), "TN Ø16 (Lần " &amp; INT(S516/20) &amp; ")", IF(AND(E516=18, INT(T516/20)&gt;INT(T515/20)), "TN Ø18 (Lần " &amp; INT(T516/20) &amp; ")", IF(AND(E516=20, INT(U516/20)&gt;INT(U515/20)), "TN Ø20 (Lần " &amp; INT(U516/20) &amp; ")", IF(AND(E516=22, INT(V516/20)&gt;INT(V515/20)), "TN Ø22 (Lần " &amp; INT(V516/20) &amp; ")", IF(AND(E516=25, INT(W516/20)&gt;INT(W515/20)), "TN Ø25 (Lần " &amp; INT(W516/20) &amp; ")", IF(AND(E516=28, INT(X516/20)&gt;INT(X515/20)), "TN Ø28 (Lần " &amp; INT(X516/20) &amp; ")", IF(AND(E516=32, INT(Y516/20)&gt;INT(Y515/20)), "TN Ø32 (Lần " &amp; INT(Y516/20) &amp; ")", IF(AND(F516="ASTM A416", INT(Z516/20)&gt;INT(Z515/20)), "TN Cáp 15.2 (Lần " &amp; INT(Z516/20) &amp; ")", "")))))))))))</f>
        <v/>
      </c>
      <c r="P516" s="20">
        <f>ROUND(P515 + IF(AND(E516&lt;=10, F516&lt;&gt;"ASTM A416"), L516, 0), 3)</f>
        <v/>
      </c>
      <c r="Q516" s="20">
        <f>ROUND(Q515 + IF(AND(E516=12, F516&lt;&gt;"ASTM A416"), L516, 0), 3)</f>
        <v/>
      </c>
      <c r="R516" s="20">
        <f>ROUND(R515 + IF(AND(E516=14, F516&lt;&gt;"ASTM A416"), L516, 0), 3)</f>
        <v/>
      </c>
      <c r="S516" s="20">
        <f>ROUND(S515 + IF(AND(E516=16, F516&lt;&gt;"ASTM A416"), L516, 0), 3)</f>
        <v/>
      </c>
      <c r="T516" s="20">
        <f>ROUND(T515 + IF(AND(E516=18, F516&lt;&gt;"ASTM A416"), L516, 0), 3)</f>
        <v/>
      </c>
      <c r="U516" s="20">
        <f>ROUND(U515 + IF(AND(E516=20, F516&lt;&gt;"ASTM A416"), L516, 0), 3)</f>
        <v/>
      </c>
      <c r="V516" s="20">
        <f>ROUND(V515 + IF(AND(E516=22, F516&lt;&gt;"ASTM A416"), L516, 0), 3)</f>
        <v/>
      </c>
      <c r="W516" s="20">
        <f>ROUND(W515 + IF(AND(E516=25, F516&lt;&gt;"ASTM A416"), L516, 0), 3)</f>
        <v/>
      </c>
      <c r="X516" s="20">
        <f>ROUND(X515 + IF(AND(E516=28, F516&lt;&gt;"ASTM A416"), L516, 0), 3)</f>
        <v/>
      </c>
      <c r="Y516" s="20">
        <f>ROUND(Y515 + IF(AND(E516=32, F516&lt;&gt;"ASTM A416"), L516, 0), 3)</f>
        <v/>
      </c>
      <c r="Z516" s="20">
        <f>ROUND(Z515 + IF(F516="ASTM A416", L516, 0), 3)</f>
        <v/>
      </c>
      <c r="AA516" s="11">
        <f>IF(INT(P516/20)&gt;INT(P515/20), "Lần " &amp; INT(P516/20), "")</f>
        <v/>
      </c>
      <c r="AB516" s="11">
        <f>IF(INT(Q516/20)&gt;INT(Q515/20), "Lần " &amp; INT(Q516/20), "")</f>
        <v/>
      </c>
      <c r="AC516" s="11">
        <f>IF(INT(R516/20)&gt;INT(R515/20), "Lần " &amp; INT(R516/20), "")</f>
        <v/>
      </c>
      <c r="AD516" s="11">
        <f>IF(INT(S516/20)&gt;INT(S515/20), "Lần " &amp; INT(S516/20), "")</f>
        <v/>
      </c>
      <c r="AE516" s="11">
        <f>IF(INT(T516/20)&gt;INT(T515/20), "Lần " &amp; INT(T516/20), "")</f>
        <v/>
      </c>
      <c r="AF516" s="11">
        <f>IF(INT(U516/20)&gt;INT(U515/20), "Lần " &amp; INT(U516/20), "")</f>
        <v/>
      </c>
      <c r="AG516" s="11">
        <f>IF(INT(V516/20)&gt;INT(V515/20), "Lần " &amp; INT(V516/20), "")</f>
        <v/>
      </c>
      <c r="AH516" s="11">
        <f>IF(INT(W516/20)&gt;INT(W515/20), "Lần " &amp; INT(W516/20), "")</f>
        <v/>
      </c>
      <c r="AI516" s="11">
        <f>IF(INT(X516/20)&gt;INT(X515/20), "Lần " &amp; INT(X516/20), "")</f>
        <v/>
      </c>
      <c r="AJ516" s="11">
        <f>IF(INT(Y516/20)&gt;INT(Y515/20), "Lần " &amp; INT(Y516/20), "")</f>
        <v/>
      </c>
      <c r="AK516" s="11">
        <f>IF(INT(Z516/20)&gt;INT(Z515/20), "Lần " &amp; INT(Z516/20), "")</f>
        <v/>
      </c>
      <c r="AL516" s="6" t="inlineStr">
        <is>
          <t>ĐẠT TCVN 1651:2018</t>
        </is>
      </c>
    </row>
    <row r="517" ht="19" customHeight="1">
      <c r="A517" s="6" t="n">
        <v>486</v>
      </c>
      <c r="B517" s="7" t="inlineStr">
        <is>
          <t>Mố M1</t>
        </is>
      </c>
      <c r="C517" s="7" t="inlineStr">
        <is>
          <t>Thân mố / Bệ mố</t>
        </is>
      </c>
      <c r="D517" s="18" t="inlineStr">
        <is>
          <t>G3</t>
        </is>
      </c>
      <c r="E517" s="19" t="n">
        <v>14</v>
      </c>
      <c r="F517" s="6" t="inlineStr">
        <is>
          <t>CB400-V</t>
        </is>
      </c>
      <c r="G517" s="7" t="inlineStr">
        <is>
          <t>S29</t>
        </is>
      </c>
      <c r="H517" s="20" t="n">
        <v>2.344</v>
      </c>
      <c r="I517" s="21" t="n">
        <v>40</v>
      </c>
      <c r="J517" s="22" t="n">
        <v>1.21</v>
      </c>
      <c r="K517" s="9">
        <f>ROUND(H517*I517*J517, 2)</f>
        <v/>
      </c>
      <c r="L517" s="23">
        <f>ROUND(K517/1000, 3)</f>
        <v/>
      </c>
      <c r="M517" s="8" t="n"/>
      <c r="N517" s="6" t="n"/>
      <c r="O517" s="24">
        <f>IF(AND(E517&lt;=10, F517&lt;&gt;"ASTM A416", INT(P517/20)&gt;INT(P516/20)), "TN Ø10 (Lần " &amp; INT(P517/20) &amp; ")", IF(AND(E517=12, INT(Q517/20)&gt;INT(Q516/20)), "TN Ø12 (Lần " &amp; INT(Q517/20) &amp; ")", IF(AND(E517=14, INT(R517/20)&gt;INT(R516/20)), "TN Ø14 (Lần " &amp; INT(R517/20) &amp; ")", IF(AND(E517=16, INT(S517/20)&gt;INT(S516/20)), "TN Ø16 (Lần " &amp; INT(S517/20) &amp; ")", IF(AND(E517=18, INT(T517/20)&gt;INT(T516/20)), "TN Ø18 (Lần " &amp; INT(T517/20) &amp; ")", IF(AND(E517=20, INT(U517/20)&gt;INT(U516/20)), "TN Ø20 (Lần " &amp; INT(U517/20) &amp; ")", IF(AND(E517=22, INT(V517/20)&gt;INT(V516/20)), "TN Ø22 (Lần " &amp; INT(V517/20) &amp; ")", IF(AND(E517=25, INT(W517/20)&gt;INT(W516/20)), "TN Ø25 (Lần " &amp; INT(W517/20) &amp; ")", IF(AND(E517=28, INT(X517/20)&gt;INT(X516/20)), "TN Ø28 (Lần " &amp; INT(X517/20) &amp; ")", IF(AND(E517=32, INT(Y517/20)&gt;INT(Y516/20)), "TN Ø32 (Lần " &amp; INT(Y517/20) &amp; ")", IF(AND(F517="ASTM A416", INT(Z517/20)&gt;INT(Z516/20)), "TN Cáp 15.2 (Lần " &amp; INT(Z517/20) &amp; ")", "")))))))))))</f>
        <v/>
      </c>
      <c r="P517" s="20">
        <f>ROUND(P516 + IF(AND(E517&lt;=10, F517&lt;&gt;"ASTM A416"), L517, 0), 3)</f>
        <v/>
      </c>
      <c r="Q517" s="20">
        <f>ROUND(Q516 + IF(AND(E517=12, F517&lt;&gt;"ASTM A416"), L517, 0), 3)</f>
        <v/>
      </c>
      <c r="R517" s="20">
        <f>ROUND(R516 + IF(AND(E517=14, F517&lt;&gt;"ASTM A416"), L517, 0), 3)</f>
        <v/>
      </c>
      <c r="S517" s="20">
        <f>ROUND(S516 + IF(AND(E517=16, F517&lt;&gt;"ASTM A416"), L517, 0), 3)</f>
        <v/>
      </c>
      <c r="T517" s="20">
        <f>ROUND(T516 + IF(AND(E517=18, F517&lt;&gt;"ASTM A416"), L517, 0), 3)</f>
        <v/>
      </c>
      <c r="U517" s="20">
        <f>ROUND(U516 + IF(AND(E517=20, F517&lt;&gt;"ASTM A416"), L517, 0), 3)</f>
        <v/>
      </c>
      <c r="V517" s="20">
        <f>ROUND(V516 + IF(AND(E517=22, F517&lt;&gt;"ASTM A416"), L517, 0), 3)</f>
        <v/>
      </c>
      <c r="W517" s="20">
        <f>ROUND(W516 + IF(AND(E517=25, F517&lt;&gt;"ASTM A416"), L517, 0), 3)</f>
        <v/>
      </c>
      <c r="X517" s="20">
        <f>ROUND(X516 + IF(AND(E517=28, F517&lt;&gt;"ASTM A416"), L517, 0), 3)</f>
        <v/>
      </c>
      <c r="Y517" s="20">
        <f>ROUND(Y516 + IF(AND(E517=32, F517&lt;&gt;"ASTM A416"), L517, 0), 3)</f>
        <v/>
      </c>
      <c r="Z517" s="20">
        <f>ROUND(Z516 + IF(F517="ASTM A416", L517, 0), 3)</f>
        <v/>
      </c>
      <c r="AA517" s="11">
        <f>IF(INT(P517/20)&gt;INT(P516/20), "Lần " &amp; INT(P517/20), "")</f>
        <v/>
      </c>
      <c r="AB517" s="11">
        <f>IF(INT(Q517/20)&gt;INT(Q516/20), "Lần " &amp; INT(Q517/20), "")</f>
        <v/>
      </c>
      <c r="AC517" s="11">
        <f>IF(INT(R517/20)&gt;INT(R516/20), "Lần " &amp; INT(R517/20), "")</f>
        <v/>
      </c>
      <c r="AD517" s="11">
        <f>IF(INT(S517/20)&gt;INT(S516/20), "Lần " &amp; INT(S517/20), "")</f>
        <v/>
      </c>
      <c r="AE517" s="11">
        <f>IF(INT(T517/20)&gt;INT(T516/20), "Lần " &amp; INT(T517/20), "")</f>
        <v/>
      </c>
      <c r="AF517" s="11">
        <f>IF(INT(U517/20)&gt;INT(U516/20), "Lần " &amp; INT(U517/20), "")</f>
        <v/>
      </c>
      <c r="AG517" s="11">
        <f>IF(INT(V517/20)&gt;INT(V516/20), "Lần " &amp; INT(V517/20), "")</f>
        <v/>
      </c>
      <c r="AH517" s="11">
        <f>IF(INT(W517/20)&gt;INT(W516/20), "Lần " &amp; INT(W517/20), "")</f>
        <v/>
      </c>
      <c r="AI517" s="11">
        <f>IF(INT(X517/20)&gt;INT(X516/20), "Lần " &amp; INT(X517/20), "")</f>
        <v/>
      </c>
      <c r="AJ517" s="11">
        <f>IF(INT(Y517/20)&gt;INT(Y516/20), "Lần " &amp; INT(Y517/20), "")</f>
        <v/>
      </c>
      <c r="AK517" s="11">
        <f>IF(INT(Z517/20)&gt;INT(Z516/20), "Lần " &amp; INT(Z517/20), "")</f>
        <v/>
      </c>
      <c r="AL517" s="6" t="inlineStr">
        <is>
          <t>ĐẠT TCVN 1651:2018</t>
        </is>
      </c>
    </row>
    <row r="518" ht="19" customHeight="1">
      <c r="A518" s="6" t="n">
        <v>487</v>
      </c>
      <c r="B518" s="7" t="inlineStr">
        <is>
          <t>Mố M1</t>
        </is>
      </c>
      <c r="C518" s="7" t="inlineStr">
        <is>
          <t>Thân mố / Bệ mố</t>
        </is>
      </c>
      <c r="D518" s="18" t="inlineStr">
        <is>
          <t>G4A</t>
        </is>
      </c>
      <c r="E518" s="19" t="n">
        <v>12</v>
      </c>
      <c r="F518" s="6" t="inlineStr">
        <is>
          <t>CB400-V</t>
        </is>
      </c>
      <c r="G518" s="7" t="inlineStr">
        <is>
          <t>S06</t>
        </is>
      </c>
      <c r="H518" s="20" t="n">
        <v>0.342</v>
      </c>
      <c r="I518" s="21" t="n">
        <v>11</v>
      </c>
      <c r="J518" s="22" t="n">
        <v>0.888</v>
      </c>
      <c r="K518" s="9">
        <f>ROUND(H518*I518*J518, 2)</f>
        <v/>
      </c>
      <c r="L518" s="23">
        <f>ROUND(K518/1000, 3)</f>
        <v/>
      </c>
      <c r="M518" s="8" t="n"/>
      <c r="N518" s="6" t="n"/>
      <c r="O518" s="24">
        <f>IF(AND(E518&lt;=10, F518&lt;&gt;"ASTM A416", INT(P518/20)&gt;INT(P517/20)), "TN Ø10 (Lần " &amp; INT(P518/20) &amp; ")", IF(AND(E518=12, INT(Q518/20)&gt;INT(Q517/20)), "TN Ø12 (Lần " &amp; INT(Q518/20) &amp; ")", IF(AND(E518=14, INT(R518/20)&gt;INT(R517/20)), "TN Ø14 (Lần " &amp; INT(R518/20) &amp; ")", IF(AND(E518=16, INT(S518/20)&gt;INT(S517/20)), "TN Ø16 (Lần " &amp; INT(S518/20) &amp; ")", IF(AND(E518=18, INT(T518/20)&gt;INT(T517/20)), "TN Ø18 (Lần " &amp; INT(T518/20) &amp; ")", IF(AND(E518=20, INT(U518/20)&gt;INT(U517/20)), "TN Ø20 (Lần " &amp; INT(U518/20) &amp; ")", IF(AND(E518=22, INT(V518/20)&gt;INT(V517/20)), "TN Ø22 (Lần " &amp; INT(V518/20) &amp; ")", IF(AND(E518=25, INT(W518/20)&gt;INT(W517/20)), "TN Ø25 (Lần " &amp; INT(W518/20) &amp; ")", IF(AND(E518=28, INT(X518/20)&gt;INT(X517/20)), "TN Ø28 (Lần " &amp; INT(X518/20) &amp; ")", IF(AND(E518=32, INT(Y518/20)&gt;INT(Y517/20)), "TN Ø32 (Lần " &amp; INT(Y518/20) &amp; ")", IF(AND(F518="ASTM A416", INT(Z518/20)&gt;INT(Z517/20)), "TN Cáp 15.2 (Lần " &amp; INT(Z518/20) &amp; ")", "")))))))))))</f>
        <v/>
      </c>
      <c r="P518" s="20">
        <f>ROUND(P517 + IF(AND(E518&lt;=10, F518&lt;&gt;"ASTM A416"), L518, 0), 3)</f>
        <v/>
      </c>
      <c r="Q518" s="20">
        <f>ROUND(Q517 + IF(AND(E518=12, F518&lt;&gt;"ASTM A416"), L518, 0), 3)</f>
        <v/>
      </c>
      <c r="R518" s="20">
        <f>ROUND(R517 + IF(AND(E518=14, F518&lt;&gt;"ASTM A416"), L518, 0), 3)</f>
        <v/>
      </c>
      <c r="S518" s="20">
        <f>ROUND(S517 + IF(AND(E518=16, F518&lt;&gt;"ASTM A416"), L518, 0), 3)</f>
        <v/>
      </c>
      <c r="T518" s="20">
        <f>ROUND(T517 + IF(AND(E518=18, F518&lt;&gt;"ASTM A416"), L518, 0), 3)</f>
        <v/>
      </c>
      <c r="U518" s="20">
        <f>ROUND(U517 + IF(AND(E518=20, F518&lt;&gt;"ASTM A416"), L518, 0), 3)</f>
        <v/>
      </c>
      <c r="V518" s="20">
        <f>ROUND(V517 + IF(AND(E518=22, F518&lt;&gt;"ASTM A416"), L518, 0), 3)</f>
        <v/>
      </c>
      <c r="W518" s="20">
        <f>ROUND(W517 + IF(AND(E518=25, F518&lt;&gt;"ASTM A416"), L518, 0), 3)</f>
        <v/>
      </c>
      <c r="X518" s="20">
        <f>ROUND(X517 + IF(AND(E518=28, F518&lt;&gt;"ASTM A416"), L518, 0), 3)</f>
        <v/>
      </c>
      <c r="Y518" s="20">
        <f>ROUND(Y517 + IF(AND(E518=32, F518&lt;&gt;"ASTM A416"), L518, 0), 3)</f>
        <v/>
      </c>
      <c r="Z518" s="20">
        <f>ROUND(Z517 + IF(F518="ASTM A416", L518, 0), 3)</f>
        <v/>
      </c>
      <c r="AA518" s="11">
        <f>IF(INT(P518/20)&gt;INT(P517/20), "Lần " &amp; INT(P518/20), "")</f>
        <v/>
      </c>
      <c r="AB518" s="11">
        <f>IF(INT(Q518/20)&gt;INT(Q517/20), "Lần " &amp; INT(Q518/20), "")</f>
        <v/>
      </c>
      <c r="AC518" s="11">
        <f>IF(INT(R518/20)&gt;INT(R517/20), "Lần " &amp; INT(R518/20), "")</f>
        <v/>
      </c>
      <c r="AD518" s="11">
        <f>IF(INT(S518/20)&gt;INT(S517/20), "Lần " &amp; INT(S518/20), "")</f>
        <v/>
      </c>
      <c r="AE518" s="11">
        <f>IF(INT(T518/20)&gt;INT(T517/20), "Lần " &amp; INT(T518/20), "")</f>
        <v/>
      </c>
      <c r="AF518" s="11">
        <f>IF(INT(U518/20)&gt;INT(U517/20), "Lần " &amp; INT(U518/20), "")</f>
        <v/>
      </c>
      <c r="AG518" s="11">
        <f>IF(INT(V518/20)&gt;INT(V517/20), "Lần " &amp; INT(V518/20), "")</f>
        <v/>
      </c>
      <c r="AH518" s="11">
        <f>IF(INT(W518/20)&gt;INT(W517/20), "Lần " &amp; INT(W518/20), "")</f>
        <v/>
      </c>
      <c r="AI518" s="11">
        <f>IF(INT(X518/20)&gt;INT(X517/20), "Lần " &amp; INT(X518/20), "")</f>
        <v/>
      </c>
      <c r="AJ518" s="11">
        <f>IF(INT(Y518/20)&gt;INT(Y517/20), "Lần " &amp; INT(Y518/20), "")</f>
        <v/>
      </c>
      <c r="AK518" s="11">
        <f>IF(INT(Z518/20)&gt;INT(Z517/20), "Lần " &amp; INT(Z518/20), "")</f>
        <v/>
      </c>
      <c r="AL518" s="6" t="inlineStr">
        <is>
          <t>ĐẠT TCVN 1651:2018</t>
        </is>
      </c>
    </row>
    <row r="519" ht="19" customHeight="1">
      <c r="A519" s="6" t="n">
        <v>488</v>
      </c>
      <c r="B519" s="7" t="inlineStr">
        <is>
          <t>Mố M1</t>
        </is>
      </c>
      <c r="C519" s="7" t="inlineStr">
        <is>
          <t>Thân mố / Bệ mố</t>
        </is>
      </c>
      <c r="D519" s="18" t="inlineStr">
        <is>
          <t>G4B</t>
        </is>
      </c>
      <c r="E519" s="19" t="n">
        <v>12</v>
      </c>
      <c r="F519" s="6" t="inlineStr">
        <is>
          <t>CB400-V</t>
        </is>
      </c>
      <c r="G519" s="7" t="inlineStr">
        <is>
          <t>S06</t>
        </is>
      </c>
      <c r="H519" s="20" t="n">
        <v>0.388</v>
      </c>
      <c r="I519" s="21" t="n">
        <v>11</v>
      </c>
      <c r="J519" s="22" t="n">
        <v>0.888</v>
      </c>
      <c r="K519" s="9">
        <f>ROUND(H519*I519*J519, 2)</f>
        <v/>
      </c>
      <c r="L519" s="23">
        <f>ROUND(K519/1000, 3)</f>
        <v/>
      </c>
      <c r="M519" s="8" t="n"/>
      <c r="N519" s="6" t="n"/>
      <c r="O519" s="24">
        <f>IF(AND(E519&lt;=10, F519&lt;&gt;"ASTM A416", INT(P519/20)&gt;INT(P518/20)), "TN Ø10 (Lần " &amp; INT(P519/20) &amp; ")", IF(AND(E519=12, INT(Q519/20)&gt;INT(Q518/20)), "TN Ø12 (Lần " &amp; INT(Q519/20) &amp; ")", IF(AND(E519=14, INT(R519/20)&gt;INT(R518/20)), "TN Ø14 (Lần " &amp; INT(R519/20) &amp; ")", IF(AND(E519=16, INT(S519/20)&gt;INT(S518/20)), "TN Ø16 (Lần " &amp; INT(S519/20) &amp; ")", IF(AND(E519=18, INT(T519/20)&gt;INT(T518/20)), "TN Ø18 (Lần " &amp; INT(T519/20) &amp; ")", IF(AND(E519=20, INT(U519/20)&gt;INT(U518/20)), "TN Ø20 (Lần " &amp; INT(U519/20) &amp; ")", IF(AND(E519=22, INT(V519/20)&gt;INT(V518/20)), "TN Ø22 (Lần " &amp; INT(V519/20) &amp; ")", IF(AND(E519=25, INT(W519/20)&gt;INT(W518/20)), "TN Ø25 (Lần " &amp; INT(W519/20) &amp; ")", IF(AND(E519=28, INT(X519/20)&gt;INT(X518/20)), "TN Ø28 (Lần " &amp; INT(X519/20) &amp; ")", IF(AND(E519=32, INT(Y519/20)&gt;INT(Y518/20)), "TN Ø32 (Lần " &amp; INT(Y519/20) &amp; ")", IF(AND(F519="ASTM A416", INT(Z519/20)&gt;INT(Z518/20)), "TN Cáp 15.2 (Lần " &amp; INT(Z519/20) &amp; ")", "")))))))))))</f>
        <v/>
      </c>
      <c r="P519" s="20">
        <f>ROUND(P518 + IF(AND(E519&lt;=10, F519&lt;&gt;"ASTM A416"), L519, 0), 3)</f>
        <v/>
      </c>
      <c r="Q519" s="20">
        <f>ROUND(Q518 + IF(AND(E519=12, F519&lt;&gt;"ASTM A416"), L519, 0), 3)</f>
        <v/>
      </c>
      <c r="R519" s="20">
        <f>ROUND(R518 + IF(AND(E519=14, F519&lt;&gt;"ASTM A416"), L519, 0), 3)</f>
        <v/>
      </c>
      <c r="S519" s="20">
        <f>ROUND(S518 + IF(AND(E519=16, F519&lt;&gt;"ASTM A416"), L519, 0), 3)</f>
        <v/>
      </c>
      <c r="T519" s="20">
        <f>ROUND(T518 + IF(AND(E519=18, F519&lt;&gt;"ASTM A416"), L519, 0), 3)</f>
        <v/>
      </c>
      <c r="U519" s="20">
        <f>ROUND(U518 + IF(AND(E519=20, F519&lt;&gt;"ASTM A416"), L519, 0), 3)</f>
        <v/>
      </c>
      <c r="V519" s="20">
        <f>ROUND(V518 + IF(AND(E519=22, F519&lt;&gt;"ASTM A416"), L519, 0), 3)</f>
        <v/>
      </c>
      <c r="W519" s="20">
        <f>ROUND(W518 + IF(AND(E519=25, F519&lt;&gt;"ASTM A416"), L519, 0), 3)</f>
        <v/>
      </c>
      <c r="X519" s="20">
        <f>ROUND(X518 + IF(AND(E519=28, F519&lt;&gt;"ASTM A416"), L519, 0), 3)</f>
        <v/>
      </c>
      <c r="Y519" s="20">
        <f>ROUND(Y518 + IF(AND(E519=32, F519&lt;&gt;"ASTM A416"), L519, 0), 3)</f>
        <v/>
      </c>
      <c r="Z519" s="20">
        <f>ROUND(Z518 + IF(F519="ASTM A416", L519, 0), 3)</f>
        <v/>
      </c>
      <c r="AA519" s="11">
        <f>IF(INT(P519/20)&gt;INT(P518/20), "Lần " &amp; INT(P519/20), "")</f>
        <v/>
      </c>
      <c r="AB519" s="11">
        <f>IF(INT(Q519/20)&gt;INT(Q518/20), "Lần " &amp; INT(Q519/20), "")</f>
        <v/>
      </c>
      <c r="AC519" s="11">
        <f>IF(INT(R519/20)&gt;INT(R518/20), "Lần " &amp; INT(R519/20), "")</f>
        <v/>
      </c>
      <c r="AD519" s="11">
        <f>IF(INT(S519/20)&gt;INT(S518/20), "Lần " &amp; INT(S519/20), "")</f>
        <v/>
      </c>
      <c r="AE519" s="11">
        <f>IF(INT(T519/20)&gt;INT(T518/20), "Lần " &amp; INT(T519/20), "")</f>
        <v/>
      </c>
      <c r="AF519" s="11">
        <f>IF(INT(U519/20)&gt;INT(U518/20), "Lần " &amp; INT(U519/20), "")</f>
        <v/>
      </c>
      <c r="AG519" s="11">
        <f>IF(INT(V519/20)&gt;INT(V518/20), "Lần " &amp; INT(V519/20), "")</f>
        <v/>
      </c>
      <c r="AH519" s="11">
        <f>IF(INT(W519/20)&gt;INT(W518/20), "Lần " &amp; INT(W519/20), "")</f>
        <v/>
      </c>
      <c r="AI519" s="11">
        <f>IF(INT(X519/20)&gt;INT(X518/20), "Lần " &amp; INT(X519/20), "")</f>
        <v/>
      </c>
      <c r="AJ519" s="11">
        <f>IF(INT(Y519/20)&gt;INT(Y518/20), "Lần " &amp; INT(Y519/20), "")</f>
        <v/>
      </c>
      <c r="AK519" s="11">
        <f>IF(INT(Z519/20)&gt;INT(Z518/20), "Lần " &amp; INT(Z519/20), "")</f>
        <v/>
      </c>
      <c r="AL519" s="6" t="inlineStr">
        <is>
          <t>ĐẠT TCVN 1651:2018</t>
        </is>
      </c>
    </row>
    <row r="520" ht="19" customHeight="1">
      <c r="A520" s="6" t="n">
        <v>489</v>
      </c>
      <c r="B520" s="7" t="inlineStr">
        <is>
          <t>Mố M1</t>
        </is>
      </c>
      <c r="C520" s="7" t="inlineStr">
        <is>
          <t>Thân mố / Bệ mố</t>
        </is>
      </c>
      <c r="D520" s="18" t="inlineStr">
        <is>
          <t>G4C</t>
        </is>
      </c>
      <c r="E520" s="19" t="n">
        <v>12</v>
      </c>
      <c r="F520" s="6" t="inlineStr">
        <is>
          <t>CB400-V</t>
        </is>
      </c>
      <c r="G520" s="7" t="inlineStr">
        <is>
          <t>S06</t>
        </is>
      </c>
      <c r="H520" s="20" t="n">
        <v>0.634</v>
      </c>
      <c r="I520" s="21" t="n">
        <v>11</v>
      </c>
      <c r="J520" s="22" t="n">
        <v>0.888</v>
      </c>
      <c r="K520" s="9">
        <f>ROUND(H520*I520*J520, 2)</f>
        <v/>
      </c>
      <c r="L520" s="23">
        <f>ROUND(K520/1000, 3)</f>
        <v/>
      </c>
      <c r="M520" s="8" t="n"/>
      <c r="N520" s="6" t="n"/>
      <c r="O520" s="24">
        <f>IF(AND(E520&lt;=10, F520&lt;&gt;"ASTM A416", INT(P520/20)&gt;INT(P519/20)), "TN Ø10 (Lần " &amp; INT(P520/20) &amp; ")", IF(AND(E520=12, INT(Q520/20)&gt;INT(Q519/20)), "TN Ø12 (Lần " &amp; INT(Q520/20) &amp; ")", IF(AND(E520=14, INT(R520/20)&gt;INT(R519/20)), "TN Ø14 (Lần " &amp; INT(R520/20) &amp; ")", IF(AND(E520=16, INT(S520/20)&gt;INT(S519/20)), "TN Ø16 (Lần " &amp; INT(S520/20) &amp; ")", IF(AND(E520=18, INT(T520/20)&gt;INT(T519/20)), "TN Ø18 (Lần " &amp; INT(T520/20) &amp; ")", IF(AND(E520=20, INT(U520/20)&gt;INT(U519/20)), "TN Ø20 (Lần " &amp; INT(U520/20) &amp; ")", IF(AND(E520=22, INT(V520/20)&gt;INT(V519/20)), "TN Ø22 (Lần " &amp; INT(V520/20) &amp; ")", IF(AND(E520=25, INT(W520/20)&gt;INT(W519/20)), "TN Ø25 (Lần " &amp; INT(W520/20) &amp; ")", IF(AND(E520=28, INT(X520/20)&gt;INT(X519/20)), "TN Ø28 (Lần " &amp; INT(X520/20) &amp; ")", IF(AND(E520=32, INT(Y520/20)&gt;INT(Y519/20)), "TN Ø32 (Lần " &amp; INT(Y520/20) &amp; ")", IF(AND(F520="ASTM A416", INT(Z520/20)&gt;INT(Z519/20)), "TN Cáp 15.2 (Lần " &amp; INT(Z520/20) &amp; ")", "")))))))))))</f>
        <v/>
      </c>
      <c r="P520" s="20">
        <f>ROUND(P519 + IF(AND(E520&lt;=10, F520&lt;&gt;"ASTM A416"), L520, 0), 3)</f>
        <v/>
      </c>
      <c r="Q520" s="20">
        <f>ROUND(Q519 + IF(AND(E520=12, F520&lt;&gt;"ASTM A416"), L520, 0), 3)</f>
        <v/>
      </c>
      <c r="R520" s="20">
        <f>ROUND(R519 + IF(AND(E520=14, F520&lt;&gt;"ASTM A416"), L520, 0), 3)</f>
        <v/>
      </c>
      <c r="S520" s="20">
        <f>ROUND(S519 + IF(AND(E520=16, F520&lt;&gt;"ASTM A416"), L520, 0), 3)</f>
        <v/>
      </c>
      <c r="T520" s="20">
        <f>ROUND(T519 + IF(AND(E520=18, F520&lt;&gt;"ASTM A416"), L520, 0), 3)</f>
        <v/>
      </c>
      <c r="U520" s="20">
        <f>ROUND(U519 + IF(AND(E520=20, F520&lt;&gt;"ASTM A416"), L520, 0), 3)</f>
        <v/>
      </c>
      <c r="V520" s="20">
        <f>ROUND(V519 + IF(AND(E520=22, F520&lt;&gt;"ASTM A416"), L520, 0), 3)</f>
        <v/>
      </c>
      <c r="W520" s="20">
        <f>ROUND(W519 + IF(AND(E520=25, F520&lt;&gt;"ASTM A416"), L520, 0), 3)</f>
        <v/>
      </c>
      <c r="X520" s="20">
        <f>ROUND(X519 + IF(AND(E520=28, F520&lt;&gt;"ASTM A416"), L520, 0), 3)</f>
        <v/>
      </c>
      <c r="Y520" s="20">
        <f>ROUND(Y519 + IF(AND(E520=32, F520&lt;&gt;"ASTM A416"), L520, 0), 3)</f>
        <v/>
      </c>
      <c r="Z520" s="20">
        <f>ROUND(Z519 + IF(F520="ASTM A416", L520, 0), 3)</f>
        <v/>
      </c>
      <c r="AA520" s="11">
        <f>IF(INT(P520/20)&gt;INT(P519/20), "Lần " &amp; INT(P520/20), "")</f>
        <v/>
      </c>
      <c r="AB520" s="11">
        <f>IF(INT(Q520/20)&gt;INT(Q519/20), "Lần " &amp; INT(Q520/20), "")</f>
        <v/>
      </c>
      <c r="AC520" s="11">
        <f>IF(INT(R520/20)&gt;INT(R519/20), "Lần " &amp; INT(R520/20), "")</f>
        <v/>
      </c>
      <c r="AD520" s="11">
        <f>IF(INT(S520/20)&gt;INT(S519/20), "Lần " &amp; INT(S520/20), "")</f>
        <v/>
      </c>
      <c r="AE520" s="11">
        <f>IF(INT(T520/20)&gt;INT(T519/20), "Lần " &amp; INT(T520/20), "")</f>
        <v/>
      </c>
      <c r="AF520" s="11">
        <f>IF(INT(U520/20)&gt;INT(U519/20), "Lần " &amp; INT(U520/20), "")</f>
        <v/>
      </c>
      <c r="AG520" s="11">
        <f>IF(INT(V520/20)&gt;INT(V519/20), "Lần " &amp; INT(V520/20), "")</f>
        <v/>
      </c>
      <c r="AH520" s="11">
        <f>IF(INT(W520/20)&gt;INT(W519/20), "Lần " &amp; INT(W520/20), "")</f>
        <v/>
      </c>
      <c r="AI520" s="11">
        <f>IF(INT(X520/20)&gt;INT(X519/20), "Lần " &amp; INT(X520/20), "")</f>
        <v/>
      </c>
      <c r="AJ520" s="11">
        <f>IF(INT(Y520/20)&gt;INT(Y519/20), "Lần " &amp; INT(Y520/20), "")</f>
        <v/>
      </c>
      <c r="AK520" s="11">
        <f>IF(INT(Z520/20)&gt;INT(Z519/20), "Lần " &amp; INT(Z520/20), "")</f>
        <v/>
      </c>
      <c r="AL520" s="6" t="inlineStr">
        <is>
          <t>ĐẠT TCVN 1651:2018</t>
        </is>
      </c>
    </row>
    <row r="521" ht="19" customHeight="1">
      <c r="A521" s="6" t="n">
        <v>490</v>
      </c>
      <c r="B521" s="7" t="inlineStr">
        <is>
          <t>Mố M1</t>
        </is>
      </c>
      <c r="C521" s="7" t="inlineStr">
        <is>
          <t>Thân mố / Bệ mố</t>
        </is>
      </c>
      <c r="D521" s="18" t="inlineStr">
        <is>
          <t>G5</t>
        </is>
      </c>
      <c r="E521" s="19" t="n">
        <v>14</v>
      </c>
      <c r="F521" s="6" t="inlineStr">
        <is>
          <t>CB400-V</t>
        </is>
      </c>
      <c r="G521" s="7" t="inlineStr">
        <is>
          <t>S01</t>
        </is>
      </c>
      <c r="H521" s="20" t="n">
        <v>5.9</v>
      </c>
      <c r="I521" s="21" t="n">
        <v>18</v>
      </c>
      <c r="J521" s="22" t="n">
        <v>1.21</v>
      </c>
      <c r="K521" s="9">
        <f>ROUND(H521*I521*J521, 2)</f>
        <v/>
      </c>
      <c r="L521" s="23">
        <f>ROUND(K521/1000, 3)</f>
        <v/>
      </c>
      <c r="M521" s="8" t="n"/>
      <c r="N521" s="6" t="n"/>
      <c r="O521" s="24">
        <f>IF(AND(E521&lt;=10, F521&lt;&gt;"ASTM A416", INT(P521/20)&gt;INT(P520/20)), "TN Ø10 (Lần " &amp; INT(P521/20) &amp; ")", IF(AND(E521=12, INT(Q521/20)&gt;INT(Q520/20)), "TN Ø12 (Lần " &amp; INT(Q521/20) &amp; ")", IF(AND(E521=14, INT(R521/20)&gt;INT(R520/20)), "TN Ø14 (Lần " &amp; INT(R521/20) &amp; ")", IF(AND(E521=16, INT(S521/20)&gt;INT(S520/20)), "TN Ø16 (Lần " &amp; INT(S521/20) &amp; ")", IF(AND(E521=18, INT(T521/20)&gt;INT(T520/20)), "TN Ø18 (Lần " &amp; INT(T521/20) &amp; ")", IF(AND(E521=20, INT(U521/20)&gt;INT(U520/20)), "TN Ø20 (Lần " &amp; INT(U521/20) &amp; ")", IF(AND(E521=22, INT(V521/20)&gt;INT(V520/20)), "TN Ø22 (Lần " &amp; INT(V521/20) &amp; ")", IF(AND(E521=25, INT(W521/20)&gt;INT(W520/20)), "TN Ø25 (Lần " &amp; INT(W521/20) &amp; ")", IF(AND(E521=28, INT(X521/20)&gt;INT(X520/20)), "TN Ø28 (Lần " &amp; INT(X521/20) &amp; ")", IF(AND(E521=32, INT(Y521/20)&gt;INT(Y520/20)), "TN Ø32 (Lần " &amp; INT(Y521/20) &amp; ")", IF(AND(F521="ASTM A416", INT(Z521/20)&gt;INT(Z520/20)), "TN Cáp 15.2 (Lần " &amp; INT(Z521/20) &amp; ")", "")))))))))))</f>
        <v/>
      </c>
      <c r="P521" s="20">
        <f>ROUND(P520 + IF(AND(E521&lt;=10, F521&lt;&gt;"ASTM A416"), L521, 0), 3)</f>
        <v/>
      </c>
      <c r="Q521" s="20">
        <f>ROUND(Q520 + IF(AND(E521=12, F521&lt;&gt;"ASTM A416"), L521, 0), 3)</f>
        <v/>
      </c>
      <c r="R521" s="20">
        <f>ROUND(R520 + IF(AND(E521=14, F521&lt;&gt;"ASTM A416"), L521, 0), 3)</f>
        <v/>
      </c>
      <c r="S521" s="20">
        <f>ROUND(S520 + IF(AND(E521=16, F521&lt;&gt;"ASTM A416"), L521, 0), 3)</f>
        <v/>
      </c>
      <c r="T521" s="20">
        <f>ROUND(T520 + IF(AND(E521=18, F521&lt;&gt;"ASTM A416"), L521, 0), 3)</f>
        <v/>
      </c>
      <c r="U521" s="20">
        <f>ROUND(U520 + IF(AND(E521=20, F521&lt;&gt;"ASTM A416"), L521, 0), 3)</f>
        <v/>
      </c>
      <c r="V521" s="20">
        <f>ROUND(V520 + IF(AND(E521=22, F521&lt;&gt;"ASTM A416"), L521, 0), 3)</f>
        <v/>
      </c>
      <c r="W521" s="20">
        <f>ROUND(W520 + IF(AND(E521=25, F521&lt;&gt;"ASTM A416"), L521, 0), 3)</f>
        <v/>
      </c>
      <c r="X521" s="20">
        <f>ROUND(X520 + IF(AND(E521=28, F521&lt;&gt;"ASTM A416"), L521, 0), 3)</f>
        <v/>
      </c>
      <c r="Y521" s="20">
        <f>ROUND(Y520 + IF(AND(E521=32, F521&lt;&gt;"ASTM A416"), L521, 0), 3)</f>
        <v/>
      </c>
      <c r="Z521" s="20">
        <f>ROUND(Z520 + IF(F521="ASTM A416", L521, 0), 3)</f>
        <v/>
      </c>
      <c r="AA521" s="11">
        <f>IF(INT(P521/20)&gt;INT(P520/20), "Lần " &amp; INT(P521/20), "")</f>
        <v/>
      </c>
      <c r="AB521" s="11">
        <f>IF(INT(Q521/20)&gt;INT(Q520/20), "Lần " &amp; INT(Q521/20), "")</f>
        <v/>
      </c>
      <c r="AC521" s="11">
        <f>IF(INT(R521/20)&gt;INT(R520/20), "Lần " &amp; INT(R521/20), "")</f>
        <v/>
      </c>
      <c r="AD521" s="11">
        <f>IF(INT(S521/20)&gt;INT(S520/20), "Lần " &amp; INT(S521/20), "")</f>
        <v/>
      </c>
      <c r="AE521" s="11">
        <f>IF(INT(T521/20)&gt;INT(T520/20), "Lần " &amp; INT(T521/20), "")</f>
        <v/>
      </c>
      <c r="AF521" s="11">
        <f>IF(INT(U521/20)&gt;INT(U520/20), "Lần " &amp; INT(U521/20), "")</f>
        <v/>
      </c>
      <c r="AG521" s="11">
        <f>IF(INT(V521/20)&gt;INT(V520/20), "Lần " &amp; INT(V521/20), "")</f>
        <v/>
      </c>
      <c r="AH521" s="11">
        <f>IF(INT(W521/20)&gt;INT(W520/20), "Lần " &amp; INT(W521/20), "")</f>
        <v/>
      </c>
      <c r="AI521" s="11">
        <f>IF(INT(X521/20)&gt;INT(X520/20), "Lần " &amp; INT(X521/20), "")</f>
        <v/>
      </c>
      <c r="AJ521" s="11">
        <f>IF(INT(Y521/20)&gt;INT(Y520/20), "Lần " &amp; INT(Y521/20), "")</f>
        <v/>
      </c>
      <c r="AK521" s="11">
        <f>IF(INT(Z521/20)&gt;INT(Z520/20), "Lần " &amp; INT(Z521/20), "")</f>
        <v/>
      </c>
      <c r="AL521" s="6" t="inlineStr">
        <is>
          <t>ĐẠT TCVN 1651:2018</t>
        </is>
      </c>
    </row>
    <row r="522" ht="19" customHeight="1">
      <c r="A522" s="6" t="n">
        <v>491</v>
      </c>
      <c r="B522" s="7" t="inlineStr">
        <is>
          <t>Mố M1</t>
        </is>
      </c>
      <c r="C522" s="7" t="inlineStr">
        <is>
          <t>Thân mố / Bệ mố</t>
        </is>
      </c>
      <c r="D522" s="18" t="inlineStr">
        <is>
          <t>G6</t>
        </is>
      </c>
      <c r="E522" s="19" t="n">
        <v>20</v>
      </c>
      <c r="F522" s="6" t="inlineStr">
        <is>
          <t>CB400-V</t>
        </is>
      </c>
      <c r="G522" s="7" t="inlineStr">
        <is>
          <t>S57</t>
        </is>
      </c>
      <c r="H522" s="20" t="n">
        <v>3.045</v>
      </c>
      <c r="I522" s="21" t="n">
        <v>40</v>
      </c>
      <c r="J522" s="22" t="n">
        <v>2.47</v>
      </c>
      <c r="K522" s="9">
        <f>ROUND(H522*I522*J522, 2)</f>
        <v/>
      </c>
      <c r="L522" s="23">
        <f>ROUND(K522/1000, 3)</f>
        <v/>
      </c>
      <c r="M522" s="8" t="n"/>
      <c r="N522" s="6" t="n"/>
      <c r="O522" s="24">
        <f>IF(AND(E522&lt;=10, F522&lt;&gt;"ASTM A416", INT(P522/20)&gt;INT(P521/20)), "TN Ø10 (Lần " &amp; INT(P522/20) &amp; ")", IF(AND(E522=12, INT(Q522/20)&gt;INT(Q521/20)), "TN Ø12 (Lần " &amp; INT(Q522/20) &amp; ")", IF(AND(E522=14, INT(R522/20)&gt;INT(R521/20)), "TN Ø14 (Lần " &amp; INT(R522/20) &amp; ")", IF(AND(E522=16, INT(S522/20)&gt;INT(S521/20)), "TN Ø16 (Lần " &amp; INT(S522/20) &amp; ")", IF(AND(E522=18, INT(T522/20)&gt;INT(T521/20)), "TN Ø18 (Lần " &amp; INT(T522/20) &amp; ")", IF(AND(E522=20, INT(U522/20)&gt;INT(U521/20)), "TN Ø20 (Lần " &amp; INT(U522/20) &amp; ")", IF(AND(E522=22, INT(V522/20)&gt;INT(V521/20)), "TN Ø22 (Lần " &amp; INT(V522/20) &amp; ")", IF(AND(E522=25, INT(W522/20)&gt;INT(W521/20)), "TN Ø25 (Lần " &amp; INT(W522/20) &amp; ")", IF(AND(E522=28, INT(X522/20)&gt;INT(X521/20)), "TN Ø28 (Lần " &amp; INT(X522/20) &amp; ")", IF(AND(E522=32, INT(Y522/20)&gt;INT(Y521/20)), "TN Ø32 (Lần " &amp; INT(Y522/20) &amp; ")", IF(AND(F522="ASTM A416", INT(Z522/20)&gt;INT(Z521/20)), "TN Cáp 15.2 (Lần " &amp; INT(Z522/20) &amp; ")", "")))))))))))</f>
        <v/>
      </c>
      <c r="P522" s="20">
        <f>ROUND(P521 + IF(AND(E522&lt;=10, F522&lt;&gt;"ASTM A416"), L522, 0), 3)</f>
        <v/>
      </c>
      <c r="Q522" s="20">
        <f>ROUND(Q521 + IF(AND(E522=12, F522&lt;&gt;"ASTM A416"), L522, 0), 3)</f>
        <v/>
      </c>
      <c r="R522" s="20">
        <f>ROUND(R521 + IF(AND(E522=14, F522&lt;&gt;"ASTM A416"), L522, 0), 3)</f>
        <v/>
      </c>
      <c r="S522" s="20">
        <f>ROUND(S521 + IF(AND(E522=16, F522&lt;&gt;"ASTM A416"), L522, 0), 3)</f>
        <v/>
      </c>
      <c r="T522" s="20">
        <f>ROUND(T521 + IF(AND(E522=18, F522&lt;&gt;"ASTM A416"), L522, 0), 3)</f>
        <v/>
      </c>
      <c r="U522" s="20">
        <f>ROUND(U521 + IF(AND(E522=20, F522&lt;&gt;"ASTM A416"), L522, 0), 3)</f>
        <v/>
      </c>
      <c r="V522" s="20">
        <f>ROUND(V521 + IF(AND(E522=22, F522&lt;&gt;"ASTM A416"), L522, 0), 3)</f>
        <v/>
      </c>
      <c r="W522" s="20">
        <f>ROUND(W521 + IF(AND(E522=25, F522&lt;&gt;"ASTM A416"), L522, 0), 3)</f>
        <v/>
      </c>
      <c r="X522" s="20">
        <f>ROUND(X521 + IF(AND(E522=28, F522&lt;&gt;"ASTM A416"), L522, 0), 3)</f>
        <v/>
      </c>
      <c r="Y522" s="20">
        <f>ROUND(Y521 + IF(AND(E522=32, F522&lt;&gt;"ASTM A416"), L522, 0), 3)</f>
        <v/>
      </c>
      <c r="Z522" s="20">
        <f>ROUND(Z521 + IF(F522="ASTM A416", L522, 0), 3)</f>
        <v/>
      </c>
      <c r="AA522" s="11">
        <f>IF(INT(P522/20)&gt;INT(P521/20), "Lần " &amp; INT(P522/20), "")</f>
        <v/>
      </c>
      <c r="AB522" s="11">
        <f>IF(INT(Q522/20)&gt;INT(Q521/20), "Lần " &amp; INT(Q522/20), "")</f>
        <v/>
      </c>
      <c r="AC522" s="11">
        <f>IF(INT(R522/20)&gt;INT(R521/20), "Lần " &amp; INT(R522/20), "")</f>
        <v/>
      </c>
      <c r="AD522" s="11">
        <f>IF(INT(S522/20)&gt;INT(S521/20), "Lần " &amp; INT(S522/20), "")</f>
        <v/>
      </c>
      <c r="AE522" s="11">
        <f>IF(INT(T522/20)&gt;INT(T521/20), "Lần " &amp; INT(T522/20), "")</f>
        <v/>
      </c>
      <c r="AF522" s="11">
        <f>IF(INT(U522/20)&gt;INT(U521/20), "Lần " &amp; INT(U522/20), "")</f>
        <v/>
      </c>
      <c r="AG522" s="11">
        <f>IF(INT(V522/20)&gt;INT(V521/20), "Lần " &amp; INT(V522/20), "")</f>
        <v/>
      </c>
      <c r="AH522" s="11">
        <f>IF(INT(W522/20)&gt;INT(W521/20), "Lần " &amp; INT(W522/20), "")</f>
        <v/>
      </c>
      <c r="AI522" s="11">
        <f>IF(INT(X522/20)&gt;INT(X521/20), "Lần " &amp; INT(X522/20), "")</f>
        <v/>
      </c>
      <c r="AJ522" s="11">
        <f>IF(INT(Y522/20)&gt;INT(Y521/20), "Lần " &amp; INT(Y522/20), "")</f>
        <v/>
      </c>
      <c r="AK522" s="11">
        <f>IF(INT(Z522/20)&gt;INT(Z521/20), "Lần " &amp; INT(Z522/20), "")</f>
        <v/>
      </c>
      <c r="AL522" s="6" t="inlineStr">
        <is>
          <t>ĐẠT TCVN 1651:2018</t>
        </is>
      </c>
    </row>
    <row r="523" ht="19" customHeight="1">
      <c r="A523" s="6" t="n">
        <v>492</v>
      </c>
      <c r="B523" s="7" t="inlineStr">
        <is>
          <t>Mố M1</t>
        </is>
      </c>
      <c r="C523" s="7" t="inlineStr">
        <is>
          <t>Thân mố / Bệ mố</t>
        </is>
      </c>
      <c r="D523" s="18" t="inlineStr">
        <is>
          <t>G7</t>
        </is>
      </c>
      <c r="E523" s="19" t="n">
        <v>14</v>
      </c>
      <c r="F523" s="6" t="inlineStr">
        <is>
          <t>CB400-V</t>
        </is>
      </c>
      <c r="G523" s="7" t="inlineStr">
        <is>
          <t>S29</t>
        </is>
      </c>
      <c r="H523" s="20" t="n">
        <v>1.536</v>
      </c>
      <c r="I523" s="21" t="n">
        <v>40</v>
      </c>
      <c r="J523" s="22" t="n">
        <v>1.21</v>
      </c>
      <c r="K523" s="9">
        <f>ROUND(H523*I523*J523, 2)</f>
        <v/>
      </c>
      <c r="L523" s="23">
        <f>ROUND(K523/1000, 3)</f>
        <v/>
      </c>
      <c r="M523" s="8" t="n"/>
      <c r="N523" s="6" t="n"/>
      <c r="O523" s="24">
        <f>IF(AND(E523&lt;=10, F523&lt;&gt;"ASTM A416", INT(P523/20)&gt;INT(P522/20)), "TN Ø10 (Lần " &amp; INT(P523/20) &amp; ")", IF(AND(E523=12, INT(Q523/20)&gt;INT(Q522/20)), "TN Ø12 (Lần " &amp; INT(Q523/20) &amp; ")", IF(AND(E523=14, INT(R523/20)&gt;INT(R522/20)), "TN Ø14 (Lần " &amp; INT(R523/20) &amp; ")", IF(AND(E523=16, INT(S523/20)&gt;INT(S522/20)), "TN Ø16 (Lần " &amp; INT(S523/20) &amp; ")", IF(AND(E523=18, INT(T523/20)&gt;INT(T522/20)), "TN Ø18 (Lần " &amp; INT(T523/20) &amp; ")", IF(AND(E523=20, INT(U523/20)&gt;INT(U522/20)), "TN Ø20 (Lần " &amp; INT(U523/20) &amp; ")", IF(AND(E523=22, INT(V523/20)&gt;INT(V522/20)), "TN Ø22 (Lần " &amp; INT(V523/20) &amp; ")", IF(AND(E523=25, INT(W523/20)&gt;INT(W522/20)), "TN Ø25 (Lần " &amp; INT(W523/20) &amp; ")", IF(AND(E523=28, INT(X523/20)&gt;INT(X522/20)), "TN Ø28 (Lần " &amp; INT(X523/20) &amp; ")", IF(AND(E523=32, INT(Y523/20)&gt;INT(Y522/20)), "TN Ø32 (Lần " &amp; INT(Y523/20) &amp; ")", IF(AND(F523="ASTM A416", INT(Z523/20)&gt;INT(Z522/20)), "TN Cáp 15.2 (Lần " &amp; INT(Z523/20) &amp; ")", "")))))))))))</f>
        <v/>
      </c>
      <c r="P523" s="20">
        <f>ROUND(P522 + IF(AND(E523&lt;=10, F523&lt;&gt;"ASTM A416"), L523, 0), 3)</f>
        <v/>
      </c>
      <c r="Q523" s="20">
        <f>ROUND(Q522 + IF(AND(E523=12, F523&lt;&gt;"ASTM A416"), L523, 0), 3)</f>
        <v/>
      </c>
      <c r="R523" s="20">
        <f>ROUND(R522 + IF(AND(E523=14, F523&lt;&gt;"ASTM A416"), L523, 0), 3)</f>
        <v/>
      </c>
      <c r="S523" s="20">
        <f>ROUND(S522 + IF(AND(E523=16, F523&lt;&gt;"ASTM A416"), L523, 0), 3)</f>
        <v/>
      </c>
      <c r="T523" s="20">
        <f>ROUND(T522 + IF(AND(E523=18, F523&lt;&gt;"ASTM A416"), L523, 0), 3)</f>
        <v/>
      </c>
      <c r="U523" s="20">
        <f>ROUND(U522 + IF(AND(E523=20, F523&lt;&gt;"ASTM A416"), L523, 0), 3)</f>
        <v/>
      </c>
      <c r="V523" s="20">
        <f>ROUND(V522 + IF(AND(E523=22, F523&lt;&gt;"ASTM A416"), L523, 0), 3)</f>
        <v/>
      </c>
      <c r="W523" s="20">
        <f>ROUND(W522 + IF(AND(E523=25, F523&lt;&gt;"ASTM A416"), L523, 0), 3)</f>
        <v/>
      </c>
      <c r="X523" s="20">
        <f>ROUND(X522 + IF(AND(E523=28, F523&lt;&gt;"ASTM A416"), L523, 0), 3)</f>
        <v/>
      </c>
      <c r="Y523" s="20">
        <f>ROUND(Y522 + IF(AND(E523=32, F523&lt;&gt;"ASTM A416"), L523, 0), 3)</f>
        <v/>
      </c>
      <c r="Z523" s="20">
        <f>ROUND(Z522 + IF(F523="ASTM A416", L523, 0), 3)</f>
        <v/>
      </c>
      <c r="AA523" s="11">
        <f>IF(INT(P523/20)&gt;INT(P522/20), "Lần " &amp; INT(P523/20), "")</f>
        <v/>
      </c>
      <c r="AB523" s="11">
        <f>IF(INT(Q523/20)&gt;INT(Q522/20), "Lần " &amp; INT(Q523/20), "")</f>
        <v/>
      </c>
      <c r="AC523" s="11">
        <f>IF(INT(R523/20)&gt;INT(R522/20), "Lần " &amp; INT(R523/20), "")</f>
        <v/>
      </c>
      <c r="AD523" s="11">
        <f>IF(INT(S523/20)&gt;INT(S522/20), "Lần " &amp; INT(S523/20), "")</f>
        <v/>
      </c>
      <c r="AE523" s="11">
        <f>IF(INT(T523/20)&gt;INT(T522/20), "Lần " &amp; INT(T523/20), "")</f>
        <v/>
      </c>
      <c r="AF523" s="11">
        <f>IF(INT(U523/20)&gt;INT(U522/20), "Lần " &amp; INT(U523/20), "")</f>
        <v/>
      </c>
      <c r="AG523" s="11">
        <f>IF(INT(V523/20)&gt;INT(V522/20), "Lần " &amp; INT(V523/20), "")</f>
        <v/>
      </c>
      <c r="AH523" s="11">
        <f>IF(INT(W523/20)&gt;INT(W522/20), "Lần " &amp; INT(W523/20), "")</f>
        <v/>
      </c>
      <c r="AI523" s="11">
        <f>IF(INT(X523/20)&gt;INT(X522/20), "Lần " &amp; INT(X523/20), "")</f>
        <v/>
      </c>
      <c r="AJ523" s="11">
        <f>IF(INT(Y523/20)&gt;INT(Y522/20), "Lần " &amp; INT(Y523/20), "")</f>
        <v/>
      </c>
      <c r="AK523" s="11">
        <f>IF(INT(Z523/20)&gt;INT(Z522/20), "Lần " &amp; INT(Z523/20), "")</f>
        <v/>
      </c>
      <c r="AL523" s="6" t="inlineStr">
        <is>
          <t>ĐẠT TCVN 1651:2018</t>
        </is>
      </c>
    </row>
    <row r="524" ht="19" customHeight="1">
      <c r="A524" s="6" t="n">
        <v>493</v>
      </c>
      <c r="B524" s="7" t="inlineStr">
        <is>
          <t>Mố M1</t>
        </is>
      </c>
      <c r="C524" s="7" t="inlineStr">
        <is>
          <t>Thân mố / Bệ mố</t>
        </is>
      </c>
      <c r="D524" s="18" t="inlineStr">
        <is>
          <t>G7A</t>
        </is>
      </c>
      <c r="E524" s="19" t="n">
        <v>20</v>
      </c>
      <c r="F524" s="6" t="inlineStr">
        <is>
          <t>CB400-V</t>
        </is>
      </c>
      <c r="G524" s="7" t="inlineStr">
        <is>
          <t>S05</t>
        </is>
      </c>
      <c r="H524" s="20" t="n">
        <v>1.182</v>
      </c>
      <c r="I524" s="21" t="n">
        <v>40</v>
      </c>
      <c r="J524" s="22" t="n">
        <v>2.47</v>
      </c>
      <c r="K524" s="9">
        <f>ROUND(H524*I524*J524, 2)</f>
        <v/>
      </c>
      <c r="L524" s="23">
        <f>ROUND(K524/1000, 3)</f>
        <v/>
      </c>
      <c r="M524" s="8" t="n"/>
      <c r="N524" s="6" t="n"/>
      <c r="O524" s="24">
        <f>IF(AND(E524&lt;=10, F524&lt;&gt;"ASTM A416", INT(P524/20)&gt;INT(P523/20)), "TN Ø10 (Lần " &amp; INT(P524/20) &amp; ")", IF(AND(E524=12, INT(Q524/20)&gt;INT(Q523/20)), "TN Ø12 (Lần " &amp; INT(Q524/20) &amp; ")", IF(AND(E524=14, INT(R524/20)&gt;INT(R523/20)), "TN Ø14 (Lần " &amp; INT(R524/20) &amp; ")", IF(AND(E524=16, INT(S524/20)&gt;INT(S523/20)), "TN Ø16 (Lần " &amp; INT(S524/20) &amp; ")", IF(AND(E524=18, INT(T524/20)&gt;INT(T523/20)), "TN Ø18 (Lần " &amp; INT(T524/20) &amp; ")", IF(AND(E524=20, INT(U524/20)&gt;INT(U523/20)), "TN Ø20 (Lần " &amp; INT(U524/20) &amp; ")", IF(AND(E524=22, INT(V524/20)&gt;INT(V523/20)), "TN Ø22 (Lần " &amp; INT(V524/20) &amp; ")", IF(AND(E524=25, INT(W524/20)&gt;INT(W523/20)), "TN Ø25 (Lần " &amp; INT(W524/20) &amp; ")", IF(AND(E524=28, INT(X524/20)&gt;INT(X523/20)), "TN Ø28 (Lần " &amp; INT(X524/20) &amp; ")", IF(AND(E524=32, INT(Y524/20)&gt;INT(Y523/20)), "TN Ø32 (Lần " &amp; INT(Y524/20) &amp; ")", IF(AND(F524="ASTM A416", INT(Z524/20)&gt;INT(Z523/20)), "TN Cáp 15.2 (Lần " &amp; INT(Z524/20) &amp; ")", "")))))))))))</f>
        <v/>
      </c>
      <c r="P524" s="20">
        <f>ROUND(P523 + IF(AND(E524&lt;=10, F524&lt;&gt;"ASTM A416"), L524, 0), 3)</f>
        <v/>
      </c>
      <c r="Q524" s="20">
        <f>ROUND(Q523 + IF(AND(E524=12, F524&lt;&gt;"ASTM A416"), L524, 0), 3)</f>
        <v/>
      </c>
      <c r="R524" s="20">
        <f>ROUND(R523 + IF(AND(E524=14, F524&lt;&gt;"ASTM A416"), L524, 0), 3)</f>
        <v/>
      </c>
      <c r="S524" s="20">
        <f>ROUND(S523 + IF(AND(E524=16, F524&lt;&gt;"ASTM A416"), L524, 0), 3)</f>
        <v/>
      </c>
      <c r="T524" s="20">
        <f>ROUND(T523 + IF(AND(E524=18, F524&lt;&gt;"ASTM A416"), L524, 0), 3)</f>
        <v/>
      </c>
      <c r="U524" s="20">
        <f>ROUND(U523 + IF(AND(E524=20, F524&lt;&gt;"ASTM A416"), L524, 0), 3)</f>
        <v/>
      </c>
      <c r="V524" s="20">
        <f>ROUND(V523 + IF(AND(E524=22, F524&lt;&gt;"ASTM A416"), L524, 0), 3)</f>
        <v/>
      </c>
      <c r="W524" s="20">
        <f>ROUND(W523 + IF(AND(E524=25, F524&lt;&gt;"ASTM A416"), L524, 0), 3)</f>
        <v/>
      </c>
      <c r="X524" s="20">
        <f>ROUND(X523 + IF(AND(E524=28, F524&lt;&gt;"ASTM A416"), L524, 0), 3)</f>
        <v/>
      </c>
      <c r="Y524" s="20">
        <f>ROUND(Y523 + IF(AND(E524=32, F524&lt;&gt;"ASTM A416"), L524, 0), 3)</f>
        <v/>
      </c>
      <c r="Z524" s="20">
        <f>ROUND(Z523 + IF(F524="ASTM A416", L524, 0), 3)</f>
        <v/>
      </c>
      <c r="AA524" s="11">
        <f>IF(INT(P524/20)&gt;INT(P523/20), "Lần " &amp; INT(P524/20), "")</f>
        <v/>
      </c>
      <c r="AB524" s="11">
        <f>IF(INT(Q524/20)&gt;INT(Q523/20), "Lần " &amp; INT(Q524/20), "")</f>
        <v/>
      </c>
      <c r="AC524" s="11">
        <f>IF(INT(R524/20)&gt;INT(R523/20), "Lần " &amp; INT(R524/20), "")</f>
        <v/>
      </c>
      <c r="AD524" s="11">
        <f>IF(INT(S524/20)&gt;INT(S523/20), "Lần " &amp; INT(S524/20), "")</f>
        <v/>
      </c>
      <c r="AE524" s="11">
        <f>IF(INT(T524/20)&gt;INT(T523/20), "Lần " &amp; INT(T524/20), "")</f>
        <v/>
      </c>
      <c r="AF524" s="11">
        <f>IF(INT(U524/20)&gt;INT(U523/20), "Lần " &amp; INT(U524/20), "")</f>
        <v/>
      </c>
      <c r="AG524" s="11">
        <f>IF(INT(V524/20)&gt;INT(V523/20), "Lần " &amp; INT(V524/20), "")</f>
        <v/>
      </c>
      <c r="AH524" s="11">
        <f>IF(INT(W524/20)&gt;INT(W523/20), "Lần " &amp; INT(W524/20), "")</f>
        <v/>
      </c>
      <c r="AI524" s="11">
        <f>IF(INT(X524/20)&gt;INT(X523/20), "Lần " &amp; INT(X524/20), "")</f>
        <v/>
      </c>
      <c r="AJ524" s="11">
        <f>IF(INT(Y524/20)&gt;INT(Y523/20), "Lần " &amp; INT(Y524/20), "")</f>
        <v/>
      </c>
      <c r="AK524" s="11">
        <f>IF(INT(Z524/20)&gt;INT(Z523/20), "Lần " &amp; INT(Z524/20), "")</f>
        <v/>
      </c>
      <c r="AL524" s="6" t="inlineStr">
        <is>
          <t>ĐẠT TCVN 1651:2018</t>
        </is>
      </c>
    </row>
    <row r="525" ht="19" customHeight="1">
      <c r="A525" s="6" t="n">
        <v>494</v>
      </c>
      <c r="B525" s="7" t="inlineStr">
        <is>
          <t>Mố M1</t>
        </is>
      </c>
      <c r="C525" s="7" t="inlineStr">
        <is>
          <t>Thân mố / Bệ mố</t>
        </is>
      </c>
      <c r="D525" s="18" t="inlineStr">
        <is>
          <t>G8A</t>
        </is>
      </c>
      <c r="E525" s="19" t="n">
        <v>12</v>
      </c>
      <c r="F525" s="6" t="inlineStr">
        <is>
          <t>CB400-V</t>
        </is>
      </c>
      <c r="G525" s="7" t="inlineStr">
        <is>
          <t>S06</t>
        </is>
      </c>
      <c r="H525" s="20" t="n">
        <v>0.26</v>
      </c>
      <c r="I525" s="21" t="n">
        <v>11</v>
      </c>
      <c r="J525" s="22" t="n">
        <v>0.888</v>
      </c>
      <c r="K525" s="9">
        <f>ROUND(H525*I525*J525, 2)</f>
        <v/>
      </c>
      <c r="L525" s="23">
        <f>ROUND(K525/1000, 3)</f>
        <v/>
      </c>
      <c r="M525" s="8" t="n"/>
      <c r="N525" s="6" t="n"/>
      <c r="O525" s="24">
        <f>IF(AND(E525&lt;=10, F525&lt;&gt;"ASTM A416", INT(P525/20)&gt;INT(P524/20)), "TN Ø10 (Lần " &amp; INT(P525/20) &amp; ")", IF(AND(E525=12, INT(Q525/20)&gt;INT(Q524/20)), "TN Ø12 (Lần " &amp; INT(Q525/20) &amp; ")", IF(AND(E525=14, INT(R525/20)&gt;INT(R524/20)), "TN Ø14 (Lần " &amp; INT(R525/20) &amp; ")", IF(AND(E525=16, INT(S525/20)&gt;INT(S524/20)), "TN Ø16 (Lần " &amp; INT(S525/20) &amp; ")", IF(AND(E525=18, INT(T525/20)&gt;INT(T524/20)), "TN Ø18 (Lần " &amp; INT(T525/20) &amp; ")", IF(AND(E525=20, INT(U525/20)&gt;INT(U524/20)), "TN Ø20 (Lần " &amp; INT(U525/20) &amp; ")", IF(AND(E525=22, INT(V525/20)&gt;INT(V524/20)), "TN Ø22 (Lần " &amp; INT(V525/20) &amp; ")", IF(AND(E525=25, INT(W525/20)&gt;INT(W524/20)), "TN Ø25 (Lần " &amp; INT(W525/20) &amp; ")", IF(AND(E525=28, INT(X525/20)&gt;INT(X524/20)), "TN Ø28 (Lần " &amp; INT(X525/20) &amp; ")", IF(AND(E525=32, INT(Y525/20)&gt;INT(Y524/20)), "TN Ø32 (Lần " &amp; INT(Y525/20) &amp; ")", IF(AND(F525="ASTM A416", INT(Z525/20)&gt;INT(Z524/20)), "TN Cáp 15.2 (Lần " &amp; INT(Z525/20) &amp; ")", "")))))))))))</f>
        <v/>
      </c>
      <c r="P525" s="20">
        <f>ROUND(P524 + IF(AND(E525&lt;=10, F525&lt;&gt;"ASTM A416"), L525, 0), 3)</f>
        <v/>
      </c>
      <c r="Q525" s="20">
        <f>ROUND(Q524 + IF(AND(E525=12, F525&lt;&gt;"ASTM A416"), L525, 0), 3)</f>
        <v/>
      </c>
      <c r="R525" s="20">
        <f>ROUND(R524 + IF(AND(E525=14, F525&lt;&gt;"ASTM A416"), L525, 0), 3)</f>
        <v/>
      </c>
      <c r="S525" s="20">
        <f>ROUND(S524 + IF(AND(E525=16, F525&lt;&gt;"ASTM A416"), L525, 0), 3)</f>
        <v/>
      </c>
      <c r="T525" s="20">
        <f>ROUND(T524 + IF(AND(E525=18, F525&lt;&gt;"ASTM A416"), L525, 0), 3)</f>
        <v/>
      </c>
      <c r="U525" s="20">
        <f>ROUND(U524 + IF(AND(E525=20, F525&lt;&gt;"ASTM A416"), L525, 0), 3)</f>
        <v/>
      </c>
      <c r="V525" s="20">
        <f>ROUND(V524 + IF(AND(E525=22, F525&lt;&gt;"ASTM A416"), L525, 0), 3)</f>
        <v/>
      </c>
      <c r="W525" s="20">
        <f>ROUND(W524 + IF(AND(E525=25, F525&lt;&gt;"ASTM A416"), L525, 0), 3)</f>
        <v/>
      </c>
      <c r="X525" s="20">
        <f>ROUND(X524 + IF(AND(E525=28, F525&lt;&gt;"ASTM A416"), L525, 0), 3)</f>
        <v/>
      </c>
      <c r="Y525" s="20">
        <f>ROUND(Y524 + IF(AND(E525=32, F525&lt;&gt;"ASTM A416"), L525, 0), 3)</f>
        <v/>
      </c>
      <c r="Z525" s="20">
        <f>ROUND(Z524 + IF(F525="ASTM A416", L525, 0), 3)</f>
        <v/>
      </c>
      <c r="AA525" s="11">
        <f>IF(INT(P525/20)&gt;INT(P524/20), "Lần " &amp; INT(P525/20), "")</f>
        <v/>
      </c>
      <c r="AB525" s="11">
        <f>IF(INT(Q525/20)&gt;INT(Q524/20), "Lần " &amp; INT(Q525/20), "")</f>
        <v/>
      </c>
      <c r="AC525" s="11">
        <f>IF(INT(R525/20)&gt;INT(R524/20), "Lần " &amp; INT(R525/20), "")</f>
        <v/>
      </c>
      <c r="AD525" s="11">
        <f>IF(INT(S525/20)&gt;INT(S524/20), "Lần " &amp; INT(S525/20), "")</f>
        <v/>
      </c>
      <c r="AE525" s="11">
        <f>IF(INT(T525/20)&gt;INT(T524/20), "Lần " &amp; INT(T525/20), "")</f>
        <v/>
      </c>
      <c r="AF525" s="11">
        <f>IF(INT(U525/20)&gt;INT(U524/20), "Lần " &amp; INT(U525/20), "")</f>
        <v/>
      </c>
      <c r="AG525" s="11">
        <f>IF(INT(V525/20)&gt;INT(V524/20), "Lần " &amp; INT(V525/20), "")</f>
        <v/>
      </c>
      <c r="AH525" s="11">
        <f>IF(INT(W525/20)&gt;INT(W524/20), "Lần " &amp; INT(W525/20), "")</f>
        <v/>
      </c>
      <c r="AI525" s="11">
        <f>IF(INT(X525/20)&gt;INT(X524/20), "Lần " &amp; INT(X525/20), "")</f>
        <v/>
      </c>
      <c r="AJ525" s="11">
        <f>IF(INT(Y525/20)&gt;INT(Y524/20), "Lần " &amp; INT(Y525/20), "")</f>
        <v/>
      </c>
      <c r="AK525" s="11">
        <f>IF(INT(Z525/20)&gt;INT(Z524/20), "Lần " &amp; INT(Z525/20), "")</f>
        <v/>
      </c>
      <c r="AL525" s="6" t="inlineStr">
        <is>
          <t>ĐẠT TCVN 1651:2018</t>
        </is>
      </c>
    </row>
    <row r="526" ht="19" customHeight="1">
      <c r="A526" s="6" t="n">
        <v>495</v>
      </c>
      <c r="B526" s="7" t="inlineStr">
        <is>
          <t>Mố M1</t>
        </is>
      </c>
      <c r="C526" s="7" t="inlineStr">
        <is>
          <t>Thân mố / Bệ mố</t>
        </is>
      </c>
      <c r="D526" s="18" t="inlineStr">
        <is>
          <t>G8B</t>
        </is>
      </c>
      <c r="E526" s="19" t="n">
        <v>12</v>
      </c>
      <c r="F526" s="6" t="inlineStr">
        <is>
          <t>CB400-V</t>
        </is>
      </c>
      <c r="G526" s="7" t="inlineStr">
        <is>
          <t>S06</t>
        </is>
      </c>
      <c r="H526" s="20" t="n">
        <v>0.306</v>
      </c>
      <c r="I526" s="21" t="n">
        <v>11</v>
      </c>
      <c r="J526" s="22" t="n">
        <v>0.888</v>
      </c>
      <c r="K526" s="9">
        <f>ROUND(H526*I526*J526, 2)</f>
        <v/>
      </c>
      <c r="L526" s="23">
        <f>ROUND(K526/1000, 3)</f>
        <v/>
      </c>
      <c r="M526" s="8" t="n"/>
      <c r="N526" s="6" t="n"/>
      <c r="O526" s="24">
        <f>IF(AND(E526&lt;=10, F526&lt;&gt;"ASTM A416", INT(P526/20)&gt;INT(P525/20)), "TN Ø10 (Lần " &amp; INT(P526/20) &amp; ")", IF(AND(E526=12, INT(Q526/20)&gt;INT(Q525/20)), "TN Ø12 (Lần " &amp; INT(Q526/20) &amp; ")", IF(AND(E526=14, INT(R526/20)&gt;INT(R525/20)), "TN Ø14 (Lần " &amp; INT(R526/20) &amp; ")", IF(AND(E526=16, INT(S526/20)&gt;INT(S525/20)), "TN Ø16 (Lần " &amp; INT(S526/20) &amp; ")", IF(AND(E526=18, INT(T526/20)&gt;INT(T525/20)), "TN Ø18 (Lần " &amp; INT(T526/20) &amp; ")", IF(AND(E526=20, INT(U526/20)&gt;INT(U525/20)), "TN Ø20 (Lần " &amp; INT(U526/20) &amp; ")", IF(AND(E526=22, INT(V526/20)&gt;INT(V525/20)), "TN Ø22 (Lần " &amp; INT(V526/20) &amp; ")", IF(AND(E526=25, INT(W526/20)&gt;INT(W525/20)), "TN Ø25 (Lần " &amp; INT(W526/20) &amp; ")", IF(AND(E526=28, INT(X526/20)&gt;INT(X525/20)), "TN Ø28 (Lần " &amp; INT(X526/20) &amp; ")", IF(AND(E526=32, INT(Y526/20)&gt;INT(Y525/20)), "TN Ø32 (Lần " &amp; INT(Y526/20) &amp; ")", IF(AND(F526="ASTM A416", INT(Z526/20)&gt;INT(Z525/20)), "TN Cáp 15.2 (Lần " &amp; INT(Z526/20) &amp; ")", "")))))))))))</f>
        <v/>
      </c>
      <c r="P526" s="20">
        <f>ROUND(P525 + IF(AND(E526&lt;=10, F526&lt;&gt;"ASTM A416"), L526, 0), 3)</f>
        <v/>
      </c>
      <c r="Q526" s="20">
        <f>ROUND(Q525 + IF(AND(E526=12, F526&lt;&gt;"ASTM A416"), L526, 0), 3)</f>
        <v/>
      </c>
      <c r="R526" s="20">
        <f>ROUND(R525 + IF(AND(E526=14, F526&lt;&gt;"ASTM A416"), L526, 0), 3)</f>
        <v/>
      </c>
      <c r="S526" s="20">
        <f>ROUND(S525 + IF(AND(E526=16, F526&lt;&gt;"ASTM A416"), L526, 0), 3)</f>
        <v/>
      </c>
      <c r="T526" s="20">
        <f>ROUND(T525 + IF(AND(E526=18, F526&lt;&gt;"ASTM A416"), L526, 0), 3)</f>
        <v/>
      </c>
      <c r="U526" s="20">
        <f>ROUND(U525 + IF(AND(E526=20, F526&lt;&gt;"ASTM A416"), L526, 0), 3)</f>
        <v/>
      </c>
      <c r="V526" s="20">
        <f>ROUND(V525 + IF(AND(E526=22, F526&lt;&gt;"ASTM A416"), L526, 0), 3)</f>
        <v/>
      </c>
      <c r="W526" s="20">
        <f>ROUND(W525 + IF(AND(E526=25, F526&lt;&gt;"ASTM A416"), L526, 0), 3)</f>
        <v/>
      </c>
      <c r="X526" s="20">
        <f>ROUND(X525 + IF(AND(E526=28, F526&lt;&gt;"ASTM A416"), L526, 0), 3)</f>
        <v/>
      </c>
      <c r="Y526" s="20">
        <f>ROUND(Y525 + IF(AND(E526=32, F526&lt;&gt;"ASTM A416"), L526, 0), 3)</f>
        <v/>
      </c>
      <c r="Z526" s="20">
        <f>ROUND(Z525 + IF(F526="ASTM A416", L526, 0), 3)</f>
        <v/>
      </c>
      <c r="AA526" s="11">
        <f>IF(INT(P526/20)&gt;INT(P525/20), "Lần " &amp; INT(P526/20), "")</f>
        <v/>
      </c>
      <c r="AB526" s="11">
        <f>IF(INT(Q526/20)&gt;INT(Q525/20), "Lần " &amp; INT(Q526/20), "")</f>
        <v/>
      </c>
      <c r="AC526" s="11">
        <f>IF(INT(R526/20)&gt;INT(R525/20), "Lần " &amp; INT(R526/20), "")</f>
        <v/>
      </c>
      <c r="AD526" s="11">
        <f>IF(INT(S526/20)&gt;INT(S525/20), "Lần " &amp; INT(S526/20), "")</f>
        <v/>
      </c>
      <c r="AE526" s="11">
        <f>IF(INT(T526/20)&gt;INT(T525/20), "Lần " &amp; INT(T526/20), "")</f>
        <v/>
      </c>
      <c r="AF526" s="11">
        <f>IF(INT(U526/20)&gt;INT(U525/20), "Lần " &amp; INT(U526/20), "")</f>
        <v/>
      </c>
      <c r="AG526" s="11">
        <f>IF(INT(V526/20)&gt;INT(V525/20), "Lần " &amp; INT(V526/20), "")</f>
        <v/>
      </c>
      <c r="AH526" s="11">
        <f>IF(INT(W526/20)&gt;INT(W525/20), "Lần " &amp; INT(W526/20), "")</f>
        <v/>
      </c>
      <c r="AI526" s="11">
        <f>IF(INT(X526/20)&gt;INT(X525/20), "Lần " &amp; INT(X526/20), "")</f>
        <v/>
      </c>
      <c r="AJ526" s="11">
        <f>IF(INT(Y526/20)&gt;INT(Y525/20), "Lần " &amp; INT(Y526/20), "")</f>
        <v/>
      </c>
      <c r="AK526" s="11">
        <f>IF(INT(Z526/20)&gt;INT(Z525/20), "Lần " &amp; INT(Z526/20), "")</f>
        <v/>
      </c>
      <c r="AL526" s="6" t="inlineStr">
        <is>
          <t>ĐẠT TCVN 1651:2018</t>
        </is>
      </c>
    </row>
    <row r="527" ht="19" customHeight="1">
      <c r="A527" s="6" t="n">
        <v>496</v>
      </c>
      <c r="B527" s="7" t="inlineStr">
        <is>
          <t>Mố M1</t>
        </is>
      </c>
      <c r="C527" s="7" t="inlineStr">
        <is>
          <t>Thân mố / Bệ mố</t>
        </is>
      </c>
      <c r="D527" s="18" t="inlineStr">
        <is>
          <t>G8C</t>
        </is>
      </c>
      <c r="E527" s="19" t="n">
        <v>12</v>
      </c>
      <c r="F527" s="6" t="inlineStr">
        <is>
          <t>CB400-V</t>
        </is>
      </c>
      <c r="G527" s="7" t="inlineStr">
        <is>
          <t>S06</t>
        </is>
      </c>
      <c r="H527" s="20" t="n">
        <v>0.417</v>
      </c>
      <c r="I527" s="21" t="n">
        <v>11</v>
      </c>
      <c r="J527" s="22" t="n">
        <v>0.888</v>
      </c>
      <c r="K527" s="9">
        <f>ROUND(H527*I527*J527, 2)</f>
        <v/>
      </c>
      <c r="L527" s="23">
        <f>ROUND(K527/1000, 3)</f>
        <v/>
      </c>
      <c r="M527" s="8" t="n"/>
      <c r="N527" s="6" t="n"/>
      <c r="O527" s="24">
        <f>IF(AND(E527&lt;=10, F527&lt;&gt;"ASTM A416", INT(P527/20)&gt;INT(P526/20)), "TN Ø10 (Lần " &amp; INT(P527/20) &amp; ")", IF(AND(E527=12, INT(Q527/20)&gt;INT(Q526/20)), "TN Ø12 (Lần " &amp; INT(Q527/20) &amp; ")", IF(AND(E527=14, INT(R527/20)&gt;INT(R526/20)), "TN Ø14 (Lần " &amp; INT(R527/20) &amp; ")", IF(AND(E527=16, INT(S527/20)&gt;INT(S526/20)), "TN Ø16 (Lần " &amp; INT(S527/20) &amp; ")", IF(AND(E527=18, INT(T527/20)&gt;INT(T526/20)), "TN Ø18 (Lần " &amp; INT(T527/20) &amp; ")", IF(AND(E527=20, INT(U527/20)&gt;INT(U526/20)), "TN Ø20 (Lần " &amp; INT(U527/20) &amp; ")", IF(AND(E527=22, INT(V527/20)&gt;INT(V526/20)), "TN Ø22 (Lần " &amp; INT(V527/20) &amp; ")", IF(AND(E527=25, INT(W527/20)&gt;INT(W526/20)), "TN Ø25 (Lần " &amp; INT(W527/20) &amp; ")", IF(AND(E527=28, INT(X527/20)&gt;INT(X526/20)), "TN Ø28 (Lần " &amp; INT(X527/20) &amp; ")", IF(AND(E527=32, INT(Y527/20)&gt;INT(Y526/20)), "TN Ø32 (Lần " &amp; INT(Y527/20) &amp; ")", IF(AND(F527="ASTM A416", INT(Z527/20)&gt;INT(Z526/20)), "TN Cáp 15.2 (Lần " &amp; INT(Z527/20) &amp; ")", "")))))))))))</f>
        <v/>
      </c>
      <c r="P527" s="20">
        <f>ROUND(P526 + IF(AND(E527&lt;=10, F527&lt;&gt;"ASTM A416"), L527, 0), 3)</f>
        <v/>
      </c>
      <c r="Q527" s="20">
        <f>ROUND(Q526 + IF(AND(E527=12, F527&lt;&gt;"ASTM A416"), L527, 0), 3)</f>
        <v/>
      </c>
      <c r="R527" s="20">
        <f>ROUND(R526 + IF(AND(E527=14, F527&lt;&gt;"ASTM A416"), L527, 0), 3)</f>
        <v/>
      </c>
      <c r="S527" s="20">
        <f>ROUND(S526 + IF(AND(E527=16, F527&lt;&gt;"ASTM A416"), L527, 0), 3)</f>
        <v/>
      </c>
      <c r="T527" s="20">
        <f>ROUND(T526 + IF(AND(E527=18, F527&lt;&gt;"ASTM A416"), L527, 0), 3)</f>
        <v/>
      </c>
      <c r="U527" s="20">
        <f>ROUND(U526 + IF(AND(E527=20, F527&lt;&gt;"ASTM A416"), L527, 0), 3)</f>
        <v/>
      </c>
      <c r="V527" s="20">
        <f>ROUND(V526 + IF(AND(E527=22, F527&lt;&gt;"ASTM A416"), L527, 0), 3)</f>
        <v/>
      </c>
      <c r="W527" s="20">
        <f>ROUND(W526 + IF(AND(E527=25, F527&lt;&gt;"ASTM A416"), L527, 0), 3)</f>
        <v/>
      </c>
      <c r="X527" s="20">
        <f>ROUND(X526 + IF(AND(E527=28, F527&lt;&gt;"ASTM A416"), L527, 0), 3)</f>
        <v/>
      </c>
      <c r="Y527" s="20">
        <f>ROUND(Y526 + IF(AND(E527=32, F527&lt;&gt;"ASTM A416"), L527, 0), 3)</f>
        <v/>
      </c>
      <c r="Z527" s="20">
        <f>ROUND(Z526 + IF(F527="ASTM A416", L527, 0), 3)</f>
        <v/>
      </c>
      <c r="AA527" s="11">
        <f>IF(INT(P527/20)&gt;INT(P526/20), "Lần " &amp; INT(P527/20), "")</f>
        <v/>
      </c>
      <c r="AB527" s="11">
        <f>IF(INT(Q527/20)&gt;INT(Q526/20), "Lần " &amp; INT(Q527/20), "")</f>
        <v/>
      </c>
      <c r="AC527" s="11">
        <f>IF(INT(R527/20)&gt;INT(R526/20), "Lần " &amp; INT(R527/20), "")</f>
        <v/>
      </c>
      <c r="AD527" s="11">
        <f>IF(INT(S527/20)&gt;INT(S526/20), "Lần " &amp; INT(S527/20), "")</f>
        <v/>
      </c>
      <c r="AE527" s="11">
        <f>IF(INT(T527/20)&gt;INT(T526/20), "Lần " &amp; INT(T527/20), "")</f>
        <v/>
      </c>
      <c r="AF527" s="11">
        <f>IF(INT(U527/20)&gt;INT(U526/20), "Lần " &amp; INT(U527/20), "")</f>
        <v/>
      </c>
      <c r="AG527" s="11">
        <f>IF(INT(V527/20)&gt;INT(V526/20), "Lần " &amp; INT(V527/20), "")</f>
        <v/>
      </c>
      <c r="AH527" s="11">
        <f>IF(INT(W527/20)&gt;INT(W526/20), "Lần " &amp; INT(W527/20), "")</f>
        <v/>
      </c>
      <c r="AI527" s="11">
        <f>IF(INT(X527/20)&gt;INT(X526/20), "Lần " &amp; INT(X527/20), "")</f>
        <v/>
      </c>
      <c r="AJ527" s="11">
        <f>IF(INT(Y527/20)&gt;INT(Y526/20), "Lần " &amp; INT(Y527/20), "")</f>
        <v/>
      </c>
      <c r="AK527" s="11">
        <f>IF(INT(Z527/20)&gt;INT(Z526/20), "Lần " &amp; INT(Z527/20), "")</f>
        <v/>
      </c>
      <c r="AL527" s="6" t="inlineStr">
        <is>
          <t>ĐẠT TCVN 1651:2018</t>
        </is>
      </c>
    </row>
    <row r="528" ht="19" customHeight="1">
      <c r="A528" s="6" t="n">
        <v>497</v>
      </c>
      <c r="B528" s="7" t="inlineStr">
        <is>
          <t>Mố M2</t>
        </is>
      </c>
      <c r="C528" s="7" t="inlineStr">
        <is>
          <t>BỆ MỐ</t>
        </is>
      </c>
      <c r="D528" s="18" t="inlineStr">
        <is>
          <t>F1</t>
        </is>
      </c>
      <c r="E528" s="19" t="n">
        <v>28</v>
      </c>
      <c r="F528" s="6" t="inlineStr">
        <is>
          <t>CB400-V</t>
        </is>
      </c>
      <c r="G528" s="7" t="inlineStr">
        <is>
          <t>S06</t>
        </is>
      </c>
      <c r="H528" s="20" t="n">
        <v>6.578</v>
      </c>
      <c r="I528" s="21" t="n">
        <v>83</v>
      </c>
      <c r="J528" s="22" t="n">
        <v>4.83</v>
      </c>
      <c r="K528" s="9">
        <f>ROUND(H528*I528*J528, 2)</f>
        <v/>
      </c>
      <c r="L528" s="23">
        <f>ROUND(K528/1000, 3)</f>
        <v/>
      </c>
      <c r="M528" s="8" t="n"/>
      <c r="N528" s="6" t="n"/>
      <c r="O528" s="24">
        <f>IF(AND(E528&lt;=10, F528&lt;&gt;"ASTM A416", INT(P528/20)&gt;INT(P527/20)), "TN Ø10 (Lần " &amp; INT(P528/20) &amp; ")", IF(AND(E528=12, INT(Q528/20)&gt;INT(Q527/20)), "TN Ø12 (Lần " &amp; INT(Q528/20) &amp; ")", IF(AND(E528=14, INT(R528/20)&gt;INT(R527/20)), "TN Ø14 (Lần " &amp; INT(R528/20) &amp; ")", IF(AND(E528=16, INT(S528/20)&gt;INT(S527/20)), "TN Ø16 (Lần " &amp; INT(S528/20) &amp; ")", IF(AND(E528=18, INT(T528/20)&gt;INT(T527/20)), "TN Ø18 (Lần " &amp; INT(T528/20) &amp; ")", IF(AND(E528=20, INT(U528/20)&gt;INT(U527/20)), "TN Ø20 (Lần " &amp; INT(U528/20) &amp; ")", IF(AND(E528=22, INT(V528/20)&gt;INT(V527/20)), "TN Ø22 (Lần " &amp; INT(V528/20) &amp; ")", IF(AND(E528=25, INT(W528/20)&gt;INT(W527/20)), "TN Ø25 (Lần " &amp; INT(W528/20) &amp; ")", IF(AND(E528=28, INT(X528/20)&gt;INT(X527/20)), "TN Ø28 (Lần " &amp; INT(X528/20) &amp; ")", IF(AND(E528=32, INT(Y528/20)&gt;INT(Y527/20)), "TN Ø32 (Lần " &amp; INT(Y528/20) &amp; ")", IF(AND(F528="ASTM A416", INT(Z528/20)&gt;INT(Z527/20)), "TN Cáp 15.2 (Lần " &amp; INT(Z528/20) &amp; ")", "")))))))))))</f>
        <v/>
      </c>
      <c r="P528" s="20">
        <f>ROUND(P527 + IF(AND(E528&lt;=10, F528&lt;&gt;"ASTM A416"), L528, 0), 3)</f>
        <v/>
      </c>
      <c r="Q528" s="20">
        <f>ROUND(Q527 + IF(AND(E528=12, F528&lt;&gt;"ASTM A416"), L528, 0), 3)</f>
        <v/>
      </c>
      <c r="R528" s="20">
        <f>ROUND(R527 + IF(AND(E528=14, F528&lt;&gt;"ASTM A416"), L528, 0), 3)</f>
        <v/>
      </c>
      <c r="S528" s="20">
        <f>ROUND(S527 + IF(AND(E528=16, F528&lt;&gt;"ASTM A416"), L528, 0), 3)</f>
        <v/>
      </c>
      <c r="T528" s="20">
        <f>ROUND(T527 + IF(AND(E528=18, F528&lt;&gt;"ASTM A416"), L528, 0), 3)</f>
        <v/>
      </c>
      <c r="U528" s="20">
        <f>ROUND(U527 + IF(AND(E528=20, F528&lt;&gt;"ASTM A416"), L528, 0), 3)</f>
        <v/>
      </c>
      <c r="V528" s="20">
        <f>ROUND(V527 + IF(AND(E528=22, F528&lt;&gt;"ASTM A416"), L528, 0), 3)</f>
        <v/>
      </c>
      <c r="W528" s="20">
        <f>ROUND(W527 + IF(AND(E528=25, F528&lt;&gt;"ASTM A416"), L528, 0), 3)</f>
        <v/>
      </c>
      <c r="X528" s="20">
        <f>ROUND(X527 + IF(AND(E528=28, F528&lt;&gt;"ASTM A416"), L528, 0), 3)</f>
        <v/>
      </c>
      <c r="Y528" s="20">
        <f>ROUND(Y527 + IF(AND(E528=32, F528&lt;&gt;"ASTM A416"), L528, 0), 3)</f>
        <v/>
      </c>
      <c r="Z528" s="20">
        <f>ROUND(Z527 + IF(F528="ASTM A416", L528, 0), 3)</f>
        <v/>
      </c>
      <c r="AA528" s="11">
        <f>IF(INT(P528/20)&gt;INT(P527/20), "Lần " &amp; INT(P528/20), "")</f>
        <v/>
      </c>
      <c r="AB528" s="11">
        <f>IF(INT(Q528/20)&gt;INT(Q527/20), "Lần " &amp; INT(Q528/20), "")</f>
        <v/>
      </c>
      <c r="AC528" s="11">
        <f>IF(INT(R528/20)&gt;INT(R527/20), "Lần " &amp; INT(R528/20), "")</f>
        <v/>
      </c>
      <c r="AD528" s="11">
        <f>IF(INT(S528/20)&gt;INT(S527/20), "Lần " &amp; INT(S528/20), "")</f>
        <v/>
      </c>
      <c r="AE528" s="11">
        <f>IF(INT(T528/20)&gt;INT(T527/20), "Lần " &amp; INT(T528/20), "")</f>
        <v/>
      </c>
      <c r="AF528" s="11">
        <f>IF(INT(U528/20)&gt;INT(U527/20), "Lần " &amp; INT(U528/20), "")</f>
        <v/>
      </c>
      <c r="AG528" s="11">
        <f>IF(INT(V528/20)&gt;INT(V527/20), "Lần " &amp; INT(V528/20), "")</f>
        <v/>
      </c>
      <c r="AH528" s="11">
        <f>IF(INT(W528/20)&gt;INT(W527/20), "Lần " &amp; INT(W528/20), "")</f>
        <v/>
      </c>
      <c r="AI528" s="11">
        <f>IF(INT(X528/20)&gt;INT(X527/20), "Lần " &amp; INT(X528/20), "")</f>
        <v/>
      </c>
      <c r="AJ528" s="11">
        <f>IF(INT(Y528/20)&gt;INT(Y527/20), "Lần " &amp; INT(Y528/20), "")</f>
        <v/>
      </c>
      <c r="AK528" s="11">
        <f>IF(INT(Z528/20)&gt;INT(Z527/20), "Lần " &amp; INT(Z528/20), "")</f>
        <v/>
      </c>
      <c r="AL528" s="6" t="inlineStr">
        <is>
          <t>ĐẠT TCVN 1651:2018</t>
        </is>
      </c>
    </row>
    <row r="529" ht="19" customHeight="1">
      <c r="A529" s="6" t="n">
        <v>498</v>
      </c>
      <c r="B529" s="7" t="inlineStr">
        <is>
          <t>Mố M2</t>
        </is>
      </c>
      <c r="C529" s="7" t="inlineStr">
        <is>
          <t>Thân mố / Bệ mố</t>
        </is>
      </c>
      <c r="D529" s="18" t="inlineStr">
        <is>
          <t>F2</t>
        </is>
      </c>
      <c r="E529" s="19" t="n">
        <v>18</v>
      </c>
      <c r="F529" s="6" t="inlineStr">
        <is>
          <t>CB400-V</t>
        </is>
      </c>
      <c r="G529" s="7" t="inlineStr">
        <is>
          <t>S06</t>
        </is>
      </c>
      <c r="H529" s="20" t="n">
        <v>13.571</v>
      </c>
      <c r="I529" s="21" t="n">
        <v>40</v>
      </c>
      <c r="J529" s="22" t="n">
        <v>2</v>
      </c>
      <c r="K529" s="9">
        <f>ROUND(H529*I529*J529, 2)</f>
        <v/>
      </c>
      <c r="L529" s="23">
        <f>ROUND(K529/1000, 3)</f>
        <v/>
      </c>
      <c r="M529" s="8" t="n"/>
      <c r="N529" s="6" t="n"/>
      <c r="O529" s="24">
        <f>IF(AND(E529&lt;=10, F529&lt;&gt;"ASTM A416", INT(P529/20)&gt;INT(P528/20)), "TN Ø10 (Lần " &amp; INT(P529/20) &amp; ")", IF(AND(E529=12, INT(Q529/20)&gt;INT(Q528/20)), "TN Ø12 (Lần " &amp; INT(Q529/20) &amp; ")", IF(AND(E529=14, INT(R529/20)&gt;INT(R528/20)), "TN Ø14 (Lần " &amp; INT(R529/20) &amp; ")", IF(AND(E529=16, INT(S529/20)&gt;INT(S528/20)), "TN Ø16 (Lần " &amp; INT(S529/20) &amp; ")", IF(AND(E529=18, INT(T529/20)&gt;INT(T528/20)), "TN Ø18 (Lần " &amp; INT(T529/20) &amp; ")", IF(AND(E529=20, INT(U529/20)&gt;INT(U528/20)), "TN Ø20 (Lần " &amp; INT(U529/20) &amp; ")", IF(AND(E529=22, INT(V529/20)&gt;INT(V528/20)), "TN Ø22 (Lần " &amp; INT(V529/20) &amp; ")", IF(AND(E529=25, INT(W529/20)&gt;INT(W528/20)), "TN Ø25 (Lần " &amp; INT(W529/20) &amp; ")", IF(AND(E529=28, INT(X529/20)&gt;INT(X528/20)), "TN Ø28 (Lần " &amp; INT(X529/20) &amp; ")", IF(AND(E529=32, INT(Y529/20)&gt;INT(Y528/20)), "TN Ø32 (Lần " &amp; INT(Y529/20) &amp; ")", IF(AND(F529="ASTM A416", INT(Z529/20)&gt;INT(Z528/20)), "TN Cáp 15.2 (Lần " &amp; INT(Z529/20) &amp; ")", "")))))))))))</f>
        <v/>
      </c>
      <c r="P529" s="20">
        <f>ROUND(P528 + IF(AND(E529&lt;=10, F529&lt;&gt;"ASTM A416"), L529, 0), 3)</f>
        <v/>
      </c>
      <c r="Q529" s="20">
        <f>ROUND(Q528 + IF(AND(E529=12, F529&lt;&gt;"ASTM A416"), L529, 0), 3)</f>
        <v/>
      </c>
      <c r="R529" s="20">
        <f>ROUND(R528 + IF(AND(E529=14, F529&lt;&gt;"ASTM A416"), L529, 0), 3)</f>
        <v/>
      </c>
      <c r="S529" s="20">
        <f>ROUND(S528 + IF(AND(E529=16, F529&lt;&gt;"ASTM A416"), L529, 0), 3)</f>
        <v/>
      </c>
      <c r="T529" s="20">
        <f>ROUND(T528 + IF(AND(E529=18, F529&lt;&gt;"ASTM A416"), L529, 0), 3)</f>
        <v/>
      </c>
      <c r="U529" s="20">
        <f>ROUND(U528 + IF(AND(E529=20, F529&lt;&gt;"ASTM A416"), L529, 0), 3)</f>
        <v/>
      </c>
      <c r="V529" s="20">
        <f>ROUND(V528 + IF(AND(E529=22, F529&lt;&gt;"ASTM A416"), L529, 0), 3)</f>
        <v/>
      </c>
      <c r="W529" s="20">
        <f>ROUND(W528 + IF(AND(E529=25, F529&lt;&gt;"ASTM A416"), L529, 0), 3)</f>
        <v/>
      </c>
      <c r="X529" s="20">
        <f>ROUND(X528 + IF(AND(E529=28, F529&lt;&gt;"ASTM A416"), L529, 0), 3)</f>
        <v/>
      </c>
      <c r="Y529" s="20">
        <f>ROUND(Y528 + IF(AND(E529=32, F529&lt;&gt;"ASTM A416"), L529, 0), 3)</f>
        <v/>
      </c>
      <c r="Z529" s="20">
        <f>ROUND(Z528 + IF(F529="ASTM A416", L529, 0), 3)</f>
        <v/>
      </c>
      <c r="AA529" s="11">
        <f>IF(INT(P529/20)&gt;INT(P528/20), "Lần " &amp; INT(P529/20), "")</f>
        <v/>
      </c>
      <c r="AB529" s="11">
        <f>IF(INT(Q529/20)&gt;INT(Q528/20), "Lần " &amp; INT(Q529/20), "")</f>
        <v/>
      </c>
      <c r="AC529" s="11">
        <f>IF(INT(R529/20)&gt;INT(R528/20), "Lần " &amp; INT(R529/20), "")</f>
        <v/>
      </c>
      <c r="AD529" s="11">
        <f>IF(INT(S529/20)&gt;INT(S528/20), "Lần " &amp; INT(S529/20), "")</f>
        <v/>
      </c>
      <c r="AE529" s="11">
        <f>IF(INT(T529/20)&gt;INT(T528/20), "Lần " &amp; INT(T529/20), "")</f>
        <v/>
      </c>
      <c r="AF529" s="11">
        <f>IF(INT(U529/20)&gt;INT(U528/20), "Lần " &amp; INT(U529/20), "")</f>
        <v/>
      </c>
      <c r="AG529" s="11">
        <f>IF(INT(V529/20)&gt;INT(V528/20), "Lần " &amp; INT(V529/20), "")</f>
        <v/>
      </c>
      <c r="AH529" s="11">
        <f>IF(INT(W529/20)&gt;INT(W528/20), "Lần " &amp; INT(W529/20), "")</f>
        <v/>
      </c>
      <c r="AI529" s="11">
        <f>IF(INT(X529/20)&gt;INT(X528/20), "Lần " &amp; INT(X529/20), "")</f>
        <v/>
      </c>
      <c r="AJ529" s="11">
        <f>IF(INT(Y529/20)&gt;INT(Y528/20), "Lần " &amp; INT(Y529/20), "")</f>
        <v/>
      </c>
      <c r="AK529" s="11">
        <f>IF(INT(Z529/20)&gt;INT(Z528/20), "Lần " &amp; INT(Z529/20), "")</f>
        <v/>
      </c>
      <c r="AL529" s="6" t="inlineStr">
        <is>
          <t>ĐẠT TCVN 1651:2018</t>
        </is>
      </c>
    </row>
    <row r="530" ht="19" customHeight="1">
      <c r="A530" s="6" t="n">
        <v>499</v>
      </c>
      <c r="B530" s="7" t="inlineStr">
        <is>
          <t>Mố M2</t>
        </is>
      </c>
      <c r="C530" s="7" t="inlineStr">
        <is>
          <t>Thân mố / Bệ mố</t>
        </is>
      </c>
      <c r="D530" s="18" t="inlineStr">
        <is>
          <t>F3</t>
        </is>
      </c>
      <c r="E530" s="19" t="n">
        <v>18</v>
      </c>
      <c r="F530" s="6" t="inlineStr">
        <is>
          <t>CB400-V</t>
        </is>
      </c>
      <c r="G530" s="7" t="inlineStr">
        <is>
          <t>S06</t>
        </is>
      </c>
      <c r="H530" s="20" t="n">
        <v>6.336</v>
      </c>
      <c r="I530" s="21" t="n">
        <v>83</v>
      </c>
      <c r="J530" s="22" t="n">
        <v>2</v>
      </c>
      <c r="K530" s="9">
        <f>ROUND(H530*I530*J530, 2)</f>
        <v/>
      </c>
      <c r="L530" s="23">
        <f>ROUND(K530/1000, 3)</f>
        <v/>
      </c>
      <c r="M530" s="8" t="n"/>
      <c r="N530" s="6" t="n"/>
      <c r="O530" s="24">
        <f>IF(AND(E530&lt;=10, F530&lt;&gt;"ASTM A416", INT(P530/20)&gt;INT(P529/20)), "TN Ø10 (Lần " &amp; INT(P530/20) &amp; ")", IF(AND(E530=12, INT(Q530/20)&gt;INT(Q529/20)), "TN Ø12 (Lần " &amp; INT(Q530/20) &amp; ")", IF(AND(E530=14, INT(R530/20)&gt;INT(R529/20)), "TN Ø14 (Lần " &amp; INT(R530/20) &amp; ")", IF(AND(E530=16, INT(S530/20)&gt;INT(S529/20)), "TN Ø16 (Lần " &amp; INT(S530/20) &amp; ")", IF(AND(E530=18, INT(T530/20)&gt;INT(T529/20)), "TN Ø18 (Lần " &amp; INT(T530/20) &amp; ")", IF(AND(E530=20, INT(U530/20)&gt;INT(U529/20)), "TN Ø20 (Lần " &amp; INT(U530/20) &amp; ")", IF(AND(E530=22, INT(V530/20)&gt;INT(V529/20)), "TN Ø22 (Lần " &amp; INT(V530/20) &amp; ")", IF(AND(E530=25, INT(W530/20)&gt;INT(W529/20)), "TN Ø25 (Lần " &amp; INT(W530/20) &amp; ")", IF(AND(E530=28, INT(X530/20)&gt;INT(X529/20)), "TN Ø28 (Lần " &amp; INT(X530/20) &amp; ")", IF(AND(E530=32, INT(Y530/20)&gt;INT(Y529/20)), "TN Ø32 (Lần " &amp; INT(Y530/20) &amp; ")", IF(AND(F530="ASTM A416", INT(Z530/20)&gt;INT(Z529/20)), "TN Cáp 15.2 (Lần " &amp; INT(Z530/20) &amp; ")", "")))))))))))</f>
        <v/>
      </c>
      <c r="P530" s="20">
        <f>ROUND(P529 + IF(AND(E530&lt;=10, F530&lt;&gt;"ASTM A416"), L530, 0), 3)</f>
        <v/>
      </c>
      <c r="Q530" s="20">
        <f>ROUND(Q529 + IF(AND(E530=12, F530&lt;&gt;"ASTM A416"), L530, 0), 3)</f>
        <v/>
      </c>
      <c r="R530" s="20">
        <f>ROUND(R529 + IF(AND(E530=14, F530&lt;&gt;"ASTM A416"), L530, 0), 3)</f>
        <v/>
      </c>
      <c r="S530" s="20">
        <f>ROUND(S529 + IF(AND(E530=16, F530&lt;&gt;"ASTM A416"), L530, 0), 3)</f>
        <v/>
      </c>
      <c r="T530" s="20">
        <f>ROUND(T529 + IF(AND(E530=18, F530&lt;&gt;"ASTM A416"), L530, 0), 3)</f>
        <v/>
      </c>
      <c r="U530" s="20">
        <f>ROUND(U529 + IF(AND(E530=20, F530&lt;&gt;"ASTM A416"), L530, 0), 3)</f>
        <v/>
      </c>
      <c r="V530" s="20">
        <f>ROUND(V529 + IF(AND(E530=22, F530&lt;&gt;"ASTM A416"), L530, 0), 3)</f>
        <v/>
      </c>
      <c r="W530" s="20">
        <f>ROUND(W529 + IF(AND(E530=25, F530&lt;&gt;"ASTM A416"), L530, 0), 3)</f>
        <v/>
      </c>
      <c r="X530" s="20">
        <f>ROUND(X529 + IF(AND(E530=28, F530&lt;&gt;"ASTM A416"), L530, 0), 3)</f>
        <v/>
      </c>
      <c r="Y530" s="20">
        <f>ROUND(Y529 + IF(AND(E530=32, F530&lt;&gt;"ASTM A416"), L530, 0), 3)</f>
        <v/>
      </c>
      <c r="Z530" s="20">
        <f>ROUND(Z529 + IF(F530="ASTM A416", L530, 0), 3)</f>
        <v/>
      </c>
      <c r="AA530" s="11">
        <f>IF(INT(P530/20)&gt;INT(P529/20), "Lần " &amp; INT(P530/20), "")</f>
        <v/>
      </c>
      <c r="AB530" s="11">
        <f>IF(INT(Q530/20)&gt;INT(Q529/20), "Lần " &amp; INT(Q530/20), "")</f>
        <v/>
      </c>
      <c r="AC530" s="11">
        <f>IF(INT(R530/20)&gt;INT(R529/20), "Lần " &amp; INT(R530/20), "")</f>
        <v/>
      </c>
      <c r="AD530" s="11">
        <f>IF(INT(S530/20)&gt;INT(S529/20), "Lần " &amp; INT(S530/20), "")</f>
        <v/>
      </c>
      <c r="AE530" s="11">
        <f>IF(INT(T530/20)&gt;INT(T529/20), "Lần " &amp; INT(T530/20), "")</f>
        <v/>
      </c>
      <c r="AF530" s="11">
        <f>IF(INT(U530/20)&gt;INT(U529/20), "Lần " &amp; INT(U530/20), "")</f>
        <v/>
      </c>
      <c r="AG530" s="11">
        <f>IF(INT(V530/20)&gt;INT(V529/20), "Lần " &amp; INT(V530/20), "")</f>
        <v/>
      </c>
      <c r="AH530" s="11">
        <f>IF(INT(W530/20)&gt;INT(W529/20), "Lần " &amp; INT(W530/20), "")</f>
        <v/>
      </c>
      <c r="AI530" s="11">
        <f>IF(INT(X530/20)&gt;INT(X529/20), "Lần " &amp; INT(X530/20), "")</f>
        <v/>
      </c>
      <c r="AJ530" s="11">
        <f>IF(INT(Y530/20)&gt;INT(Y529/20), "Lần " &amp; INT(Y530/20), "")</f>
        <v/>
      </c>
      <c r="AK530" s="11">
        <f>IF(INT(Z530/20)&gt;INT(Z529/20), "Lần " &amp; INT(Z530/20), "")</f>
        <v/>
      </c>
      <c r="AL530" s="6" t="inlineStr">
        <is>
          <t>ĐẠT TCVN 1651:2018</t>
        </is>
      </c>
    </row>
    <row r="531" ht="19" customHeight="1">
      <c r="A531" s="6" t="n">
        <v>500</v>
      </c>
      <c r="B531" s="7" t="inlineStr">
        <is>
          <t>Mố M2</t>
        </is>
      </c>
      <c r="C531" s="7" t="inlineStr">
        <is>
          <t>Thân mố / Bệ mố</t>
        </is>
      </c>
      <c r="D531" s="18" t="inlineStr">
        <is>
          <t>F4</t>
        </is>
      </c>
      <c r="E531" s="19" t="n">
        <v>18</v>
      </c>
      <c r="F531" s="6" t="inlineStr">
        <is>
          <t>CB400-V</t>
        </is>
      </c>
      <c r="G531" s="7" t="inlineStr">
        <is>
          <t>S06</t>
        </is>
      </c>
      <c r="H531" s="20" t="n">
        <v>13.571</v>
      </c>
      <c r="I531" s="21" t="n">
        <v>30</v>
      </c>
      <c r="J531" s="22" t="n">
        <v>2</v>
      </c>
      <c r="K531" s="9">
        <f>ROUND(H531*I531*J531, 2)</f>
        <v/>
      </c>
      <c r="L531" s="23">
        <f>ROUND(K531/1000, 3)</f>
        <v/>
      </c>
      <c r="M531" s="8" t="n"/>
      <c r="N531" s="6" t="n"/>
      <c r="O531" s="24">
        <f>IF(AND(E531&lt;=10, F531&lt;&gt;"ASTM A416", INT(P531/20)&gt;INT(P530/20)), "TN Ø10 (Lần " &amp; INT(P531/20) &amp; ")", IF(AND(E531=12, INT(Q531/20)&gt;INT(Q530/20)), "TN Ø12 (Lần " &amp; INT(Q531/20) &amp; ")", IF(AND(E531=14, INT(R531/20)&gt;INT(R530/20)), "TN Ø14 (Lần " &amp; INT(R531/20) &amp; ")", IF(AND(E531=16, INT(S531/20)&gt;INT(S530/20)), "TN Ø16 (Lần " &amp; INT(S531/20) &amp; ")", IF(AND(E531=18, INT(T531/20)&gt;INT(T530/20)), "TN Ø18 (Lần " &amp; INT(T531/20) &amp; ")", IF(AND(E531=20, INT(U531/20)&gt;INT(U530/20)), "TN Ø20 (Lần " &amp; INT(U531/20) &amp; ")", IF(AND(E531=22, INT(V531/20)&gt;INT(V530/20)), "TN Ø22 (Lần " &amp; INT(V531/20) &amp; ")", IF(AND(E531=25, INT(W531/20)&gt;INT(W530/20)), "TN Ø25 (Lần " &amp; INT(W531/20) &amp; ")", IF(AND(E531=28, INT(X531/20)&gt;INT(X530/20)), "TN Ø28 (Lần " &amp; INT(X531/20) &amp; ")", IF(AND(E531=32, INT(Y531/20)&gt;INT(Y530/20)), "TN Ø32 (Lần " &amp; INT(Y531/20) &amp; ")", IF(AND(F531="ASTM A416", INT(Z531/20)&gt;INT(Z530/20)), "TN Cáp 15.2 (Lần " &amp; INT(Z531/20) &amp; ")", "")))))))))))</f>
        <v/>
      </c>
      <c r="P531" s="20">
        <f>ROUND(P530 + IF(AND(E531&lt;=10, F531&lt;&gt;"ASTM A416"), L531, 0), 3)</f>
        <v/>
      </c>
      <c r="Q531" s="20">
        <f>ROUND(Q530 + IF(AND(E531=12, F531&lt;&gt;"ASTM A416"), L531, 0), 3)</f>
        <v/>
      </c>
      <c r="R531" s="20">
        <f>ROUND(R530 + IF(AND(E531=14, F531&lt;&gt;"ASTM A416"), L531, 0), 3)</f>
        <v/>
      </c>
      <c r="S531" s="20">
        <f>ROUND(S530 + IF(AND(E531=16, F531&lt;&gt;"ASTM A416"), L531, 0), 3)</f>
        <v/>
      </c>
      <c r="T531" s="20">
        <f>ROUND(T530 + IF(AND(E531=18, F531&lt;&gt;"ASTM A416"), L531, 0), 3)</f>
        <v/>
      </c>
      <c r="U531" s="20">
        <f>ROUND(U530 + IF(AND(E531=20, F531&lt;&gt;"ASTM A416"), L531, 0), 3)</f>
        <v/>
      </c>
      <c r="V531" s="20">
        <f>ROUND(V530 + IF(AND(E531=22, F531&lt;&gt;"ASTM A416"), L531, 0), 3)</f>
        <v/>
      </c>
      <c r="W531" s="20">
        <f>ROUND(W530 + IF(AND(E531=25, F531&lt;&gt;"ASTM A416"), L531, 0), 3)</f>
        <v/>
      </c>
      <c r="X531" s="20">
        <f>ROUND(X530 + IF(AND(E531=28, F531&lt;&gt;"ASTM A416"), L531, 0), 3)</f>
        <v/>
      </c>
      <c r="Y531" s="20">
        <f>ROUND(Y530 + IF(AND(E531=32, F531&lt;&gt;"ASTM A416"), L531, 0), 3)</f>
        <v/>
      </c>
      <c r="Z531" s="20">
        <f>ROUND(Z530 + IF(F531="ASTM A416", L531, 0), 3)</f>
        <v/>
      </c>
      <c r="AA531" s="11">
        <f>IF(INT(P531/20)&gt;INT(P530/20), "Lần " &amp; INT(P531/20), "")</f>
        <v/>
      </c>
      <c r="AB531" s="11">
        <f>IF(INT(Q531/20)&gt;INT(Q530/20), "Lần " &amp; INT(Q531/20), "")</f>
        <v/>
      </c>
      <c r="AC531" s="11">
        <f>IF(INT(R531/20)&gt;INT(R530/20), "Lần " &amp; INT(R531/20), "")</f>
        <v/>
      </c>
      <c r="AD531" s="11">
        <f>IF(INT(S531/20)&gt;INT(S530/20), "Lần " &amp; INT(S531/20), "")</f>
        <v/>
      </c>
      <c r="AE531" s="11">
        <f>IF(INT(T531/20)&gt;INT(T530/20), "Lần " &amp; INT(T531/20), "")</f>
        <v/>
      </c>
      <c r="AF531" s="11">
        <f>IF(INT(U531/20)&gt;INT(U530/20), "Lần " &amp; INT(U531/20), "")</f>
        <v/>
      </c>
      <c r="AG531" s="11">
        <f>IF(INT(V531/20)&gt;INT(V530/20), "Lần " &amp; INT(V531/20), "")</f>
        <v/>
      </c>
      <c r="AH531" s="11">
        <f>IF(INT(W531/20)&gt;INT(W530/20), "Lần " &amp; INT(W531/20), "")</f>
        <v/>
      </c>
      <c r="AI531" s="11">
        <f>IF(INT(X531/20)&gt;INT(X530/20), "Lần " &amp; INT(X531/20), "")</f>
        <v/>
      </c>
      <c r="AJ531" s="11">
        <f>IF(INT(Y531/20)&gt;INT(Y530/20), "Lần " &amp; INT(Y531/20), "")</f>
        <v/>
      </c>
      <c r="AK531" s="11">
        <f>IF(INT(Z531/20)&gt;INT(Z530/20), "Lần " &amp; INT(Z531/20), "")</f>
        <v/>
      </c>
      <c r="AL531" s="6" t="inlineStr">
        <is>
          <t>ĐẠT TCVN 1651:2018</t>
        </is>
      </c>
    </row>
    <row r="532" ht="19" customHeight="1">
      <c r="A532" s="6" t="n">
        <v>501</v>
      </c>
      <c r="B532" s="7" t="inlineStr">
        <is>
          <t>Mố M2</t>
        </is>
      </c>
      <c r="C532" s="7" t="inlineStr">
        <is>
          <t>Thân mố / Bệ mố</t>
        </is>
      </c>
      <c r="D532" s="18" t="inlineStr">
        <is>
          <t>F5</t>
        </is>
      </c>
      <c r="E532" s="19" t="n">
        <v>16</v>
      </c>
      <c r="F532" s="6" t="inlineStr">
        <is>
          <t>CB400-V</t>
        </is>
      </c>
      <c r="G532" s="7" t="inlineStr">
        <is>
          <t>S01</t>
        </is>
      </c>
      <c r="H532" s="20" t="n">
        <v>5.85</v>
      </c>
      <c r="I532" s="21" t="n">
        <v>16</v>
      </c>
      <c r="J532" s="22" t="n">
        <v>1.58</v>
      </c>
      <c r="K532" s="9">
        <f>ROUND(H532*I532*J532, 2)</f>
        <v/>
      </c>
      <c r="L532" s="23">
        <f>ROUND(K532/1000, 3)</f>
        <v/>
      </c>
      <c r="M532" s="8" t="n"/>
      <c r="N532" s="6" t="n"/>
      <c r="O532" s="24">
        <f>IF(AND(E532&lt;=10, F532&lt;&gt;"ASTM A416", INT(P532/20)&gt;INT(P531/20)), "TN Ø10 (Lần " &amp; INT(P532/20) &amp; ")", IF(AND(E532=12, INT(Q532/20)&gt;INT(Q531/20)), "TN Ø12 (Lần " &amp; INT(Q532/20) &amp; ")", IF(AND(E532=14, INT(R532/20)&gt;INT(R531/20)), "TN Ø14 (Lần " &amp; INT(R532/20) &amp; ")", IF(AND(E532=16, INT(S532/20)&gt;INT(S531/20)), "TN Ø16 (Lần " &amp; INT(S532/20) &amp; ")", IF(AND(E532=18, INT(T532/20)&gt;INT(T531/20)), "TN Ø18 (Lần " &amp; INT(T532/20) &amp; ")", IF(AND(E532=20, INT(U532/20)&gt;INT(U531/20)), "TN Ø20 (Lần " &amp; INT(U532/20) &amp; ")", IF(AND(E532=22, INT(V532/20)&gt;INT(V531/20)), "TN Ø22 (Lần " &amp; INT(V532/20) &amp; ")", IF(AND(E532=25, INT(W532/20)&gt;INT(W531/20)), "TN Ø25 (Lần " &amp; INT(W532/20) &amp; ")", IF(AND(E532=28, INT(X532/20)&gt;INT(X531/20)), "TN Ø28 (Lần " &amp; INT(X532/20) &amp; ")", IF(AND(E532=32, INT(Y532/20)&gt;INT(Y531/20)), "TN Ø32 (Lần " &amp; INT(Y532/20) &amp; ")", IF(AND(F532="ASTM A416", INT(Z532/20)&gt;INT(Z531/20)), "TN Cáp 15.2 (Lần " &amp; INT(Z532/20) &amp; ")", "")))))))))))</f>
        <v/>
      </c>
      <c r="P532" s="20">
        <f>ROUND(P531 + IF(AND(E532&lt;=10, F532&lt;&gt;"ASTM A416"), L532, 0), 3)</f>
        <v/>
      </c>
      <c r="Q532" s="20">
        <f>ROUND(Q531 + IF(AND(E532=12, F532&lt;&gt;"ASTM A416"), L532, 0), 3)</f>
        <v/>
      </c>
      <c r="R532" s="20">
        <f>ROUND(R531 + IF(AND(E532=14, F532&lt;&gt;"ASTM A416"), L532, 0), 3)</f>
        <v/>
      </c>
      <c r="S532" s="20">
        <f>ROUND(S531 + IF(AND(E532=16, F532&lt;&gt;"ASTM A416"), L532, 0), 3)</f>
        <v/>
      </c>
      <c r="T532" s="20">
        <f>ROUND(T531 + IF(AND(E532=18, F532&lt;&gt;"ASTM A416"), L532, 0), 3)</f>
        <v/>
      </c>
      <c r="U532" s="20">
        <f>ROUND(U531 + IF(AND(E532=20, F532&lt;&gt;"ASTM A416"), L532, 0), 3)</f>
        <v/>
      </c>
      <c r="V532" s="20">
        <f>ROUND(V531 + IF(AND(E532=22, F532&lt;&gt;"ASTM A416"), L532, 0), 3)</f>
        <v/>
      </c>
      <c r="W532" s="20">
        <f>ROUND(W531 + IF(AND(E532=25, F532&lt;&gt;"ASTM A416"), L532, 0), 3)</f>
        <v/>
      </c>
      <c r="X532" s="20">
        <f>ROUND(X531 + IF(AND(E532=28, F532&lt;&gt;"ASTM A416"), L532, 0), 3)</f>
        <v/>
      </c>
      <c r="Y532" s="20">
        <f>ROUND(Y531 + IF(AND(E532=32, F532&lt;&gt;"ASTM A416"), L532, 0), 3)</f>
        <v/>
      </c>
      <c r="Z532" s="20">
        <f>ROUND(Z531 + IF(F532="ASTM A416", L532, 0), 3)</f>
        <v/>
      </c>
      <c r="AA532" s="11">
        <f>IF(INT(P532/20)&gt;INT(P531/20), "Lần " &amp; INT(P532/20), "")</f>
        <v/>
      </c>
      <c r="AB532" s="11">
        <f>IF(INT(Q532/20)&gt;INT(Q531/20), "Lần " &amp; INT(Q532/20), "")</f>
        <v/>
      </c>
      <c r="AC532" s="11">
        <f>IF(INT(R532/20)&gt;INT(R531/20), "Lần " &amp; INT(R532/20), "")</f>
        <v/>
      </c>
      <c r="AD532" s="11">
        <f>IF(INT(S532/20)&gt;INT(S531/20), "Lần " &amp; INT(S532/20), "")</f>
        <v/>
      </c>
      <c r="AE532" s="11">
        <f>IF(INT(T532/20)&gt;INT(T531/20), "Lần " &amp; INT(T532/20), "")</f>
        <v/>
      </c>
      <c r="AF532" s="11">
        <f>IF(INT(U532/20)&gt;INT(U531/20), "Lần " &amp; INT(U532/20), "")</f>
        <v/>
      </c>
      <c r="AG532" s="11">
        <f>IF(INT(V532/20)&gt;INT(V531/20), "Lần " &amp; INT(V532/20), "")</f>
        <v/>
      </c>
      <c r="AH532" s="11">
        <f>IF(INT(W532/20)&gt;INT(W531/20), "Lần " &amp; INT(W532/20), "")</f>
        <v/>
      </c>
      <c r="AI532" s="11">
        <f>IF(INT(X532/20)&gt;INT(X531/20), "Lần " &amp; INT(X532/20), "")</f>
        <v/>
      </c>
      <c r="AJ532" s="11">
        <f>IF(INT(Y532/20)&gt;INT(Y531/20), "Lần " &amp; INT(Y532/20), "")</f>
        <v/>
      </c>
      <c r="AK532" s="11">
        <f>IF(INT(Z532/20)&gt;INT(Z531/20), "Lần " &amp; INT(Z532/20), "")</f>
        <v/>
      </c>
      <c r="AL532" s="6" t="inlineStr">
        <is>
          <t>ĐẠT TCVN 1651:2018</t>
        </is>
      </c>
    </row>
    <row r="533" ht="19" customHeight="1">
      <c r="A533" s="6" t="n">
        <v>502</v>
      </c>
      <c r="B533" s="7" t="inlineStr">
        <is>
          <t>Mố M2</t>
        </is>
      </c>
      <c r="C533" s="7" t="inlineStr">
        <is>
          <t>Thân mố / Bệ mố</t>
        </is>
      </c>
      <c r="D533" s="18" t="inlineStr">
        <is>
          <t>F6</t>
        </is>
      </c>
      <c r="E533" s="19" t="n">
        <v>16</v>
      </c>
      <c r="F533" s="6" t="inlineStr">
        <is>
          <t>CB400-V</t>
        </is>
      </c>
      <c r="G533" s="7" t="inlineStr">
        <is>
          <t>S06</t>
        </is>
      </c>
      <c r="H533" s="20" t="n">
        <v>1.99</v>
      </c>
      <c r="I533" s="21" t="n">
        <v>188</v>
      </c>
      <c r="J533" s="22" t="n">
        <v>1.58</v>
      </c>
      <c r="K533" s="9">
        <f>ROUND(H533*I533*J533, 2)</f>
        <v/>
      </c>
      <c r="L533" s="23">
        <f>ROUND(K533/1000, 3)</f>
        <v/>
      </c>
      <c r="M533" s="8" t="n"/>
      <c r="N533" s="6" t="n"/>
      <c r="O533" s="24">
        <f>IF(AND(E533&lt;=10, F533&lt;&gt;"ASTM A416", INT(P533/20)&gt;INT(P532/20)), "TN Ø10 (Lần " &amp; INT(P533/20) &amp; ")", IF(AND(E533=12, INT(Q533/20)&gt;INT(Q532/20)), "TN Ø12 (Lần " &amp; INT(Q533/20) &amp; ")", IF(AND(E533=14, INT(R533/20)&gt;INT(R532/20)), "TN Ø14 (Lần " &amp; INT(R533/20) &amp; ")", IF(AND(E533=16, INT(S533/20)&gt;INT(S532/20)), "TN Ø16 (Lần " &amp; INT(S533/20) &amp; ")", IF(AND(E533=18, INT(T533/20)&gt;INT(T532/20)), "TN Ø18 (Lần " &amp; INT(T533/20) &amp; ")", IF(AND(E533=20, INT(U533/20)&gt;INT(U532/20)), "TN Ø20 (Lần " &amp; INT(U533/20) &amp; ")", IF(AND(E533=22, INT(V533/20)&gt;INT(V532/20)), "TN Ø22 (Lần " &amp; INT(V533/20) &amp; ")", IF(AND(E533=25, INT(W533/20)&gt;INT(W532/20)), "TN Ø25 (Lần " &amp; INT(W533/20) &amp; ")", IF(AND(E533=28, INT(X533/20)&gt;INT(X532/20)), "TN Ø28 (Lần " &amp; INT(X533/20) &amp; ")", IF(AND(E533=32, INT(Y533/20)&gt;INT(Y532/20)), "TN Ø32 (Lần " &amp; INT(Y533/20) &amp; ")", IF(AND(F533="ASTM A416", INT(Z533/20)&gt;INT(Z532/20)), "TN Cáp 15.2 (Lần " &amp; INT(Z533/20) &amp; ")", "")))))))))))</f>
        <v/>
      </c>
      <c r="P533" s="20">
        <f>ROUND(P532 + IF(AND(E533&lt;=10, F533&lt;&gt;"ASTM A416"), L533, 0), 3)</f>
        <v/>
      </c>
      <c r="Q533" s="20">
        <f>ROUND(Q532 + IF(AND(E533=12, F533&lt;&gt;"ASTM A416"), L533, 0), 3)</f>
        <v/>
      </c>
      <c r="R533" s="20">
        <f>ROUND(R532 + IF(AND(E533=14, F533&lt;&gt;"ASTM A416"), L533, 0), 3)</f>
        <v/>
      </c>
      <c r="S533" s="20">
        <f>ROUND(S532 + IF(AND(E533=16, F533&lt;&gt;"ASTM A416"), L533, 0), 3)</f>
        <v/>
      </c>
      <c r="T533" s="20">
        <f>ROUND(T532 + IF(AND(E533=18, F533&lt;&gt;"ASTM A416"), L533, 0), 3)</f>
        <v/>
      </c>
      <c r="U533" s="20">
        <f>ROUND(U532 + IF(AND(E533=20, F533&lt;&gt;"ASTM A416"), L533, 0), 3)</f>
        <v/>
      </c>
      <c r="V533" s="20">
        <f>ROUND(V532 + IF(AND(E533=22, F533&lt;&gt;"ASTM A416"), L533, 0), 3)</f>
        <v/>
      </c>
      <c r="W533" s="20">
        <f>ROUND(W532 + IF(AND(E533=25, F533&lt;&gt;"ASTM A416"), L533, 0), 3)</f>
        <v/>
      </c>
      <c r="X533" s="20">
        <f>ROUND(X532 + IF(AND(E533=28, F533&lt;&gt;"ASTM A416"), L533, 0), 3)</f>
        <v/>
      </c>
      <c r="Y533" s="20">
        <f>ROUND(Y532 + IF(AND(E533=32, F533&lt;&gt;"ASTM A416"), L533, 0), 3)</f>
        <v/>
      </c>
      <c r="Z533" s="20">
        <f>ROUND(Z532 + IF(F533="ASTM A416", L533, 0), 3)</f>
        <v/>
      </c>
      <c r="AA533" s="11">
        <f>IF(INT(P533/20)&gt;INT(P532/20), "Lần " &amp; INT(P533/20), "")</f>
        <v/>
      </c>
      <c r="AB533" s="11">
        <f>IF(INT(Q533/20)&gt;INT(Q532/20), "Lần " &amp; INT(Q533/20), "")</f>
        <v/>
      </c>
      <c r="AC533" s="11">
        <f>IF(INT(R533/20)&gt;INT(R532/20), "Lần " &amp; INT(R533/20), "")</f>
        <v/>
      </c>
      <c r="AD533" s="11">
        <f>IF(INT(S533/20)&gt;INT(S532/20), "Lần " &amp; INT(S533/20), "")</f>
        <v/>
      </c>
      <c r="AE533" s="11">
        <f>IF(INT(T533/20)&gt;INT(T532/20), "Lần " &amp; INT(T533/20), "")</f>
        <v/>
      </c>
      <c r="AF533" s="11">
        <f>IF(INT(U533/20)&gt;INT(U532/20), "Lần " &amp; INT(U533/20), "")</f>
        <v/>
      </c>
      <c r="AG533" s="11">
        <f>IF(INT(V533/20)&gt;INT(V532/20), "Lần " &amp; INT(V533/20), "")</f>
        <v/>
      </c>
      <c r="AH533" s="11">
        <f>IF(INT(W533/20)&gt;INT(W532/20), "Lần " &amp; INT(W533/20), "")</f>
        <v/>
      </c>
      <c r="AI533" s="11">
        <f>IF(INT(X533/20)&gt;INT(X532/20), "Lần " &amp; INT(X533/20), "")</f>
        <v/>
      </c>
      <c r="AJ533" s="11">
        <f>IF(INT(Y533/20)&gt;INT(Y532/20), "Lần " &amp; INT(Y533/20), "")</f>
        <v/>
      </c>
      <c r="AK533" s="11">
        <f>IF(INT(Z533/20)&gt;INT(Z532/20), "Lần " &amp; INT(Z533/20), "")</f>
        <v/>
      </c>
      <c r="AL533" s="6" t="inlineStr">
        <is>
          <t>ĐẠT TCVN 1651:2018</t>
        </is>
      </c>
    </row>
    <row r="534" ht="19" customHeight="1">
      <c r="A534" s="6" t="n">
        <v>503</v>
      </c>
      <c r="B534" s="7" t="inlineStr">
        <is>
          <t>Mố M2</t>
        </is>
      </c>
      <c r="C534" s="7" t="inlineStr">
        <is>
          <t>Thân mố / Bệ mố</t>
        </is>
      </c>
      <c r="D534" s="18" t="inlineStr">
        <is>
          <t>F7</t>
        </is>
      </c>
      <c r="E534" s="19" t="n">
        <v>16</v>
      </c>
      <c r="F534" s="6" t="inlineStr">
        <is>
          <t>CB400-V</t>
        </is>
      </c>
      <c r="G534" s="7" t="inlineStr">
        <is>
          <t>S01</t>
        </is>
      </c>
      <c r="H534" s="20" t="n">
        <v>13.005</v>
      </c>
      <c r="I534" s="21" t="n">
        <v>16</v>
      </c>
      <c r="J534" s="22" t="n">
        <v>1.58</v>
      </c>
      <c r="K534" s="9">
        <f>ROUND(H534*I534*J534, 2)</f>
        <v/>
      </c>
      <c r="L534" s="23">
        <f>ROUND(K534/1000, 3)</f>
        <v/>
      </c>
      <c r="M534" s="8" t="n"/>
      <c r="N534" s="6" t="n"/>
      <c r="O534" s="24">
        <f>IF(AND(E534&lt;=10, F534&lt;&gt;"ASTM A416", INT(P534/20)&gt;INT(P533/20)), "TN Ø10 (Lần " &amp; INT(P534/20) &amp; ")", IF(AND(E534=12, INT(Q534/20)&gt;INT(Q533/20)), "TN Ø12 (Lần " &amp; INT(Q534/20) &amp; ")", IF(AND(E534=14, INT(R534/20)&gt;INT(R533/20)), "TN Ø14 (Lần " &amp; INT(R534/20) &amp; ")", IF(AND(E534=16, INT(S534/20)&gt;INT(S533/20)), "TN Ø16 (Lần " &amp; INT(S534/20) &amp; ")", IF(AND(E534=18, INT(T534/20)&gt;INT(T533/20)), "TN Ø18 (Lần " &amp; INT(T534/20) &amp; ")", IF(AND(E534=20, INT(U534/20)&gt;INT(U533/20)), "TN Ø20 (Lần " &amp; INT(U534/20) &amp; ")", IF(AND(E534=22, INT(V534/20)&gt;INT(V533/20)), "TN Ø22 (Lần " &amp; INT(V534/20) &amp; ")", IF(AND(E534=25, INT(W534/20)&gt;INT(W533/20)), "TN Ø25 (Lần " &amp; INT(W534/20) &amp; ")", IF(AND(E534=28, INT(X534/20)&gt;INT(X533/20)), "TN Ø28 (Lần " &amp; INT(X534/20) &amp; ")", IF(AND(E534=32, INT(Y534/20)&gt;INT(Y533/20)), "TN Ø32 (Lần " &amp; INT(Y534/20) &amp; ")", IF(AND(F534="ASTM A416", INT(Z534/20)&gt;INT(Z533/20)), "TN Cáp 15.2 (Lần " &amp; INT(Z534/20) &amp; ")", "")))))))))))</f>
        <v/>
      </c>
      <c r="P534" s="20">
        <f>ROUND(P533 + IF(AND(E534&lt;=10, F534&lt;&gt;"ASTM A416"), L534, 0), 3)</f>
        <v/>
      </c>
      <c r="Q534" s="20">
        <f>ROUND(Q533 + IF(AND(E534=12, F534&lt;&gt;"ASTM A416"), L534, 0), 3)</f>
        <v/>
      </c>
      <c r="R534" s="20">
        <f>ROUND(R533 + IF(AND(E534=14, F534&lt;&gt;"ASTM A416"), L534, 0), 3)</f>
        <v/>
      </c>
      <c r="S534" s="20">
        <f>ROUND(S533 + IF(AND(E534=16, F534&lt;&gt;"ASTM A416"), L534, 0), 3)</f>
        <v/>
      </c>
      <c r="T534" s="20">
        <f>ROUND(T533 + IF(AND(E534=18, F534&lt;&gt;"ASTM A416"), L534, 0), 3)</f>
        <v/>
      </c>
      <c r="U534" s="20">
        <f>ROUND(U533 + IF(AND(E534=20, F534&lt;&gt;"ASTM A416"), L534, 0), 3)</f>
        <v/>
      </c>
      <c r="V534" s="20">
        <f>ROUND(V533 + IF(AND(E534=22, F534&lt;&gt;"ASTM A416"), L534, 0), 3)</f>
        <v/>
      </c>
      <c r="W534" s="20">
        <f>ROUND(W533 + IF(AND(E534=25, F534&lt;&gt;"ASTM A416"), L534, 0), 3)</f>
        <v/>
      </c>
      <c r="X534" s="20">
        <f>ROUND(X533 + IF(AND(E534=28, F534&lt;&gt;"ASTM A416"), L534, 0), 3)</f>
        <v/>
      </c>
      <c r="Y534" s="20">
        <f>ROUND(Y533 + IF(AND(E534=32, F534&lt;&gt;"ASTM A416"), L534, 0), 3)</f>
        <v/>
      </c>
      <c r="Z534" s="20">
        <f>ROUND(Z533 + IF(F534="ASTM A416", L534, 0), 3)</f>
        <v/>
      </c>
      <c r="AA534" s="11">
        <f>IF(INT(P534/20)&gt;INT(P533/20), "Lần " &amp; INT(P534/20), "")</f>
        <v/>
      </c>
      <c r="AB534" s="11">
        <f>IF(INT(Q534/20)&gt;INT(Q533/20), "Lần " &amp; INT(Q534/20), "")</f>
        <v/>
      </c>
      <c r="AC534" s="11">
        <f>IF(INT(R534/20)&gt;INT(R533/20), "Lần " &amp; INT(R534/20), "")</f>
        <v/>
      </c>
      <c r="AD534" s="11">
        <f>IF(INT(S534/20)&gt;INT(S533/20), "Lần " &amp; INT(S534/20), "")</f>
        <v/>
      </c>
      <c r="AE534" s="11">
        <f>IF(INT(T534/20)&gt;INT(T533/20), "Lần " &amp; INT(T534/20), "")</f>
        <v/>
      </c>
      <c r="AF534" s="11">
        <f>IF(INT(U534/20)&gt;INT(U533/20), "Lần " &amp; INT(U534/20), "")</f>
        <v/>
      </c>
      <c r="AG534" s="11">
        <f>IF(INT(V534/20)&gt;INT(V533/20), "Lần " &amp; INT(V534/20), "")</f>
        <v/>
      </c>
      <c r="AH534" s="11">
        <f>IF(INT(W534/20)&gt;INT(W533/20), "Lần " &amp; INT(W534/20), "")</f>
        <v/>
      </c>
      <c r="AI534" s="11">
        <f>IF(INT(X534/20)&gt;INT(X533/20), "Lần " &amp; INT(X534/20), "")</f>
        <v/>
      </c>
      <c r="AJ534" s="11">
        <f>IF(INT(Y534/20)&gt;INT(Y533/20), "Lần " &amp; INT(Y534/20), "")</f>
        <v/>
      </c>
      <c r="AK534" s="11">
        <f>IF(INT(Z534/20)&gt;INT(Z533/20), "Lần " &amp; INT(Z534/20), "")</f>
        <v/>
      </c>
      <c r="AL534" s="6" t="inlineStr">
        <is>
          <t>ĐẠT TCVN 1651:2018</t>
        </is>
      </c>
    </row>
    <row r="535" ht="19" customHeight="1">
      <c r="A535" s="6" t="n">
        <v>504</v>
      </c>
      <c r="B535" s="7" t="inlineStr">
        <is>
          <t>Mố M2</t>
        </is>
      </c>
      <c r="C535" s="7" t="inlineStr">
        <is>
          <t>Thân mố / Bệ mố</t>
        </is>
      </c>
      <c r="D535" s="18" t="inlineStr">
        <is>
          <t>F8</t>
        </is>
      </c>
      <c r="E535" s="19" t="n">
        <v>16</v>
      </c>
      <c r="F535" s="6" t="inlineStr">
        <is>
          <t>CB400-V</t>
        </is>
      </c>
      <c r="G535" s="7" t="inlineStr">
        <is>
          <t>S06</t>
        </is>
      </c>
      <c r="H535" s="20" t="n">
        <v>1.99</v>
      </c>
      <c r="I535" s="21" t="n">
        <v>140</v>
      </c>
      <c r="J535" s="22" t="n">
        <v>1.58</v>
      </c>
      <c r="K535" s="9">
        <f>ROUND(H535*I535*J535, 2)</f>
        <v/>
      </c>
      <c r="L535" s="23">
        <f>ROUND(K535/1000, 3)</f>
        <v/>
      </c>
      <c r="M535" s="8" t="n"/>
      <c r="N535" s="6" t="n"/>
      <c r="O535" s="24">
        <f>IF(AND(E535&lt;=10, F535&lt;&gt;"ASTM A416", INT(P535/20)&gt;INT(P534/20)), "TN Ø10 (Lần " &amp; INT(P535/20) &amp; ")", IF(AND(E535=12, INT(Q535/20)&gt;INT(Q534/20)), "TN Ø12 (Lần " &amp; INT(Q535/20) &amp; ")", IF(AND(E535=14, INT(R535/20)&gt;INT(R534/20)), "TN Ø14 (Lần " &amp; INT(R535/20) &amp; ")", IF(AND(E535=16, INT(S535/20)&gt;INT(S534/20)), "TN Ø16 (Lần " &amp; INT(S535/20) &amp; ")", IF(AND(E535=18, INT(T535/20)&gt;INT(T534/20)), "TN Ø18 (Lần " &amp; INT(T535/20) &amp; ")", IF(AND(E535=20, INT(U535/20)&gt;INT(U534/20)), "TN Ø20 (Lần " &amp; INT(U535/20) &amp; ")", IF(AND(E535=22, INT(V535/20)&gt;INT(V534/20)), "TN Ø22 (Lần " &amp; INT(V535/20) &amp; ")", IF(AND(E535=25, INT(W535/20)&gt;INT(W534/20)), "TN Ø25 (Lần " &amp; INT(W535/20) &amp; ")", IF(AND(E535=28, INT(X535/20)&gt;INT(X534/20)), "TN Ø28 (Lần " &amp; INT(X535/20) &amp; ")", IF(AND(E535=32, INT(Y535/20)&gt;INT(Y534/20)), "TN Ø32 (Lần " &amp; INT(Y535/20) &amp; ")", IF(AND(F535="ASTM A416", INT(Z535/20)&gt;INT(Z534/20)), "TN Cáp 15.2 (Lần " &amp; INT(Z535/20) &amp; ")", "")))))))))))</f>
        <v/>
      </c>
      <c r="P535" s="20">
        <f>ROUND(P534 + IF(AND(E535&lt;=10, F535&lt;&gt;"ASTM A416"), L535, 0), 3)</f>
        <v/>
      </c>
      <c r="Q535" s="20">
        <f>ROUND(Q534 + IF(AND(E535=12, F535&lt;&gt;"ASTM A416"), L535, 0), 3)</f>
        <v/>
      </c>
      <c r="R535" s="20">
        <f>ROUND(R534 + IF(AND(E535=14, F535&lt;&gt;"ASTM A416"), L535, 0), 3)</f>
        <v/>
      </c>
      <c r="S535" s="20">
        <f>ROUND(S534 + IF(AND(E535=16, F535&lt;&gt;"ASTM A416"), L535, 0), 3)</f>
        <v/>
      </c>
      <c r="T535" s="20">
        <f>ROUND(T534 + IF(AND(E535=18, F535&lt;&gt;"ASTM A416"), L535, 0), 3)</f>
        <v/>
      </c>
      <c r="U535" s="20">
        <f>ROUND(U534 + IF(AND(E535=20, F535&lt;&gt;"ASTM A416"), L535, 0), 3)</f>
        <v/>
      </c>
      <c r="V535" s="20">
        <f>ROUND(V534 + IF(AND(E535=22, F535&lt;&gt;"ASTM A416"), L535, 0), 3)</f>
        <v/>
      </c>
      <c r="W535" s="20">
        <f>ROUND(W534 + IF(AND(E535=25, F535&lt;&gt;"ASTM A416"), L535, 0), 3)</f>
        <v/>
      </c>
      <c r="X535" s="20">
        <f>ROUND(X534 + IF(AND(E535=28, F535&lt;&gt;"ASTM A416"), L535, 0), 3)</f>
        <v/>
      </c>
      <c r="Y535" s="20">
        <f>ROUND(Y534 + IF(AND(E535=32, F535&lt;&gt;"ASTM A416"), L535, 0), 3)</f>
        <v/>
      </c>
      <c r="Z535" s="20">
        <f>ROUND(Z534 + IF(F535="ASTM A416", L535, 0), 3)</f>
        <v/>
      </c>
      <c r="AA535" s="11">
        <f>IF(INT(P535/20)&gt;INT(P534/20), "Lần " &amp; INT(P535/20), "")</f>
        <v/>
      </c>
      <c r="AB535" s="11">
        <f>IF(INT(Q535/20)&gt;INT(Q534/20), "Lần " &amp; INT(Q535/20), "")</f>
        <v/>
      </c>
      <c r="AC535" s="11">
        <f>IF(INT(R535/20)&gt;INT(R534/20), "Lần " &amp; INT(R535/20), "")</f>
        <v/>
      </c>
      <c r="AD535" s="11">
        <f>IF(INT(S535/20)&gt;INT(S534/20), "Lần " &amp; INT(S535/20), "")</f>
        <v/>
      </c>
      <c r="AE535" s="11">
        <f>IF(INT(T535/20)&gt;INT(T534/20), "Lần " &amp; INT(T535/20), "")</f>
        <v/>
      </c>
      <c r="AF535" s="11">
        <f>IF(INT(U535/20)&gt;INT(U534/20), "Lần " &amp; INT(U535/20), "")</f>
        <v/>
      </c>
      <c r="AG535" s="11">
        <f>IF(INT(V535/20)&gt;INT(V534/20), "Lần " &amp; INT(V535/20), "")</f>
        <v/>
      </c>
      <c r="AH535" s="11">
        <f>IF(INT(W535/20)&gt;INT(W534/20), "Lần " &amp; INT(W535/20), "")</f>
        <v/>
      </c>
      <c r="AI535" s="11">
        <f>IF(INT(X535/20)&gt;INT(X534/20), "Lần " &amp; INT(X535/20), "")</f>
        <v/>
      </c>
      <c r="AJ535" s="11">
        <f>IF(INT(Y535/20)&gt;INT(Y534/20), "Lần " &amp; INT(Y535/20), "")</f>
        <v/>
      </c>
      <c r="AK535" s="11">
        <f>IF(INT(Z535/20)&gt;INT(Z534/20), "Lần " &amp; INT(Z535/20), "")</f>
        <v/>
      </c>
      <c r="AL535" s="6" t="inlineStr">
        <is>
          <t>ĐẠT TCVN 1651:2018</t>
        </is>
      </c>
    </row>
    <row r="536" ht="19" customHeight="1">
      <c r="A536" s="6" t="n">
        <v>505</v>
      </c>
      <c r="B536" s="7" t="inlineStr">
        <is>
          <t>Mố M2</t>
        </is>
      </c>
      <c r="C536" s="7" t="inlineStr">
        <is>
          <t>TƯỜNG THÂN</t>
        </is>
      </c>
      <c r="D536" s="18" t="inlineStr">
        <is>
          <t>A1</t>
        </is>
      </c>
      <c r="E536" s="19" t="n">
        <v>28</v>
      </c>
      <c r="F536" s="6" t="inlineStr">
        <is>
          <t>CB400-V</t>
        </is>
      </c>
      <c r="G536" s="7" t="inlineStr">
        <is>
          <t>S02</t>
        </is>
      </c>
      <c r="H536" s="20" t="n">
        <v>8.319000000000001</v>
      </c>
      <c r="I536" s="21" t="n">
        <v>78</v>
      </c>
      <c r="J536" s="22" t="n">
        <v>4.83</v>
      </c>
      <c r="K536" s="9">
        <f>ROUND(H536*I536*J536, 2)</f>
        <v/>
      </c>
      <c r="L536" s="23">
        <f>ROUND(K536/1000, 3)</f>
        <v/>
      </c>
      <c r="M536" s="8" t="n"/>
      <c r="N536" s="6" t="n"/>
      <c r="O536" s="24">
        <f>IF(AND(E536&lt;=10, F536&lt;&gt;"ASTM A416", INT(P536/20)&gt;INT(P535/20)), "TN Ø10 (Lần " &amp; INT(P536/20) &amp; ")", IF(AND(E536=12, INT(Q536/20)&gt;INT(Q535/20)), "TN Ø12 (Lần " &amp; INT(Q536/20) &amp; ")", IF(AND(E536=14, INT(R536/20)&gt;INT(R535/20)), "TN Ø14 (Lần " &amp; INT(R536/20) &amp; ")", IF(AND(E536=16, INT(S536/20)&gt;INT(S535/20)), "TN Ø16 (Lần " &amp; INT(S536/20) &amp; ")", IF(AND(E536=18, INT(T536/20)&gt;INT(T535/20)), "TN Ø18 (Lần " &amp; INT(T536/20) &amp; ")", IF(AND(E536=20, INT(U536/20)&gt;INT(U535/20)), "TN Ø20 (Lần " &amp; INT(U536/20) &amp; ")", IF(AND(E536=22, INT(V536/20)&gt;INT(V535/20)), "TN Ø22 (Lần " &amp; INT(V536/20) &amp; ")", IF(AND(E536=25, INT(W536/20)&gt;INT(W535/20)), "TN Ø25 (Lần " &amp; INT(W536/20) &amp; ")", IF(AND(E536=28, INT(X536/20)&gt;INT(X535/20)), "TN Ø28 (Lần " &amp; INT(X536/20) &amp; ")", IF(AND(E536=32, INT(Y536/20)&gt;INT(Y535/20)), "TN Ø32 (Lần " &amp; INT(Y536/20) &amp; ")", IF(AND(F536="ASTM A416", INT(Z536/20)&gt;INT(Z535/20)), "TN Cáp 15.2 (Lần " &amp; INT(Z536/20) &amp; ")", "")))))))))))</f>
        <v/>
      </c>
      <c r="P536" s="20">
        <f>ROUND(P535 + IF(AND(E536&lt;=10, F536&lt;&gt;"ASTM A416"), L536, 0), 3)</f>
        <v/>
      </c>
      <c r="Q536" s="20">
        <f>ROUND(Q535 + IF(AND(E536=12, F536&lt;&gt;"ASTM A416"), L536, 0), 3)</f>
        <v/>
      </c>
      <c r="R536" s="20">
        <f>ROUND(R535 + IF(AND(E536=14, F536&lt;&gt;"ASTM A416"), L536, 0), 3)</f>
        <v/>
      </c>
      <c r="S536" s="20">
        <f>ROUND(S535 + IF(AND(E536=16, F536&lt;&gt;"ASTM A416"), L536, 0), 3)</f>
        <v/>
      </c>
      <c r="T536" s="20">
        <f>ROUND(T535 + IF(AND(E536=18, F536&lt;&gt;"ASTM A416"), L536, 0), 3)</f>
        <v/>
      </c>
      <c r="U536" s="20">
        <f>ROUND(U535 + IF(AND(E536=20, F536&lt;&gt;"ASTM A416"), L536, 0), 3)</f>
        <v/>
      </c>
      <c r="V536" s="20">
        <f>ROUND(V535 + IF(AND(E536=22, F536&lt;&gt;"ASTM A416"), L536, 0), 3)</f>
        <v/>
      </c>
      <c r="W536" s="20">
        <f>ROUND(W535 + IF(AND(E536=25, F536&lt;&gt;"ASTM A416"), L536, 0), 3)</f>
        <v/>
      </c>
      <c r="X536" s="20">
        <f>ROUND(X535 + IF(AND(E536=28, F536&lt;&gt;"ASTM A416"), L536, 0), 3)</f>
        <v/>
      </c>
      <c r="Y536" s="20">
        <f>ROUND(Y535 + IF(AND(E536=32, F536&lt;&gt;"ASTM A416"), L536, 0), 3)</f>
        <v/>
      </c>
      <c r="Z536" s="20">
        <f>ROUND(Z535 + IF(F536="ASTM A416", L536, 0), 3)</f>
        <v/>
      </c>
      <c r="AA536" s="11">
        <f>IF(INT(P536/20)&gt;INT(P535/20), "Lần " &amp; INT(P536/20), "")</f>
        <v/>
      </c>
      <c r="AB536" s="11">
        <f>IF(INT(Q536/20)&gt;INT(Q535/20), "Lần " &amp; INT(Q536/20), "")</f>
        <v/>
      </c>
      <c r="AC536" s="11">
        <f>IF(INT(R536/20)&gt;INT(R535/20), "Lần " &amp; INT(R536/20), "")</f>
        <v/>
      </c>
      <c r="AD536" s="11">
        <f>IF(INT(S536/20)&gt;INT(S535/20), "Lần " &amp; INT(S536/20), "")</f>
        <v/>
      </c>
      <c r="AE536" s="11">
        <f>IF(INT(T536/20)&gt;INT(T535/20), "Lần " &amp; INT(T536/20), "")</f>
        <v/>
      </c>
      <c r="AF536" s="11">
        <f>IF(INT(U536/20)&gt;INT(U535/20), "Lần " &amp; INT(U536/20), "")</f>
        <v/>
      </c>
      <c r="AG536" s="11">
        <f>IF(INT(V536/20)&gt;INT(V535/20), "Lần " &amp; INT(V536/20), "")</f>
        <v/>
      </c>
      <c r="AH536" s="11">
        <f>IF(INT(W536/20)&gt;INT(W535/20), "Lần " &amp; INT(W536/20), "")</f>
        <v/>
      </c>
      <c r="AI536" s="11">
        <f>IF(INT(X536/20)&gt;INT(X535/20), "Lần " &amp; INT(X536/20), "")</f>
        <v/>
      </c>
      <c r="AJ536" s="11">
        <f>IF(INT(Y536/20)&gt;INT(Y535/20), "Lần " &amp; INT(Y536/20), "")</f>
        <v/>
      </c>
      <c r="AK536" s="11">
        <f>IF(INT(Z536/20)&gt;INT(Z535/20), "Lần " &amp; INT(Z536/20), "")</f>
        <v/>
      </c>
      <c r="AL536" s="6" t="inlineStr">
        <is>
          <t>ĐẠT TCVN 1651:2018</t>
        </is>
      </c>
    </row>
    <row r="537" ht="19" customHeight="1">
      <c r="A537" s="6" t="n">
        <v>506</v>
      </c>
      <c r="B537" s="7" t="inlineStr">
        <is>
          <t>Mố M2</t>
        </is>
      </c>
      <c r="C537" s="7" t="inlineStr">
        <is>
          <t>Thân mố / Bệ mố</t>
        </is>
      </c>
      <c r="D537" s="18" t="inlineStr">
        <is>
          <t>A2</t>
        </is>
      </c>
      <c r="E537" s="19" t="n">
        <v>16</v>
      </c>
      <c r="F537" s="6" t="inlineStr">
        <is>
          <t>CB400-V</t>
        </is>
      </c>
      <c r="G537" s="7" t="inlineStr">
        <is>
          <t>S06</t>
        </is>
      </c>
      <c r="H537" s="20" t="n">
        <v>13.487</v>
      </c>
      <c r="I537" s="21" t="n">
        <v>41</v>
      </c>
      <c r="J537" s="22" t="n">
        <v>1.58</v>
      </c>
      <c r="K537" s="9">
        <f>ROUND(H537*I537*J537, 2)</f>
        <v/>
      </c>
      <c r="L537" s="23">
        <f>ROUND(K537/1000, 3)</f>
        <v/>
      </c>
      <c r="M537" s="8" t="n"/>
      <c r="N537" s="6" t="n"/>
      <c r="O537" s="24">
        <f>IF(AND(E537&lt;=10, F537&lt;&gt;"ASTM A416", INT(P537/20)&gt;INT(P536/20)), "TN Ø10 (Lần " &amp; INT(P537/20) &amp; ")", IF(AND(E537=12, INT(Q537/20)&gt;INT(Q536/20)), "TN Ø12 (Lần " &amp; INT(Q537/20) &amp; ")", IF(AND(E537=14, INT(R537/20)&gt;INT(R536/20)), "TN Ø14 (Lần " &amp; INT(R537/20) &amp; ")", IF(AND(E537=16, INT(S537/20)&gt;INT(S536/20)), "TN Ø16 (Lần " &amp; INT(S537/20) &amp; ")", IF(AND(E537=18, INT(T537/20)&gt;INT(T536/20)), "TN Ø18 (Lần " &amp; INT(T537/20) &amp; ")", IF(AND(E537=20, INT(U537/20)&gt;INT(U536/20)), "TN Ø20 (Lần " &amp; INT(U537/20) &amp; ")", IF(AND(E537=22, INT(V537/20)&gt;INT(V536/20)), "TN Ø22 (Lần " &amp; INT(V537/20) &amp; ")", IF(AND(E537=25, INT(W537/20)&gt;INT(W536/20)), "TN Ø25 (Lần " &amp; INT(W537/20) &amp; ")", IF(AND(E537=28, INT(X537/20)&gt;INT(X536/20)), "TN Ø28 (Lần " &amp; INT(X537/20) &amp; ")", IF(AND(E537=32, INT(Y537/20)&gt;INT(Y536/20)), "TN Ø32 (Lần " &amp; INT(Y537/20) &amp; ")", IF(AND(F537="ASTM A416", INT(Z537/20)&gt;INT(Z536/20)), "TN Cáp 15.2 (Lần " &amp; INT(Z537/20) &amp; ")", "")))))))))))</f>
        <v/>
      </c>
      <c r="P537" s="20">
        <f>ROUND(P536 + IF(AND(E537&lt;=10, F537&lt;&gt;"ASTM A416"), L537, 0), 3)</f>
        <v/>
      </c>
      <c r="Q537" s="20">
        <f>ROUND(Q536 + IF(AND(E537=12, F537&lt;&gt;"ASTM A416"), L537, 0), 3)</f>
        <v/>
      </c>
      <c r="R537" s="20">
        <f>ROUND(R536 + IF(AND(E537=14, F537&lt;&gt;"ASTM A416"), L537, 0), 3)</f>
        <v/>
      </c>
      <c r="S537" s="20">
        <f>ROUND(S536 + IF(AND(E537=16, F537&lt;&gt;"ASTM A416"), L537, 0), 3)</f>
        <v/>
      </c>
      <c r="T537" s="20">
        <f>ROUND(T536 + IF(AND(E537=18, F537&lt;&gt;"ASTM A416"), L537, 0), 3)</f>
        <v/>
      </c>
      <c r="U537" s="20">
        <f>ROUND(U536 + IF(AND(E537=20, F537&lt;&gt;"ASTM A416"), L537, 0), 3)</f>
        <v/>
      </c>
      <c r="V537" s="20">
        <f>ROUND(V536 + IF(AND(E537=22, F537&lt;&gt;"ASTM A416"), L537, 0), 3)</f>
        <v/>
      </c>
      <c r="W537" s="20">
        <f>ROUND(W536 + IF(AND(E537=25, F537&lt;&gt;"ASTM A416"), L537, 0), 3)</f>
        <v/>
      </c>
      <c r="X537" s="20">
        <f>ROUND(X536 + IF(AND(E537=28, F537&lt;&gt;"ASTM A416"), L537, 0), 3)</f>
        <v/>
      </c>
      <c r="Y537" s="20">
        <f>ROUND(Y536 + IF(AND(E537=32, F537&lt;&gt;"ASTM A416"), L537, 0), 3)</f>
        <v/>
      </c>
      <c r="Z537" s="20">
        <f>ROUND(Z536 + IF(F537="ASTM A416", L537, 0), 3)</f>
        <v/>
      </c>
      <c r="AA537" s="11">
        <f>IF(INT(P537/20)&gt;INT(P536/20), "Lần " &amp; INT(P537/20), "")</f>
        <v/>
      </c>
      <c r="AB537" s="11">
        <f>IF(INT(Q537/20)&gt;INT(Q536/20), "Lần " &amp; INT(Q537/20), "")</f>
        <v/>
      </c>
      <c r="AC537" s="11">
        <f>IF(INT(R537/20)&gt;INT(R536/20), "Lần " &amp; INT(R537/20), "")</f>
        <v/>
      </c>
      <c r="AD537" s="11">
        <f>IF(INT(S537/20)&gt;INT(S536/20), "Lần " &amp; INT(S537/20), "")</f>
        <v/>
      </c>
      <c r="AE537" s="11">
        <f>IF(INT(T537/20)&gt;INT(T536/20), "Lần " &amp; INT(T537/20), "")</f>
        <v/>
      </c>
      <c r="AF537" s="11">
        <f>IF(INT(U537/20)&gt;INT(U536/20), "Lần " &amp; INT(U537/20), "")</f>
        <v/>
      </c>
      <c r="AG537" s="11">
        <f>IF(INT(V537/20)&gt;INT(V536/20), "Lần " &amp; INT(V537/20), "")</f>
        <v/>
      </c>
      <c r="AH537" s="11">
        <f>IF(INT(W537/20)&gt;INT(W536/20), "Lần " &amp; INT(W537/20), "")</f>
        <v/>
      </c>
      <c r="AI537" s="11">
        <f>IF(INT(X537/20)&gt;INT(X536/20), "Lần " &amp; INT(X537/20), "")</f>
        <v/>
      </c>
      <c r="AJ537" s="11">
        <f>IF(INT(Y537/20)&gt;INT(Y536/20), "Lần " &amp; INT(Y537/20), "")</f>
        <v/>
      </c>
      <c r="AK537" s="11">
        <f>IF(INT(Z537/20)&gt;INT(Z536/20), "Lần " &amp; INT(Z537/20), "")</f>
        <v/>
      </c>
      <c r="AL537" s="6" t="inlineStr">
        <is>
          <t>ĐẠT TCVN 1651:2018</t>
        </is>
      </c>
    </row>
    <row r="538" ht="19" customHeight="1">
      <c r="A538" s="6" t="n">
        <v>507</v>
      </c>
      <c r="B538" s="7" t="inlineStr">
        <is>
          <t>Mố M2</t>
        </is>
      </c>
      <c r="C538" s="7" t="inlineStr">
        <is>
          <t>Thân mố / Bệ mố</t>
        </is>
      </c>
      <c r="D538" s="18" t="inlineStr">
        <is>
          <t>A3</t>
        </is>
      </c>
      <c r="E538" s="19" t="n">
        <v>16</v>
      </c>
      <c r="F538" s="6" t="inlineStr">
        <is>
          <t>CB400-V</t>
        </is>
      </c>
      <c r="G538" s="7" t="inlineStr">
        <is>
          <t>S02</t>
        </is>
      </c>
      <c r="H538" s="20" t="n">
        <v>8.164</v>
      </c>
      <c r="I538" s="21" t="n">
        <v>83</v>
      </c>
      <c r="J538" s="22" t="n">
        <v>1.58</v>
      </c>
      <c r="K538" s="9">
        <f>ROUND(H538*I538*J538, 2)</f>
        <v/>
      </c>
      <c r="L538" s="23">
        <f>ROUND(K538/1000, 3)</f>
        <v/>
      </c>
      <c r="M538" s="8" t="n"/>
      <c r="N538" s="6" t="n"/>
      <c r="O538" s="24">
        <f>IF(AND(E538&lt;=10, F538&lt;&gt;"ASTM A416", INT(P538/20)&gt;INT(P537/20)), "TN Ø10 (Lần " &amp; INT(P538/20) &amp; ")", IF(AND(E538=12, INT(Q538/20)&gt;INT(Q537/20)), "TN Ø12 (Lần " &amp; INT(Q538/20) &amp; ")", IF(AND(E538=14, INT(R538/20)&gt;INT(R537/20)), "TN Ø14 (Lần " &amp; INT(R538/20) &amp; ")", IF(AND(E538=16, INT(S538/20)&gt;INT(S537/20)), "TN Ø16 (Lần " &amp; INT(S538/20) &amp; ")", IF(AND(E538=18, INT(T538/20)&gt;INT(T537/20)), "TN Ø18 (Lần " &amp; INT(T538/20) &amp; ")", IF(AND(E538=20, INT(U538/20)&gt;INT(U537/20)), "TN Ø20 (Lần " &amp; INT(U538/20) &amp; ")", IF(AND(E538=22, INT(V538/20)&gt;INT(V537/20)), "TN Ø22 (Lần " &amp; INT(V538/20) &amp; ")", IF(AND(E538=25, INT(W538/20)&gt;INT(W537/20)), "TN Ø25 (Lần " &amp; INT(W538/20) &amp; ")", IF(AND(E538=28, INT(X538/20)&gt;INT(X537/20)), "TN Ø28 (Lần " &amp; INT(X538/20) &amp; ")", IF(AND(E538=32, INT(Y538/20)&gt;INT(Y537/20)), "TN Ø32 (Lần " &amp; INT(Y538/20) &amp; ")", IF(AND(F538="ASTM A416", INT(Z538/20)&gt;INT(Z537/20)), "TN Cáp 15.2 (Lần " &amp; INT(Z538/20) &amp; ")", "")))))))))))</f>
        <v/>
      </c>
      <c r="P538" s="20">
        <f>ROUND(P537 + IF(AND(E538&lt;=10, F538&lt;&gt;"ASTM A416"), L538, 0), 3)</f>
        <v/>
      </c>
      <c r="Q538" s="20">
        <f>ROUND(Q537 + IF(AND(E538=12, F538&lt;&gt;"ASTM A416"), L538, 0), 3)</f>
        <v/>
      </c>
      <c r="R538" s="20">
        <f>ROUND(R537 + IF(AND(E538=14, F538&lt;&gt;"ASTM A416"), L538, 0), 3)</f>
        <v/>
      </c>
      <c r="S538" s="20">
        <f>ROUND(S537 + IF(AND(E538=16, F538&lt;&gt;"ASTM A416"), L538, 0), 3)</f>
        <v/>
      </c>
      <c r="T538" s="20">
        <f>ROUND(T537 + IF(AND(E538=18, F538&lt;&gt;"ASTM A416"), L538, 0), 3)</f>
        <v/>
      </c>
      <c r="U538" s="20">
        <f>ROUND(U537 + IF(AND(E538=20, F538&lt;&gt;"ASTM A416"), L538, 0), 3)</f>
        <v/>
      </c>
      <c r="V538" s="20">
        <f>ROUND(V537 + IF(AND(E538=22, F538&lt;&gt;"ASTM A416"), L538, 0), 3)</f>
        <v/>
      </c>
      <c r="W538" s="20">
        <f>ROUND(W537 + IF(AND(E538=25, F538&lt;&gt;"ASTM A416"), L538, 0), 3)</f>
        <v/>
      </c>
      <c r="X538" s="20">
        <f>ROUND(X537 + IF(AND(E538=28, F538&lt;&gt;"ASTM A416"), L538, 0), 3)</f>
        <v/>
      </c>
      <c r="Y538" s="20">
        <f>ROUND(Y537 + IF(AND(E538=32, F538&lt;&gt;"ASTM A416"), L538, 0), 3)</f>
        <v/>
      </c>
      <c r="Z538" s="20">
        <f>ROUND(Z537 + IF(F538="ASTM A416", L538, 0), 3)</f>
        <v/>
      </c>
      <c r="AA538" s="11">
        <f>IF(INT(P538/20)&gt;INT(P537/20), "Lần " &amp; INT(P538/20), "")</f>
        <v/>
      </c>
      <c r="AB538" s="11">
        <f>IF(INT(Q538/20)&gt;INT(Q537/20), "Lần " &amp; INT(Q538/20), "")</f>
        <v/>
      </c>
      <c r="AC538" s="11">
        <f>IF(INT(R538/20)&gt;INT(R537/20), "Lần " &amp; INT(R538/20), "")</f>
        <v/>
      </c>
      <c r="AD538" s="11">
        <f>IF(INT(S538/20)&gt;INT(S537/20), "Lần " &amp; INT(S538/20), "")</f>
        <v/>
      </c>
      <c r="AE538" s="11">
        <f>IF(INT(T538/20)&gt;INT(T537/20), "Lần " &amp; INT(T538/20), "")</f>
        <v/>
      </c>
      <c r="AF538" s="11">
        <f>IF(INT(U538/20)&gt;INT(U537/20), "Lần " &amp; INT(U538/20), "")</f>
        <v/>
      </c>
      <c r="AG538" s="11">
        <f>IF(INT(V538/20)&gt;INT(V537/20), "Lần " &amp; INT(V538/20), "")</f>
        <v/>
      </c>
      <c r="AH538" s="11">
        <f>IF(INT(W538/20)&gt;INT(W537/20), "Lần " &amp; INT(W538/20), "")</f>
        <v/>
      </c>
      <c r="AI538" s="11">
        <f>IF(INT(X538/20)&gt;INT(X537/20), "Lần " &amp; INT(X538/20), "")</f>
        <v/>
      </c>
      <c r="AJ538" s="11">
        <f>IF(INT(Y538/20)&gt;INT(Y537/20), "Lần " &amp; INT(Y538/20), "")</f>
        <v/>
      </c>
      <c r="AK538" s="11">
        <f>IF(INT(Z538/20)&gt;INT(Z537/20), "Lần " &amp; INT(Z538/20), "")</f>
        <v/>
      </c>
      <c r="AL538" s="6" t="inlineStr">
        <is>
          <t>ĐẠT TCVN 1651:2018</t>
        </is>
      </c>
    </row>
    <row r="539" ht="19" customHeight="1">
      <c r="A539" s="6" t="n">
        <v>508</v>
      </c>
      <c r="B539" s="7" t="inlineStr">
        <is>
          <t>Mố M2</t>
        </is>
      </c>
      <c r="C539" s="7" t="inlineStr">
        <is>
          <t>Thân mố / Bệ mố</t>
        </is>
      </c>
      <c r="D539" s="18" t="inlineStr">
        <is>
          <t>A4</t>
        </is>
      </c>
      <c r="E539" s="19" t="n">
        <v>16</v>
      </c>
      <c r="F539" s="6" t="inlineStr">
        <is>
          <t>CB400-V</t>
        </is>
      </c>
      <c r="G539" s="7" t="inlineStr">
        <is>
          <t>S06</t>
        </is>
      </c>
      <c r="H539" s="20" t="n">
        <v>13.487</v>
      </c>
      <c r="I539" s="21" t="n">
        <v>40</v>
      </c>
      <c r="J539" s="22" t="n">
        <v>1.58</v>
      </c>
      <c r="K539" s="9">
        <f>ROUND(H539*I539*J539, 2)</f>
        <v/>
      </c>
      <c r="L539" s="23">
        <f>ROUND(K539/1000, 3)</f>
        <v/>
      </c>
      <c r="M539" s="8" t="n"/>
      <c r="N539" s="6" t="n"/>
      <c r="O539" s="24">
        <f>IF(AND(E539&lt;=10, F539&lt;&gt;"ASTM A416", INT(P539/20)&gt;INT(P538/20)), "TN Ø10 (Lần " &amp; INT(P539/20) &amp; ")", IF(AND(E539=12, INT(Q539/20)&gt;INT(Q538/20)), "TN Ø12 (Lần " &amp; INT(Q539/20) &amp; ")", IF(AND(E539=14, INT(R539/20)&gt;INT(R538/20)), "TN Ø14 (Lần " &amp; INT(R539/20) &amp; ")", IF(AND(E539=16, INT(S539/20)&gt;INT(S538/20)), "TN Ø16 (Lần " &amp; INT(S539/20) &amp; ")", IF(AND(E539=18, INT(T539/20)&gt;INT(T538/20)), "TN Ø18 (Lần " &amp; INT(T539/20) &amp; ")", IF(AND(E539=20, INT(U539/20)&gt;INT(U538/20)), "TN Ø20 (Lần " &amp; INT(U539/20) &amp; ")", IF(AND(E539=22, INT(V539/20)&gt;INT(V538/20)), "TN Ø22 (Lần " &amp; INT(V539/20) &amp; ")", IF(AND(E539=25, INT(W539/20)&gt;INT(W538/20)), "TN Ø25 (Lần " &amp; INT(W539/20) &amp; ")", IF(AND(E539=28, INT(X539/20)&gt;INT(X538/20)), "TN Ø28 (Lần " &amp; INT(X539/20) &amp; ")", IF(AND(E539=32, INT(Y539/20)&gt;INT(Y538/20)), "TN Ø32 (Lần " &amp; INT(Y539/20) &amp; ")", IF(AND(F539="ASTM A416", INT(Z539/20)&gt;INT(Z538/20)), "TN Cáp 15.2 (Lần " &amp; INT(Z539/20) &amp; ")", "")))))))))))</f>
        <v/>
      </c>
      <c r="P539" s="20">
        <f>ROUND(P538 + IF(AND(E539&lt;=10, F539&lt;&gt;"ASTM A416"), L539, 0), 3)</f>
        <v/>
      </c>
      <c r="Q539" s="20">
        <f>ROUND(Q538 + IF(AND(E539=12, F539&lt;&gt;"ASTM A416"), L539, 0), 3)</f>
        <v/>
      </c>
      <c r="R539" s="20">
        <f>ROUND(R538 + IF(AND(E539=14, F539&lt;&gt;"ASTM A416"), L539, 0), 3)</f>
        <v/>
      </c>
      <c r="S539" s="20">
        <f>ROUND(S538 + IF(AND(E539=16, F539&lt;&gt;"ASTM A416"), L539, 0), 3)</f>
        <v/>
      </c>
      <c r="T539" s="20">
        <f>ROUND(T538 + IF(AND(E539=18, F539&lt;&gt;"ASTM A416"), L539, 0), 3)</f>
        <v/>
      </c>
      <c r="U539" s="20">
        <f>ROUND(U538 + IF(AND(E539=20, F539&lt;&gt;"ASTM A416"), L539, 0), 3)</f>
        <v/>
      </c>
      <c r="V539" s="20">
        <f>ROUND(V538 + IF(AND(E539=22, F539&lt;&gt;"ASTM A416"), L539, 0), 3)</f>
        <v/>
      </c>
      <c r="W539" s="20">
        <f>ROUND(W538 + IF(AND(E539=25, F539&lt;&gt;"ASTM A416"), L539, 0), 3)</f>
        <v/>
      </c>
      <c r="X539" s="20">
        <f>ROUND(X538 + IF(AND(E539=28, F539&lt;&gt;"ASTM A416"), L539, 0), 3)</f>
        <v/>
      </c>
      <c r="Y539" s="20">
        <f>ROUND(Y538 + IF(AND(E539=32, F539&lt;&gt;"ASTM A416"), L539, 0), 3)</f>
        <v/>
      </c>
      <c r="Z539" s="20">
        <f>ROUND(Z538 + IF(F539="ASTM A416", L539, 0), 3)</f>
        <v/>
      </c>
      <c r="AA539" s="11">
        <f>IF(INT(P539/20)&gt;INT(P538/20), "Lần " &amp; INT(P539/20), "")</f>
        <v/>
      </c>
      <c r="AB539" s="11">
        <f>IF(INT(Q539/20)&gt;INT(Q538/20), "Lần " &amp; INT(Q539/20), "")</f>
        <v/>
      </c>
      <c r="AC539" s="11">
        <f>IF(INT(R539/20)&gt;INT(R538/20), "Lần " &amp; INT(R539/20), "")</f>
        <v/>
      </c>
      <c r="AD539" s="11">
        <f>IF(INT(S539/20)&gt;INT(S538/20), "Lần " &amp; INT(S539/20), "")</f>
        <v/>
      </c>
      <c r="AE539" s="11">
        <f>IF(INT(T539/20)&gt;INT(T538/20), "Lần " &amp; INT(T539/20), "")</f>
        <v/>
      </c>
      <c r="AF539" s="11">
        <f>IF(INT(U539/20)&gt;INT(U538/20), "Lần " &amp; INT(U539/20), "")</f>
        <v/>
      </c>
      <c r="AG539" s="11">
        <f>IF(INT(V539/20)&gt;INT(V538/20), "Lần " &amp; INT(V539/20), "")</f>
        <v/>
      </c>
      <c r="AH539" s="11">
        <f>IF(INT(W539/20)&gt;INT(W538/20), "Lần " &amp; INT(W539/20), "")</f>
        <v/>
      </c>
      <c r="AI539" s="11">
        <f>IF(INT(X539/20)&gt;INT(X538/20), "Lần " &amp; INT(X539/20), "")</f>
        <v/>
      </c>
      <c r="AJ539" s="11">
        <f>IF(INT(Y539/20)&gt;INT(Y538/20), "Lần " &amp; INT(Y539/20), "")</f>
        <v/>
      </c>
      <c r="AK539" s="11">
        <f>IF(INT(Z539/20)&gt;INT(Z538/20), "Lần " &amp; INT(Z539/20), "")</f>
        <v/>
      </c>
      <c r="AL539" s="6" t="inlineStr">
        <is>
          <t>ĐẠT TCVN 1651:2018</t>
        </is>
      </c>
    </row>
    <row r="540" ht="19" customHeight="1">
      <c r="A540" s="6" t="n">
        <v>509</v>
      </c>
      <c r="B540" s="7" t="inlineStr">
        <is>
          <t>Mố M2</t>
        </is>
      </c>
      <c r="C540" s="7" t="inlineStr">
        <is>
          <t>Thân mố / Bệ mố</t>
        </is>
      </c>
      <c r="D540" s="18" t="inlineStr">
        <is>
          <t>A4A</t>
        </is>
      </c>
      <c r="E540" s="19" t="n">
        <v>16</v>
      </c>
      <c r="F540" s="6" t="inlineStr">
        <is>
          <t>CB400-V</t>
        </is>
      </c>
      <c r="G540" s="7" t="inlineStr">
        <is>
          <t>S06</t>
        </is>
      </c>
      <c r="H540" s="20" t="n">
        <v>6.485</v>
      </c>
      <c r="I540" s="21" t="n">
        <v>1</v>
      </c>
      <c r="J540" s="22" t="n">
        <v>1.58</v>
      </c>
      <c r="K540" s="9">
        <f>ROUND(H540*I540*J540, 2)</f>
        <v/>
      </c>
      <c r="L540" s="23">
        <f>ROUND(K540/1000, 3)</f>
        <v/>
      </c>
      <c r="M540" s="8" t="n"/>
      <c r="N540" s="6" t="n"/>
      <c r="O540" s="24">
        <f>IF(AND(E540&lt;=10, F540&lt;&gt;"ASTM A416", INT(P540/20)&gt;INT(P539/20)), "TN Ø10 (Lần " &amp; INT(P540/20) &amp; ")", IF(AND(E540=12, INT(Q540/20)&gt;INT(Q539/20)), "TN Ø12 (Lần " &amp; INT(Q540/20) &amp; ")", IF(AND(E540=14, INT(R540/20)&gt;INT(R539/20)), "TN Ø14 (Lần " &amp; INT(R540/20) &amp; ")", IF(AND(E540=16, INT(S540/20)&gt;INT(S539/20)), "TN Ø16 (Lần " &amp; INT(S540/20) &amp; ")", IF(AND(E540=18, INT(T540/20)&gt;INT(T539/20)), "TN Ø18 (Lần " &amp; INT(T540/20) &amp; ")", IF(AND(E540=20, INT(U540/20)&gt;INT(U539/20)), "TN Ø20 (Lần " &amp; INT(U540/20) &amp; ")", IF(AND(E540=22, INT(V540/20)&gt;INT(V539/20)), "TN Ø22 (Lần " &amp; INT(V540/20) &amp; ")", IF(AND(E540=25, INT(W540/20)&gt;INT(W539/20)), "TN Ø25 (Lần " &amp; INT(W540/20) &amp; ")", IF(AND(E540=28, INT(X540/20)&gt;INT(X539/20)), "TN Ø28 (Lần " &amp; INT(X540/20) &amp; ")", IF(AND(E540=32, INT(Y540/20)&gt;INT(Y539/20)), "TN Ø32 (Lần " &amp; INT(Y540/20) &amp; ")", IF(AND(F540="ASTM A416", INT(Z540/20)&gt;INT(Z539/20)), "TN Cáp 15.2 (Lần " &amp; INT(Z540/20) &amp; ")", "")))))))))))</f>
        <v/>
      </c>
      <c r="P540" s="20">
        <f>ROUND(P539 + IF(AND(E540&lt;=10, F540&lt;&gt;"ASTM A416"), L540, 0), 3)</f>
        <v/>
      </c>
      <c r="Q540" s="20">
        <f>ROUND(Q539 + IF(AND(E540=12, F540&lt;&gt;"ASTM A416"), L540, 0), 3)</f>
        <v/>
      </c>
      <c r="R540" s="20">
        <f>ROUND(R539 + IF(AND(E540=14, F540&lt;&gt;"ASTM A416"), L540, 0), 3)</f>
        <v/>
      </c>
      <c r="S540" s="20">
        <f>ROUND(S539 + IF(AND(E540=16, F540&lt;&gt;"ASTM A416"), L540, 0), 3)</f>
        <v/>
      </c>
      <c r="T540" s="20">
        <f>ROUND(T539 + IF(AND(E540=18, F540&lt;&gt;"ASTM A416"), L540, 0), 3)</f>
        <v/>
      </c>
      <c r="U540" s="20">
        <f>ROUND(U539 + IF(AND(E540=20, F540&lt;&gt;"ASTM A416"), L540, 0), 3)</f>
        <v/>
      </c>
      <c r="V540" s="20">
        <f>ROUND(V539 + IF(AND(E540=22, F540&lt;&gt;"ASTM A416"), L540, 0), 3)</f>
        <v/>
      </c>
      <c r="W540" s="20">
        <f>ROUND(W539 + IF(AND(E540=25, F540&lt;&gt;"ASTM A416"), L540, 0), 3)</f>
        <v/>
      </c>
      <c r="X540" s="20">
        <f>ROUND(X539 + IF(AND(E540=28, F540&lt;&gt;"ASTM A416"), L540, 0), 3)</f>
        <v/>
      </c>
      <c r="Y540" s="20">
        <f>ROUND(Y539 + IF(AND(E540=32, F540&lt;&gt;"ASTM A416"), L540, 0), 3)</f>
        <v/>
      </c>
      <c r="Z540" s="20">
        <f>ROUND(Z539 + IF(F540="ASTM A416", L540, 0), 3)</f>
        <v/>
      </c>
      <c r="AA540" s="11">
        <f>IF(INT(P540/20)&gt;INT(P539/20), "Lần " &amp; INT(P540/20), "")</f>
        <v/>
      </c>
      <c r="AB540" s="11">
        <f>IF(INT(Q540/20)&gt;INT(Q539/20), "Lần " &amp; INT(Q540/20), "")</f>
        <v/>
      </c>
      <c r="AC540" s="11">
        <f>IF(INT(R540/20)&gt;INT(R539/20), "Lần " &amp; INT(R540/20), "")</f>
        <v/>
      </c>
      <c r="AD540" s="11">
        <f>IF(INT(S540/20)&gt;INT(S539/20), "Lần " &amp; INT(S540/20), "")</f>
        <v/>
      </c>
      <c r="AE540" s="11">
        <f>IF(INT(T540/20)&gt;INT(T539/20), "Lần " &amp; INT(T540/20), "")</f>
        <v/>
      </c>
      <c r="AF540" s="11">
        <f>IF(INT(U540/20)&gt;INT(U539/20), "Lần " &amp; INT(U540/20), "")</f>
        <v/>
      </c>
      <c r="AG540" s="11">
        <f>IF(INT(V540/20)&gt;INT(V539/20), "Lần " &amp; INT(V540/20), "")</f>
        <v/>
      </c>
      <c r="AH540" s="11">
        <f>IF(INT(W540/20)&gt;INT(W539/20), "Lần " &amp; INT(W540/20), "")</f>
        <v/>
      </c>
      <c r="AI540" s="11">
        <f>IF(INT(X540/20)&gt;INT(X539/20), "Lần " &amp; INT(X540/20), "")</f>
        <v/>
      </c>
      <c r="AJ540" s="11">
        <f>IF(INT(Y540/20)&gt;INT(Y539/20), "Lần " &amp; INT(Y540/20), "")</f>
        <v/>
      </c>
      <c r="AK540" s="11">
        <f>IF(INT(Z540/20)&gt;INT(Z539/20), "Lần " &amp; INT(Z540/20), "")</f>
        <v/>
      </c>
      <c r="AL540" s="6" t="inlineStr">
        <is>
          <t>ĐẠT TCVN 1651:2018</t>
        </is>
      </c>
    </row>
    <row r="541" ht="19" customHeight="1">
      <c r="A541" s="6" t="n">
        <v>510</v>
      </c>
      <c r="B541" s="7" t="inlineStr">
        <is>
          <t>Mố M2</t>
        </is>
      </c>
      <c r="C541" s="7" t="inlineStr">
        <is>
          <t>Thân mố / Bệ mố</t>
        </is>
      </c>
      <c r="D541" s="18" t="inlineStr">
        <is>
          <t>A5</t>
        </is>
      </c>
      <c r="E541" s="19" t="n">
        <v>16</v>
      </c>
      <c r="F541" s="6" t="inlineStr">
        <is>
          <t>CB400-V</t>
        </is>
      </c>
      <c r="G541" s="7" t="inlineStr">
        <is>
          <t>S06</t>
        </is>
      </c>
      <c r="H541" s="20" t="n">
        <v>13.489</v>
      </c>
      <c r="I541" s="21" t="n">
        <v>7</v>
      </c>
      <c r="J541" s="22" t="n">
        <v>1.58</v>
      </c>
      <c r="K541" s="9">
        <f>ROUND(H541*I541*J541, 2)</f>
        <v/>
      </c>
      <c r="L541" s="23">
        <f>ROUND(K541/1000, 3)</f>
        <v/>
      </c>
      <c r="M541" s="8" t="n"/>
      <c r="N541" s="6" t="n"/>
      <c r="O541" s="24">
        <f>IF(AND(E541&lt;=10, F541&lt;&gt;"ASTM A416", INT(P541/20)&gt;INT(P540/20)), "TN Ø10 (Lần " &amp; INT(P541/20) &amp; ")", IF(AND(E541=12, INT(Q541/20)&gt;INT(Q540/20)), "TN Ø12 (Lần " &amp; INT(Q541/20) &amp; ")", IF(AND(E541=14, INT(R541/20)&gt;INT(R540/20)), "TN Ø14 (Lần " &amp; INT(R541/20) &amp; ")", IF(AND(E541=16, INT(S541/20)&gt;INT(S540/20)), "TN Ø16 (Lần " &amp; INT(S541/20) &amp; ")", IF(AND(E541=18, INT(T541/20)&gt;INT(T540/20)), "TN Ø18 (Lần " &amp; INT(T541/20) &amp; ")", IF(AND(E541=20, INT(U541/20)&gt;INT(U540/20)), "TN Ø20 (Lần " &amp; INT(U541/20) &amp; ")", IF(AND(E541=22, INT(V541/20)&gt;INT(V540/20)), "TN Ø22 (Lần " &amp; INT(V541/20) &amp; ")", IF(AND(E541=25, INT(W541/20)&gt;INT(W540/20)), "TN Ø25 (Lần " &amp; INT(W541/20) &amp; ")", IF(AND(E541=28, INT(X541/20)&gt;INT(X540/20)), "TN Ø28 (Lần " &amp; INT(X541/20) &amp; ")", IF(AND(E541=32, INT(Y541/20)&gt;INT(Y540/20)), "TN Ø32 (Lần " &amp; INT(Y541/20) &amp; ")", IF(AND(F541="ASTM A416", INT(Z541/20)&gt;INT(Z540/20)), "TN Cáp 15.2 (Lần " &amp; INT(Z541/20) &amp; ")", "")))))))))))</f>
        <v/>
      </c>
      <c r="P541" s="20">
        <f>ROUND(P540 + IF(AND(E541&lt;=10, F541&lt;&gt;"ASTM A416"), L541, 0), 3)</f>
        <v/>
      </c>
      <c r="Q541" s="20">
        <f>ROUND(Q540 + IF(AND(E541=12, F541&lt;&gt;"ASTM A416"), L541, 0), 3)</f>
        <v/>
      </c>
      <c r="R541" s="20">
        <f>ROUND(R540 + IF(AND(E541=14, F541&lt;&gt;"ASTM A416"), L541, 0), 3)</f>
        <v/>
      </c>
      <c r="S541" s="20">
        <f>ROUND(S540 + IF(AND(E541=16, F541&lt;&gt;"ASTM A416"), L541, 0), 3)</f>
        <v/>
      </c>
      <c r="T541" s="20">
        <f>ROUND(T540 + IF(AND(E541=18, F541&lt;&gt;"ASTM A416"), L541, 0), 3)</f>
        <v/>
      </c>
      <c r="U541" s="20">
        <f>ROUND(U540 + IF(AND(E541=20, F541&lt;&gt;"ASTM A416"), L541, 0), 3)</f>
        <v/>
      </c>
      <c r="V541" s="20">
        <f>ROUND(V540 + IF(AND(E541=22, F541&lt;&gt;"ASTM A416"), L541, 0), 3)</f>
        <v/>
      </c>
      <c r="W541" s="20">
        <f>ROUND(W540 + IF(AND(E541=25, F541&lt;&gt;"ASTM A416"), L541, 0), 3)</f>
        <v/>
      </c>
      <c r="X541" s="20">
        <f>ROUND(X540 + IF(AND(E541=28, F541&lt;&gt;"ASTM A416"), L541, 0), 3)</f>
        <v/>
      </c>
      <c r="Y541" s="20">
        <f>ROUND(Y540 + IF(AND(E541=32, F541&lt;&gt;"ASTM A416"), L541, 0), 3)</f>
        <v/>
      </c>
      <c r="Z541" s="20">
        <f>ROUND(Z540 + IF(F541="ASTM A416", L541, 0), 3)</f>
        <v/>
      </c>
      <c r="AA541" s="11">
        <f>IF(INT(P541/20)&gt;INT(P540/20), "Lần " &amp; INT(P541/20), "")</f>
        <v/>
      </c>
      <c r="AB541" s="11">
        <f>IF(INT(Q541/20)&gt;INT(Q540/20), "Lần " &amp; INT(Q541/20), "")</f>
        <v/>
      </c>
      <c r="AC541" s="11">
        <f>IF(INT(R541/20)&gt;INT(R540/20), "Lần " &amp; INT(R541/20), "")</f>
        <v/>
      </c>
      <c r="AD541" s="11">
        <f>IF(INT(S541/20)&gt;INT(S540/20), "Lần " &amp; INT(S541/20), "")</f>
        <v/>
      </c>
      <c r="AE541" s="11">
        <f>IF(INT(T541/20)&gt;INT(T540/20), "Lần " &amp; INT(T541/20), "")</f>
        <v/>
      </c>
      <c r="AF541" s="11">
        <f>IF(INT(U541/20)&gt;INT(U540/20), "Lần " &amp; INT(U541/20), "")</f>
        <v/>
      </c>
      <c r="AG541" s="11">
        <f>IF(INT(V541/20)&gt;INT(V540/20), "Lần " &amp; INT(V541/20), "")</f>
        <v/>
      </c>
      <c r="AH541" s="11">
        <f>IF(INT(W541/20)&gt;INT(W540/20), "Lần " &amp; INT(W541/20), "")</f>
        <v/>
      </c>
      <c r="AI541" s="11">
        <f>IF(INT(X541/20)&gt;INT(X540/20), "Lần " &amp; INT(X541/20), "")</f>
        <v/>
      </c>
      <c r="AJ541" s="11">
        <f>IF(INT(Y541/20)&gt;INT(Y540/20), "Lần " &amp; INT(Y541/20), "")</f>
        <v/>
      </c>
      <c r="AK541" s="11">
        <f>IF(INT(Z541/20)&gt;INT(Z540/20), "Lần " &amp; INT(Z541/20), "")</f>
        <v/>
      </c>
      <c r="AL541" s="6" t="inlineStr">
        <is>
          <t>ĐẠT TCVN 1651:2018</t>
        </is>
      </c>
    </row>
    <row r="542" ht="19" customHeight="1">
      <c r="A542" s="6" t="n">
        <v>511</v>
      </c>
      <c r="B542" s="7" t="inlineStr">
        <is>
          <t>Mố M2</t>
        </is>
      </c>
      <c r="C542" s="7" t="inlineStr">
        <is>
          <t>Thân mố / Bệ mố</t>
        </is>
      </c>
      <c r="D542" s="18" t="inlineStr">
        <is>
          <t>A6</t>
        </is>
      </c>
      <c r="E542" s="19" t="n">
        <v>16</v>
      </c>
      <c r="F542" s="6" t="inlineStr">
        <is>
          <t>CB400-V</t>
        </is>
      </c>
      <c r="G542" s="7" t="inlineStr">
        <is>
          <t>S06</t>
        </is>
      </c>
      <c r="H542" s="20" t="n">
        <v>1.807</v>
      </c>
      <c r="I542" s="21" t="n">
        <v>78</v>
      </c>
      <c r="J542" s="22" t="n">
        <v>1.58</v>
      </c>
      <c r="K542" s="9">
        <f>ROUND(H542*I542*J542, 2)</f>
        <v/>
      </c>
      <c r="L542" s="23">
        <f>ROUND(K542/1000, 3)</f>
        <v/>
      </c>
      <c r="M542" s="8" t="n"/>
      <c r="N542" s="6" t="n"/>
      <c r="O542" s="24">
        <f>IF(AND(E542&lt;=10, F542&lt;&gt;"ASTM A416", INT(P542/20)&gt;INT(P541/20)), "TN Ø10 (Lần " &amp; INT(P542/20) &amp; ")", IF(AND(E542=12, INT(Q542/20)&gt;INT(Q541/20)), "TN Ø12 (Lần " &amp; INT(Q542/20) &amp; ")", IF(AND(E542=14, INT(R542/20)&gt;INT(R541/20)), "TN Ø14 (Lần " &amp; INT(R542/20) &amp; ")", IF(AND(E542=16, INT(S542/20)&gt;INT(S541/20)), "TN Ø16 (Lần " &amp; INT(S542/20) &amp; ")", IF(AND(E542=18, INT(T542/20)&gt;INT(T541/20)), "TN Ø18 (Lần " &amp; INT(T542/20) &amp; ")", IF(AND(E542=20, INT(U542/20)&gt;INT(U541/20)), "TN Ø20 (Lần " &amp; INT(U542/20) &amp; ")", IF(AND(E542=22, INT(V542/20)&gt;INT(V541/20)), "TN Ø22 (Lần " &amp; INT(V542/20) &amp; ")", IF(AND(E542=25, INT(W542/20)&gt;INT(W541/20)), "TN Ø25 (Lần " &amp; INT(W542/20) &amp; ")", IF(AND(E542=28, INT(X542/20)&gt;INT(X541/20)), "TN Ø28 (Lần " &amp; INT(X542/20) &amp; ")", IF(AND(E542=32, INT(Y542/20)&gt;INT(Y541/20)), "TN Ø32 (Lần " &amp; INT(Y542/20) &amp; ")", IF(AND(F542="ASTM A416", INT(Z542/20)&gt;INT(Z541/20)), "TN Cáp 15.2 (Lần " &amp; INT(Z542/20) &amp; ")", "")))))))))))</f>
        <v/>
      </c>
      <c r="P542" s="20">
        <f>ROUND(P541 + IF(AND(E542&lt;=10, F542&lt;&gt;"ASTM A416"), L542, 0), 3)</f>
        <v/>
      </c>
      <c r="Q542" s="20">
        <f>ROUND(Q541 + IF(AND(E542=12, F542&lt;&gt;"ASTM A416"), L542, 0), 3)</f>
        <v/>
      </c>
      <c r="R542" s="20">
        <f>ROUND(R541 + IF(AND(E542=14, F542&lt;&gt;"ASTM A416"), L542, 0), 3)</f>
        <v/>
      </c>
      <c r="S542" s="20">
        <f>ROUND(S541 + IF(AND(E542=16, F542&lt;&gt;"ASTM A416"), L542, 0), 3)</f>
        <v/>
      </c>
      <c r="T542" s="20">
        <f>ROUND(T541 + IF(AND(E542=18, F542&lt;&gt;"ASTM A416"), L542, 0), 3)</f>
        <v/>
      </c>
      <c r="U542" s="20">
        <f>ROUND(U541 + IF(AND(E542=20, F542&lt;&gt;"ASTM A416"), L542, 0), 3)</f>
        <v/>
      </c>
      <c r="V542" s="20">
        <f>ROUND(V541 + IF(AND(E542=22, F542&lt;&gt;"ASTM A416"), L542, 0), 3)</f>
        <v/>
      </c>
      <c r="W542" s="20">
        <f>ROUND(W541 + IF(AND(E542=25, F542&lt;&gt;"ASTM A416"), L542, 0), 3)</f>
        <v/>
      </c>
      <c r="X542" s="20">
        <f>ROUND(X541 + IF(AND(E542=28, F542&lt;&gt;"ASTM A416"), L542, 0), 3)</f>
        <v/>
      </c>
      <c r="Y542" s="20">
        <f>ROUND(Y541 + IF(AND(E542=32, F542&lt;&gt;"ASTM A416"), L542, 0), 3)</f>
        <v/>
      </c>
      <c r="Z542" s="20">
        <f>ROUND(Z541 + IF(F542="ASTM A416", L542, 0), 3)</f>
        <v/>
      </c>
      <c r="AA542" s="11">
        <f>IF(INT(P542/20)&gt;INT(P541/20), "Lần " &amp; INT(P542/20), "")</f>
        <v/>
      </c>
      <c r="AB542" s="11">
        <f>IF(INT(Q542/20)&gt;INT(Q541/20), "Lần " &amp; INT(Q542/20), "")</f>
        <v/>
      </c>
      <c r="AC542" s="11">
        <f>IF(INT(R542/20)&gt;INT(R541/20), "Lần " &amp; INT(R542/20), "")</f>
        <v/>
      </c>
      <c r="AD542" s="11">
        <f>IF(INT(S542/20)&gt;INT(S541/20), "Lần " &amp; INT(S542/20), "")</f>
        <v/>
      </c>
      <c r="AE542" s="11">
        <f>IF(INT(T542/20)&gt;INT(T541/20), "Lần " &amp; INT(T542/20), "")</f>
        <v/>
      </c>
      <c r="AF542" s="11">
        <f>IF(INT(U542/20)&gt;INT(U541/20), "Lần " &amp; INT(U542/20), "")</f>
        <v/>
      </c>
      <c r="AG542" s="11">
        <f>IF(INT(V542/20)&gt;INT(V541/20), "Lần " &amp; INT(V542/20), "")</f>
        <v/>
      </c>
      <c r="AH542" s="11">
        <f>IF(INT(W542/20)&gt;INT(W541/20), "Lần " &amp; INT(W542/20), "")</f>
        <v/>
      </c>
      <c r="AI542" s="11">
        <f>IF(INT(X542/20)&gt;INT(X541/20), "Lần " &amp; INT(X542/20), "")</f>
        <v/>
      </c>
      <c r="AJ542" s="11">
        <f>IF(INT(Y542/20)&gt;INT(Y541/20), "Lần " &amp; INT(Y542/20), "")</f>
        <v/>
      </c>
      <c r="AK542" s="11">
        <f>IF(INT(Z542/20)&gt;INT(Z541/20), "Lần " &amp; INT(Z542/20), "")</f>
        <v/>
      </c>
      <c r="AL542" s="6" t="inlineStr">
        <is>
          <t>ĐẠT TCVN 1651:2018</t>
        </is>
      </c>
    </row>
    <row r="543" ht="19" customHeight="1">
      <c r="A543" s="6" t="n">
        <v>512</v>
      </c>
      <c r="B543" s="7" t="inlineStr">
        <is>
          <t>Mố M2</t>
        </is>
      </c>
      <c r="C543" s="7" t="inlineStr">
        <is>
          <t>Thân mố / Bệ mố</t>
        </is>
      </c>
      <c r="D543" s="18" t="inlineStr">
        <is>
          <t>A7</t>
        </is>
      </c>
      <c r="E543" s="19" t="n">
        <v>14</v>
      </c>
      <c r="F543" s="6" t="inlineStr">
        <is>
          <t>CB400-V</t>
        </is>
      </c>
      <c r="G543" s="7" t="inlineStr">
        <is>
          <t>S06</t>
        </is>
      </c>
      <c r="H543" s="20" t="n">
        <v>1.585</v>
      </c>
      <c r="I543" s="21" t="n">
        <v>200</v>
      </c>
      <c r="J543" s="22" t="n">
        <v>1.21</v>
      </c>
      <c r="K543" s="9">
        <f>ROUND(H543*I543*J543, 2)</f>
        <v/>
      </c>
      <c r="L543" s="23">
        <f>ROUND(K543/1000, 3)</f>
        <v/>
      </c>
      <c r="M543" s="8" t="n"/>
      <c r="N543" s="6" t="n"/>
      <c r="O543" s="24">
        <f>IF(AND(E543&lt;=10, F543&lt;&gt;"ASTM A416", INT(P543/20)&gt;INT(P542/20)), "TN Ø10 (Lần " &amp; INT(P543/20) &amp; ")", IF(AND(E543=12, INT(Q543/20)&gt;INT(Q542/20)), "TN Ø12 (Lần " &amp; INT(Q543/20) &amp; ")", IF(AND(E543=14, INT(R543/20)&gt;INT(R542/20)), "TN Ø14 (Lần " &amp; INT(R543/20) &amp; ")", IF(AND(E543=16, INT(S543/20)&gt;INT(S542/20)), "TN Ø16 (Lần " &amp; INT(S543/20) &amp; ")", IF(AND(E543=18, INT(T543/20)&gt;INT(T542/20)), "TN Ø18 (Lần " &amp; INT(T543/20) &amp; ")", IF(AND(E543=20, INT(U543/20)&gt;INT(U542/20)), "TN Ø20 (Lần " &amp; INT(U543/20) &amp; ")", IF(AND(E543=22, INT(V543/20)&gt;INT(V542/20)), "TN Ø22 (Lần " &amp; INT(V543/20) &amp; ")", IF(AND(E543=25, INT(W543/20)&gt;INT(W542/20)), "TN Ø25 (Lần " &amp; INT(W543/20) &amp; ")", IF(AND(E543=28, INT(X543/20)&gt;INT(X542/20)), "TN Ø28 (Lần " &amp; INT(X543/20) &amp; ")", IF(AND(E543=32, INT(Y543/20)&gt;INT(Y542/20)), "TN Ø32 (Lần " &amp; INT(Y543/20) &amp; ")", IF(AND(F543="ASTM A416", INT(Z543/20)&gt;INT(Z542/20)), "TN Cáp 15.2 (Lần " &amp; INT(Z543/20) &amp; ")", "")))))))))))</f>
        <v/>
      </c>
      <c r="P543" s="20">
        <f>ROUND(P542 + IF(AND(E543&lt;=10, F543&lt;&gt;"ASTM A416"), L543, 0), 3)</f>
        <v/>
      </c>
      <c r="Q543" s="20">
        <f>ROUND(Q542 + IF(AND(E543=12, F543&lt;&gt;"ASTM A416"), L543, 0), 3)</f>
        <v/>
      </c>
      <c r="R543" s="20">
        <f>ROUND(R542 + IF(AND(E543=14, F543&lt;&gt;"ASTM A416"), L543, 0), 3)</f>
        <v/>
      </c>
      <c r="S543" s="20">
        <f>ROUND(S542 + IF(AND(E543=16, F543&lt;&gt;"ASTM A416"), L543, 0), 3)</f>
        <v/>
      </c>
      <c r="T543" s="20">
        <f>ROUND(T542 + IF(AND(E543=18, F543&lt;&gt;"ASTM A416"), L543, 0), 3)</f>
        <v/>
      </c>
      <c r="U543" s="20">
        <f>ROUND(U542 + IF(AND(E543=20, F543&lt;&gt;"ASTM A416"), L543, 0), 3)</f>
        <v/>
      </c>
      <c r="V543" s="20">
        <f>ROUND(V542 + IF(AND(E543=22, F543&lt;&gt;"ASTM A416"), L543, 0), 3)</f>
        <v/>
      </c>
      <c r="W543" s="20">
        <f>ROUND(W542 + IF(AND(E543=25, F543&lt;&gt;"ASTM A416"), L543, 0), 3)</f>
        <v/>
      </c>
      <c r="X543" s="20">
        <f>ROUND(X542 + IF(AND(E543=28, F543&lt;&gt;"ASTM A416"), L543, 0), 3)</f>
        <v/>
      </c>
      <c r="Y543" s="20">
        <f>ROUND(Y542 + IF(AND(E543=32, F543&lt;&gt;"ASTM A416"), L543, 0), 3)</f>
        <v/>
      </c>
      <c r="Z543" s="20">
        <f>ROUND(Z542 + IF(F543="ASTM A416", L543, 0), 3)</f>
        <v/>
      </c>
      <c r="AA543" s="11">
        <f>IF(INT(P543/20)&gt;INT(P542/20), "Lần " &amp; INT(P543/20), "")</f>
        <v/>
      </c>
      <c r="AB543" s="11">
        <f>IF(INT(Q543/20)&gt;INT(Q542/20), "Lần " &amp; INT(Q543/20), "")</f>
        <v/>
      </c>
      <c r="AC543" s="11">
        <f>IF(INT(R543/20)&gt;INT(R542/20), "Lần " &amp; INT(R543/20), "")</f>
        <v/>
      </c>
      <c r="AD543" s="11">
        <f>IF(INT(S543/20)&gt;INT(S542/20), "Lần " &amp; INT(S543/20), "")</f>
        <v/>
      </c>
      <c r="AE543" s="11">
        <f>IF(INT(T543/20)&gt;INT(T542/20), "Lần " &amp; INT(T543/20), "")</f>
        <v/>
      </c>
      <c r="AF543" s="11">
        <f>IF(INT(U543/20)&gt;INT(U542/20), "Lần " &amp; INT(U543/20), "")</f>
        <v/>
      </c>
      <c r="AG543" s="11">
        <f>IF(INT(V543/20)&gt;INT(V542/20), "Lần " &amp; INT(V543/20), "")</f>
        <v/>
      </c>
      <c r="AH543" s="11">
        <f>IF(INT(W543/20)&gt;INT(W542/20), "Lần " &amp; INT(W543/20), "")</f>
        <v/>
      </c>
      <c r="AI543" s="11">
        <f>IF(INT(X543/20)&gt;INT(X542/20), "Lần " &amp; INT(X543/20), "")</f>
        <v/>
      </c>
      <c r="AJ543" s="11">
        <f>IF(INT(Y543/20)&gt;INT(Y542/20), "Lần " &amp; INT(Y543/20), "")</f>
        <v/>
      </c>
      <c r="AK543" s="11">
        <f>IF(INT(Z543/20)&gt;INT(Z542/20), "Lần " &amp; INT(Z543/20), "")</f>
        <v/>
      </c>
      <c r="AL543" s="6" t="inlineStr">
        <is>
          <t>ĐẠT TCVN 1651:2018</t>
        </is>
      </c>
    </row>
    <row r="544" ht="19" customHeight="1">
      <c r="A544" s="6" t="n">
        <v>513</v>
      </c>
      <c r="B544" s="7" t="inlineStr">
        <is>
          <t>Mố M2</t>
        </is>
      </c>
      <c r="C544" s="7" t="inlineStr">
        <is>
          <t>Thân mố / Bệ mố</t>
        </is>
      </c>
      <c r="D544" s="18" t="inlineStr">
        <is>
          <t>A8(T)</t>
        </is>
      </c>
      <c r="E544" s="19" t="n">
        <v>16</v>
      </c>
      <c r="F544" s="6" t="inlineStr">
        <is>
          <t>CB400-V</t>
        </is>
      </c>
      <c r="G544" s="7" t="inlineStr">
        <is>
          <t>S02</t>
        </is>
      </c>
      <c r="H544" s="20" t="n">
        <v>8.002000000000001</v>
      </c>
      <c r="I544" s="21" t="n">
        <v>7</v>
      </c>
      <c r="J544" s="22" t="n">
        <v>1.58</v>
      </c>
      <c r="K544" s="9">
        <f>ROUND(H544*I544*J544, 2)</f>
        <v/>
      </c>
      <c r="L544" s="23">
        <f>ROUND(K544/1000, 3)</f>
        <v/>
      </c>
      <c r="M544" s="8" t="n"/>
      <c r="N544" s="6" t="n"/>
      <c r="O544" s="24">
        <f>IF(AND(E544&lt;=10, F544&lt;&gt;"ASTM A416", INT(P544/20)&gt;INT(P543/20)), "TN Ø10 (Lần " &amp; INT(P544/20) &amp; ")", IF(AND(E544=12, INT(Q544/20)&gt;INT(Q543/20)), "TN Ø12 (Lần " &amp; INT(Q544/20) &amp; ")", IF(AND(E544=14, INT(R544/20)&gt;INT(R543/20)), "TN Ø14 (Lần " &amp; INT(R544/20) &amp; ")", IF(AND(E544=16, INT(S544/20)&gt;INT(S543/20)), "TN Ø16 (Lần " &amp; INT(S544/20) &amp; ")", IF(AND(E544=18, INT(T544/20)&gt;INT(T543/20)), "TN Ø18 (Lần " &amp; INT(T544/20) &amp; ")", IF(AND(E544=20, INT(U544/20)&gt;INT(U543/20)), "TN Ø20 (Lần " &amp; INT(U544/20) &amp; ")", IF(AND(E544=22, INT(V544/20)&gt;INT(V543/20)), "TN Ø22 (Lần " &amp; INT(V544/20) &amp; ")", IF(AND(E544=25, INT(W544/20)&gt;INT(W543/20)), "TN Ø25 (Lần " &amp; INT(W544/20) &amp; ")", IF(AND(E544=28, INT(X544/20)&gt;INT(X543/20)), "TN Ø28 (Lần " &amp; INT(X544/20) &amp; ")", IF(AND(E544=32, INT(Y544/20)&gt;INT(Y543/20)), "TN Ø32 (Lần " &amp; INT(Y544/20) &amp; ")", IF(AND(F544="ASTM A416", INT(Z544/20)&gt;INT(Z543/20)), "TN Cáp 15.2 (Lần " &amp; INT(Z544/20) &amp; ")", "")))))))))))</f>
        <v/>
      </c>
      <c r="P544" s="20">
        <f>ROUND(P543 + IF(AND(E544&lt;=10, F544&lt;&gt;"ASTM A416"), L544, 0), 3)</f>
        <v/>
      </c>
      <c r="Q544" s="20">
        <f>ROUND(Q543 + IF(AND(E544=12, F544&lt;&gt;"ASTM A416"), L544, 0), 3)</f>
        <v/>
      </c>
      <c r="R544" s="20">
        <f>ROUND(R543 + IF(AND(E544=14, F544&lt;&gt;"ASTM A416"), L544, 0), 3)</f>
        <v/>
      </c>
      <c r="S544" s="20">
        <f>ROUND(S543 + IF(AND(E544=16, F544&lt;&gt;"ASTM A416"), L544, 0), 3)</f>
        <v/>
      </c>
      <c r="T544" s="20">
        <f>ROUND(T543 + IF(AND(E544=18, F544&lt;&gt;"ASTM A416"), L544, 0), 3)</f>
        <v/>
      </c>
      <c r="U544" s="20">
        <f>ROUND(U543 + IF(AND(E544=20, F544&lt;&gt;"ASTM A416"), L544, 0), 3)</f>
        <v/>
      </c>
      <c r="V544" s="20">
        <f>ROUND(V543 + IF(AND(E544=22, F544&lt;&gt;"ASTM A416"), L544, 0), 3)</f>
        <v/>
      </c>
      <c r="W544" s="20">
        <f>ROUND(W543 + IF(AND(E544=25, F544&lt;&gt;"ASTM A416"), L544, 0), 3)</f>
        <v/>
      </c>
      <c r="X544" s="20">
        <f>ROUND(X543 + IF(AND(E544=28, F544&lt;&gt;"ASTM A416"), L544, 0), 3)</f>
        <v/>
      </c>
      <c r="Y544" s="20">
        <f>ROUND(Y543 + IF(AND(E544=32, F544&lt;&gt;"ASTM A416"), L544, 0), 3)</f>
        <v/>
      </c>
      <c r="Z544" s="20">
        <f>ROUND(Z543 + IF(F544="ASTM A416", L544, 0), 3)</f>
        <v/>
      </c>
      <c r="AA544" s="11">
        <f>IF(INT(P544/20)&gt;INT(P543/20), "Lần " &amp; INT(P544/20), "")</f>
        <v/>
      </c>
      <c r="AB544" s="11">
        <f>IF(INT(Q544/20)&gt;INT(Q543/20), "Lần " &amp; INT(Q544/20), "")</f>
        <v/>
      </c>
      <c r="AC544" s="11">
        <f>IF(INT(R544/20)&gt;INT(R543/20), "Lần " &amp; INT(R544/20), "")</f>
        <v/>
      </c>
      <c r="AD544" s="11">
        <f>IF(INT(S544/20)&gt;INT(S543/20), "Lần " &amp; INT(S544/20), "")</f>
        <v/>
      </c>
      <c r="AE544" s="11">
        <f>IF(INT(T544/20)&gt;INT(T543/20), "Lần " &amp; INT(T544/20), "")</f>
        <v/>
      </c>
      <c r="AF544" s="11">
        <f>IF(INT(U544/20)&gt;INT(U543/20), "Lần " &amp; INT(U544/20), "")</f>
        <v/>
      </c>
      <c r="AG544" s="11">
        <f>IF(INT(V544/20)&gt;INT(V543/20), "Lần " &amp; INT(V544/20), "")</f>
        <v/>
      </c>
      <c r="AH544" s="11">
        <f>IF(INT(W544/20)&gt;INT(W543/20), "Lần " &amp; INT(W544/20), "")</f>
        <v/>
      </c>
      <c r="AI544" s="11">
        <f>IF(INT(X544/20)&gt;INT(X543/20), "Lần " &amp; INT(X544/20), "")</f>
        <v/>
      </c>
      <c r="AJ544" s="11">
        <f>IF(INT(Y544/20)&gt;INT(Y543/20), "Lần " &amp; INT(Y544/20), "")</f>
        <v/>
      </c>
      <c r="AK544" s="11">
        <f>IF(INT(Z544/20)&gt;INT(Z543/20), "Lần " &amp; INT(Z544/20), "")</f>
        <v/>
      </c>
      <c r="AL544" s="6" t="inlineStr">
        <is>
          <t>ĐẠT TCVN 1651:2018</t>
        </is>
      </c>
    </row>
    <row r="545" ht="19" customHeight="1">
      <c r="A545" s="6" t="n">
        <v>514</v>
      </c>
      <c r="B545" s="7" t="inlineStr">
        <is>
          <t>Mố M2</t>
        </is>
      </c>
      <c r="C545" s="7" t="inlineStr">
        <is>
          <t>Thân mố / Bệ mố</t>
        </is>
      </c>
      <c r="D545" s="18" t="inlineStr">
        <is>
          <t>P1</t>
        </is>
      </c>
      <c r="E545" s="19" t="n">
        <v>16</v>
      </c>
      <c r="F545" s="6" t="inlineStr">
        <is>
          <t>CB400-V</t>
        </is>
      </c>
      <c r="G545" s="7" t="inlineStr">
        <is>
          <t>S06</t>
        </is>
      </c>
      <c r="H545" s="20" t="n">
        <v>13.487</v>
      </c>
      <c r="I545" s="21" t="n">
        <v>32</v>
      </c>
      <c r="J545" s="22" t="n">
        <v>1.58</v>
      </c>
      <c r="K545" s="9">
        <f>ROUND(H545*I545*J545, 2)</f>
        <v/>
      </c>
      <c r="L545" s="23">
        <f>ROUND(K545/1000, 3)</f>
        <v/>
      </c>
      <c r="M545" s="8" t="n"/>
      <c r="N545" s="6" t="n"/>
      <c r="O545" s="24">
        <f>IF(AND(E545&lt;=10, F545&lt;&gt;"ASTM A416", INT(P545/20)&gt;INT(P544/20)), "TN Ø10 (Lần " &amp; INT(P545/20) &amp; ")", IF(AND(E545=12, INT(Q545/20)&gt;INT(Q544/20)), "TN Ø12 (Lần " &amp; INT(Q545/20) &amp; ")", IF(AND(E545=14, INT(R545/20)&gt;INT(R544/20)), "TN Ø14 (Lần " &amp; INT(R545/20) &amp; ")", IF(AND(E545=16, INT(S545/20)&gt;INT(S544/20)), "TN Ø16 (Lần " &amp; INT(S545/20) &amp; ")", IF(AND(E545=18, INT(T545/20)&gt;INT(T544/20)), "TN Ø18 (Lần " &amp; INT(T545/20) &amp; ")", IF(AND(E545=20, INT(U545/20)&gt;INT(U544/20)), "TN Ø20 (Lần " &amp; INT(U545/20) &amp; ")", IF(AND(E545=22, INT(V545/20)&gt;INT(V544/20)), "TN Ø22 (Lần " &amp; INT(V545/20) &amp; ")", IF(AND(E545=25, INT(W545/20)&gt;INT(W544/20)), "TN Ø25 (Lần " &amp; INT(W545/20) &amp; ")", IF(AND(E545=28, INT(X545/20)&gt;INT(X544/20)), "TN Ø28 (Lần " &amp; INT(X545/20) &amp; ")", IF(AND(E545=32, INT(Y545/20)&gt;INT(Y544/20)), "TN Ø32 (Lần " &amp; INT(Y545/20) &amp; ")", IF(AND(F545="ASTM A416", INT(Z545/20)&gt;INT(Z544/20)), "TN Cáp 15.2 (Lần " &amp; INT(Z545/20) &amp; ")", "")))))))))))</f>
        <v/>
      </c>
      <c r="P545" s="20">
        <f>ROUND(P544 + IF(AND(E545&lt;=10, F545&lt;&gt;"ASTM A416"), L545, 0), 3)</f>
        <v/>
      </c>
      <c r="Q545" s="20">
        <f>ROUND(Q544 + IF(AND(E545=12, F545&lt;&gt;"ASTM A416"), L545, 0), 3)</f>
        <v/>
      </c>
      <c r="R545" s="20">
        <f>ROUND(R544 + IF(AND(E545=14, F545&lt;&gt;"ASTM A416"), L545, 0), 3)</f>
        <v/>
      </c>
      <c r="S545" s="20">
        <f>ROUND(S544 + IF(AND(E545=16, F545&lt;&gt;"ASTM A416"), L545, 0), 3)</f>
        <v/>
      </c>
      <c r="T545" s="20">
        <f>ROUND(T544 + IF(AND(E545=18, F545&lt;&gt;"ASTM A416"), L545, 0), 3)</f>
        <v/>
      </c>
      <c r="U545" s="20">
        <f>ROUND(U544 + IF(AND(E545=20, F545&lt;&gt;"ASTM A416"), L545, 0), 3)</f>
        <v/>
      </c>
      <c r="V545" s="20">
        <f>ROUND(V544 + IF(AND(E545=22, F545&lt;&gt;"ASTM A416"), L545, 0), 3)</f>
        <v/>
      </c>
      <c r="W545" s="20">
        <f>ROUND(W544 + IF(AND(E545=25, F545&lt;&gt;"ASTM A416"), L545, 0), 3)</f>
        <v/>
      </c>
      <c r="X545" s="20">
        <f>ROUND(X544 + IF(AND(E545=28, F545&lt;&gt;"ASTM A416"), L545, 0), 3)</f>
        <v/>
      </c>
      <c r="Y545" s="20">
        <f>ROUND(Y544 + IF(AND(E545=32, F545&lt;&gt;"ASTM A416"), L545, 0), 3)</f>
        <v/>
      </c>
      <c r="Z545" s="20">
        <f>ROUND(Z544 + IF(F545="ASTM A416", L545, 0), 3)</f>
        <v/>
      </c>
      <c r="AA545" s="11">
        <f>IF(INT(P545/20)&gt;INT(P544/20), "Lần " &amp; INT(P545/20), "")</f>
        <v/>
      </c>
      <c r="AB545" s="11">
        <f>IF(INT(Q545/20)&gt;INT(Q544/20), "Lần " &amp; INT(Q545/20), "")</f>
        <v/>
      </c>
      <c r="AC545" s="11">
        <f>IF(INT(R545/20)&gt;INT(R544/20), "Lần " &amp; INT(R545/20), "")</f>
        <v/>
      </c>
      <c r="AD545" s="11">
        <f>IF(INT(S545/20)&gt;INT(S544/20), "Lần " &amp; INT(S545/20), "")</f>
        <v/>
      </c>
      <c r="AE545" s="11">
        <f>IF(INT(T545/20)&gt;INT(T544/20), "Lần " &amp; INT(T545/20), "")</f>
        <v/>
      </c>
      <c r="AF545" s="11">
        <f>IF(INT(U545/20)&gt;INT(U544/20), "Lần " &amp; INT(U545/20), "")</f>
        <v/>
      </c>
      <c r="AG545" s="11">
        <f>IF(INT(V545/20)&gt;INT(V544/20), "Lần " &amp; INT(V545/20), "")</f>
        <v/>
      </c>
      <c r="AH545" s="11">
        <f>IF(INT(W545/20)&gt;INT(W544/20), "Lần " &amp; INT(W545/20), "")</f>
        <v/>
      </c>
      <c r="AI545" s="11">
        <f>IF(INT(X545/20)&gt;INT(X544/20), "Lần " &amp; INT(X545/20), "")</f>
        <v/>
      </c>
      <c r="AJ545" s="11">
        <f>IF(INT(Y545/20)&gt;INT(Y544/20), "Lần " &amp; INT(Y545/20), "")</f>
        <v/>
      </c>
      <c r="AK545" s="11">
        <f>IF(INT(Z545/20)&gt;INT(Z544/20), "Lần " &amp; INT(Z545/20), "")</f>
        <v/>
      </c>
      <c r="AL545" s="6" t="inlineStr">
        <is>
          <t>ĐẠT TCVN 1651:2018</t>
        </is>
      </c>
    </row>
    <row r="546" ht="19" customHeight="1">
      <c r="A546" s="6" t="n">
        <v>515</v>
      </c>
      <c r="B546" s="7" t="inlineStr">
        <is>
          <t>Mố M2</t>
        </is>
      </c>
      <c r="C546" s="7" t="inlineStr">
        <is>
          <t>Thân mố / Bệ mố</t>
        </is>
      </c>
      <c r="D546" s="18" t="inlineStr">
        <is>
          <t>P1A</t>
        </is>
      </c>
      <c r="E546" s="19" t="n">
        <v>16</v>
      </c>
      <c r="F546" s="6" t="inlineStr">
        <is>
          <t>CB400-V</t>
        </is>
      </c>
      <c r="G546" s="7" t="inlineStr">
        <is>
          <t>S06</t>
        </is>
      </c>
      <c r="H546" s="20" t="n">
        <v>13.489</v>
      </c>
      <c r="I546" s="21" t="n">
        <v>2</v>
      </c>
      <c r="J546" s="22" t="n">
        <v>1.58</v>
      </c>
      <c r="K546" s="9">
        <f>ROUND(H546*I546*J546, 2)</f>
        <v/>
      </c>
      <c r="L546" s="23">
        <f>ROUND(K546/1000, 3)</f>
        <v/>
      </c>
      <c r="M546" s="8" t="n"/>
      <c r="N546" s="6" t="n"/>
      <c r="O546" s="24">
        <f>IF(AND(E546&lt;=10, F546&lt;&gt;"ASTM A416", INT(P546/20)&gt;INT(P545/20)), "TN Ø10 (Lần " &amp; INT(P546/20) &amp; ")", IF(AND(E546=12, INT(Q546/20)&gt;INT(Q545/20)), "TN Ø12 (Lần " &amp; INT(Q546/20) &amp; ")", IF(AND(E546=14, INT(R546/20)&gt;INT(R545/20)), "TN Ø14 (Lần " &amp; INT(R546/20) &amp; ")", IF(AND(E546=16, INT(S546/20)&gt;INT(S545/20)), "TN Ø16 (Lần " &amp; INT(S546/20) &amp; ")", IF(AND(E546=18, INT(T546/20)&gt;INT(T545/20)), "TN Ø18 (Lần " &amp; INT(T546/20) &amp; ")", IF(AND(E546=20, INT(U546/20)&gt;INT(U545/20)), "TN Ø20 (Lần " &amp; INT(U546/20) &amp; ")", IF(AND(E546=22, INT(V546/20)&gt;INT(V545/20)), "TN Ø22 (Lần " &amp; INT(V546/20) &amp; ")", IF(AND(E546=25, INT(W546/20)&gt;INT(W545/20)), "TN Ø25 (Lần " &amp; INT(W546/20) &amp; ")", IF(AND(E546=28, INT(X546/20)&gt;INT(X545/20)), "TN Ø28 (Lần " &amp; INT(X546/20) &amp; ")", IF(AND(E546=32, INT(Y546/20)&gt;INT(Y545/20)), "TN Ø32 (Lần " &amp; INT(Y546/20) &amp; ")", IF(AND(F546="ASTM A416", INT(Z546/20)&gt;INT(Z545/20)), "TN Cáp 15.2 (Lần " &amp; INT(Z546/20) &amp; ")", "")))))))))))</f>
        <v/>
      </c>
      <c r="P546" s="20">
        <f>ROUND(P545 + IF(AND(E546&lt;=10, F546&lt;&gt;"ASTM A416"), L546, 0), 3)</f>
        <v/>
      </c>
      <c r="Q546" s="20">
        <f>ROUND(Q545 + IF(AND(E546=12, F546&lt;&gt;"ASTM A416"), L546, 0), 3)</f>
        <v/>
      </c>
      <c r="R546" s="20">
        <f>ROUND(R545 + IF(AND(E546=14, F546&lt;&gt;"ASTM A416"), L546, 0), 3)</f>
        <v/>
      </c>
      <c r="S546" s="20">
        <f>ROUND(S545 + IF(AND(E546=16, F546&lt;&gt;"ASTM A416"), L546, 0), 3)</f>
        <v/>
      </c>
      <c r="T546" s="20">
        <f>ROUND(T545 + IF(AND(E546=18, F546&lt;&gt;"ASTM A416"), L546, 0), 3)</f>
        <v/>
      </c>
      <c r="U546" s="20">
        <f>ROUND(U545 + IF(AND(E546=20, F546&lt;&gt;"ASTM A416"), L546, 0), 3)</f>
        <v/>
      </c>
      <c r="V546" s="20">
        <f>ROUND(V545 + IF(AND(E546=22, F546&lt;&gt;"ASTM A416"), L546, 0), 3)</f>
        <v/>
      </c>
      <c r="W546" s="20">
        <f>ROUND(W545 + IF(AND(E546=25, F546&lt;&gt;"ASTM A416"), L546, 0), 3)</f>
        <v/>
      </c>
      <c r="X546" s="20">
        <f>ROUND(X545 + IF(AND(E546=28, F546&lt;&gt;"ASTM A416"), L546, 0), 3)</f>
        <v/>
      </c>
      <c r="Y546" s="20">
        <f>ROUND(Y545 + IF(AND(E546=32, F546&lt;&gt;"ASTM A416"), L546, 0), 3)</f>
        <v/>
      </c>
      <c r="Z546" s="20">
        <f>ROUND(Z545 + IF(F546="ASTM A416", L546, 0), 3)</f>
        <v/>
      </c>
      <c r="AA546" s="11">
        <f>IF(INT(P546/20)&gt;INT(P545/20), "Lần " &amp; INT(P546/20), "")</f>
        <v/>
      </c>
      <c r="AB546" s="11">
        <f>IF(INT(Q546/20)&gt;INT(Q545/20), "Lần " &amp; INT(Q546/20), "")</f>
        <v/>
      </c>
      <c r="AC546" s="11">
        <f>IF(INT(R546/20)&gt;INT(R545/20), "Lần " &amp; INT(R546/20), "")</f>
        <v/>
      </c>
      <c r="AD546" s="11">
        <f>IF(INT(S546/20)&gt;INT(S545/20), "Lần " &amp; INT(S546/20), "")</f>
        <v/>
      </c>
      <c r="AE546" s="11">
        <f>IF(INT(T546/20)&gt;INT(T545/20), "Lần " &amp; INT(T546/20), "")</f>
        <v/>
      </c>
      <c r="AF546" s="11">
        <f>IF(INT(U546/20)&gt;INT(U545/20), "Lần " &amp; INT(U546/20), "")</f>
        <v/>
      </c>
      <c r="AG546" s="11">
        <f>IF(INT(V546/20)&gt;INT(V545/20), "Lần " &amp; INT(V546/20), "")</f>
        <v/>
      </c>
      <c r="AH546" s="11">
        <f>IF(INT(W546/20)&gt;INT(W545/20), "Lần " &amp; INT(W546/20), "")</f>
        <v/>
      </c>
      <c r="AI546" s="11">
        <f>IF(INT(X546/20)&gt;INT(X545/20), "Lần " &amp; INT(X546/20), "")</f>
        <v/>
      </c>
      <c r="AJ546" s="11">
        <f>IF(INT(Y546/20)&gt;INT(Y545/20), "Lần " &amp; INT(Y546/20), "")</f>
        <v/>
      </c>
      <c r="AK546" s="11">
        <f>IF(INT(Z546/20)&gt;INT(Z545/20), "Lần " &amp; INT(Z546/20), "")</f>
        <v/>
      </c>
      <c r="AL546" s="6" t="inlineStr">
        <is>
          <t>ĐẠT TCVN 1651:2018</t>
        </is>
      </c>
    </row>
    <row r="547" ht="19" customHeight="1">
      <c r="A547" s="6" t="n">
        <v>516</v>
      </c>
      <c r="B547" s="7" t="inlineStr">
        <is>
          <t>Mố M2</t>
        </is>
      </c>
      <c r="C547" s="7" t="inlineStr">
        <is>
          <t>Thân mố / Bệ mố</t>
        </is>
      </c>
      <c r="D547" s="18" t="inlineStr">
        <is>
          <t>P1B</t>
        </is>
      </c>
      <c r="E547" s="19" t="n">
        <v>16</v>
      </c>
      <c r="F547" s="6" t="inlineStr">
        <is>
          <t>CB400-V</t>
        </is>
      </c>
      <c r="G547" s="7" t="inlineStr">
        <is>
          <t>S06</t>
        </is>
      </c>
      <c r="H547" s="20" t="n">
        <v>11.372</v>
      </c>
      <c r="I547" s="21" t="n">
        <v>2</v>
      </c>
      <c r="J547" s="22" t="n">
        <v>1.58</v>
      </c>
      <c r="K547" s="9">
        <f>ROUND(H547*I547*J547, 2)</f>
        <v/>
      </c>
      <c r="L547" s="23">
        <f>ROUND(K547/1000, 3)</f>
        <v/>
      </c>
      <c r="M547" s="8" t="n"/>
      <c r="N547" s="6" t="n"/>
      <c r="O547" s="24">
        <f>IF(AND(E547&lt;=10, F547&lt;&gt;"ASTM A416", INT(P547/20)&gt;INT(P546/20)), "TN Ø10 (Lần " &amp; INT(P547/20) &amp; ")", IF(AND(E547=12, INT(Q547/20)&gt;INT(Q546/20)), "TN Ø12 (Lần " &amp; INT(Q547/20) &amp; ")", IF(AND(E547=14, INT(R547/20)&gt;INT(R546/20)), "TN Ø14 (Lần " &amp; INT(R547/20) &amp; ")", IF(AND(E547=16, INT(S547/20)&gt;INT(S546/20)), "TN Ø16 (Lần " &amp; INT(S547/20) &amp; ")", IF(AND(E547=18, INT(T547/20)&gt;INT(T546/20)), "TN Ø18 (Lần " &amp; INT(T547/20) &amp; ")", IF(AND(E547=20, INT(U547/20)&gt;INT(U546/20)), "TN Ø20 (Lần " &amp; INT(U547/20) &amp; ")", IF(AND(E547=22, INT(V547/20)&gt;INT(V546/20)), "TN Ø22 (Lần " &amp; INT(V547/20) &amp; ")", IF(AND(E547=25, INT(W547/20)&gt;INT(W546/20)), "TN Ø25 (Lần " &amp; INT(W547/20) &amp; ")", IF(AND(E547=28, INT(X547/20)&gt;INT(X546/20)), "TN Ø28 (Lần " &amp; INT(X547/20) &amp; ")", IF(AND(E547=32, INT(Y547/20)&gt;INT(Y546/20)), "TN Ø32 (Lần " &amp; INT(Y547/20) &amp; ")", IF(AND(F547="ASTM A416", INT(Z547/20)&gt;INT(Z546/20)), "TN Cáp 15.2 (Lần " &amp; INT(Z547/20) &amp; ")", "")))))))))))</f>
        <v/>
      </c>
      <c r="P547" s="20">
        <f>ROUND(P546 + IF(AND(E547&lt;=10, F547&lt;&gt;"ASTM A416"), L547, 0), 3)</f>
        <v/>
      </c>
      <c r="Q547" s="20">
        <f>ROUND(Q546 + IF(AND(E547=12, F547&lt;&gt;"ASTM A416"), L547, 0), 3)</f>
        <v/>
      </c>
      <c r="R547" s="20">
        <f>ROUND(R546 + IF(AND(E547=14, F547&lt;&gt;"ASTM A416"), L547, 0), 3)</f>
        <v/>
      </c>
      <c r="S547" s="20">
        <f>ROUND(S546 + IF(AND(E547=16, F547&lt;&gt;"ASTM A416"), L547, 0), 3)</f>
        <v/>
      </c>
      <c r="T547" s="20">
        <f>ROUND(T546 + IF(AND(E547=18, F547&lt;&gt;"ASTM A416"), L547, 0), 3)</f>
        <v/>
      </c>
      <c r="U547" s="20">
        <f>ROUND(U546 + IF(AND(E547=20, F547&lt;&gt;"ASTM A416"), L547, 0), 3)</f>
        <v/>
      </c>
      <c r="V547" s="20">
        <f>ROUND(V546 + IF(AND(E547=22, F547&lt;&gt;"ASTM A416"), L547, 0), 3)</f>
        <v/>
      </c>
      <c r="W547" s="20">
        <f>ROUND(W546 + IF(AND(E547=25, F547&lt;&gt;"ASTM A416"), L547, 0), 3)</f>
        <v/>
      </c>
      <c r="X547" s="20">
        <f>ROUND(X546 + IF(AND(E547=28, F547&lt;&gt;"ASTM A416"), L547, 0), 3)</f>
        <v/>
      </c>
      <c r="Y547" s="20">
        <f>ROUND(Y546 + IF(AND(E547=32, F547&lt;&gt;"ASTM A416"), L547, 0), 3)</f>
        <v/>
      </c>
      <c r="Z547" s="20">
        <f>ROUND(Z546 + IF(F547="ASTM A416", L547, 0), 3)</f>
        <v/>
      </c>
      <c r="AA547" s="11">
        <f>IF(INT(P547/20)&gt;INT(P546/20), "Lần " &amp; INT(P547/20), "")</f>
        <v/>
      </c>
      <c r="AB547" s="11">
        <f>IF(INT(Q547/20)&gt;INT(Q546/20), "Lần " &amp; INT(Q547/20), "")</f>
        <v/>
      </c>
      <c r="AC547" s="11">
        <f>IF(INT(R547/20)&gt;INT(R546/20), "Lần " &amp; INT(R547/20), "")</f>
        <v/>
      </c>
      <c r="AD547" s="11">
        <f>IF(INT(S547/20)&gt;INT(S546/20), "Lần " &amp; INT(S547/20), "")</f>
        <v/>
      </c>
      <c r="AE547" s="11">
        <f>IF(INT(T547/20)&gt;INT(T546/20), "Lần " &amp; INT(T547/20), "")</f>
        <v/>
      </c>
      <c r="AF547" s="11">
        <f>IF(INT(U547/20)&gt;INT(U546/20), "Lần " &amp; INT(U547/20), "")</f>
        <v/>
      </c>
      <c r="AG547" s="11">
        <f>IF(INT(V547/20)&gt;INT(V546/20), "Lần " &amp; INT(V547/20), "")</f>
        <v/>
      </c>
      <c r="AH547" s="11">
        <f>IF(INT(W547/20)&gt;INT(W546/20), "Lần " &amp; INT(W547/20), "")</f>
        <v/>
      </c>
      <c r="AI547" s="11">
        <f>IF(INT(X547/20)&gt;INT(X546/20), "Lần " &amp; INT(X547/20), "")</f>
        <v/>
      </c>
      <c r="AJ547" s="11">
        <f>IF(INT(Y547/20)&gt;INT(Y546/20), "Lần " &amp; INT(Y547/20), "")</f>
        <v/>
      </c>
      <c r="AK547" s="11">
        <f>IF(INT(Z547/20)&gt;INT(Z546/20), "Lần " &amp; INT(Z547/20), "")</f>
        <v/>
      </c>
      <c r="AL547" s="6" t="inlineStr">
        <is>
          <t>ĐẠT TCVN 1651:2018</t>
        </is>
      </c>
    </row>
    <row r="548" ht="19" customHeight="1">
      <c r="A548" s="6" t="n">
        <v>517</v>
      </c>
      <c r="B548" s="7" t="inlineStr">
        <is>
          <t>Mố M2</t>
        </is>
      </c>
      <c r="C548" s="7" t="inlineStr">
        <is>
          <t>Thân mố / Bệ mố</t>
        </is>
      </c>
      <c r="D548" s="18" t="inlineStr">
        <is>
          <t>P2</t>
        </is>
      </c>
      <c r="E548" s="19" t="n">
        <v>16</v>
      </c>
      <c r="F548" s="6" t="inlineStr">
        <is>
          <t>CB400-V</t>
        </is>
      </c>
      <c r="G548" s="7" t="inlineStr">
        <is>
          <t>S06</t>
        </is>
      </c>
      <c r="H548" s="20" t="n">
        <v>5.85</v>
      </c>
      <c r="I548" s="21" t="n">
        <v>83</v>
      </c>
      <c r="J548" s="22" t="n">
        <v>1.58</v>
      </c>
      <c r="K548" s="9">
        <f>ROUND(H548*I548*J548, 2)</f>
        <v/>
      </c>
      <c r="L548" s="23">
        <f>ROUND(K548/1000, 3)</f>
        <v/>
      </c>
      <c r="M548" s="8" t="n"/>
      <c r="N548" s="6" t="n"/>
      <c r="O548" s="24">
        <f>IF(AND(E548&lt;=10, F548&lt;&gt;"ASTM A416", INT(P548/20)&gt;INT(P547/20)), "TN Ø10 (Lần " &amp; INT(P548/20) &amp; ")", IF(AND(E548=12, INT(Q548/20)&gt;INT(Q547/20)), "TN Ø12 (Lần " &amp; INT(Q548/20) &amp; ")", IF(AND(E548=14, INT(R548/20)&gt;INT(R547/20)), "TN Ø14 (Lần " &amp; INT(R548/20) &amp; ")", IF(AND(E548=16, INT(S548/20)&gt;INT(S547/20)), "TN Ø16 (Lần " &amp; INT(S548/20) &amp; ")", IF(AND(E548=18, INT(T548/20)&gt;INT(T547/20)), "TN Ø18 (Lần " &amp; INT(T548/20) &amp; ")", IF(AND(E548=20, INT(U548/20)&gt;INT(U547/20)), "TN Ø20 (Lần " &amp; INT(U548/20) &amp; ")", IF(AND(E548=22, INT(V548/20)&gt;INT(V547/20)), "TN Ø22 (Lần " &amp; INT(V548/20) &amp; ")", IF(AND(E548=25, INT(W548/20)&gt;INT(W547/20)), "TN Ø25 (Lần " &amp; INT(W548/20) &amp; ")", IF(AND(E548=28, INT(X548/20)&gt;INT(X547/20)), "TN Ø28 (Lần " &amp; INT(X548/20) &amp; ")", IF(AND(E548=32, INT(Y548/20)&gt;INT(Y547/20)), "TN Ø32 (Lần " &amp; INT(Y548/20) &amp; ")", IF(AND(F548="ASTM A416", INT(Z548/20)&gt;INT(Z547/20)), "TN Cáp 15.2 (Lần " &amp; INT(Z548/20) &amp; ")", "")))))))))))</f>
        <v/>
      </c>
      <c r="P548" s="20">
        <f>ROUND(P547 + IF(AND(E548&lt;=10, F548&lt;&gt;"ASTM A416"), L548, 0), 3)</f>
        <v/>
      </c>
      <c r="Q548" s="20">
        <f>ROUND(Q547 + IF(AND(E548=12, F548&lt;&gt;"ASTM A416"), L548, 0), 3)</f>
        <v/>
      </c>
      <c r="R548" s="20">
        <f>ROUND(R547 + IF(AND(E548=14, F548&lt;&gt;"ASTM A416"), L548, 0), 3)</f>
        <v/>
      </c>
      <c r="S548" s="20">
        <f>ROUND(S547 + IF(AND(E548=16, F548&lt;&gt;"ASTM A416"), L548, 0), 3)</f>
        <v/>
      </c>
      <c r="T548" s="20">
        <f>ROUND(T547 + IF(AND(E548=18, F548&lt;&gt;"ASTM A416"), L548, 0), 3)</f>
        <v/>
      </c>
      <c r="U548" s="20">
        <f>ROUND(U547 + IF(AND(E548=20, F548&lt;&gt;"ASTM A416"), L548, 0), 3)</f>
        <v/>
      </c>
      <c r="V548" s="20">
        <f>ROUND(V547 + IF(AND(E548=22, F548&lt;&gt;"ASTM A416"), L548, 0), 3)</f>
        <v/>
      </c>
      <c r="W548" s="20">
        <f>ROUND(W547 + IF(AND(E548=25, F548&lt;&gt;"ASTM A416"), L548, 0), 3)</f>
        <v/>
      </c>
      <c r="X548" s="20">
        <f>ROUND(X547 + IF(AND(E548=28, F548&lt;&gt;"ASTM A416"), L548, 0), 3)</f>
        <v/>
      </c>
      <c r="Y548" s="20">
        <f>ROUND(Y547 + IF(AND(E548=32, F548&lt;&gt;"ASTM A416"), L548, 0), 3)</f>
        <v/>
      </c>
      <c r="Z548" s="20">
        <f>ROUND(Z547 + IF(F548="ASTM A416", L548, 0), 3)</f>
        <v/>
      </c>
      <c r="AA548" s="11">
        <f>IF(INT(P548/20)&gt;INT(P547/20), "Lần " &amp; INT(P548/20), "")</f>
        <v/>
      </c>
      <c r="AB548" s="11">
        <f>IF(INT(Q548/20)&gt;INT(Q547/20), "Lần " &amp; INT(Q548/20), "")</f>
        <v/>
      </c>
      <c r="AC548" s="11">
        <f>IF(INT(R548/20)&gt;INT(R547/20), "Lần " &amp; INT(R548/20), "")</f>
        <v/>
      </c>
      <c r="AD548" s="11">
        <f>IF(INT(S548/20)&gt;INT(S547/20), "Lần " &amp; INT(S548/20), "")</f>
        <v/>
      </c>
      <c r="AE548" s="11">
        <f>IF(INT(T548/20)&gt;INT(T547/20), "Lần " &amp; INT(T548/20), "")</f>
        <v/>
      </c>
      <c r="AF548" s="11">
        <f>IF(INT(U548/20)&gt;INT(U547/20), "Lần " &amp; INT(U548/20), "")</f>
        <v/>
      </c>
      <c r="AG548" s="11">
        <f>IF(INT(V548/20)&gt;INT(V547/20), "Lần " &amp; INT(V548/20), "")</f>
        <v/>
      </c>
      <c r="AH548" s="11">
        <f>IF(INT(W548/20)&gt;INT(W547/20), "Lần " &amp; INT(W548/20), "")</f>
        <v/>
      </c>
      <c r="AI548" s="11">
        <f>IF(INT(X548/20)&gt;INT(X547/20), "Lần " &amp; INT(X548/20), "")</f>
        <v/>
      </c>
      <c r="AJ548" s="11">
        <f>IF(INT(Y548/20)&gt;INT(Y547/20), "Lần " &amp; INT(Y548/20), "")</f>
        <v/>
      </c>
      <c r="AK548" s="11">
        <f>IF(INT(Z548/20)&gt;INT(Z547/20), "Lần " &amp; INT(Z548/20), "")</f>
        <v/>
      </c>
      <c r="AL548" s="6" t="inlineStr">
        <is>
          <t>ĐẠT TCVN 1651:2018</t>
        </is>
      </c>
    </row>
    <row r="549" ht="19" customHeight="1">
      <c r="A549" s="6" t="n">
        <v>518</v>
      </c>
      <c r="B549" s="7" t="inlineStr">
        <is>
          <t>Mố M2</t>
        </is>
      </c>
      <c r="C549" s="7" t="inlineStr">
        <is>
          <t>Thân mố / Bệ mố</t>
        </is>
      </c>
      <c r="D549" s="18" t="inlineStr">
        <is>
          <t>P3</t>
        </is>
      </c>
      <c r="E549" s="19" t="n">
        <v>16</v>
      </c>
      <c r="F549" s="6" t="inlineStr">
        <is>
          <t>CB400-V</t>
        </is>
      </c>
      <c r="G549" s="7" t="inlineStr">
        <is>
          <t>S57</t>
        </is>
      </c>
      <c r="H549" s="20" t="n">
        <v>2.071</v>
      </c>
      <c r="I549" s="21" t="n">
        <v>83</v>
      </c>
      <c r="J549" s="22" t="n">
        <v>1.58</v>
      </c>
      <c r="K549" s="9">
        <f>ROUND(H549*I549*J549, 2)</f>
        <v/>
      </c>
      <c r="L549" s="23">
        <f>ROUND(K549/1000, 3)</f>
        <v/>
      </c>
      <c r="M549" s="8" t="n"/>
      <c r="N549" s="6" t="n"/>
      <c r="O549" s="24">
        <f>IF(AND(E549&lt;=10, F549&lt;&gt;"ASTM A416", INT(P549/20)&gt;INT(P548/20)), "TN Ø10 (Lần " &amp; INT(P549/20) &amp; ")", IF(AND(E549=12, INT(Q549/20)&gt;INT(Q548/20)), "TN Ø12 (Lần " &amp; INT(Q549/20) &amp; ")", IF(AND(E549=14, INT(R549/20)&gt;INT(R548/20)), "TN Ø14 (Lần " &amp; INT(R549/20) &amp; ")", IF(AND(E549=16, INT(S549/20)&gt;INT(S548/20)), "TN Ø16 (Lần " &amp; INT(S549/20) &amp; ")", IF(AND(E549=18, INT(T549/20)&gt;INT(T548/20)), "TN Ø18 (Lần " &amp; INT(T549/20) &amp; ")", IF(AND(E549=20, INT(U549/20)&gt;INT(U548/20)), "TN Ø20 (Lần " &amp; INT(U549/20) &amp; ")", IF(AND(E549=22, INT(V549/20)&gt;INT(V548/20)), "TN Ø22 (Lần " &amp; INT(V549/20) &amp; ")", IF(AND(E549=25, INT(W549/20)&gt;INT(W548/20)), "TN Ø25 (Lần " &amp; INT(W549/20) &amp; ")", IF(AND(E549=28, INT(X549/20)&gt;INT(X548/20)), "TN Ø28 (Lần " &amp; INT(X549/20) &amp; ")", IF(AND(E549=32, INT(Y549/20)&gt;INT(Y548/20)), "TN Ø32 (Lần " &amp; INT(Y549/20) &amp; ")", IF(AND(F549="ASTM A416", INT(Z549/20)&gt;INT(Z548/20)), "TN Cáp 15.2 (Lần " &amp; INT(Z549/20) &amp; ")", "")))))))))))</f>
        <v/>
      </c>
      <c r="P549" s="20">
        <f>ROUND(P548 + IF(AND(E549&lt;=10, F549&lt;&gt;"ASTM A416"), L549, 0), 3)</f>
        <v/>
      </c>
      <c r="Q549" s="20">
        <f>ROUND(Q548 + IF(AND(E549=12, F549&lt;&gt;"ASTM A416"), L549, 0), 3)</f>
        <v/>
      </c>
      <c r="R549" s="20">
        <f>ROUND(R548 + IF(AND(E549=14, F549&lt;&gt;"ASTM A416"), L549, 0), 3)</f>
        <v/>
      </c>
      <c r="S549" s="20">
        <f>ROUND(S548 + IF(AND(E549=16, F549&lt;&gt;"ASTM A416"), L549, 0), 3)</f>
        <v/>
      </c>
      <c r="T549" s="20">
        <f>ROUND(T548 + IF(AND(E549=18, F549&lt;&gt;"ASTM A416"), L549, 0), 3)</f>
        <v/>
      </c>
      <c r="U549" s="20">
        <f>ROUND(U548 + IF(AND(E549=20, F549&lt;&gt;"ASTM A416"), L549, 0), 3)</f>
        <v/>
      </c>
      <c r="V549" s="20">
        <f>ROUND(V548 + IF(AND(E549=22, F549&lt;&gt;"ASTM A416"), L549, 0), 3)</f>
        <v/>
      </c>
      <c r="W549" s="20">
        <f>ROUND(W548 + IF(AND(E549=25, F549&lt;&gt;"ASTM A416"), L549, 0), 3)</f>
        <v/>
      </c>
      <c r="X549" s="20">
        <f>ROUND(X548 + IF(AND(E549=28, F549&lt;&gt;"ASTM A416"), L549, 0), 3)</f>
        <v/>
      </c>
      <c r="Y549" s="20">
        <f>ROUND(Y548 + IF(AND(E549=32, F549&lt;&gt;"ASTM A416"), L549, 0), 3)</f>
        <v/>
      </c>
      <c r="Z549" s="20">
        <f>ROUND(Z548 + IF(F549="ASTM A416", L549, 0), 3)</f>
        <v/>
      </c>
      <c r="AA549" s="11">
        <f>IF(INT(P549/20)&gt;INT(P548/20), "Lần " &amp; INT(P549/20), "")</f>
        <v/>
      </c>
      <c r="AB549" s="11">
        <f>IF(INT(Q549/20)&gt;INT(Q548/20), "Lần " &amp; INT(Q549/20), "")</f>
        <v/>
      </c>
      <c r="AC549" s="11">
        <f>IF(INT(R549/20)&gt;INT(R548/20), "Lần " &amp; INT(R549/20), "")</f>
        <v/>
      </c>
      <c r="AD549" s="11">
        <f>IF(INT(S549/20)&gt;INT(S548/20), "Lần " &amp; INT(S549/20), "")</f>
        <v/>
      </c>
      <c r="AE549" s="11">
        <f>IF(INT(T549/20)&gt;INT(T548/20), "Lần " &amp; INT(T549/20), "")</f>
        <v/>
      </c>
      <c r="AF549" s="11">
        <f>IF(INT(U549/20)&gt;INT(U548/20), "Lần " &amp; INT(U549/20), "")</f>
        <v/>
      </c>
      <c r="AG549" s="11">
        <f>IF(INT(V549/20)&gt;INT(V548/20), "Lần " &amp; INT(V549/20), "")</f>
        <v/>
      </c>
      <c r="AH549" s="11">
        <f>IF(INT(W549/20)&gt;INT(W548/20), "Lần " &amp; INT(W549/20), "")</f>
        <v/>
      </c>
      <c r="AI549" s="11">
        <f>IF(INT(X549/20)&gt;INT(X548/20), "Lần " &amp; INT(X549/20), "")</f>
        <v/>
      </c>
      <c r="AJ549" s="11">
        <f>IF(INT(Y549/20)&gt;INT(Y548/20), "Lần " &amp; INT(Y549/20), "")</f>
        <v/>
      </c>
      <c r="AK549" s="11">
        <f>IF(INT(Z549/20)&gt;INT(Z548/20), "Lần " &amp; INT(Z549/20), "")</f>
        <v/>
      </c>
      <c r="AL549" s="6" t="inlineStr">
        <is>
          <t>ĐẠT TCVN 1651:2018</t>
        </is>
      </c>
    </row>
    <row r="550" ht="19" customHeight="1">
      <c r="A550" s="6" t="n">
        <v>519</v>
      </c>
      <c r="B550" s="7" t="inlineStr">
        <is>
          <t>Mố M2</t>
        </is>
      </c>
      <c r="C550" s="7" t="inlineStr">
        <is>
          <t>Thân mố / Bệ mố</t>
        </is>
      </c>
      <c r="D550" s="18" t="inlineStr">
        <is>
          <t>P4</t>
        </is>
      </c>
      <c r="E550" s="19" t="n">
        <v>14</v>
      </c>
      <c r="F550" s="6" t="inlineStr">
        <is>
          <t>CB400-V</t>
        </is>
      </c>
      <c r="G550" s="7" t="inlineStr">
        <is>
          <t>S06</t>
        </is>
      </c>
      <c r="H550" s="20" t="n">
        <v>0.585</v>
      </c>
      <c r="I550" s="21" t="n">
        <v>60</v>
      </c>
      <c r="J550" s="22" t="n">
        <v>1.21</v>
      </c>
      <c r="K550" s="9">
        <f>ROUND(H550*I550*J550, 2)</f>
        <v/>
      </c>
      <c r="L550" s="23">
        <f>ROUND(K550/1000, 3)</f>
        <v/>
      </c>
      <c r="M550" s="8" t="n"/>
      <c r="N550" s="6" t="n"/>
      <c r="O550" s="24">
        <f>IF(AND(E550&lt;=10, F550&lt;&gt;"ASTM A416", INT(P550/20)&gt;INT(P549/20)), "TN Ø10 (Lần " &amp; INT(P550/20) &amp; ")", IF(AND(E550=12, INT(Q550/20)&gt;INT(Q549/20)), "TN Ø12 (Lần " &amp; INT(Q550/20) &amp; ")", IF(AND(E550=14, INT(R550/20)&gt;INT(R549/20)), "TN Ø14 (Lần " &amp; INT(R550/20) &amp; ")", IF(AND(E550=16, INT(S550/20)&gt;INT(S549/20)), "TN Ø16 (Lần " &amp; INT(S550/20) &amp; ")", IF(AND(E550=18, INT(T550/20)&gt;INT(T549/20)), "TN Ø18 (Lần " &amp; INT(T550/20) &amp; ")", IF(AND(E550=20, INT(U550/20)&gt;INT(U549/20)), "TN Ø20 (Lần " &amp; INT(U550/20) &amp; ")", IF(AND(E550=22, INT(V550/20)&gt;INT(V549/20)), "TN Ø22 (Lần " &amp; INT(V550/20) &amp; ")", IF(AND(E550=25, INT(W550/20)&gt;INT(W549/20)), "TN Ø25 (Lần " &amp; INT(W550/20) &amp; ")", IF(AND(E550=28, INT(X550/20)&gt;INT(X549/20)), "TN Ø28 (Lần " &amp; INT(X550/20) &amp; ")", IF(AND(E550=32, INT(Y550/20)&gt;INT(Y549/20)), "TN Ø32 (Lần " &amp; INT(Y550/20) &amp; ")", IF(AND(F550="ASTM A416", INT(Z550/20)&gt;INT(Z549/20)), "TN Cáp 15.2 (Lần " &amp; INT(Z550/20) &amp; ")", "")))))))))))</f>
        <v/>
      </c>
      <c r="P550" s="20">
        <f>ROUND(P549 + IF(AND(E550&lt;=10, F550&lt;&gt;"ASTM A416"), L550, 0), 3)</f>
        <v/>
      </c>
      <c r="Q550" s="20">
        <f>ROUND(Q549 + IF(AND(E550=12, F550&lt;&gt;"ASTM A416"), L550, 0), 3)</f>
        <v/>
      </c>
      <c r="R550" s="20">
        <f>ROUND(R549 + IF(AND(E550=14, F550&lt;&gt;"ASTM A416"), L550, 0), 3)</f>
        <v/>
      </c>
      <c r="S550" s="20">
        <f>ROUND(S549 + IF(AND(E550=16, F550&lt;&gt;"ASTM A416"), L550, 0), 3)</f>
        <v/>
      </c>
      <c r="T550" s="20">
        <f>ROUND(T549 + IF(AND(E550=18, F550&lt;&gt;"ASTM A416"), L550, 0), 3)</f>
        <v/>
      </c>
      <c r="U550" s="20">
        <f>ROUND(U549 + IF(AND(E550=20, F550&lt;&gt;"ASTM A416"), L550, 0), 3)</f>
        <v/>
      </c>
      <c r="V550" s="20">
        <f>ROUND(V549 + IF(AND(E550=22, F550&lt;&gt;"ASTM A416"), L550, 0), 3)</f>
        <v/>
      </c>
      <c r="W550" s="20">
        <f>ROUND(W549 + IF(AND(E550=25, F550&lt;&gt;"ASTM A416"), L550, 0), 3)</f>
        <v/>
      </c>
      <c r="X550" s="20">
        <f>ROUND(X549 + IF(AND(E550=28, F550&lt;&gt;"ASTM A416"), L550, 0), 3)</f>
        <v/>
      </c>
      <c r="Y550" s="20">
        <f>ROUND(Y549 + IF(AND(E550=32, F550&lt;&gt;"ASTM A416"), L550, 0), 3)</f>
        <v/>
      </c>
      <c r="Z550" s="20">
        <f>ROUND(Z549 + IF(F550="ASTM A416", L550, 0), 3)</f>
        <v/>
      </c>
      <c r="AA550" s="11">
        <f>IF(INT(P550/20)&gt;INT(P549/20), "Lần " &amp; INT(P550/20), "")</f>
        <v/>
      </c>
      <c r="AB550" s="11">
        <f>IF(INT(Q550/20)&gt;INT(Q549/20), "Lần " &amp; INT(Q550/20), "")</f>
        <v/>
      </c>
      <c r="AC550" s="11">
        <f>IF(INT(R550/20)&gt;INT(R549/20), "Lần " &amp; INT(R550/20), "")</f>
        <v/>
      </c>
      <c r="AD550" s="11">
        <f>IF(INT(S550/20)&gt;INT(S549/20), "Lần " &amp; INT(S550/20), "")</f>
        <v/>
      </c>
      <c r="AE550" s="11">
        <f>IF(INT(T550/20)&gt;INT(T549/20), "Lần " &amp; INT(T550/20), "")</f>
        <v/>
      </c>
      <c r="AF550" s="11">
        <f>IF(INT(U550/20)&gt;INT(U549/20), "Lần " &amp; INT(U550/20), "")</f>
        <v/>
      </c>
      <c r="AG550" s="11">
        <f>IF(INT(V550/20)&gt;INT(V549/20), "Lần " &amp; INT(V550/20), "")</f>
        <v/>
      </c>
      <c r="AH550" s="11">
        <f>IF(INT(W550/20)&gt;INT(W549/20), "Lần " &amp; INT(W550/20), "")</f>
        <v/>
      </c>
      <c r="AI550" s="11">
        <f>IF(INT(X550/20)&gt;INT(X549/20), "Lần " &amp; INT(X550/20), "")</f>
        <v/>
      </c>
      <c r="AJ550" s="11">
        <f>IF(INT(Y550/20)&gt;INT(Y549/20), "Lần " &amp; INT(Y550/20), "")</f>
        <v/>
      </c>
      <c r="AK550" s="11">
        <f>IF(INT(Z550/20)&gt;INT(Z549/20), "Lần " &amp; INT(Z550/20), "")</f>
        <v/>
      </c>
      <c r="AL550" s="6" t="inlineStr">
        <is>
          <t>ĐẠT TCVN 1651:2018</t>
        </is>
      </c>
    </row>
    <row r="551" ht="19" customHeight="1">
      <c r="A551" s="6" t="n">
        <v>520</v>
      </c>
      <c r="B551" s="7" t="inlineStr">
        <is>
          <t>Mố M2</t>
        </is>
      </c>
      <c r="C551" s="7" t="inlineStr">
        <is>
          <t>Thân mố / Bệ mố</t>
        </is>
      </c>
      <c r="D551" s="18" t="inlineStr">
        <is>
          <t>H1</t>
        </is>
      </c>
      <c r="E551" s="19" t="n">
        <v>25</v>
      </c>
      <c r="F551" s="6" t="inlineStr">
        <is>
          <t>CB400-V</t>
        </is>
      </c>
      <c r="G551" s="7" t="inlineStr">
        <is>
          <t>S05</t>
        </is>
      </c>
      <c r="H551" s="20" t="n">
        <v>1.07</v>
      </c>
      <c r="I551" s="21" t="n">
        <v>23</v>
      </c>
      <c r="J551" s="22" t="n">
        <v>3.85</v>
      </c>
      <c r="K551" s="9">
        <f>ROUND(H551*I551*J551, 2)</f>
        <v/>
      </c>
      <c r="L551" s="23">
        <f>ROUND(K551/1000, 3)</f>
        <v/>
      </c>
      <c r="M551" s="8" t="n"/>
      <c r="N551" s="6" t="n"/>
      <c r="O551" s="24">
        <f>IF(AND(E551&lt;=10, F551&lt;&gt;"ASTM A416", INT(P551/20)&gt;INT(P550/20)), "TN Ø10 (Lần " &amp; INT(P551/20) &amp; ")", IF(AND(E551=12, INT(Q551/20)&gt;INT(Q550/20)), "TN Ø12 (Lần " &amp; INT(Q551/20) &amp; ")", IF(AND(E551=14, INT(R551/20)&gt;INT(R550/20)), "TN Ø14 (Lần " &amp; INT(R551/20) &amp; ")", IF(AND(E551=16, INT(S551/20)&gt;INT(S550/20)), "TN Ø16 (Lần " &amp; INT(S551/20) &amp; ")", IF(AND(E551=18, INT(T551/20)&gt;INT(T550/20)), "TN Ø18 (Lần " &amp; INT(T551/20) &amp; ")", IF(AND(E551=20, INT(U551/20)&gt;INT(U550/20)), "TN Ø20 (Lần " &amp; INT(U551/20) &amp; ")", IF(AND(E551=22, INT(V551/20)&gt;INT(V550/20)), "TN Ø22 (Lần " &amp; INT(V551/20) &amp; ")", IF(AND(E551=25, INT(W551/20)&gt;INT(W550/20)), "TN Ø25 (Lần " &amp; INT(W551/20) &amp; ")", IF(AND(E551=28, INT(X551/20)&gt;INT(X550/20)), "TN Ø28 (Lần " &amp; INT(X551/20) &amp; ")", IF(AND(E551=32, INT(Y551/20)&gt;INT(Y550/20)), "TN Ø32 (Lần " &amp; INT(Y551/20) &amp; ")", IF(AND(F551="ASTM A416", INT(Z551/20)&gt;INT(Z550/20)), "TN Cáp 15.2 (Lần " &amp; INT(Z551/20) &amp; ")", "")))))))))))</f>
        <v/>
      </c>
      <c r="P551" s="20">
        <f>ROUND(P550 + IF(AND(E551&lt;=10, F551&lt;&gt;"ASTM A416"), L551, 0), 3)</f>
        <v/>
      </c>
      <c r="Q551" s="20">
        <f>ROUND(Q550 + IF(AND(E551=12, F551&lt;&gt;"ASTM A416"), L551, 0), 3)</f>
        <v/>
      </c>
      <c r="R551" s="20">
        <f>ROUND(R550 + IF(AND(E551=14, F551&lt;&gt;"ASTM A416"), L551, 0), 3)</f>
        <v/>
      </c>
      <c r="S551" s="20">
        <f>ROUND(S550 + IF(AND(E551=16, F551&lt;&gt;"ASTM A416"), L551, 0), 3)</f>
        <v/>
      </c>
      <c r="T551" s="20">
        <f>ROUND(T550 + IF(AND(E551=18, F551&lt;&gt;"ASTM A416"), L551, 0), 3)</f>
        <v/>
      </c>
      <c r="U551" s="20">
        <f>ROUND(U550 + IF(AND(E551=20, F551&lt;&gt;"ASTM A416"), L551, 0), 3)</f>
        <v/>
      </c>
      <c r="V551" s="20">
        <f>ROUND(V550 + IF(AND(E551=22, F551&lt;&gt;"ASTM A416"), L551, 0), 3)</f>
        <v/>
      </c>
      <c r="W551" s="20">
        <f>ROUND(W550 + IF(AND(E551=25, F551&lt;&gt;"ASTM A416"), L551, 0), 3)</f>
        <v/>
      </c>
      <c r="X551" s="20">
        <f>ROUND(X550 + IF(AND(E551=28, F551&lt;&gt;"ASTM A416"), L551, 0), 3)</f>
        <v/>
      </c>
      <c r="Y551" s="20">
        <f>ROUND(Y550 + IF(AND(E551=32, F551&lt;&gt;"ASTM A416"), L551, 0), 3)</f>
        <v/>
      </c>
      <c r="Z551" s="20">
        <f>ROUND(Z550 + IF(F551="ASTM A416", L551, 0), 3)</f>
        <v/>
      </c>
      <c r="AA551" s="11">
        <f>IF(INT(P551/20)&gt;INT(P550/20), "Lần " &amp; INT(P551/20), "")</f>
        <v/>
      </c>
      <c r="AB551" s="11">
        <f>IF(INT(Q551/20)&gt;INT(Q550/20), "Lần " &amp; INT(Q551/20), "")</f>
        <v/>
      </c>
      <c r="AC551" s="11">
        <f>IF(INT(R551/20)&gt;INT(R550/20), "Lần " &amp; INT(R551/20), "")</f>
        <v/>
      </c>
      <c r="AD551" s="11">
        <f>IF(INT(S551/20)&gt;INT(S550/20), "Lần " &amp; INT(S551/20), "")</f>
        <v/>
      </c>
      <c r="AE551" s="11">
        <f>IF(INT(T551/20)&gt;INT(T550/20), "Lần " &amp; INT(T551/20), "")</f>
        <v/>
      </c>
      <c r="AF551" s="11">
        <f>IF(INT(U551/20)&gt;INT(U550/20), "Lần " &amp; INT(U551/20), "")</f>
        <v/>
      </c>
      <c r="AG551" s="11">
        <f>IF(INT(V551/20)&gt;INT(V550/20), "Lần " &amp; INT(V551/20), "")</f>
        <v/>
      </c>
      <c r="AH551" s="11">
        <f>IF(INT(W551/20)&gt;INT(W550/20), "Lần " &amp; INT(W551/20), "")</f>
        <v/>
      </c>
      <c r="AI551" s="11">
        <f>IF(INT(X551/20)&gt;INT(X550/20), "Lần " &amp; INT(X551/20), "")</f>
        <v/>
      </c>
      <c r="AJ551" s="11">
        <f>IF(INT(Y551/20)&gt;INT(Y550/20), "Lần " &amp; INT(Y551/20), "")</f>
        <v/>
      </c>
      <c r="AK551" s="11">
        <f>IF(INT(Z551/20)&gt;INT(Z550/20), "Lần " &amp; INT(Z551/20), "")</f>
        <v/>
      </c>
      <c r="AL551" s="6" t="inlineStr">
        <is>
          <t>ĐẠT TCVN 1651:2018</t>
        </is>
      </c>
    </row>
    <row r="552" ht="19" customHeight="1">
      <c r="A552" s="6" t="n">
        <v>521</v>
      </c>
      <c r="B552" s="7" t="inlineStr">
        <is>
          <t>Mố M2</t>
        </is>
      </c>
      <c r="C552" s="7" t="inlineStr">
        <is>
          <t>Thân mố / Bệ mố</t>
        </is>
      </c>
      <c r="D552" s="18" t="inlineStr">
        <is>
          <t>H2</t>
        </is>
      </c>
      <c r="E552" s="19" t="n">
        <v>8</v>
      </c>
      <c r="F552" s="6" t="inlineStr">
        <is>
          <t>CB240-T</t>
        </is>
      </c>
      <c r="G552" s="7" t="inlineStr">
        <is>
          <t>S32</t>
        </is>
      </c>
      <c r="H552" s="20" t="n">
        <v>2.132</v>
      </c>
      <c r="I552" s="21" t="n">
        <v>23</v>
      </c>
      <c r="J552" s="22" t="n">
        <v>0.395</v>
      </c>
      <c r="K552" s="9">
        <f>ROUND(H552*I552*J552, 2)</f>
        <v/>
      </c>
      <c r="L552" s="23">
        <f>ROUND(K552/1000, 3)</f>
        <v/>
      </c>
      <c r="M552" s="8" t="n"/>
      <c r="N552" s="6" t="n"/>
      <c r="O552" s="24">
        <f>IF(AND(E552&lt;=10, F552&lt;&gt;"ASTM A416", INT(P552/20)&gt;INT(P551/20)), "TN Ø10 (Lần " &amp; INT(P552/20) &amp; ")", IF(AND(E552=12, INT(Q552/20)&gt;INT(Q551/20)), "TN Ø12 (Lần " &amp; INT(Q552/20) &amp; ")", IF(AND(E552=14, INT(R552/20)&gt;INT(R551/20)), "TN Ø14 (Lần " &amp; INT(R552/20) &amp; ")", IF(AND(E552=16, INT(S552/20)&gt;INT(S551/20)), "TN Ø16 (Lần " &amp; INT(S552/20) &amp; ")", IF(AND(E552=18, INT(T552/20)&gt;INT(T551/20)), "TN Ø18 (Lần " &amp; INT(T552/20) &amp; ")", IF(AND(E552=20, INT(U552/20)&gt;INT(U551/20)), "TN Ø20 (Lần " &amp; INT(U552/20) &amp; ")", IF(AND(E552=22, INT(V552/20)&gt;INT(V551/20)), "TN Ø22 (Lần " &amp; INT(V552/20) &amp; ")", IF(AND(E552=25, INT(W552/20)&gt;INT(W551/20)), "TN Ø25 (Lần " &amp; INT(W552/20) &amp; ")", IF(AND(E552=28, INT(X552/20)&gt;INT(X551/20)), "TN Ø28 (Lần " &amp; INT(X552/20) &amp; ")", IF(AND(E552=32, INT(Y552/20)&gt;INT(Y551/20)), "TN Ø32 (Lần " &amp; INT(Y552/20) &amp; ")", IF(AND(F552="ASTM A416", INT(Z552/20)&gt;INT(Z551/20)), "TN Cáp 15.2 (Lần " &amp; INT(Z552/20) &amp; ")", "")))))))))))</f>
        <v/>
      </c>
      <c r="P552" s="20">
        <f>ROUND(P551 + IF(AND(E552&lt;=10, F552&lt;&gt;"ASTM A416"), L552, 0), 3)</f>
        <v/>
      </c>
      <c r="Q552" s="20">
        <f>ROUND(Q551 + IF(AND(E552=12, F552&lt;&gt;"ASTM A416"), L552, 0), 3)</f>
        <v/>
      </c>
      <c r="R552" s="20">
        <f>ROUND(R551 + IF(AND(E552=14, F552&lt;&gt;"ASTM A416"), L552, 0), 3)</f>
        <v/>
      </c>
      <c r="S552" s="20">
        <f>ROUND(S551 + IF(AND(E552=16, F552&lt;&gt;"ASTM A416"), L552, 0), 3)</f>
        <v/>
      </c>
      <c r="T552" s="20">
        <f>ROUND(T551 + IF(AND(E552=18, F552&lt;&gt;"ASTM A416"), L552, 0), 3)</f>
        <v/>
      </c>
      <c r="U552" s="20">
        <f>ROUND(U551 + IF(AND(E552=20, F552&lt;&gt;"ASTM A416"), L552, 0), 3)</f>
        <v/>
      </c>
      <c r="V552" s="20">
        <f>ROUND(V551 + IF(AND(E552=22, F552&lt;&gt;"ASTM A416"), L552, 0), 3)</f>
        <v/>
      </c>
      <c r="W552" s="20">
        <f>ROUND(W551 + IF(AND(E552=25, F552&lt;&gt;"ASTM A416"), L552, 0), 3)</f>
        <v/>
      </c>
      <c r="X552" s="20">
        <f>ROUND(X551 + IF(AND(E552=28, F552&lt;&gt;"ASTM A416"), L552, 0), 3)</f>
        <v/>
      </c>
      <c r="Y552" s="20">
        <f>ROUND(Y551 + IF(AND(E552=32, F552&lt;&gt;"ASTM A416"), L552, 0), 3)</f>
        <v/>
      </c>
      <c r="Z552" s="20">
        <f>ROUND(Z551 + IF(F552="ASTM A416", L552, 0), 3)</f>
        <v/>
      </c>
      <c r="AA552" s="11">
        <f>IF(INT(P552/20)&gt;INT(P551/20), "Lần " &amp; INT(P552/20), "")</f>
        <v/>
      </c>
      <c r="AB552" s="11">
        <f>IF(INT(Q552/20)&gt;INT(Q551/20), "Lần " &amp; INT(Q552/20), "")</f>
        <v/>
      </c>
      <c r="AC552" s="11">
        <f>IF(INT(R552/20)&gt;INT(R551/20), "Lần " &amp; INT(R552/20), "")</f>
        <v/>
      </c>
      <c r="AD552" s="11">
        <f>IF(INT(S552/20)&gt;INT(S551/20), "Lần " &amp; INT(S552/20), "")</f>
        <v/>
      </c>
      <c r="AE552" s="11">
        <f>IF(INT(T552/20)&gt;INT(T551/20), "Lần " &amp; INT(T552/20), "")</f>
        <v/>
      </c>
      <c r="AF552" s="11">
        <f>IF(INT(U552/20)&gt;INT(U551/20), "Lần " &amp; INT(U552/20), "")</f>
        <v/>
      </c>
      <c r="AG552" s="11">
        <f>IF(INT(V552/20)&gt;INT(V551/20), "Lần " &amp; INT(V552/20), "")</f>
        <v/>
      </c>
      <c r="AH552" s="11">
        <f>IF(INT(W552/20)&gt;INT(W551/20), "Lần " &amp; INT(W552/20), "")</f>
        <v/>
      </c>
      <c r="AI552" s="11">
        <f>IF(INT(X552/20)&gt;INT(X551/20), "Lần " &amp; INT(X552/20), "")</f>
        <v/>
      </c>
      <c r="AJ552" s="11">
        <f>IF(INT(Y552/20)&gt;INT(Y551/20), "Lần " &amp; INT(Y552/20), "")</f>
        <v/>
      </c>
      <c r="AK552" s="11">
        <f>IF(INT(Z552/20)&gt;INT(Z551/20), "Lần " &amp; INT(Z552/20), "")</f>
        <v/>
      </c>
      <c r="AL552" s="6" t="inlineStr">
        <is>
          <t>ĐẠT TCVN 1651:2018</t>
        </is>
      </c>
    </row>
    <row r="553" ht="19" customHeight="1">
      <c r="A553" s="6" t="n">
        <v>522</v>
      </c>
      <c r="B553" s="7" t="inlineStr">
        <is>
          <t>Mố M2</t>
        </is>
      </c>
      <c r="C553" s="7" t="inlineStr">
        <is>
          <t>TƯỜNG CÁNH PHẢI</t>
        </is>
      </c>
      <c r="D553" s="18" t="inlineStr">
        <is>
          <t>W1A(P)</t>
        </is>
      </c>
      <c r="E553" s="19" t="n">
        <v>16</v>
      </c>
      <c r="F553" s="6" t="inlineStr">
        <is>
          <t>CB400-V</t>
        </is>
      </c>
      <c r="G553" s="7" t="inlineStr">
        <is>
          <t>S06</t>
        </is>
      </c>
      <c r="H553" s="20" t="n">
        <v>10.522</v>
      </c>
      <c r="I553" s="21" t="n">
        <v>20</v>
      </c>
      <c r="J553" s="22" t="n">
        <v>1.58</v>
      </c>
      <c r="K553" s="9">
        <f>ROUND(H553*I553*J553, 2)</f>
        <v/>
      </c>
      <c r="L553" s="23">
        <f>ROUND(K553/1000, 3)</f>
        <v/>
      </c>
      <c r="M553" s="8" t="n"/>
      <c r="N553" s="6" t="n"/>
      <c r="O553" s="24">
        <f>IF(AND(E553&lt;=10, F553&lt;&gt;"ASTM A416", INT(P553/20)&gt;INT(P552/20)), "TN Ø10 (Lần " &amp; INT(P553/20) &amp; ")", IF(AND(E553=12, INT(Q553/20)&gt;INT(Q552/20)), "TN Ø12 (Lần " &amp; INT(Q553/20) &amp; ")", IF(AND(E553=14, INT(R553/20)&gt;INT(R552/20)), "TN Ø14 (Lần " &amp; INT(R553/20) &amp; ")", IF(AND(E553=16, INT(S553/20)&gt;INT(S552/20)), "TN Ø16 (Lần " &amp; INT(S553/20) &amp; ")", IF(AND(E553=18, INT(T553/20)&gt;INT(T552/20)), "TN Ø18 (Lần " &amp; INT(T553/20) &amp; ")", IF(AND(E553=20, INT(U553/20)&gt;INT(U552/20)), "TN Ø20 (Lần " &amp; INT(U553/20) &amp; ")", IF(AND(E553=22, INT(V553/20)&gt;INT(V552/20)), "TN Ø22 (Lần " &amp; INT(V553/20) &amp; ")", IF(AND(E553=25, INT(W553/20)&gt;INT(W552/20)), "TN Ø25 (Lần " &amp; INT(W553/20) &amp; ")", IF(AND(E553=28, INT(X553/20)&gt;INT(X552/20)), "TN Ø28 (Lần " &amp; INT(X553/20) &amp; ")", IF(AND(E553=32, INT(Y553/20)&gt;INT(Y552/20)), "TN Ø32 (Lần " &amp; INT(Y553/20) &amp; ")", IF(AND(F553="ASTM A416", INT(Z553/20)&gt;INT(Z552/20)), "TN Cáp 15.2 (Lần " &amp; INT(Z553/20) &amp; ")", "")))))))))))</f>
        <v/>
      </c>
      <c r="P553" s="20">
        <f>ROUND(P552 + IF(AND(E553&lt;=10, F553&lt;&gt;"ASTM A416"), L553, 0), 3)</f>
        <v/>
      </c>
      <c r="Q553" s="20">
        <f>ROUND(Q552 + IF(AND(E553=12, F553&lt;&gt;"ASTM A416"), L553, 0), 3)</f>
        <v/>
      </c>
      <c r="R553" s="20">
        <f>ROUND(R552 + IF(AND(E553=14, F553&lt;&gt;"ASTM A416"), L553, 0), 3)</f>
        <v/>
      </c>
      <c r="S553" s="20">
        <f>ROUND(S552 + IF(AND(E553=16, F553&lt;&gt;"ASTM A416"), L553, 0), 3)</f>
        <v/>
      </c>
      <c r="T553" s="20">
        <f>ROUND(T552 + IF(AND(E553=18, F553&lt;&gt;"ASTM A416"), L553, 0), 3)</f>
        <v/>
      </c>
      <c r="U553" s="20">
        <f>ROUND(U552 + IF(AND(E553=20, F553&lt;&gt;"ASTM A416"), L553, 0), 3)</f>
        <v/>
      </c>
      <c r="V553" s="20">
        <f>ROUND(V552 + IF(AND(E553=22, F553&lt;&gt;"ASTM A416"), L553, 0), 3)</f>
        <v/>
      </c>
      <c r="W553" s="20">
        <f>ROUND(W552 + IF(AND(E553=25, F553&lt;&gt;"ASTM A416"), L553, 0), 3)</f>
        <v/>
      </c>
      <c r="X553" s="20">
        <f>ROUND(X552 + IF(AND(E553=28, F553&lt;&gt;"ASTM A416"), L553, 0), 3)</f>
        <v/>
      </c>
      <c r="Y553" s="20">
        <f>ROUND(Y552 + IF(AND(E553=32, F553&lt;&gt;"ASTM A416"), L553, 0), 3)</f>
        <v/>
      </c>
      <c r="Z553" s="20">
        <f>ROUND(Z552 + IF(F553="ASTM A416", L553, 0), 3)</f>
        <v/>
      </c>
      <c r="AA553" s="11">
        <f>IF(INT(P553/20)&gt;INT(P552/20), "Lần " &amp; INT(P553/20), "")</f>
        <v/>
      </c>
      <c r="AB553" s="11">
        <f>IF(INT(Q553/20)&gt;INT(Q552/20), "Lần " &amp; INT(Q553/20), "")</f>
        <v/>
      </c>
      <c r="AC553" s="11">
        <f>IF(INT(R553/20)&gt;INT(R552/20), "Lần " &amp; INT(R553/20), "")</f>
        <v/>
      </c>
      <c r="AD553" s="11">
        <f>IF(INT(S553/20)&gt;INT(S552/20), "Lần " &amp; INT(S553/20), "")</f>
        <v/>
      </c>
      <c r="AE553" s="11">
        <f>IF(INT(T553/20)&gt;INT(T552/20), "Lần " &amp; INT(T553/20), "")</f>
        <v/>
      </c>
      <c r="AF553" s="11">
        <f>IF(INT(U553/20)&gt;INT(U552/20), "Lần " &amp; INT(U553/20), "")</f>
        <v/>
      </c>
      <c r="AG553" s="11">
        <f>IF(INT(V553/20)&gt;INT(V552/20), "Lần " &amp; INT(V553/20), "")</f>
        <v/>
      </c>
      <c r="AH553" s="11">
        <f>IF(INT(W553/20)&gt;INT(W552/20), "Lần " &amp; INT(W553/20), "")</f>
        <v/>
      </c>
      <c r="AI553" s="11">
        <f>IF(INT(X553/20)&gt;INT(X552/20), "Lần " &amp; INT(X553/20), "")</f>
        <v/>
      </c>
      <c r="AJ553" s="11">
        <f>IF(INT(Y553/20)&gt;INT(Y552/20), "Lần " &amp; INT(Y553/20), "")</f>
        <v/>
      </c>
      <c r="AK553" s="11">
        <f>IF(INT(Z553/20)&gt;INT(Z552/20), "Lần " &amp; INT(Z553/20), "")</f>
        <v/>
      </c>
      <c r="AL553" s="6" t="inlineStr">
        <is>
          <t>ĐẠT TCVN 1651:2018</t>
        </is>
      </c>
    </row>
    <row r="554" ht="19" customHeight="1">
      <c r="A554" s="6" t="n">
        <v>523</v>
      </c>
      <c r="B554" s="7" t="inlineStr">
        <is>
          <t>Mố M2</t>
        </is>
      </c>
      <c r="C554" s="7" t="inlineStr">
        <is>
          <t>TƯỜNG CÁNH TRÁI</t>
        </is>
      </c>
      <c r="D554" s="18" t="inlineStr">
        <is>
          <t>W1A(T)</t>
        </is>
      </c>
      <c r="E554" s="19" t="n">
        <v>16</v>
      </c>
      <c r="F554" s="6" t="inlineStr">
        <is>
          <t>CB400-V</t>
        </is>
      </c>
      <c r="G554" s="7" t="inlineStr">
        <is>
          <t>S06</t>
        </is>
      </c>
      <c r="H554" s="20" t="n">
        <v>10.287</v>
      </c>
      <c r="I554" s="21" t="n">
        <v>20</v>
      </c>
      <c r="J554" s="22" t="n">
        <v>1.58</v>
      </c>
      <c r="K554" s="9">
        <f>ROUND(H554*I554*J554, 2)</f>
        <v/>
      </c>
      <c r="L554" s="23">
        <f>ROUND(K554/1000, 3)</f>
        <v/>
      </c>
      <c r="M554" s="8" t="n"/>
      <c r="N554" s="6" t="n"/>
      <c r="O554" s="24">
        <f>IF(AND(E554&lt;=10, F554&lt;&gt;"ASTM A416", INT(P554/20)&gt;INT(P553/20)), "TN Ø10 (Lần " &amp; INT(P554/20) &amp; ")", IF(AND(E554=12, INT(Q554/20)&gt;INT(Q553/20)), "TN Ø12 (Lần " &amp; INT(Q554/20) &amp; ")", IF(AND(E554=14, INT(R554/20)&gt;INT(R553/20)), "TN Ø14 (Lần " &amp; INT(R554/20) &amp; ")", IF(AND(E554=16, INT(S554/20)&gt;INT(S553/20)), "TN Ø16 (Lần " &amp; INT(S554/20) &amp; ")", IF(AND(E554=18, INT(T554/20)&gt;INT(T553/20)), "TN Ø18 (Lần " &amp; INT(T554/20) &amp; ")", IF(AND(E554=20, INT(U554/20)&gt;INT(U553/20)), "TN Ø20 (Lần " &amp; INT(U554/20) &amp; ")", IF(AND(E554=22, INT(V554/20)&gt;INT(V553/20)), "TN Ø22 (Lần " &amp; INT(V554/20) &amp; ")", IF(AND(E554=25, INT(W554/20)&gt;INT(W553/20)), "TN Ø25 (Lần " &amp; INT(W554/20) &amp; ")", IF(AND(E554=28, INT(X554/20)&gt;INT(X553/20)), "TN Ø28 (Lần " &amp; INT(X554/20) &amp; ")", IF(AND(E554=32, INT(Y554/20)&gt;INT(Y553/20)), "TN Ø32 (Lần " &amp; INT(Y554/20) &amp; ")", IF(AND(F554="ASTM A416", INT(Z554/20)&gt;INT(Z553/20)), "TN Cáp 15.2 (Lần " &amp; INT(Z554/20) &amp; ")", "")))))))))))</f>
        <v/>
      </c>
      <c r="P554" s="20">
        <f>ROUND(P553 + IF(AND(E554&lt;=10, F554&lt;&gt;"ASTM A416"), L554, 0), 3)</f>
        <v/>
      </c>
      <c r="Q554" s="20">
        <f>ROUND(Q553 + IF(AND(E554=12, F554&lt;&gt;"ASTM A416"), L554, 0), 3)</f>
        <v/>
      </c>
      <c r="R554" s="20">
        <f>ROUND(R553 + IF(AND(E554=14, F554&lt;&gt;"ASTM A416"), L554, 0), 3)</f>
        <v/>
      </c>
      <c r="S554" s="20">
        <f>ROUND(S553 + IF(AND(E554=16, F554&lt;&gt;"ASTM A416"), L554, 0), 3)</f>
        <v/>
      </c>
      <c r="T554" s="20">
        <f>ROUND(T553 + IF(AND(E554=18, F554&lt;&gt;"ASTM A416"), L554, 0), 3)</f>
        <v/>
      </c>
      <c r="U554" s="20">
        <f>ROUND(U553 + IF(AND(E554=20, F554&lt;&gt;"ASTM A416"), L554, 0), 3)</f>
        <v/>
      </c>
      <c r="V554" s="20">
        <f>ROUND(V553 + IF(AND(E554=22, F554&lt;&gt;"ASTM A416"), L554, 0), 3)</f>
        <v/>
      </c>
      <c r="W554" s="20">
        <f>ROUND(W553 + IF(AND(E554=25, F554&lt;&gt;"ASTM A416"), L554, 0), 3)</f>
        <v/>
      </c>
      <c r="X554" s="20">
        <f>ROUND(X553 + IF(AND(E554=28, F554&lt;&gt;"ASTM A416"), L554, 0), 3)</f>
        <v/>
      </c>
      <c r="Y554" s="20">
        <f>ROUND(Y553 + IF(AND(E554=32, F554&lt;&gt;"ASTM A416"), L554, 0), 3)</f>
        <v/>
      </c>
      <c r="Z554" s="20">
        <f>ROUND(Z553 + IF(F554="ASTM A416", L554, 0), 3)</f>
        <v/>
      </c>
      <c r="AA554" s="11">
        <f>IF(INT(P554/20)&gt;INT(P553/20), "Lần " &amp; INT(P554/20), "")</f>
        <v/>
      </c>
      <c r="AB554" s="11">
        <f>IF(INT(Q554/20)&gt;INT(Q553/20), "Lần " &amp; INT(Q554/20), "")</f>
        <v/>
      </c>
      <c r="AC554" s="11">
        <f>IF(INT(R554/20)&gt;INT(R553/20), "Lần " &amp; INT(R554/20), "")</f>
        <v/>
      </c>
      <c r="AD554" s="11">
        <f>IF(INT(S554/20)&gt;INT(S553/20), "Lần " &amp; INT(S554/20), "")</f>
        <v/>
      </c>
      <c r="AE554" s="11">
        <f>IF(INT(T554/20)&gt;INT(T553/20), "Lần " &amp; INT(T554/20), "")</f>
        <v/>
      </c>
      <c r="AF554" s="11">
        <f>IF(INT(U554/20)&gt;INT(U553/20), "Lần " &amp; INT(U554/20), "")</f>
        <v/>
      </c>
      <c r="AG554" s="11">
        <f>IF(INT(V554/20)&gt;INT(V553/20), "Lần " &amp; INT(V554/20), "")</f>
        <v/>
      </c>
      <c r="AH554" s="11">
        <f>IF(INT(W554/20)&gt;INT(W553/20), "Lần " &amp; INT(W554/20), "")</f>
        <v/>
      </c>
      <c r="AI554" s="11">
        <f>IF(INT(X554/20)&gt;INT(X553/20), "Lần " &amp; INT(X554/20), "")</f>
        <v/>
      </c>
      <c r="AJ554" s="11">
        <f>IF(INT(Y554/20)&gt;INT(Y553/20), "Lần " &amp; INT(Y554/20), "")</f>
        <v/>
      </c>
      <c r="AK554" s="11">
        <f>IF(INT(Z554/20)&gt;INT(Z553/20), "Lần " &amp; INT(Z554/20), "")</f>
        <v/>
      </c>
      <c r="AL554" s="6" t="inlineStr">
        <is>
          <t>ĐẠT TCVN 1651:2018</t>
        </is>
      </c>
    </row>
    <row r="555" ht="19" customHeight="1">
      <c r="A555" s="6" t="n">
        <v>524</v>
      </c>
      <c r="B555" s="7" t="inlineStr">
        <is>
          <t>Mố M2</t>
        </is>
      </c>
      <c r="C555" s="7" t="inlineStr">
        <is>
          <t>Thân mố / Bệ mố</t>
        </is>
      </c>
      <c r="D555" s="18" t="inlineStr">
        <is>
          <t>W1B(T)</t>
        </is>
      </c>
      <c r="E555" s="19" t="n">
        <v>16</v>
      </c>
      <c r="F555" s="6" t="inlineStr">
        <is>
          <t>CB400-V</t>
        </is>
      </c>
      <c r="G555" s="7" t="inlineStr">
        <is>
          <t>S06</t>
        </is>
      </c>
      <c r="H555" s="20" t="n">
        <v>4.739</v>
      </c>
      <c r="I555" s="21" t="n">
        <v>20</v>
      </c>
      <c r="J555" s="22" t="n">
        <v>1.58</v>
      </c>
      <c r="K555" s="9">
        <f>ROUND(H555*I555*J555, 2)</f>
        <v/>
      </c>
      <c r="L555" s="23">
        <f>ROUND(K555/1000, 3)</f>
        <v/>
      </c>
      <c r="M555" s="8" t="n"/>
      <c r="N555" s="6" t="n"/>
      <c r="O555" s="24">
        <f>IF(AND(E555&lt;=10, F555&lt;&gt;"ASTM A416", INT(P555/20)&gt;INT(P554/20)), "TN Ø10 (Lần " &amp; INT(P555/20) &amp; ")", IF(AND(E555=12, INT(Q555/20)&gt;INT(Q554/20)), "TN Ø12 (Lần " &amp; INT(Q555/20) &amp; ")", IF(AND(E555=14, INT(R555/20)&gt;INT(R554/20)), "TN Ø14 (Lần " &amp; INT(R555/20) &amp; ")", IF(AND(E555=16, INT(S555/20)&gt;INT(S554/20)), "TN Ø16 (Lần " &amp; INT(S555/20) &amp; ")", IF(AND(E555=18, INT(T555/20)&gt;INT(T554/20)), "TN Ø18 (Lần " &amp; INT(T555/20) &amp; ")", IF(AND(E555=20, INT(U555/20)&gt;INT(U554/20)), "TN Ø20 (Lần " &amp; INT(U555/20) &amp; ")", IF(AND(E555=22, INT(V555/20)&gt;INT(V554/20)), "TN Ø22 (Lần " &amp; INT(V555/20) &amp; ")", IF(AND(E555=25, INT(W555/20)&gt;INT(W554/20)), "TN Ø25 (Lần " &amp; INT(W555/20) &amp; ")", IF(AND(E555=28, INT(X555/20)&gt;INT(X554/20)), "TN Ø28 (Lần " &amp; INT(X555/20) &amp; ")", IF(AND(E555=32, INT(Y555/20)&gt;INT(Y554/20)), "TN Ø32 (Lần " &amp; INT(Y555/20) &amp; ")", IF(AND(F555="ASTM A416", INT(Z555/20)&gt;INT(Z554/20)), "TN Cáp 15.2 (Lần " &amp; INT(Z555/20) &amp; ")", "")))))))))))</f>
        <v/>
      </c>
      <c r="P555" s="20">
        <f>ROUND(P554 + IF(AND(E555&lt;=10, F555&lt;&gt;"ASTM A416"), L555, 0), 3)</f>
        <v/>
      </c>
      <c r="Q555" s="20">
        <f>ROUND(Q554 + IF(AND(E555=12, F555&lt;&gt;"ASTM A416"), L555, 0), 3)</f>
        <v/>
      </c>
      <c r="R555" s="20">
        <f>ROUND(R554 + IF(AND(E555=14, F555&lt;&gt;"ASTM A416"), L555, 0), 3)</f>
        <v/>
      </c>
      <c r="S555" s="20">
        <f>ROUND(S554 + IF(AND(E555=16, F555&lt;&gt;"ASTM A416"), L555, 0), 3)</f>
        <v/>
      </c>
      <c r="T555" s="20">
        <f>ROUND(T554 + IF(AND(E555=18, F555&lt;&gt;"ASTM A416"), L555, 0), 3)</f>
        <v/>
      </c>
      <c r="U555" s="20">
        <f>ROUND(U554 + IF(AND(E555=20, F555&lt;&gt;"ASTM A416"), L555, 0), 3)</f>
        <v/>
      </c>
      <c r="V555" s="20">
        <f>ROUND(V554 + IF(AND(E555=22, F555&lt;&gt;"ASTM A416"), L555, 0), 3)</f>
        <v/>
      </c>
      <c r="W555" s="20">
        <f>ROUND(W554 + IF(AND(E555=25, F555&lt;&gt;"ASTM A416"), L555, 0), 3)</f>
        <v/>
      </c>
      <c r="X555" s="20">
        <f>ROUND(X554 + IF(AND(E555=28, F555&lt;&gt;"ASTM A416"), L555, 0), 3)</f>
        <v/>
      </c>
      <c r="Y555" s="20">
        <f>ROUND(Y554 + IF(AND(E555=32, F555&lt;&gt;"ASTM A416"), L555, 0), 3)</f>
        <v/>
      </c>
      <c r="Z555" s="20">
        <f>ROUND(Z554 + IF(F555="ASTM A416", L555, 0), 3)</f>
        <v/>
      </c>
      <c r="AA555" s="11">
        <f>IF(INT(P555/20)&gt;INT(P554/20), "Lần " &amp; INT(P555/20), "")</f>
        <v/>
      </c>
      <c r="AB555" s="11">
        <f>IF(INT(Q555/20)&gt;INT(Q554/20), "Lần " &amp; INT(Q555/20), "")</f>
        <v/>
      </c>
      <c r="AC555" s="11">
        <f>IF(INT(R555/20)&gt;INT(R554/20), "Lần " &amp; INT(R555/20), "")</f>
        <v/>
      </c>
      <c r="AD555" s="11">
        <f>IF(INT(S555/20)&gt;INT(S554/20), "Lần " &amp; INT(S555/20), "")</f>
        <v/>
      </c>
      <c r="AE555" s="11">
        <f>IF(INT(T555/20)&gt;INT(T554/20), "Lần " &amp; INT(T555/20), "")</f>
        <v/>
      </c>
      <c r="AF555" s="11">
        <f>IF(INT(U555/20)&gt;INT(U554/20), "Lần " &amp; INT(U555/20), "")</f>
        <v/>
      </c>
      <c r="AG555" s="11">
        <f>IF(INT(V555/20)&gt;INT(V554/20), "Lần " &amp; INT(V555/20), "")</f>
        <v/>
      </c>
      <c r="AH555" s="11">
        <f>IF(INT(W555/20)&gt;INT(W554/20), "Lần " &amp; INT(W555/20), "")</f>
        <v/>
      </c>
      <c r="AI555" s="11">
        <f>IF(INT(X555/20)&gt;INT(X554/20), "Lần " &amp; INT(X555/20), "")</f>
        <v/>
      </c>
      <c r="AJ555" s="11">
        <f>IF(INT(Y555/20)&gt;INT(Y554/20), "Lần " &amp; INT(Y555/20), "")</f>
        <v/>
      </c>
      <c r="AK555" s="11">
        <f>IF(INT(Z555/20)&gt;INT(Z554/20), "Lần " &amp; INT(Z555/20), "")</f>
        <v/>
      </c>
      <c r="AL555" s="6" t="inlineStr">
        <is>
          <t>ĐẠT TCVN 1651:2018</t>
        </is>
      </c>
    </row>
    <row r="556" ht="19" customHeight="1">
      <c r="A556" s="6" t="n">
        <v>525</v>
      </c>
      <c r="B556" s="7" t="inlineStr">
        <is>
          <t>Mố M2</t>
        </is>
      </c>
      <c r="C556" s="7" t="inlineStr">
        <is>
          <t>Thân mố / Bệ mố</t>
        </is>
      </c>
      <c r="D556" s="18" t="inlineStr">
        <is>
          <t>W2A(T)</t>
        </is>
      </c>
      <c r="E556" s="19" t="n">
        <v>22</v>
      </c>
      <c r="F556" s="6" t="inlineStr">
        <is>
          <t>CB400-V</t>
        </is>
      </c>
      <c r="G556" s="7" t="inlineStr">
        <is>
          <t>S06</t>
        </is>
      </c>
      <c r="H556" s="20" t="n">
        <v>10.455</v>
      </c>
      <c r="I556" s="21" t="n">
        <v>15</v>
      </c>
      <c r="J556" s="22" t="n">
        <v>2.98</v>
      </c>
      <c r="K556" s="9">
        <f>ROUND(H556*I556*J556, 2)</f>
        <v/>
      </c>
      <c r="L556" s="23">
        <f>ROUND(K556/1000, 3)</f>
        <v/>
      </c>
      <c r="M556" s="8" t="n"/>
      <c r="N556" s="6" t="n"/>
      <c r="O556" s="24">
        <f>IF(AND(E556&lt;=10, F556&lt;&gt;"ASTM A416", INT(P556/20)&gt;INT(P555/20)), "TN Ø10 (Lần " &amp; INT(P556/20) &amp; ")", IF(AND(E556=12, INT(Q556/20)&gt;INT(Q555/20)), "TN Ø12 (Lần " &amp; INT(Q556/20) &amp; ")", IF(AND(E556=14, INT(R556/20)&gt;INT(R555/20)), "TN Ø14 (Lần " &amp; INT(R556/20) &amp; ")", IF(AND(E556=16, INT(S556/20)&gt;INT(S555/20)), "TN Ø16 (Lần " &amp; INT(S556/20) &amp; ")", IF(AND(E556=18, INT(T556/20)&gt;INT(T555/20)), "TN Ø18 (Lần " &amp; INT(T556/20) &amp; ")", IF(AND(E556=20, INT(U556/20)&gt;INT(U555/20)), "TN Ø20 (Lần " &amp; INT(U556/20) &amp; ")", IF(AND(E556=22, INT(V556/20)&gt;INT(V555/20)), "TN Ø22 (Lần " &amp; INT(V556/20) &amp; ")", IF(AND(E556=25, INT(W556/20)&gt;INT(W555/20)), "TN Ø25 (Lần " &amp; INT(W556/20) &amp; ")", IF(AND(E556=28, INT(X556/20)&gt;INT(X555/20)), "TN Ø28 (Lần " &amp; INT(X556/20) &amp; ")", IF(AND(E556=32, INT(Y556/20)&gt;INT(Y555/20)), "TN Ø32 (Lần " &amp; INT(Y556/20) &amp; ")", IF(AND(F556="ASTM A416", INT(Z556/20)&gt;INT(Z555/20)), "TN Cáp 15.2 (Lần " &amp; INT(Z556/20) &amp; ")", "")))))))))))</f>
        <v/>
      </c>
      <c r="P556" s="20">
        <f>ROUND(P555 + IF(AND(E556&lt;=10, F556&lt;&gt;"ASTM A416"), L556, 0), 3)</f>
        <v/>
      </c>
      <c r="Q556" s="20">
        <f>ROUND(Q555 + IF(AND(E556=12, F556&lt;&gt;"ASTM A416"), L556, 0), 3)</f>
        <v/>
      </c>
      <c r="R556" s="20">
        <f>ROUND(R555 + IF(AND(E556=14, F556&lt;&gt;"ASTM A416"), L556, 0), 3)</f>
        <v/>
      </c>
      <c r="S556" s="20">
        <f>ROUND(S555 + IF(AND(E556=16, F556&lt;&gt;"ASTM A416"), L556, 0), 3)</f>
        <v/>
      </c>
      <c r="T556" s="20">
        <f>ROUND(T555 + IF(AND(E556=18, F556&lt;&gt;"ASTM A416"), L556, 0), 3)</f>
        <v/>
      </c>
      <c r="U556" s="20">
        <f>ROUND(U555 + IF(AND(E556=20, F556&lt;&gt;"ASTM A416"), L556, 0), 3)</f>
        <v/>
      </c>
      <c r="V556" s="20">
        <f>ROUND(V555 + IF(AND(E556=22, F556&lt;&gt;"ASTM A416"), L556, 0), 3)</f>
        <v/>
      </c>
      <c r="W556" s="20">
        <f>ROUND(W555 + IF(AND(E556=25, F556&lt;&gt;"ASTM A416"), L556, 0), 3)</f>
        <v/>
      </c>
      <c r="X556" s="20">
        <f>ROUND(X555 + IF(AND(E556=28, F556&lt;&gt;"ASTM A416"), L556, 0), 3)</f>
        <v/>
      </c>
      <c r="Y556" s="20">
        <f>ROUND(Y555 + IF(AND(E556=32, F556&lt;&gt;"ASTM A416"), L556, 0), 3)</f>
        <v/>
      </c>
      <c r="Z556" s="20">
        <f>ROUND(Z555 + IF(F556="ASTM A416", L556, 0), 3)</f>
        <v/>
      </c>
      <c r="AA556" s="11">
        <f>IF(INT(P556/20)&gt;INT(P555/20), "Lần " &amp; INT(P556/20), "")</f>
        <v/>
      </c>
      <c r="AB556" s="11">
        <f>IF(INT(Q556/20)&gt;INT(Q555/20), "Lần " &amp; INT(Q556/20), "")</f>
        <v/>
      </c>
      <c r="AC556" s="11">
        <f>IF(INT(R556/20)&gt;INT(R555/20), "Lần " &amp; INT(R556/20), "")</f>
        <v/>
      </c>
      <c r="AD556" s="11">
        <f>IF(INT(S556/20)&gt;INT(S555/20), "Lần " &amp; INT(S556/20), "")</f>
        <v/>
      </c>
      <c r="AE556" s="11">
        <f>IF(INT(T556/20)&gt;INT(T555/20), "Lần " &amp; INT(T556/20), "")</f>
        <v/>
      </c>
      <c r="AF556" s="11">
        <f>IF(INT(U556/20)&gt;INT(U555/20), "Lần " &amp; INT(U556/20), "")</f>
        <v/>
      </c>
      <c r="AG556" s="11">
        <f>IF(INT(V556/20)&gt;INT(V555/20), "Lần " &amp; INT(V556/20), "")</f>
        <v/>
      </c>
      <c r="AH556" s="11">
        <f>IF(INT(W556/20)&gt;INT(W555/20), "Lần " &amp; INT(W556/20), "")</f>
        <v/>
      </c>
      <c r="AI556" s="11">
        <f>IF(INT(X556/20)&gt;INT(X555/20), "Lần " &amp; INT(X556/20), "")</f>
        <v/>
      </c>
      <c r="AJ556" s="11">
        <f>IF(INT(Y556/20)&gt;INT(Y555/20), "Lần " &amp; INT(Y556/20), "")</f>
        <v/>
      </c>
      <c r="AK556" s="11">
        <f>IF(INT(Z556/20)&gt;INT(Z555/20), "Lần " &amp; INT(Z556/20), "")</f>
        <v/>
      </c>
      <c r="AL556" s="6" t="inlineStr">
        <is>
          <t>ĐẠT TCVN 1651:2018</t>
        </is>
      </c>
    </row>
    <row r="557" ht="19" customHeight="1">
      <c r="A557" s="6" t="n">
        <v>526</v>
      </c>
      <c r="B557" s="7" t="inlineStr">
        <is>
          <t>Mố M2</t>
        </is>
      </c>
      <c r="C557" s="7" t="inlineStr">
        <is>
          <t>Thân mố / Bệ mố</t>
        </is>
      </c>
      <c r="D557" s="18" t="inlineStr">
        <is>
          <t>W2B(T)</t>
        </is>
      </c>
      <c r="E557" s="19" t="n">
        <v>16</v>
      </c>
      <c r="F557" s="6" t="inlineStr">
        <is>
          <t>CB400-V</t>
        </is>
      </c>
      <c r="G557" s="7" t="inlineStr">
        <is>
          <t>S06</t>
        </is>
      </c>
      <c r="H557" s="20" t="n">
        <v>4.739</v>
      </c>
      <c r="I557" s="21" t="n">
        <v>20</v>
      </c>
      <c r="J557" s="22" t="n">
        <v>1.58</v>
      </c>
      <c r="K557" s="9">
        <f>ROUND(H557*I557*J557, 2)</f>
        <v/>
      </c>
      <c r="L557" s="23">
        <f>ROUND(K557/1000, 3)</f>
        <v/>
      </c>
      <c r="M557" s="8" t="n"/>
      <c r="N557" s="6" t="n"/>
      <c r="O557" s="24">
        <f>IF(AND(E557&lt;=10, F557&lt;&gt;"ASTM A416", INT(P557/20)&gt;INT(P556/20)), "TN Ø10 (Lần " &amp; INT(P557/20) &amp; ")", IF(AND(E557=12, INT(Q557/20)&gt;INT(Q556/20)), "TN Ø12 (Lần " &amp; INT(Q557/20) &amp; ")", IF(AND(E557=14, INT(R557/20)&gt;INT(R556/20)), "TN Ø14 (Lần " &amp; INT(R557/20) &amp; ")", IF(AND(E557=16, INT(S557/20)&gt;INT(S556/20)), "TN Ø16 (Lần " &amp; INT(S557/20) &amp; ")", IF(AND(E557=18, INT(T557/20)&gt;INT(T556/20)), "TN Ø18 (Lần " &amp; INT(T557/20) &amp; ")", IF(AND(E557=20, INT(U557/20)&gt;INT(U556/20)), "TN Ø20 (Lần " &amp; INT(U557/20) &amp; ")", IF(AND(E557=22, INT(V557/20)&gt;INT(V556/20)), "TN Ø22 (Lần " &amp; INT(V557/20) &amp; ")", IF(AND(E557=25, INT(W557/20)&gt;INT(W556/20)), "TN Ø25 (Lần " &amp; INT(W557/20) &amp; ")", IF(AND(E557=28, INT(X557/20)&gt;INT(X556/20)), "TN Ø28 (Lần " &amp; INT(X557/20) &amp; ")", IF(AND(E557=32, INT(Y557/20)&gt;INT(Y556/20)), "TN Ø32 (Lần " &amp; INT(Y557/20) &amp; ")", IF(AND(F557="ASTM A416", INT(Z557/20)&gt;INT(Z556/20)), "TN Cáp 15.2 (Lần " &amp; INT(Z557/20) &amp; ")", "")))))))))))</f>
        <v/>
      </c>
      <c r="P557" s="20">
        <f>ROUND(P556 + IF(AND(E557&lt;=10, F557&lt;&gt;"ASTM A416"), L557, 0), 3)</f>
        <v/>
      </c>
      <c r="Q557" s="20">
        <f>ROUND(Q556 + IF(AND(E557=12, F557&lt;&gt;"ASTM A416"), L557, 0), 3)</f>
        <v/>
      </c>
      <c r="R557" s="20">
        <f>ROUND(R556 + IF(AND(E557=14, F557&lt;&gt;"ASTM A416"), L557, 0), 3)</f>
        <v/>
      </c>
      <c r="S557" s="20">
        <f>ROUND(S556 + IF(AND(E557=16, F557&lt;&gt;"ASTM A416"), L557, 0), 3)</f>
        <v/>
      </c>
      <c r="T557" s="20">
        <f>ROUND(T556 + IF(AND(E557=18, F557&lt;&gt;"ASTM A416"), L557, 0), 3)</f>
        <v/>
      </c>
      <c r="U557" s="20">
        <f>ROUND(U556 + IF(AND(E557=20, F557&lt;&gt;"ASTM A416"), L557, 0), 3)</f>
        <v/>
      </c>
      <c r="V557" s="20">
        <f>ROUND(V556 + IF(AND(E557=22, F557&lt;&gt;"ASTM A416"), L557, 0), 3)</f>
        <v/>
      </c>
      <c r="W557" s="20">
        <f>ROUND(W556 + IF(AND(E557=25, F557&lt;&gt;"ASTM A416"), L557, 0), 3)</f>
        <v/>
      </c>
      <c r="X557" s="20">
        <f>ROUND(X556 + IF(AND(E557=28, F557&lt;&gt;"ASTM A416"), L557, 0), 3)</f>
        <v/>
      </c>
      <c r="Y557" s="20">
        <f>ROUND(Y556 + IF(AND(E557=32, F557&lt;&gt;"ASTM A416"), L557, 0), 3)</f>
        <v/>
      </c>
      <c r="Z557" s="20">
        <f>ROUND(Z556 + IF(F557="ASTM A416", L557, 0), 3)</f>
        <v/>
      </c>
      <c r="AA557" s="11">
        <f>IF(INT(P557/20)&gt;INT(P556/20), "Lần " &amp; INT(P557/20), "")</f>
        <v/>
      </c>
      <c r="AB557" s="11">
        <f>IF(INT(Q557/20)&gt;INT(Q556/20), "Lần " &amp; INT(Q557/20), "")</f>
        <v/>
      </c>
      <c r="AC557" s="11">
        <f>IF(INT(R557/20)&gt;INT(R556/20), "Lần " &amp; INT(R557/20), "")</f>
        <v/>
      </c>
      <c r="AD557" s="11">
        <f>IF(INT(S557/20)&gt;INT(S556/20), "Lần " &amp; INT(S557/20), "")</f>
        <v/>
      </c>
      <c r="AE557" s="11">
        <f>IF(INT(T557/20)&gt;INT(T556/20), "Lần " &amp; INT(T557/20), "")</f>
        <v/>
      </c>
      <c r="AF557" s="11">
        <f>IF(INT(U557/20)&gt;INT(U556/20), "Lần " &amp; INT(U557/20), "")</f>
        <v/>
      </c>
      <c r="AG557" s="11">
        <f>IF(INT(V557/20)&gt;INT(V556/20), "Lần " &amp; INT(V557/20), "")</f>
        <v/>
      </c>
      <c r="AH557" s="11">
        <f>IF(INT(W557/20)&gt;INT(W556/20), "Lần " &amp; INT(W557/20), "")</f>
        <v/>
      </c>
      <c r="AI557" s="11">
        <f>IF(INT(X557/20)&gt;INT(X556/20), "Lần " &amp; INT(X557/20), "")</f>
        <v/>
      </c>
      <c r="AJ557" s="11">
        <f>IF(INT(Y557/20)&gt;INT(Y556/20), "Lần " &amp; INT(Y557/20), "")</f>
        <v/>
      </c>
      <c r="AK557" s="11">
        <f>IF(INT(Z557/20)&gt;INT(Z556/20), "Lần " &amp; INT(Z557/20), "")</f>
        <v/>
      </c>
      <c r="AL557" s="6" t="inlineStr">
        <is>
          <t>ĐẠT TCVN 1651:2018</t>
        </is>
      </c>
    </row>
    <row r="558" ht="19" customHeight="1">
      <c r="A558" s="6" t="n">
        <v>527</v>
      </c>
      <c r="B558" s="7" t="inlineStr">
        <is>
          <t>Mố M2</t>
        </is>
      </c>
      <c r="C558" s="7" t="inlineStr">
        <is>
          <t>Thân mố / Bệ mố</t>
        </is>
      </c>
      <c r="D558" s="18" t="inlineStr">
        <is>
          <t>W3A(T)</t>
        </is>
      </c>
      <c r="E558" s="19" t="n">
        <v>16</v>
      </c>
      <c r="F558" s="6" t="inlineStr">
        <is>
          <t>CB400-V</t>
        </is>
      </c>
      <c r="G558" s="7" t="inlineStr">
        <is>
          <t>S06</t>
        </is>
      </c>
      <c r="H558" s="20" t="n">
        <v>4.332</v>
      </c>
      <c r="I558" s="21" t="n">
        <v>15</v>
      </c>
      <c r="J558" s="22" t="n">
        <v>1.58</v>
      </c>
      <c r="K558" s="9">
        <f>ROUND(H558*I558*J558, 2)</f>
        <v/>
      </c>
      <c r="L558" s="23">
        <f>ROUND(K558/1000, 3)</f>
        <v/>
      </c>
      <c r="M558" s="8" t="n"/>
      <c r="N558" s="6" t="n"/>
      <c r="O558" s="24">
        <f>IF(AND(E558&lt;=10, F558&lt;&gt;"ASTM A416", INT(P558/20)&gt;INT(P557/20)), "TN Ø10 (Lần " &amp; INT(P558/20) &amp; ")", IF(AND(E558=12, INT(Q558/20)&gt;INT(Q557/20)), "TN Ø12 (Lần " &amp; INT(Q558/20) &amp; ")", IF(AND(E558=14, INT(R558/20)&gt;INT(R557/20)), "TN Ø14 (Lần " &amp; INT(R558/20) &amp; ")", IF(AND(E558=16, INT(S558/20)&gt;INT(S557/20)), "TN Ø16 (Lần " &amp; INT(S558/20) &amp; ")", IF(AND(E558=18, INT(T558/20)&gt;INT(T557/20)), "TN Ø18 (Lần " &amp; INT(T558/20) &amp; ")", IF(AND(E558=20, INT(U558/20)&gt;INT(U557/20)), "TN Ø20 (Lần " &amp; INT(U558/20) &amp; ")", IF(AND(E558=22, INT(V558/20)&gt;INT(V557/20)), "TN Ø22 (Lần " &amp; INT(V558/20) &amp; ")", IF(AND(E558=25, INT(W558/20)&gt;INT(W557/20)), "TN Ø25 (Lần " &amp; INT(W558/20) &amp; ")", IF(AND(E558=28, INT(X558/20)&gt;INT(X557/20)), "TN Ø28 (Lần " &amp; INT(X558/20) &amp; ")", IF(AND(E558=32, INT(Y558/20)&gt;INT(Y557/20)), "TN Ø32 (Lần " &amp; INT(Y558/20) &amp; ")", IF(AND(F558="ASTM A416", INT(Z558/20)&gt;INT(Z557/20)), "TN Cáp 15.2 (Lần " &amp; INT(Z558/20) &amp; ")", "")))))))))))</f>
        <v/>
      </c>
      <c r="P558" s="20">
        <f>ROUND(P557 + IF(AND(E558&lt;=10, F558&lt;&gt;"ASTM A416"), L558, 0), 3)</f>
        <v/>
      </c>
      <c r="Q558" s="20">
        <f>ROUND(Q557 + IF(AND(E558=12, F558&lt;&gt;"ASTM A416"), L558, 0), 3)</f>
        <v/>
      </c>
      <c r="R558" s="20">
        <f>ROUND(R557 + IF(AND(E558=14, F558&lt;&gt;"ASTM A416"), L558, 0), 3)</f>
        <v/>
      </c>
      <c r="S558" s="20">
        <f>ROUND(S557 + IF(AND(E558=16, F558&lt;&gt;"ASTM A416"), L558, 0), 3)</f>
        <v/>
      </c>
      <c r="T558" s="20">
        <f>ROUND(T557 + IF(AND(E558=18, F558&lt;&gt;"ASTM A416"), L558, 0), 3)</f>
        <v/>
      </c>
      <c r="U558" s="20">
        <f>ROUND(U557 + IF(AND(E558=20, F558&lt;&gt;"ASTM A416"), L558, 0), 3)</f>
        <v/>
      </c>
      <c r="V558" s="20">
        <f>ROUND(V557 + IF(AND(E558=22, F558&lt;&gt;"ASTM A416"), L558, 0), 3)</f>
        <v/>
      </c>
      <c r="W558" s="20">
        <f>ROUND(W557 + IF(AND(E558=25, F558&lt;&gt;"ASTM A416"), L558, 0), 3)</f>
        <v/>
      </c>
      <c r="X558" s="20">
        <f>ROUND(X557 + IF(AND(E558=28, F558&lt;&gt;"ASTM A416"), L558, 0), 3)</f>
        <v/>
      </c>
      <c r="Y558" s="20">
        <f>ROUND(Y557 + IF(AND(E558=32, F558&lt;&gt;"ASTM A416"), L558, 0), 3)</f>
        <v/>
      </c>
      <c r="Z558" s="20">
        <f>ROUND(Z557 + IF(F558="ASTM A416", L558, 0), 3)</f>
        <v/>
      </c>
      <c r="AA558" s="11">
        <f>IF(INT(P558/20)&gt;INT(P557/20), "Lần " &amp; INT(P558/20), "")</f>
        <v/>
      </c>
      <c r="AB558" s="11">
        <f>IF(INT(Q558/20)&gt;INT(Q557/20), "Lần " &amp; INT(Q558/20), "")</f>
        <v/>
      </c>
      <c r="AC558" s="11">
        <f>IF(INT(R558/20)&gt;INT(R557/20), "Lần " &amp; INT(R558/20), "")</f>
        <v/>
      </c>
      <c r="AD558" s="11">
        <f>IF(INT(S558/20)&gt;INT(S557/20), "Lần " &amp; INT(S558/20), "")</f>
        <v/>
      </c>
      <c r="AE558" s="11">
        <f>IF(INT(T558/20)&gt;INT(T557/20), "Lần " &amp; INT(T558/20), "")</f>
        <v/>
      </c>
      <c r="AF558" s="11">
        <f>IF(INT(U558/20)&gt;INT(U557/20), "Lần " &amp; INT(U558/20), "")</f>
        <v/>
      </c>
      <c r="AG558" s="11">
        <f>IF(INT(V558/20)&gt;INT(V557/20), "Lần " &amp; INT(V558/20), "")</f>
        <v/>
      </c>
      <c r="AH558" s="11">
        <f>IF(INT(W558/20)&gt;INT(W557/20), "Lần " &amp; INT(W558/20), "")</f>
        <v/>
      </c>
      <c r="AI558" s="11">
        <f>IF(INT(X558/20)&gt;INT(X557/20), "Lần " &amp; INT(X558/20), "")</f>
        <v/>
      </c>
      <c r="AJ558" s="11">
        <f>IF(INT(Y558/20)&gt;INT(Y557/20), "Lần " &amp; INT(Y558/20), "")</f>
        <v/>
      </c>
      <c r="AK558" s="11">
        <f>IF(INT(Z558/20)&gt;INT(Z557/20), "Lần " &amp; INT(Z558/20), "")</f>
        <v/>
      </c>
      <c r="AL558" s="6" t="inlineStr">
        <is>
          <t>ĐẠT TCVN 1651:2018</t>
        </is>
      </c>
    </row>
    <row r="559" ht="19" customHeight="1">
      <c r="A559" s="6" t="n">
        <v>528</v>
      </c>
      <c r="B559" s="7" t="inlineStr">
        <is>
          <t>Mố M2</t>
        </is>
      </c>
      <c r="C559" s="7" t="inlineStr">
        <is>
          <t>Thân mố / Bệ mố</t>
        </is>
      </c>
      <c r="D559" s="18" t="inlineStr">
        <is>
          <t>W3B(T)</t>
        </is>
      </c>
      <c r="E559" s="19" t="n">
        <v>16</v>
      </c>
      <c r="F559" s="6" t="inlineStr">
        <is>
          <t>CB400-V</t>
        </is>
      </c>
      <c r="G559" s="7" t="inlineStr">
        <is>
          <t>S06</t>
        </is>
      </c>
      <c r="H559" s="20" t="n">
        <v>5.894</v>
      </c>
      <c r="I559" s="21" t="n">
        <v>20</v>
      </c>
      <c r="J559" s="22" t="n">
        <v>1.58</v>
      </c>
      <c r="K559" s="9">
        <f>ROUND(H559*I559*J559, 2)</f>
        <v/>
      </c>
      <c r="L559" s="23">
        <f>ROUND(K559/1000, 3)</f>
        <v/>
      </c>
      <c r="M559" s="8" t="n"/>
      <c r="N559" s="6" t="n"/>
      <c r="O559" s="24">
        <f>IF(AND(E559&lt;=10, F559&lt;&gt;"ASTM A416", INT(P559/20)&gt;INT(P558/20)), "TN Ø10 (Lần " &amp; INT(P559/20) &amp; ")", IF(AND(E559=12, INT(Q559/20)&gt;INT(Q558/20)), "TN Ø12 (Lần " &amp; INT(Q559/20) &amp; ")", IF(AND(E559=14, INT(R559/20)&gt;INT(R558/20)), "TN Ø14 (Lần " &amp; INT(R559/20) &amp; ")", IF(AND(E559=16, INT(S559/20)&gt;INT(S558/20)), "TN Ø16 (Lần " &amp; INT(S559/20) &amp; ")", IF(AND(E559=18, INT(T559/20)&gt;INT(T558/20)), "TN Ø18 (Lần " &amp; INT(T559/20) &amp; ")", IF(AND(E559=20, INT(U559/20)&gt;INT(U558/20)), "TN Ø20 (Lần " &amp; INT(U559/20) &amp; ")", IF(AND(E559=22, INT(V559/20)&gt;INT(V558/20)), "TN Ø22 (Lần " &amp; INT(V559/20) &amp; ")", IF(AND(E559=25, INT(W559/20)&gt;INT(W558/20)), "TN Ø25 (Lần " &amp; INT(W559/20) &amp; ")", IF(AND(E559=28, INT(X559/20)&gt;INT(X558/20)), "TN Ø28 (Lần " &amp; INT(X559/20) &amp; ")", IF(AND(E559=32, INT(Y559/20)&gt;INT(Y558/20)), "TN Ø32 (Lần " &amp; INT(Y559/20) &amp; ")", IF(AND(F559="ASTM A416", INT(Z559/20)&gt;INT(Z558/20)), "TN Cáp 15.2 (Lần " &amp; INT(Z559/20) &amp; ")", "")))))))))))</f>
        <v/>
      </c>
      <c r="P559" s="20">
        <f>ROUND(P558 + IF(AND(E559&lt;=10, F559&lt;&gt;"ASTM A416"), L559, 0), 3)</f>
        <v/>
      </c>
      <c r="Q559" s="20">
        <f>ROUND(Q558 + IF(AND(E559=12, F559&lt;&gt;"ASTM A416"), L559, 0), 3)</f>
        <v/>
      </c>
      <c r="R559" s="20">
        <f>ROUND(R558 + IF(AND(E559=14, F559&lt;&gt;"ASTM A416"), L559, 0), 3)</f>
        <v/>
      </c>
      <c r="S559" s="20">
        <f>ROUND(S558 + IF(AND(E559=16, F559&lt;&gt;"ASTM A416"), L559, 0), 3)</f>
        <v/>
      </c>
      <c r="T559" s="20">
        <f>ROUND(T558 + IF(AND(E559=18, F559&lt;&gt;"ASTM A416"), L559, 0), 3)</f>
        <v/>
      </c>
      <c r="U559" s="20">
        <f>ROUND(U558 + IF(AND(E559=20, F559&lt;&gt;"ASTM A416"), L559, 0), 3)</f>
        <v/>
      </c>
      <c r="V559" s="20">
        <f>ROUND(V558 + IF(AND(E559=22, F559&lt;&gt;"ASTM A416"), L559, 0), 3)</f>
        <v/>
      </c>
      <c r="W559" s="20">
        <f>ROUND(W558 + IF(AND(E559=25, F559&lt;&gt;"ASTM A416"), L559, 0), 3)</f>
        <v/>
      </c>
      <c r="X559" s="20">
        <f>ROUND(X558 + IF(AND(E559=28, F559&lt;&gt;"ASTM A416"), L559, 0), 3)</f>
        <v/>
      </c>
      <c r="Y559" s="20">
        <f>ROUND(Y558 + IF(AND(E559=32, F559&lt;&gt;"ASTM A416"), L559, 0), 3)</f>
        <v/>
      </c>
      <c r="Z559" s="20">
        <f>ROUND(Z558 + IF(F559="ASTM A416", L559, 0), 3)</f>
        <v/>
      </c>
      <c r="AA559" s="11">
        <f>IF(INT(P559/20)&gt;INT(P558/20), "Lần " &amp; INT(P559/20), "")</f>
        <v/>
      </c>
      <c r="AB559" s="11">
        <f>IF(INT(Q559/20)&gt;INT(Q558/20), "Lần " &amp; INT(Q559/20), "")</f>
        <v/>
      </c>
      <c r="AC559" s="11">
        <f>IF(INT(R559/20)&gt;INT(R558/20), "Lần " &amp; INT(R559/20), "")</f>
        <v/>
      </c>
      <c r="AD559" s="11">
        <f>IF(INT(S559/20)&gt;INT(S558/20), "Lần " &amp; INT(S559/20), "")</f>
        <v/>
      </c>
      <c r="AE559" s="11">
        <f>IF(INT(T559/20)&gt;INT(T558/20), "Lần " &amp; INT(T559/20), "")</f>
        <v/>
      </c>
      <c r="AF559" s="11">
        <f>IF(INT(U559/20)&gt;INT(U558/20), "Lần " &amp; INT(U559/20), "")</f>
        <v/>
      </c>
      <c r="AG559" s="11">
        <f>IF(INT(V559/20)&gt;INT(V558/20), "Lần " &amp; INT(V559/20), "")</f>
        <v/>
      </c>
      <c r="AH559" s="11">
        <f>IF(INT(W559/20)&gt;INT(W558/20), "Lần " &amp; INT(W559/20), "")</f>
        <v/>
      </c>
      <c r="AI559" s="11">
        <f>IF(INT(X559/20)&gt;INT(X558/20), "Lần " &amp; INT(X559/20), "")</f>
        <v/>
      </c>
      <c r="AJ559" s="11">
        <f>IF(INT(Y559/20)&gt;INT(Y558/20), "Lần " &amp; INT(Y559/20), "")</f>
        <v/>
      </c>
      <c r="AK559" s="11">
        <f>IF(INT(Z559/20)&gt;INT(Z558/20), "Lần " &amp; INT(Z559/20), "")</f>
        <v/>
      </c>
      <c r="AL559" s="6" t="inlineStr">
        <is>
          <t>ĐẠT TCVN 1651:2018</t>
        </is>
      </c>
    </row>
    <row r="560" ht="19" customHeight="1">
      <c r="A560" s="6" t="n">
        <v>529</v>
      </c>
      <c r="B560" s="7" t="inlineStr">
        <is>
          <t>Mố M2</t>
        </is>
      </c>
      <c r="C560" s="7" t="inlineStr">
        <is>
          <t>Thân mố / Bệ mố</t>
        </is>
      </c>
      <c r="D560" s="18" t="inlineStr">
        <is>
          <t>W3C(T)</t>
        </is>
      </c>
      <c r="E560" s="19" t="n">
        <v>16</v>
      </c>
      <c r="F560" s="6" t="inlineStr">
        <is>
          <t>CB400-V</t>
        </is>
      </c>
      <c r="G560" s="7" t="inlineStr">
        <is>
          <t>S06</t>
        </is>
      </c>
      <c r="H560" s="20" t="n">
        <v>7.307</v>
      </c>
      <c r="I560" s="21" t="n">
        <v>4</v>
      </c>
      <c r="J560" s="22" t="n">
        <v>1.58</v>
      </c>
      <c r="K560" s="9">
        <f>ROUND(H560*I560*J560, 2)</f>
        <v/>
      </c>
      <c r="L560" s="23">
        <f>ROUND(K560/1000, 3)</f>
        <v/>
      </c>
      <c r="M560" s="8" t="n"/>
      <c r="N560" s="6" t="n"/>
      <c r="O560" s="24">
        <f>IF(AND(E560&lt;=10, F560&lt;&gt;"ASTM A416", INT(P560/20)&gt;INT(P559/20)), "TN Ø10 (Lần " &amp; INT(P560/20) &amp; ")", IF(AND(E560=12, INT(Q560/20)&gt;INT(Q559/20)), "TN Ø12 (Lần " &amp; INT(Q560/20) &amp; ")", IF(AND(E560=14, INT(R560/20)&gt;INT(R559/20)), "TN Ø14 (Lần " &amp; INT(R560/20) &amp; ")", IF(AND(E560=16, INT(S560/20)&gt;INT(S559/20)), "TN Ø16 (Lần " &amp; INT(S560/20) &amp; ")", IF(AND(E560=18, INT(T560/20)&gt;INT(T559/20)), "TN Ø18 (Lần " &amp; INT(T560/20) &amp; ")", IF(AND(E560=20, INT(U560/20)&gt;INT(U559/20)), "TN Ø20 (Lần " &amp; INT(U560/20) &amp; ")", IF(AND(E560=22, INT(V560/20)&gt;INT(V559/20)), "TN Ø22 (Lần " &amp; INT(V560/20) &amp; ")", IF(AND(E560=25, INT(W560/20)&gt;INT(W559/20)), "TN Ø25 (Lần " &amp; INT(W560/20) &amp; ")", IF(AND(E560=28, INT(X560/20)&gt;INT(X559/20)), "TN Ø28 (Lần " &amp; INT(X560/20) &amp; ")", IF(AND(E560=32, INT(Y560/20)&gt;INT(Y559/20)), "TN Ø32 (Lần " &amp; INT(Y560/20) &amp; ")", IF(AND(F560="ASTM A416", INT(Z560/20)&gt;INT(Z559/20)), "TN Cáp 15.2 (Lần " &amp; INT(Z560/20) &amp; ")", "")))))))))))</f>
        <v/>
      </c>
      <c r="P560" s="20">
        <f>ROUND(P559 + IF(AND(E560&lt;=10, F560&lt;&gt;"ASTM A416"), L560, 0), 3)</f>
        <v/>
      </c>
      <c r="Q560" s="20">
        <f>ROUND(Q559 + IF(AND(E560=12, F560&lt;&gt;"ASTM A416"), L560, 0), 3)</f>
        <v/>
      </c>
      <c r="R560" s="20">
        <f>ROUND(R559 + IF(AND(E560=14, F560&lt;&gt;"ASTM A416"), L560, 0), 3)</f>
        <v/>
      </c>
      <c r="S560" s="20">
        <f>ROUND(S559 + IF(AND(E560=16, F560&lt;&gt;"ASTM A416"), L560, 0), 3)</f>
        <v/>
      </c>
      <c r="T560" s="20">
        <f>ROUND(T559 + IF(AND(E560=18, F560&lt;&gt;"ASTM A416"), L560, 0), 3)</f>
        <v/>
      </c>
      <c r="U560" s="20">
        <f>ROUND(U559 + IF(AND(E560=20, F560&lt;&gt;"ASTM A416"), L560, 0), 3)</f>
        <v/>
      </c>
      <c r="V560" s="20">
        <f>ROUND(V559 + IF(AND(E560=22, F560&lt;&gt;"ASTM A416"), L560, 0), 3)</f>
        <v/>
      </c>
      <c r="W560" s="20">
        <f>ROUND(W559 + IF(AND(E560=25, F560&lt;&gt;"ASTM A416"), L560, 0), 3)</f>
        <v/>
      </c>
      <c r="X560" s="20">
        <f>ROUND(X559 + IF(AND(E560=28, F560&lt;&gt;"ASTM A416"), L560, 0), 3)</f>
        <v/>
      </c>
      <c r="Y560" s="20">
        <f>ROUND(Y559 + IF(AND(E560=32, F560&lt;&gt;"ASTM A416"), L560, 0), 3)</f>
        <v/>
      </c>
      <c r="Z560" s="20">
        <f>ROUND(Z559 + IF(F560="ASTM A416", L560, 0), 3)</f>
        <v/>
      </c>
      <c r="AA560" s="11">
        <f>IF(INT(P560/20)&gt;INT(P559/20), "Lần " &amp; INT(P560/20), "")</f>
        <v/>
      </c>
      <c r="AB560" s="11">
        <f>IF(INT(Q560/20)&gt;INT(Q559/20), "Lần " &amp; INT(Q560/20), "")</f>
        <v/>
      </c>
      <c r="AC560" s="11">
        <f>IF(INT(R560/20)&gt;INT(R559/20), "Lần " &amp; INT(R560/20), "")</f>
        <v/>
      </c>
      <c r="AD560" s="11">
        <f>IF(INT(S560/20)&gt;INT(S559/20), "Lần " &amp; INT(S560/20), "")</f>
        <v/>
      </c>
      <c r="AE560" s="11">
        <f>IF(INT(T560/20)&gt;INT(T559/20), "Lần " &amp; INT(T560/20), "")</f>
        <v/>
      </c>
      <c r="AF560" s="11">
        <f>IF(INT(U560/20)&gt;INT(U559/20), "Lần " &amp; INT(U560/20), "")</f>
        <v/>
      </c>
      <c r="AG560" s="11">
        <f>IF(INT(V560/20)&gt;INT(V559/20), "Lần " &amp; INT(V560/20), "")</f>
        <v/>
      </c>
      <c r="AH560" s="11">
        <f>IF(INT(W560/20)&gt;INT(W559/20), "Lần " &amp; INT(W560/20), "")</f>
        <v/>
      </c>
      <c r="AI560" s="11">
        <f>IF(INT(X560/20)&gt;INT(X559/20), "Lần " &amp; INT(X560/20), "")</f>
        <v/>
      </c>
      <c r="AJ560" s="11">
        <f>IF(INT(Y560/20)&gt;INT(Y559/20), "Lần " &amp; INT(Y560/20), "")</f>
        <v/>
      </c>
      <c r="AK560" s="11">
        <f>IF(INT(Z560/20)&gt;INT(Z559/20), "Lần " &amp; INT(Z560/20), "")</f>
        <v/>
      </c>
      <c r="AL560" s="6" t="inlineStr">
        <is>
          <t>ĐẠT TCVN 1651:2018</t>
        </is>
      </c>
    </row>
    <row r="561" ht="19" customHeight="1">
      <c r="A561" s="6" t="n">
        <v>530</v>
      </c>
      <c r="B561" s="7" t="inlineStr">
        <is>
          <t>Mố M2</t>
        </is>
      </c>
      <c r="C561" s="7" t="inlineStr">
        <is>
          <t>Thân mố / Bệ mố</t>
        </is>
      </c>
      <c r="D561" s="18" t="inlineStr">
        <is>
          <t>W3D(T)</t>
        </is>
      </c>
      <c r="E561" s="19" t="n">
        <v>16</v>
      </c>
      <c r="F561" s="6" t="inlineStr">
        <is>
          <t>CB400-V</t>
        </is>
      </c>
      <c r="G561" s="7" t="inlineStr">
        <is>
          <t>S06</t>
        </is>
      </c>
      <c r="H561" s="20" t="n">
        <v>6.332</v>
      </c>
      <c r="I561" s="21" t="n">
        <v>14</v>
      </c>
      <c r="J561" s="22" t="n">
        <v>1.58</v>
      </c>
      <c r="K561" s="9">
        <f>ROUND(H561*I561*J561, 2)</f>
        <v/>
      </c>
      <c r="L561" s="23">
        <f>ROUND(K561/1000, 3)</f>
        <v/>
      </c>
      <c r="M561" s="8" t="n"/>
      <c r="N561" s="6" t="n"/>
      <c r="O561" s="24">
        <f>IF(AND(E561&lt;=10, F561&lt;&gt;"ASTM A416", INT(P561/20)&gt;INT(P560/20)), "TN Ø10 (Lần " &amp; INT(P561/20) &amp; ")", IF(AND(E561=12, INT(Q561/20)&gt;INT(Q560/20)), "TN Ø12 (Lần " &amp; INT(Q561/20) &amp; ")", IF(AND(E561=14, INT(R561/20)&gt;INT(R560/20)), "TN Ø14 (Lần " &amp; INT(R561/20) &amp; ")", IF(AND(E561=16, INT(S561/20)&gt;INT(S560/20)), "TN Ø16 (Lần " &amp; INT(S561/20) &amp; ")", IF(AND(E561=18, INT(T561/20)&gt;INT(T560/20)), "TN Ø18 (Lần " &amp; INT(T561/20) &amp; ")", IF(AND(E561=20, INT(U561/20)&gt;INT(U560/20)), "TN Ø20 (Lần " &amp; INT(U561/20) &amp; ")", IF(AND(E561=22, INT(V561/20)&gt;INT(V560/20)), "TN Ø22 (Lần " &amp; INT(V561/20) &amp; ")", IF(AND(E561=25, INT(W561/20)&gt;INT(W560/20)), "TN Ø25 (Lần " &amp; INT(W561/20) &amp; ")", IF(AND(E561=28, INT(X561/20)&gt;INT(X560/20)), "TN Ø28 (Lần " &amp; INT(X561/20) &amp; ")", IF(AND(E561=32, INT(Y561/20)&gt;INT(Y560/20)), "TN Ø32 (Lần " &amp; INT(Y561/20) &amp; ")", IF(AND(F561="ASTM A416", INT(Z561/20)&gt;INT(Z560/20)), "TN Cáp 15.2 (Lần " &amp; INT(Z561/20) &amp; ")", "")))))))))))</f>
        <v/>
      </c>
      <c r="P561" s="20">
        <f>ROUND(P560 + IF(AND(E561&lt;=10, F561&lt;&gt;"ASTM A416"), L561, 0), 3)</f>
        <v/>
      </c>
      <c r="Q561" s="20">
        <f>ROUND(Q560 + IF(AND(E561=12, F561&lt;&gt;"ASTM A416"), L561, 0), 3)</f>
        <v/>
      </c>
      <c r="R561" s="20">
        <f>ROUND(R560 + IF(AND(E561=14, F561&lt;&gt;"ASTM A416"), L561, 0), 3)</f>
        <v/>
      </c>
      <c r="S561" s="20">
        <f>ROUND(S560 + IF(AND(E561=16, F561&lt;&gt;"ASTM A416"), L561, 0), 3)</f>
        <v/>
      </c>
      <c r="T561" s="20">
        <f>ROUND(T560 + IF(AND(E561=18, F561&lt;&gt;"ASTM A416"), L561, 0), 3)</f>
        <v/>
      </c>
      <c r="U561" s="20">
        <f>ROUND(U560 + IF(AND(E561=20, F561&lt;&gt;"ASTM A416"), L561, 0), 3)</f>
        <v/>
      </c>
      <c r="V561" s="20">
        <f>ROUND(V560 + IF(AND(E561=22, F561&lt;&gt;"ASTM A416"), L561, 0), 3)</f>
        <v/>
      </c>
      <c r="W561" s="20">
        <f>ROUND(W560 + IF(AND(E561=25, F561&lt;&gt;"ASTM A416"), L561, 0), 3)</f>
        <v/>
      </c>
      <c r="X561" s="20">
        <f>ROUND(X560 + IF(AND(E561=28, F561&lt;&gt;"ASTM A416"), L561, 0), 3)</f>
        <v/>
      </c>
      <c r="Y561" s="20">
        <f>ROUND(Y560 + IF(AND(E561=32, F561&lt;&gt;"ASTM A416"), L561, 0), 3)</f>
        <v/>
      </c>
      <c r="Z561" s="20">
        <f>ROUND(Z560 + IF(F561="ASTM A416", L561, 0), 3)</f>
        <v/>
      </c>
      <c r="AA561" s="11">
        <f>IF(INT(P561/20)&gt;INT(P560/20), "Lần " &amp; INT(P561/20), "")</f>
        <v/>
      </c>
      <c r="AB561" s="11">
        <f>IF(INT(Q561/20)&gt;INT(Q560/20), "Lần " &amp; INT(Q561/20), "")</f>
        <v/>
      </c>
      <c r="AC561" s="11">
        <f>IF(INT(R561/20)&gt;INT(R560/20), "Lần " &amp; INT(R561/20), "")</f>
        <v/>
      </c>
      <c r="AD561" s="11">
        <f>IF(INT(S561/20)&gt;INT(S560/20), "Lần " &amp; INT(S561/20), "")</f>
        <v/>
      </c>
      <c r="AE561" s="11">
        <f>IF(INT(T561/20)&gt;INT(T560/20), "Lần " &amp; INT(T561/20), "")</f>
        <v/>
      </c>
      <c r="AF561" s="11">
        <f>IF(INT(U561/20)&gt;INT(U560/20), "Lần " &amp; INT(U561/20), "")</f>
        <v/>
      </c>
      <c r="AG561" s="11">
        <f>IF(INT(V561/20)&gt;INT(V560/20), "Lần " &amp; INT(V561/20), "")</f>
        <v/>
      </c>
      <c r="AH561" s="11">
        <f>IF(INT(W561/20)&gt;INT(W560/20), "Lần " &amp; INT(W561/20), "")</f>
        <v/>
      </c>
      <c r="AI561" s="11">
        <f>IF(INT(X561/20)&gt;INT(X560/20), "Lần " &amp; INT(X561/20), "")</f>
        <v/>
      </c>
      <c r="AJ561" s="11">
        <f>IF(INT(Y561/20)&gt;INT(Y560/20), "Lần " &amp; INT(Y561/20), "")</f>
        <v/>
      </c>
      <c r="AK561" s="11">
        <f>IF(INT(Z561/20)&gt;INT(Z560/20), "Lần " &amp; INT(Z561/20), "")</f>
        <v/>
      </c>
      <c r="AL561" s="6" t="inlineStr">
        <is>
          <t>ĐẠT TCVN 1651:2018</t>
        </is>
      </c>
    </row>
    <row r="562" ht="19" customHeight="1">
      <c r="A562" s="6" t="n">
        <v>531</v>
      </c>
      <c r="B562" s="7" t="inlineStr">
        <is>
          <t>Mố M2</t>
        </is>
      </c>
      <c r="C562" s="7" t="inlineStr">
        <is>
          <t>Thân mố / Bệ mố</t>
        </is>
      </c>
      <c r="D562" s="18" t="inlineStr">
        <is>
          <t>W3F(T)</t>
        </is>
      </c>
      <c r="E562" s="19" t="n">
        <v>16</v>
      </c>
      <c r="F562" s="6" t="inlineStr">
        <is>
          <t>CB400-V</t>
        </is>
      </c>
      <c r="G562" s="7" t="inlineStr">
        <is>
          <t>S06</t>
        </is>
      </c>
      <c r="H562" s="20" t="n">
        <v>6.334</v>
      </c>
      <c r="I562" s="21" t="n">
        <v>1</v>
      </c>
      <c r="J562" s="22" t="n">
        <v>1.58</v>
      </c>
      <c r="K562" s="9">
        <f>ROUND(H562*I562*J562, 2)</f>
        <v/>
      </c>
      <c r="L562" s="23">
        <f>ROUND(K562/1000, 3)</f>
        <v/>
      </c>
      <c r="M562" s="8" t="n"/>
      <c r="N562" s="6" t="n"/>
      <c r="O562" s="24">
        <f>IF(AND(E562&lt;=10, F562&lt;&gt;"ASTM A416", INT(P562/20)&gt;INT(P561/20)), "TN Ø10 (Lần " &amp; INT(P562/20) &amp; ")", IF(AND(E562=12, INT(Q562/20)&gt;INT(Q561/20)), "TN Ø12 (Lần " &amp; INT(Q562/20) &amp; ")", IF(AND(E562=14, INT(R562/20)&gt;INT(R561/20)), "TN Ø14 (Lần " &amp; INT(R562/20) &amp; ")", IF(AND(E562=16, INT(S562/20)&gt;INT(S561/20)), "TN Ø16 (Lần " &amp; INT(S562/20) &amp; ")", IF(AND(E562=18, INT(T562/20)&gt;INT(T561/20)), "TN Ø18 (Lần " &amp; INT(T562/20) &amp; ")", IF(AND(E562=20, INT(U562/20)&gt;INT(U561/20)), "TN Ø20 (Lần " &amp; INT(U562/20) &amp; ")", IF(AND(E562=22, INT(V562/20)&gt;INT(V561/20)), "TN Ø22 (Lần " &amp; INT(V562/20) &amp; ")", IF(AND(E562=25, INT(W562/20)&gt;INT(W561/20)), "TN Ø25 (Lần " &amp; INT(W562/20) &amp; ")", IF(AND(E562=28, INT(X562/20)&gt;INT(X561/20)), "TN Ø28 (Lần " &amp; INT(X562/20) &amp; ")", IF(AND(E562=32, INT(Y562/20)&gt;INT(Y561/20)), "TN Ø32 (Lần " &amp; INT(Y562/20) &amp; ")", IF(AND(F562="ASTM A416", INT(Z562/20)&gt;INT(Z561/20)), "TN Cáp 15.2 (Lần " &amp; INT(Z562/20) &amp; ")", "")))))))))))</f>
        <v/>
      </c>
      <c r="P562" s="20">
        <f>ROUND(P561 + IF(AND(E562&lt;=10, F562&lt;&gt;"ASTM A416"), L562, 0), 3)</f>
        <v/>
      </c>
      <c r="Q562" s="20">
        <f>ROUND(Q561 + IF(AND(E562=12, F562&lt;&gt;"ASTM A416"), L562, 0), 3)</f>
        <v/>
      </c>
      <c r="R562" s="20">
        <f>ROUND(R561 + IF(AND(E562=14, F562&lt;&gt;"ASTM A416"), L562, 0), 3)</f>
        <v/>
      </c>
      <c r="S562" s="20">
        <f>ROUND(S561 + IF(AND(E562=16, F562&lt;&gt;"ASTM A416"), L562, 0), 3)</f>
        <v/>
      </c>
      <c r="T562" s="20">
        <f>ROUND(T561 + IF(AND(E562=18, F562&lt;&gt;"ASTM A416"), L562, 0), 3)</f>
        <v/>
      </c>
      <c r="U562" s="20">
        <f>ROUND(U561 + IF(AND(E562=20, F562&lt;&gt;"ASTM A416"), L562, 0), 3)</f>
        <v/>
      </c>
      <c r="V562" s="20">
        <f>ROUND(V561 + IF(AND(E562=22, F562&lt;&gt;"ASTM A416"), L562, 0), 3)</f>
        <v/>
      </c>
      <c r="W562" s="20">
        <f>ROUND(W561 + IF(AND(E562=25, F562&lt;&gt;"ASTM A416"), L562, 0), 3)</f>
        <v/>
      </c>
      <c r="X562" s="20">
        <f>ROUND(X561 + IF(AND(E562=28, F562&lt;&gt;"ASTM A416"), L562, 0), 3)</f>
        <v/>
      </c>
      <c r="Y562" s="20">
        <f>ROUND(Y561 + IF(AND(E562=32, F562&lt;&gt;"ASTM A416"), L562, 0), 3)</f>
        <v/>
      </c>
      <c r="Z562" s="20">
        <f>ROUND(Z561 + IF(F562="ASTM A416", L562, 0), 3)</f>
        <v/>
      </c>
      <c r="AA562" s="11">
        <f>IF(INT(P562/20)&gt;INT(P561/20), "Lần " &amp; INT(P562/20), "")</f>
        <v/>
      </c>
      <c r="AB562" s="11">
        <f>IF(INT(Q562/20)&gt;INT(Q561/20), "Lần " &amp; INT(Q562/20), "")</f>
        <v/>
      </c>
      <c r="AC562" s="11">
        <f>IF(INT(R562/20)&gt;INT(R561/20), "Lần " &amp; INT(R562/20), "")</f>
        <v/>
      </c>
      <c r="AD562" s="11">
        <f>IF(INT(S562/20)&gt;INT(S561/20), "Lần " &amp; INT(S562/20), "")</f>
        <v/>
      </c>
      <c r="AE562" s="11">
        <f>IF(INT(T562/20)&gt;INT(T561/20), "Lần " &amp; INT(T562/20), "")</f>
        <v/>
      </c>
      <c r="AF562" s="11">
        <f>IF(INT(U562/20)&gt;INT(U561/20), "Lần " &amp; INT(U562/20), "")</f>
        <v/>
      </c>
      <c r="AG562" s="11">
        <f>IF(INT(V562/20)&gt;INT(V561/20), "Lần " &amp; INT(V562/20), "")</f>
        <v/>
      </c>
      <c r="AH562" s="11">
        <f>IF(INT(W562/20)&gt;INT(W561/20), "Lần " &amp; INT(W562/20), "")</f>
        <v/>
      </c>
      <c r="AI562" s="11">
        <f>IF(INT(X562/20)&gt;INT(X561/20), "Lần " &amp; INT(X562/20), "")</f>
        <v/>
      </c>
      <c r="AJ562" s="11">
        <f>IF(INT(Y562/20)&gt;INT(Y561/20), "Lần " &amp; INT(Y562/20), "")</f>
        <v/>
      </c>
      <c r="AK562" s="11">
        <f>IF(INT(Z562/20)&gt;INT(Z561/20), "Lần " &amp; INT(Z562/20), "")</f>
        <v/>
      </c>
      <c r="AL562" s="6" t="inlineStr">
        <is>
          <t>ĐẠT TCVN 1651:2018</t>
        </is>
      </c>
    </row>
    <row r="563" ht="19" customHeight="1">
      <c r="A563" s="6" t="n">
        <v>532</v>
      </c>
      <c r="B563" s="7" t="inlineStr">
        <is>
          <t>Mố M2</t>
        </is>
      </c>
      <c r="C563" s="7" t="inlineStr">
        <is>
          <t>Thân mố / Bệ mố</t>
        </is>
      </c>
      <c r="D563" s="18" t="inlineStr">
        <is>
          <t>W4A(T)</t>
        </is>
      </c>
      <c r="E563" s="19" t="n">
        <v>22</v>
      </c>
      <c r="F563" s="6" t="inlineStr">
        <is>
          <t>CB400-V</t>
        </is>
      </c>
      <c r="G563" s="7" t="inlineStr">
        <is>
          <t>S06</t>
        </is>
      </c>
      <c r="H563" s="20" t="n">
        <v>4.494</v>
      </c>
      <c r="I563" s="21" t="n">
        <v>15</v>
      </c>
      <c r="J563" s="22" t="n">
        <v>2.98</v>
      </c>
      <c r="K563" s="9">
        <f>ROUND(H563*I563*J563, 2)</f>
        <v/>
      </c>
      <c r="L563" s="23">
        <f>ROUND(K563/1000, 3)</f>
        <v/>
      </c>
      <c r="M563" s="8" t="n"/>
      <c r="N563" s="6" t="n"/>
      <c r="O563" s="24">
        <f>IF(AND(E563&lt;=10, F563&lt;&gt;"ASTM A416", INT(P563/20)&gt;INT(P562/20)), "TN Ø10 (Lần " &amp; INT(P563/20) &amp; ")", IF(AND(E563=12, INT(Q563/20)&gt;INT(Q562/20)), "TN Ø12 (Lần " &amp; INT(Q563/20) &amp; ")", IF(AND(E563=14, INT(R563/20)&gt;INT(R562/20)), "TN Ø14 (Lần " &amp; INT(R563/20) &amp; ")", IF(AND(E563=16, INT(S563/20)&gt;INT(S562/20)), "TN Ø16 (Lần " &amp; INT(S563/20) &amp; ")", IF(AND(E563=18, INT(T563/20)&gt;INT(T562/20)), "TN Ø18 (Lần " &amp; INT(T563/20) &amp; ")", IF(AND(E563=20, INT(U563/20)&gt;INT(U562/20)), "TN Ø20 (Lần " &amp; INT(U563/20) &amp; ")", IF(AND(E563=22, INT(V563/20)&gt;INT(V562/20)), "TN Ø22 (Lần " &amp; INT(V563/20) &amp; ")", IF(AND(E563=25, INT(W563/20)&gt;INT(W562/20)), "TN Ø25 (Lần " &amp; INT(W563/20) &amp; ")", IF(AND(E563=28, INT(X563/20)&gt;INT(X562/20)), "TN Ø28 (Lần " &amp; INT(X563/20) &amp; ")", IF(AND(E563=32, INT(Y563/20)&gt;INT(Y562/20)), "TN Ø32 (Lần " &amp; INT(Y563/20) &amp; ")", IF(AND(F563="ASTM A416", INT(Z563/20)&gt;INT(Z562/20)), "TN Cáp 15.2 (Lần " &amp; INT(Z563/20) &amp; ")", "")))))))))))</f>
        <v/>
      </c>
      <c r="P563" s="20">
        <f>ROUND(P562 + IF(AND(E563&lt;=10, F563&lt;&gt;"ASTM A416"), L563, 0), 3)</f>
        <v/>
      </c>
      <c r="Q563" s="20">
        <f>ROUND(Q562 + IF(AND(E563=12, F563&lt;&gt;"ASTM A416"), L563, 0), 3)</f>
        <v/>
      </c>
      <c r="R563" s="20">
        <f>ROUND(R562 + IF(AND(E563=14, F563&lt;&gt;"ASTM A416"), L563, 0), 3)</f>
        <v/>
      </c>
      <c r="S563" s="20">
        <f>ROUND(S562 + IF(AND(E563=16, F563&lt;&gt;"ASTM A416"), L563, 0), 3)</f>
        <v/>
      </c>
      <c r="T563" s="20">
        <f>ROUND(T562 + IF(AND(E563=18, F563&lt;&gt;"ASTM A416"), L563, 0), 3)</f>
        <v/>
      </c>
      <c r="U563" s="20">
        <f>ROUND(U562 + IF(AND(E563=20, F563&lt;&gt;"ASTM A416"), L563, 0), 3)</f>
        <v/>
      </c>
      <c r="V563" s="20">
        <f>ROUND(V562 + IF(AND(E563=22, F563&lt;&gt;"ASTM A416"), L563, 0), 3)</f>
        <v/>
      </c>
      <c r="W563" s="20">
        <f>ROUND(W562 + IF(AND(E563=25, F563&lt;&gt;"ASTM A416"), L563, 0), 3)</f>
        <v/>
      </c>
      <c r="X563" s="20">
        <f>ROUND(X562 + IF(AND(E563=28, F563&lt;&gt;"ASTM A416"), L563, 0), 3)</f>
        <v/>
      </c>
      <c r="Y563" s="20">
        <f>ROUND(Y562 + IF(AND(E563=32, F563&lt;&gt;"ASTM A416"), L563, 0), 3)</f>
        <v/>
      </c>
      <c r="Z563" s="20">
        <f>ROUND(Z562 + IF(F563="ASTM A416", L563, 0), 3)</f>
        <v/>
      </c>
      <c r="AA563" s="11">
        <f>IF(INT(P563/20)&gt;INT(P562/20), "Lần " &amp; INT(P563/20), "")</f>
        <v/>
      </c>
      <c r="AB563" s="11">
        <f>IF(INT(Q563/20)&gt;INT(Q562/20), "Lần " &amp; INT(Q563/20), "")</f>
        <v/>
      </c>
      <c r="AC563" s="11">
        <f>IF(INT(R563/20)&gt;INT(R562/20), "Lần " &amp; INT(R563/20), "")</f>
        <v/>
      </c>
      <c r="AD563" s="11">
        <f>IF(INT(S563/20)&gt;INT(S562/20), "Lần " &amp; INT(S563/20), "")</f>
        <v/>
      </c>
      <c r="AE563" s="11">
        <f>IF(INT(T563/20)&gt;INT(T562/20), "Lần " &amp; INT(T563/20), "")</f>
        <v/>
      </c>
      <c r="AF563" s="11">
        <f>IF(INT(U563/20)&gt;INT(U562/20), "Lần " &amp; INT(U563/20), "")</f>
        <v/>
      </c>
      <c r="AG563" s="11">
        <f>IF(INT(V563/20)&gt;INT(V562/20), "Lần " &amp; INT(V563/20), "")</f>
        <v/>
      </c>
      <c r="AH563" s="11">
        <f>IF(INT(W563/20)&gt;INT(W562/20), "Lần " &amp; INT(W563/20), "")</f>
        <v/>
      </c>
      <c r="AI563" s="11">
        <f>IF(INT(X563/20)&gt;INT(X562/20), "Lần " &amp; INT(X563/20), "")</f>
        <v/>
      </c>
      <c r="AJ563" s="11">
        <f>IF(INT(Y563/20)&gt;INT(Y562/20), "Lần " &amp; INT(Y563/20), "")</f>
        <v/>
      </c>
      <c r="AK563" s="11">
        <f>IF(INT(Z563/20)&gt;INT(Z562/20), "Lần " &amp; INT(Z563/20), "")</f>
        <v/>
      </c>
      <c r="AL563" s="6" t="inlineStr">
        <is>
          <t>ĐẠT TCVN 1651:2018</t>
        </is>
      </c>
    </row>
    <row r="564" ht="19" customHeight="1">
      <c r="A564" s="6" t="n">
        <v>533</v>
      </c>
      <c r="B564" s="7" t="inlineStr">
        <is>
          <t>Mố M2</t>
        </is>
      </c>
      <c r="C564" s="7" t="inlineStr">
        <is>
          <t>Thân mố / Bệ mố</t>
        </is>
      </c>
      <c r="D564" s="18" t="inlineStr">
        <is>
          <t>W4B(T)</t>
        </is>
      </c>
      <c r="E564" s="19" t="n">
        <v>22</v>
      </c>
      <c r="F564" s="6" t="inlineStr">
        <is>
          <t>CB400-V</t>
        </is>
      </c>
      <c r="G564" s="7" t="inlineStr">
        <is>
          <t>S06</t>
        </is>
      </c>
      <c r="H564" s="20" t="n">
        <v>6.056</v>
      </c>
      <c r="I564" s="21" t="n">
        <v>20</v>
      </c>
      <c r="J564" s="22" t="n">
        <v>2.98</v>
      </c>
      <c r="K564" s="9">
        <f>ROUND(H564*I564*J564, 2)</f>
        <v/>
      </c>
      <c r="L564" s="23">
        <f>ROUND(K564/1000, 3)</f>
        <v/>
      </c>
      <c r="M564" s="8" t="n"/>
      <c r="N564" s="6" t="n"/>
      <c r="O564" s="24">
        <f>IF(AND(E564&lt;=10, F564&lt;&gt;"ASTM A416", INT(P564/20)&gt;INT(P563/20)), "TN Ø10 (Lần " &amp; INT(P564/20) &amp; ")", IF(AND(E564=12, INT(Q564/20)&gt;INT(Q563/20)), "TN Ø12 (Lần " &amp; INT(Q564/20) &amp; ")", IF(AND(E564=14, INT(R564/20)&gt;INT(R563/20)), "TN Ø14 (Lần " &amp; INT(R564/20) &amp; ")", IF(AND(E564=16, INT(S564/20)&gt;INT(S563/20)), "TN Ø16 (Lần " &amp; INT(S564/20) &amp; ")", IF(AND(E564=18, INT(T564/20)&gt;INT(T563/20)), "TN Ø18 (Lần " &amp; INT(T564/20) &amp; ")", IF(AND(E564=20, INT(U564/20)&gt;INT(U563/20)), "TN Ø20 (Lần " &amp; INT(U564/20) &amp; ")", IF(AND(E564=22, INT(V564/20)&gt;INT(V563/20)), "TN Ø22 (Lần " &amp; INT(V564/20) &amp; ")", IF(AND(E564=25, INT(W564/20)&gt;INT(W563/20)), "TN Ø25 (Lần " &amp; INT(W564/20) &amp; ")", IF(AND(E564=28, INT(X564/20)&gt;INT(X563/20)), "TN Ø28 (Lần " &amp; INT(X564/20) &amp; ")", IF(AND(E564=32, INT(Y564/20)&gt;INT(Y563/20)), "TN Ø32 (Lần " &amp; INT(Y564/20) &amp; ")", IF(AND(F564="ASTM A416", INT(Z564/20)&gt;INT(Z563/20)), "TN Cáp 15.2 (Lần " &amp; INT(Z564/20) &amp; ")", "")))))))))))</f>
        <v/>
      </c>
      <c r="P564" s="20">
        <f>ROUND(P563 + IF(AND(E564&lt;=10, F564&lt;&gt;"ASTM A416"), L564, 0), 3)</f>
        <v/>
      </c>
      <c r="Q564" s="20">
        <f>ROUND(Q563 + IF(AND(E564=12, F564&lt;&gt;"ASTM A416"), L564, 0), 3)</f>
        <v/>
      </c>
      <c r="R564" s="20">
        <f>ROUND(R563 + IF(AND(E564=14, F564&lt;&gt;"ASTM A416"), L564, 0), 3)</f>
        <v/>
      </c>
      <c r="S564" s="20">
        <f>ROUND(S563 + IF(AND(E564=16, F564&lt;&gt;"ASTM A416"), L564, 0), 3)</f>
        <v/>
      </c>
      <c r="T564" s="20">
        <f>ROUND(T563 + IF(AND(E564=18, F564&lt;&gt;"ASTM A416"), L564, 0), 3)</f>
        <v/>
      </c>
      <c r="U564" s="20">
        <f>ROUND(U563 + IF(AND(E564=20, F564&lt;&gt;"ASTM A416"), L564, 0), 3)</f>
        <v/>
      </c>
      <c r="V564" s="20">
        <f>ROUND(V563 + IF(AND(E564=22, F564&lt;&gt;"ASTM A416"), L564, 0), 3)</f>
        <v/>
      </c>
      <c r="W564" s="20">
        <f>ROUND(W563 + IF(AND(E564=25, F564&lt;&gt;"ASTM A416"), L564, 0), 3)</f>
        <v/>
      </c>
      <c r="X564" s="20">
        <f>ROUND(X563 + IF(AND(E564=28, F564&lt;&gt;"ASTM A416"), L564, 0), 3)</f>
        <v/>
      </c>
      <c r="Y564" s="20">
        <f>ROUND(Y563 + IF(AND(E564=32, F564&lt;&gt;"ASTM A416"), L564, 0), 3)</f>
        <v/>
      </c>
      <c r="Z564" s="20">
        <f>ROUND(Z563 + IF(F564="ASTM A416", L564, 0), 3)</f>
        <v/>
      </c>
      <c r="AA564" s="11">
        <f>IF(INT(P564/20)&gt;INT(P563/20), "Lần " &amp; INT(P564/20), "")</f>
        <v/>
      </c>
      <c r="AB564" s="11">
        <f>IF(INT(Q564/20)&gt;INT(Q563/20), "Lần " &amp; INT(Q564/20), "")</f>
        <v/>
      </c>
      <c r="AC564" s="11">
        <f>IF(INT(R564/20)&gt;INT(R563/20), "Lần " &amp; INT(R564/20), "")</f>
        <v/>
      </c>
      <c r="AD564" s="11">
        <f>IF(INT(S564/20)&gt;INT(S563/20), "Lần " &amp; INT(S564/20), "")</f>
        <v/>
      </c>
      <c r="AE564" s="11">
        <f>IF(INT(T564/20)&gt;INT(T563/20), "Lần " &amp; INT(T564/20), "")</f>
        <v/>
      </c>
      <c r="AF564" s="11">
        <f>IF(INT(U564/20)&gt;INT(U563/20), "Lần " &amp; INT(U564/20), "")</f>
        <v/>
      </c>
      <c r="AG564" s="11">
        <f>IF(INT(V564/20)&gt;INT(V563/20), "Lần " &amp; INT(V564/20), "")</f>
        <v/>
      </c>
      <c r="AH564" s="11">
        <f>IF(INT(W564/20)&gt;INT(W563/20), "Lần " &amp; INT(W564/20), "")</f>
        <v/>
      </c>
      <c r="AI564" s="11">
        <f>IF(INT(X564/20)&gt;INT(X563/20), "Lần " &amp; INT(X564/20), "")</f>
        <v/>
      </c>
      <c r="AJ564" s="11">
        <f>IF(INT(Y564/20)&gt;INT(Y563/20), "Lần " &amp; INT(Y564/20), "")</f>
        <v/>
      </c>
      <c r="AK564" s="11">
        <f>IF(INT(Z564/20)&gt;INT(Z563/20), "Lần " &amp; INT(Z564/20), "")</f>
        <v/>
      </c>
      <c r="AL564" s="6" t="inlineStr">
        <is>
          <t>ĐẠT TCVN 1651:2018</t>
        </is>
      </c>
    </row>
    <row r="565" ht="19" customHeight="1">
      <c r="A565" s="6" t="n">
        <v>534</v>
      </c>
      <c r="B565" s="7" t="inlineStr">
        <is>
          <t>Mố M2</t>
        </is>
      </c>
      <c r="C565" s="7" t="inlineStr">
        <is>
          <t>Thân mố / Bệ mố</t>
        </is>
      </c>
      <c r="D565" s="18" t="inlineStr">
        <is>
          <t>W4C(T)</t>
        </is>
      </c>
      <c r="E565" s="19" t="n">
        <v>22</v>
      </c>
      <c r="F565" s="6" t="inlineStr">
        <is>
          <t>CB400-V</t>
        </is>
      </c>
      <c r="G565" s="7" t="inlineStr">
        <is>
          <t>S06</t>
        </is>
      </c>
      <c r="H565" s="20" t="n">
        <v>7.469</v>
      </c>
      <c r="I565" s="21" t="n">
        <v>4</v>
      </c>
      <c r="J565" s="22" t="n">
        <v>2.98</v>
      </c>
      <c r="K565" s="9">
        <f>ROUND(H565*I565*J565, 2)</f>
        <v/>
      </c>
      <c r="L565" s="23">
        <f>ROUND(K565/1000, 3)</f>
        <v/>
      </c>
      <c r="M565" s="8" t="n"/>
      <c r="N565" s="6" t="n"/>
      <c r="O565" s="24">
        <f>IF(AND(E565&lt;=10, F565&lt;&gt;"ASTM A416", INT(P565/20)&gt;INT(P564/20)), "TN Ø10 (Lần " &amp; INT(P565/20) &amp; ")", IF(AND(E565=12, INT(Q565/20)&gt;INT(Q564/20)), "TN Ø12 (Lần " &amp; INT(Q565/20) &amp; ")", IF(AND(E565=14, INT(R565/20)&gt;INT(R564/20)), "TN Ø14 (Lần " &amp; INT(R565/20) &amp; ")", IF(AND(E565=16, INT(S565/20)&gt;INT(S564/20)), "TN Ø16 (Lần " &amp; INT(S565/20) &amp; ")", IF(AND(E565=18, INT(T565/20)&gt;INT(T564/20)), "TN Ø18 (Lần " &amp; INT(T565/20) &amp; ")", IF(AND(E565=20, INT(U565/20)&gt;INT(U564/20)), "TN Ø20 (Lần " &amp; INT(U565/20) &amp; ")", IF(AND(E565=22, INT(V565/20)&gt;INT(V564/20)), "TN Ø22 (Lần " &amp; INT(V565/20) &amp; ")", IF(AND(E565=25, INT(W565/20)&gt;INT(W564/20)), "TN Ø25 (Lần " &amp; INT(W565/20) &amp; ")", IF(AND(E565=28, INT(X565/20)&gt;INT(X564/20)), "TN Ø28 (Lần " &amp; INT(X565/20) &amp; ")", IF(AND(E565=32, INT(Y565/20)&gt;INT(Y564/20)), "TN Ø32 (Lần " &amp; INT(Y565/20) &amp; ")", IF(AND(F565="ASTM A416", INT(Z565/20)&gt;INT(Z564/20)), "TN Cáp 15.2 (Lần " &amp; INT(Z565/20) &amp; ")", "")))))))))))</f>
        <v/>
      </c>
      <c r="P565" s="20">
        <f>ROUND(P564 + IF(AND(E565&lt;=10, F565&lt;&gt;"ASTM A416"), L565, 0), 3)</f>
        <v/>
      </c>
      <c r="Q565" s="20">
        <f>ROUND(Q564 + IF(AND(E565=12, F565&lt;&gt;"ASTM A416"), L565, 0), 3)</f>
        <v/>
      </c>
      <c r="R565" s="20">
        <f>ROUND(R564 + IF(AND(E565=14, F565&lt;&gt;"ASTM A416"), L565, 0), 3)</f>
        <v/>
      </c>
      <c r="S565" s="20">
        <f>ROUND(S564 + IF(AND(E565=16, F565&lt;&gt;"ASTM A416"), L565, 0), 3)</f>
        <v/>
      </c>
      <c r="T565" s="20">
        <f>ROUND(T564 + IF(AND(E565=18, F565&lt;&gt;"ASTM A416"), L565, 0), 3)</f>
        <v/>
      </c>
      <c r="U565" s="20">
        <f>ROUND(U564 + IF(AND(E565=20, F565&lt;&gt;"ASTM A416"), L565, 0), 3)</f>
        <v/>
      </c>
      <c r="V565" s="20">
        <f>ROUND(V564 + IF(AND(E565=22, F565&lt;&gt;"ASTM A416"), L565, 0), 3)</f>
        <v/>
      </c>
      <c r="W565" s="20">
        <f>ROUND(W564 + IF(AND(E565=25, F565&lt;&gt;"ASTM A416"), L565, 0), 3)</f>
        <v/>
      </c>
      <c r="X565" s="20">
        <f>ROUND(X564 + IF(AND(E565=28, F565&lt;&gt;"ASTM A416"), L565, 0), 3)</f>
        <v/>
      </c>
      <c r="Y565" s="20">
        <f>ROUND(Y564 + IF(AND(E565=32, F565&lt;&gt;"ASTM A416"), L565, 0), 3)</f>
        <v/>
      </c>
      <c r="Z565" s="20">
        <f>ROUND(Z564 + IF(F565="ASTM A416", L565, 0), 3)</f>
        <v/>
      </c>
      <c r="AA565" s="11">
        <f>IF(INT(P565/20)&gt;INT(P564/20), "Lần " &amp; INT(P565/20), "")</f>
        <v/>
      </c>
      <c r="AB565" s="11">
        <f>IF(INT(Q565/20)&gt;INT(Q564/20), "Lần " &amp; INT(Q565/20), "")</f>
        <v/>
      </c>
      <c r="AC565" s="11">
        <f>IF(INT(R565/20)&gt;INT(R564/20), "Lần " &amp; INT(R565/20), "")</f>
        <v/>
      </c>
      <c r="AD565" s="11">
        <f>IF(INT(S565/20)&gt;INT(S564/20), "Lần " &amp; INT(S565/20), "")</f>
        <v/>
      </c>
      <c r="AE565" s="11">
        <f>IF(INT(T565/20)&gt;INT(T564/20), "Lần " &amp; INT(T565/20), "")</f>
        <v/>
      </c>
      <c r="AF565" s="11">
        <f>IF(INT(U565/20)&gt;INT(U564/20), "Lần " &amp; INT(U565/20), "")</f>
        <v/>
      </c>
      <c r="AG565" s="11">
        <f>IF(INT(V565/20)&gt;INT(V564/20), "Lần " &amp; INT(V565/20), "")</f>
        <v/>
      </c>
      <c r="AH565" s="11">
        <f>IF(INT(W565/20)&gt;INT(W564/20), "Lần " &amp; INT(W565/20), "")</f>
        <v/>
      </c>
      <c r="AI565" s="11">
        <f>IF(INT(X565/20)&gt;INT(X564/20), "Lần " &amp; INT(X565/20), "")</f>
        <v/>
      </c>
      <c r="AJ565" s="11">
        <f>IF(INT(Y565/20)&gt;INT(Y564/20), "Lần " &amp; INT(Y565/20), "")</f>
        <v/>
      </c>
      <c r="AK565" s="11">
        <f>IF(INT(Z565/20)&gt;INT(Z564/20), "Lần " &amp; INT(Z565/20), "")</f>
        <v/>
      </c>
      <c r="AL565" s="6" t="inlineStr">
        <is>
          <t>ĐẠT TCVN 1651:2018</t>
        </is>
      </c>
    </row>
    <row r="566" ht="19" customHeight="1">
      <c r="A566" s="6" t="n">
        <v>535</v>
      </c>
      <c r="B566" s="7" t="inlineStr">
        <is>
          <t>Mố M2</t>
        </is>
      </c>
      <c r="C566" s="7" t="inlineStr">
        <is>
          <t>Thân mố / Bệ mố</t>
        </is>
      </c>
      <c r="D566" s="18" t="inlineStr">
        <is>
          <t>W4D(T)</t>
        </is>
      </c>
      <c r="E566" s="19" t="n">
        <v>22</v>
      </c>
      <c r="F566" s="6" t="inlineStr">
        <is>
          <t>CB400-V</t>
        </is>
      </c>
      <c r="G566" s="7" t="inlineStr">
        <is>
          <t>S06</t>
        </is>
      </c>
      <c r="H566" s="20" t="n">
        <v>6.494</v>
      </c>
      <c r="I566" s="21" t="n">
        <v>14</v>
      </c>
      <c r="J566" s="22" t="n">
        <v>2.98</v>
      </c>
      <c r="K566" s="9">
        <f>ROUND(H566*I566*J566, 2)</f>
        <v/>
      </c>
      <c r="L566" s="23">
        <f>ROUND(K566/1000, 3)</f>
        <v/>
      </c>
      <c r="M566" s="8" t="n"/>
      <c r="N566" s="6" t="n"/>
      <c r="O566" s="24">
        <f>IF(AND(E566&lt;=10, F566&lt;&gt;"ASTM A416", INT(P566/20)&gt;INT(P565/20)), "TN Ø10 (Lần " &amp; INT(P566/20) &amp; ")", IF(AND(E566=12, INT(Q566/20)&gt;INT(Q565/20)), "TN Ø12 (Lần " &amp; INT(Q566/20) &amp; ")", IF(AND(E566=14, INT(R566/20)&gt;INT(R565/20)), "TN Ø14 (Lần " &amp; INT(R566/20) &amp; ")", IF(AND(E566=16, INT(S566/20)&gt;INT(S565/20)), "TN Ø16 (Lần " &amp; INT(S566/20) &amp; ")", IF(AND(E566=18, INT(T566/20)&gt;INT(T565/20)), "TN Ø18 (Lần " &amp; INT(T566/20) &amp; ")", IF(AND(E566=20, INT(U566/20)&gt;INT(U565/20)), "TN Ø20 (Lần " &amp; INT(U566/20) &amp; ")", IF(AND(E566=22, INT(V566/20)&gt;INT(V565/20)), "TN Ø22 (Lần " &amp; INT(V566/20) &amp; ")", IF(AND(E566=25, INT(W566/20)&gt;INT(W565/20)), "TN Ø25 (Lần " &amp; INT(W566/20) &amp; ")", IF(AND(E566=28, INT(X566/20)&gt;INT(X565/20)), "TN Ø28 (Lần " &amp; INT(X566/20) &amp; ")", IF(AND(E566=32, INT(Y566/20)&gt;INT(Y565/20)), "TN Ø32 (Lần " &amp; INT(Y566/20) &amp; ")", IF(AND(F566="ASTM A416", INT(Z566/20)&gt;INT(Z565/20)), "TN Cáp 15.2 (Lần " &amp; INT(Z566/20) &amp; ")", "")))))))))))</f>
        <v/>
      </c>
      <c r="P566" s="20">
        <f>ROUND(P565 + IF(AND(E566&lt;=10, F566&lt;&gt;"ASTM A416"), L566, 0), 3)</f>
        <v/>
      </c>
      <c r="Q566" s="20">
        <f>ROUND(Q565 + IF(AND(E566=12, F566&lt;&gt;"ASTM A416"), L566, 0), 3)</f>
        <v/>
      </c>
      <c r="R566" s="20">
        <f>ROUND(R565 + IF(AND(E566=14, F566&lt;&gt;"ASTM A416"), L566, 0), 3)</f>
        <v/>
      </c>
      <c r="S566" s="20">
        <f>ROUND(S565 + IF(AND(E566=16, F566&lt;&gt;"ASTM A416"), L566, 0), 3)</f>
        <v/>
      </c>
      <c r="T566" s="20">
        <f>ROUND(T565 + IF(AND(E566=18, F566&lt;&gt;"ASTM A416"), L566, 0), 3)</f>
        <v/>
      </c>
      <c r="U566" s="20">
        <f>ROUND(U565 + IF(AND(E566=20, F566&lt;&gt;"ASTM A416"), L566, 0), 3)</f>
        <v/>
      </c>
      <c r="V566" s="20">
        <f>ROUND(V565 + IF(AND(E566=22, F566&lt;&gt;"ASTM A416"), L566, 0), 3)</f>
        <v/>
      </c>
      <c r="W566" s="20">
        <f>ROUND(W565 + IF(AND(E566=25, F566&lt;&gt;"ASTM A416"), L566, 0), 3)</f>
        <v/>
      </c>
      <c r="X566" s="20">
        <f>ROUND(X565 + IF(AND(E566=28, F566&lt;&gt;"ASTM A416"), L566, 0), 3)</f>
        <v/>
      </c>
      <c r="Y566" s="20">
        <f>ROUND(Y565 + IF(AND(E566=32, F566&lt;&gt;"ASTM A416"), L566, 0), 3)</f>
        <v/>
      </c>
      <c r="Z566" s="20">
        <f>ROUND(Z565 + IF(F566="ASTM A416", L566, 0), 3)</f>
        <v/>
      </c>
      <c r="AA566" s="11">
        <f>IF(INT(P566/20)&gt;INT(P565/20), "Lần " &amp; INT(P566/20), "")</f>
        <v/>
      </c>
      <c r="AB566" s="11">
        <f>IF(INT(Q566/20)&gt;INT(Q565/20), "Lần " &amp; INT(Q566/20), "")</f>
        <v/>
      </c>
      <c r="AC566" s="11">
        <f>IF(INT(R566/20)&gt;INT(R565/20), "Lần " &amp; INT(R566/20), "")</f>
        <v/>
      </c>
      <c r="AD566" s="11">
        <f>IF(INT(S566/20)&gt;INT(S565/20), "Lần " &amp; INT(S566/20), "")</f>
        <v/>
      </c>
      <c r="AE566" s="11">
        <f>IF(INT(T566/20)&gt;INT(T565/20), "Lần " &amp; INT(T566/20), "")</f>
        <v/>
      </c>
      <c r="AF566" s="11">
        <f>IF(INT(U566/20)&gt;INT(U565/20), "Lần " &amp; INT(U566/20), "")</f>
        <v/>
      </c>
      <c r="AG566" s="11">
        <f>IF(INT(V566/20)&gt;INT(V565/20), "Lần " &amp; INT(V566/20), "")</f>
        <v/>
      </c>
      <c r="AH566" s="11">
        <f>IF(INT(W566/20)&gt;INT(W565/20), "Lần " &amp; INT(W566/20), "")</f>
        <v/>
      </c>
      <c r="AI566" s="11">
        <f>IF(INT(X566/20)&gt;INT(X565/20), "Lần " &amp; INT(X566/20), "")</f>
        <v/>
      </c>
      <c r="AJ566" s="11">
        <f>IF(INT(Y566/20)&gt;INT(Y565/20), "Lần " &amp; INT(Y566/20), "")</f>
        <v/>
      </c>
      <c r="AK566" s="11">
        <f>IF(INT(Z566/20)&gt;INT(Z565/20), "Lần " &amp; INT(Z566/20), "")</f>
        <v/>
      </c>
      <c r="AL566" s="6" t="inlineStr">
        <is>
          <t>ĐẠT TCVN 1651:2018</t>
        </is>
      </c>
    </row>
    <row r="567" ht="19" customHeight="1">
      <c r="A567" s="6" t="n">
        <v>536</v>
      </c>
      <c r="B567" s="7" t="inlineStr">
        <is>
          <t>Mố M2</t>
        </is>
      </c>
      <c r="C567" s="7" t="inlineStr">
        <is>
          <t>Thân mố / Bệ mố</t>
        </is>
      </c>
      <c r="D567" s="18" t="inlineStr">
        <is>
          <t>W4F(T)</t>
        </is>
      </c>
      <c r="E567" s="19" t="n">
        <v>22</v>
      </c>
      <c r="F567" s="6" t="inlineStr">
        <is>
          <t>CB400-V</t>
        </is>
      </c>
      <c r="G567" s="7" t="inlineStr">
        <is>
          <t>S06</t>
        </is>
      </c>
      <c r="H567" s="20" t="n">
        <v>6.496</v>
      </c>
      <c r="I567" s="21" t="n">
        <v>1</v>
      </c>
      <c r="J567" s="22" t="n">
        <v>2.98</v>
      </c>
      <c r="K567" s="9">
        <f>ROUND(H567*I567*J567, 2)</f>
        <v/>
      </c>
      <c r="L567" s="23">
        <f>ROUND(K567/1000, 3)</f>
        <v/>
      </c>
      <c r="M567" s="8" t="n"/>
      <c r="N567" s="6" t="n"/>
      <c r="O567" s="24">
        <f>IF(AND(E567&lt;=10, F567&lt;&gt;"ASTM A416", INT(P567/20)&gt;INT(P566/20)), "TN Ø10 (Lần " &amp; INT(P567/20) &amp; ")", IF(AND(E567=12, INT(Q567/20)&gt;INT(Q566/20)), "TN Ø12 (Lần " &amp; INT(Q567/20) &amp; ")", IF(AND(E567=14, INT(R567/20)&gt;INT(R566/20)), "TN Ø14 (Lần " &amp; INT(R567/20) &amp; ")", IF(AND(E567=16, INT(S567/20)&gt;INT(S566/20)), "TN Ø16 (Lần " &amp; INT(S567/20) &amp; ")", IF(AND(E567=18, INT(T567/20)&gt;INT(T566/20)), "TN Ø18 (Lần " &amp; INT(T567/20) &amp; ")", IF(AND(E567=20, INT(U567/20)&gt;INT(U566/20)), "TN Ø20 (Lần " &amp; INT(U567/20) &amp; ")", IF(AND(E567=22, INT(V567/20)&gt;INT(V566/20)), "TN Ø22 (Lần " &amp; INT(V567/20) &amp; ")", IF(AND(E567=25, INT(W567/20)&gt;INT(W566/20)), "TN Ø25 (Lần " &amp; INT(W567/20) &amp; ")", IF(AND(E567=28, INT(X567/20)&gt;INT(X566/20)), "TN Ø28 (Lần " &amp; INT(X567/20) &amp; ")", IF(AND(E567=32, INT(Y567/20)&gt;INT(Y566/20)), "TN Ø32 (Lần " &amp; INT(Y567/20) &amp; ")", IF(AND(F567="ASTM A416", INT(Z567/20)&gt;INT(Z566/20)), "TN Cáp 15.2 (Lần " &amp; INT(Z567/20) &amp; ")", "")))))))))))</f>
        <v/>
      </c>
      <c r="P567" s="20">
        <f>ROUND(P566 + IF(AND(E567&lt;=10, F567&lt;&gt;"ASTM A416"), L567, 0), 3)</f>
        <v/>
      </c>
      <c r="Q567" s="20">
        <f>ROUND(Q566 + IF(AND(E567=12, F567&lt;&gt;"ASTM A416"), L567, 0), 3)</f>
        <v/>
      </c>
      <c r="R567" s="20">
        <f>ROUND(R566 + IF(AND(E567=14, F567&lt;&gt;"ASTM A416"), L567, 0), 3)</f>
        <v/>
      </c>
      <c r="S567" s="20">
        <f>ROUND(S566 + IF(AND(E567=16, F567&lt;&gt;"ASTM A416"), L567, 0), 3)</f>
        <v/>
      </c>
      <c r="T567" s="20">
        <f>ROUND(T566 + IF(AND(E567=18, F567&lt;&gt;"ASTM A416"), L567, 0), 3)</f>
        <v/>
      </c>
      <c r="U567" s="20">
        <f>ROUND(U566 + IF(AND(E567=20, F567&lt;&gt;"ASTM A416"), L567, 0), 3)</f>
        <v/>
      </c>
      <c r="V567" s="20">
        <f>ROUND(V566 + IF(AND(E567=22, F567&lt;&gt;"ASTM A416"), L567, 0), 3)</f>
        <v/>
      </c>
      <c r="W567" s="20">
        <f>ROUND(W566 + IF(AND(E567=25, F567&lt;&gt;"ASTM A416"), L567, 0), 3)</f>
        <v/>
      </c>
      <c r="X567" s="20">
        <f>ROUND(X566 + IF(AND(E567=28, F567&lt;&gt;"ASTM A416"), L567, 0), 3)</f>
        <v/>
      </c>
      <c r="Y567" s="20">
        <f>ROUND(Y566 + IF(AND(E567=32, F567&lt;&gt;"ASTM A416"), L567, 0), 3)</f>
        <v/>
      </c>
      <c r="Z567" s="20">
        <f>ROUND(Z566 + IF(F567="ASTM A416", L567, 0), 3)</f>
        <v/>
      </c>
      <c r="AA567" s="11">
        <f>IF(INT(P567/20)&gt;INT(P566/20), "Lần " &amp; INT(P567/20), "")</f>
        <v/>
      </c>
      <c r="AB567" s="11">
        <f>IF(INT(Q567/20)&gt;INT(Q566/20), "Lần " &amp; INT(Q567/20), "")</f>
        <v/>
      </c>
      <c r="AC567" s="11">
        <f>IF(INT(R567/20)&gt;INT(R566/20), "Lần " &amp; INT(R567/20), "")</f>
        <v/>
      </c>
      <c r="AD567" s="11">
        <f>IF(INT(S567/20)&gt;INT(S566/20), "Lần " &amp; INT(S567/20), "")</f>
        <v/>
      </c>
      <c r="AE567" s="11">
        <f>IF(INT(T567/20)&gt;INT(T566/20), "Lần " &amp; INT(T567/20), "")</f>
        <v/>
      </c>
      <c r="AF567" s="11">
        <f>IF(INT(U567/20)&gt;INT(U566/20), "Lần " &amp; INT(U567/20), "")</f>
        <v/>
      </c>
      <c r="AG567" s="11">
        <f>IF(INT(V567/20)&gt;INT(V566/20), "Lần " &amp; INT(V567/20), "")</f>
        <v/>
      </c>
      <c r="AH567" s="11">
        <f>IF(INT(W567/20)&gt;INT(W566/20), "Lần " &amp; INT(W567/20), "")</f>
        <v/>
      </c>
      <c r="AI567" s="11">
        <f>IF(INT(X567/20)&gt;INT(X566/20), "Lần " &amp; INT(X567/20), "")</f>
        <v/>
      </c>
      <c r="AJ567" s="11">
        <f>IF(INT(Y567/20)&gt;INT(Y566/20), "Lần " &amp; INT(Y567/20), "")</f>
        <v/>
      </c>
      <c r="AK567" s="11">
        <f>IF(INT(Z567/20)&gt;INT(Z566/20), "Lần " &amp; INT(Z567/20), "")</f>
        <v/>
      </c>
      <c r="AL567" s="6" t="inlineStr">
        <is>
          <t>ĐẠT TCVN 1651:2018</t>
        </is>
      </c>
    </row>
    <row r="568" ht="19" customHeight="1">
      <c r="A568" s="6" t="n">
        <v>537</v>
      </c>
      <c r="B568" s="7" t="inlineStr">
        <is>
          <t>Mố M2</t>
        </is>
      </c>
      <c r="C568" s="7" t="inlineStr">
        <is>
          <t>Thân mố / Bệ mố</t>
        </is>
      </c>
      <c r="D568" s="18" t="inlineStr">
        <is>
          <t>W5A(T)</t>
        </is>
      </c>
      <c r="E568" s="19" t="n">
        <v>16</v>
      </c>
      <c r="F568" s="6" t="inlineStr">
        <is>
          <t>CB400-V</t>
        </is>
      </c>
      <c r="G568" s="7" t="inlineStr">
        <is>
          <t>S05</t>
        </is>
      </c>
      <c r="H568" s="20" t="n">
        <v>7.668</v>
      </c>
      <c r="I568" s="21" t="n">
        <v>1</v>
      </c>
      <c r="J568" s="22" t="n">
        <v>1.58</v>
      </c>
      <c r="K568" s="9">
        <f>ROUND(H568*I568*J568, 2)</f>
        <v/>
      </c>
      <c r="L568" s="23">
        <f>ROUND(K568/1000, 3)</f>
        <v/>
      </c>
      <c r="M568" s="8" t="n"/>
      <c r="N568" s="6" t="n"/>
      <c r="O568" s="24">
        <f>IF(AND(E568&lt;=10, F568&lt;&gt;"ASTM A416", INT(P568/20)&gt;INT(P567/20)), "TN Ø10 (Lần " &amp; INT(P568/20) &amp; ")", IF(AND(E568=12, INT(Q568/20)&gt;INT(Q567/20)), "TN Ø12 (Lần " &amp; INT(Q568/20) &amp; ")", IF(AND(E568=14, INT(R568/20)&gt;INT(R567/20)), "TN Ø14 (Lần " &amp; INT(R568/20) &amp; ")", IF(AND(E568=16, INT(S568/20)&gt;INT(S567/20)), "TN Ø16 (Lần " &amp; INT(S568/20) &amp; ")", IF(AND(E568=18, INT(T568/20)&gt;INT(T567/20)), "TN Ø18 (Lần " &amp; INT(T568/20) &amp; ")", IF(AND(E568=20, INT(U568/20)&gt;INT(U567/20)), "TN Ø20 (Lần " &amp; INT(U568/20) &amp; ")", IF(AND(E568=22, INT(V568/20)&gt;INT(V567/20)), "TN Ø22 (Lần " &amp; INT(V568/20) &amp; ")", IF(AND(E568=25, INT(W568/20)&gt;INT(W567/20)), "TN Ø25 (Lần " &amp; INT(W568/20) &amp; ")", IF(AND(E568=28, INT(X568/20)&gt;INT(X567/20)), "TN Ø28 (Lần " &amp; INT(X568/20) &amp; ")", IF(AND(E568=32, INT(Y568/20)&gt;INT(Y567/20)), "TN Ø32 (Lần " &amp; INT(Y568/20) &amp; ")", IF(AND(F568="ASTM A416", INT(Z568/20)&gt;INT(Z567/20)), "TN Cáp 15.2 (Lần " &amp; INT(Z568/20) &amp; ")", "")))))))))))</f>
        <v/>
      </c>
      <c r="P568" s="20">
        <f>ROUND(P567 + IF(AND(E568&lt;=10, F568&lt;&gt;"ASTM A416"), L568, 0), 3)</f>
        <v/>
      </c>
      <c r="Q568" s="20">
        <f>ROUND(Q567 + IF(AND(E568=12, F568&lt;&gt;"ASTM A416"), L568, 0), 3)</f>
        <v/>
      </c>
      <c r="R568" s="20">
        <f>ROUND(R567 + IF(AND(E568=14, F568&lt;&gt;"ASTM A416"), L568, 0), 3)</f>
        <v/>
      </c>
      <c r="S568" s="20">
        <f>ROUND(S567 + IF(AND(E568=16, F568&lt;&gt;"ASTM A416"), L568, 0), 3)</f>
        <v/>
      </c>
      <c r="T568" s="20">
        <f>ROUND(T567 + IF(AND(E568=18, F568&lt;&gt;"ASTM A416"), L568, 0), 3)</f>
        <v/>
      </c>
      <c r="U568" s="20">
        <f>ROUND(U567 + IF(AND(E568=20, F568&lt;&gt;"ASTM A416"), L568, 0), 3)</f>
        <v/>
      </c>
      <c r="V568" s="20">
        <f>ROUND(V567 + IF(AND(E568=22, F568&lt;&gt;"ASTM A416"), L568, 0), 3)</f>
        <v/>
      </c>
      <c r="W568" s="20">
        <f>ROUND(W567 + IF(AND(E568=25, F568&lt;&gt;"ASTM A416"), L568, 0), 3)</f>
        <v/>
      </c>
      <c r="X568" s="20">
        <f>ROUND(X567 + IF(AND(E568=28, F568&lt;&gt;"ASTM A416"), L568, 0), 3)</f>
        <v/>
      </c>
      <c r="Y568" s="20">
        <f>ROUND(Y567 + IF(AND(E568=32, F568&lt;&gt;"ASTM A416"), L568, 0), 3)</f>
        <v/>
      </c>
      <c r="Z568" s="20">
        <f>ROUND(Z567 + IF(F568="ASTM A416", L568, 0), 3)</f>
        <v/>
      </c>
      <c r="AA568" s="11">
        <f>IF(INT(P568/20)&gt;INT(P567/20), "Lần " &amp; INT(P568/20), "")</f>
        <v/>
      </c>
      <c r="AB568" s="11">
        <f>IF(INT(Q568/20)&gt;INT(Q567/20), "Lần " &amp; INT(Q568/20), "")</f>
        <v/>
      </c>
      <c r="AC568" s="11">
        <f>IF(INT(R568/20)&gt;INT(R567/20), "Lần " &amp; INT(R568/20), "")</f>
        <v/>
      </c>
      <c r="AD568" s="11">
        <f>IF(INT(S568/20)&gt;INT(S567/20), "Lần " &amp; INT(S568/20), "")</f>
        <v/>
      </c>
      <c r="AE568" s="11">
        <f>IF(INT(T568/20)&gt;INT(T567/20), "Lần " &amp; INT(T568/20), "")</f>
        <v/>
      </c>
      <c r="AF568" s="11">
        <f>IF(INT(U568/20)&gt;INT(U567/20), "Lần " &amp; INT(U568/20), "")</f>
        <v/>
      </c>
      <c r="AG568" s="11">
        <f>IF(INT(V568/20)&gt;INT(V567/20), "Lần " &amp; INT(V568/20), "")</f>
        <v/>
      </c>
      <c r="AH568" s="11">
        <f>IF(INT(W568/20)&gt;INT(W567/20), "Lần " &amp; INT(W568/20), "")</f>
        <v/>
      </c>
      <c r="AI568" s="11">
        <f>IF(INT(X568/20)&gt;INT(X567/20), "Lần " &amp; INT(X568/20), "")</f>
        <v/>
      </c>
      <c r="AJ568" s="11">
        <f>IF(INT(Y568/20)&gt;INT(Y567/20), "Lần " &amp; INT(Y568/20), "")</f>
        <v/>
      </c>
      <c r="AK568" s="11">
        <f>IF(INT(Z568/20)&gt;INT(Z567/20), "Lần " &amp; INT(Z568/20), "")</f>
        <v/>
      </c>
      <c r="AL568" s="6" t="inlineStr">
        <is>
          <t>ĐẠT TCVN 1651:2018</t>
        </is>
      </c>
    </row>
    <row r="569" ht="19" customHeight="1">
      <c r="A569" s="6" t="n">
        <v>538</v>
      </c>
      <c r="B569" s="7" t="inlineStr">
        <is>
          <t>Mố M2</t>
        </is>
      </c>
      <c r="C569" s="7" t="inlineStr">
        <is>
          <t>Thân mố / Bệ mố</t>
        </is>
      </c>
      <c r="D569" s="18" t="inlineStr">
        <is>
          <t>W5B(T)</t>
        </is>
      </c>
      <c r="E569" s="19" t="n">
        <v>16</v>
      </c>
      <c r="F569" s="6" t="inlineStr">
        <is>
          <t>CB400-V</t>
        </is>
      </c>
      <c r="G569" s="7" t="inlineStr">
        <is>
          <t>S02</t>
        </is>
      </c>
      <c r="H569" s="20" t="n">
        <v>10.092</v>
      </c>
      <c r="I569" s="21" t="n">
        <v>1</v>
      </c>
      <c r="J569" s="22" t="n">
        <v>1.58</v>
      </c>
      <c r="K569" s="9">
        <f>ROUND(H569*I569*J569, 2)</f>
        <v/>
      </c>
      <c r="L569" s="23">
        <f>ROUND(K569/1000, 3)</f>
        <v/>
      </c>
      <c r="M569" s="8" t="n"/>
      <c r="N569" s="6" t="n"/>
      <c r="O569" s="24">
        <f>IF(AND(E569&lt;=10, F569&lt;&gt;"ASTM A416", INT(P569/20)&gt;INT(P568/20)), "TN Ø10 (Lần " &amp; INT(P569/20) &amp; ")", IF(AND(E569=12, INT(Q569/20)&gt;INT(Q568/20)), "TN Ø12 (Lần " &amp; INT(Q569/20) &amp; ")", IF(AND(E569=14, INT(R569/20)&gt;INT(R568/20)), "TN Ø14 (Lần " &amp; INT(R569/20) &amp; ")", IF(AND(E569=16, INT(S569/20)&gt;INT(S568/20)), "TN Ø16 (Lần " &amp; INT(S569/20) &amp; ")", IF(AND(E569=18, INT(T569/20)&gt;INT(T568/20)), "TN Ø18 (Lần " &amp; INT(T569/20) &amp; ")", IF(AND(E569=20, INT(U569/20)&gt;INT(U568/20)), "TN Ø20 (Lần " &amp; INT(U569/20) &amp; ")", IF(AND(E569=22, INT(V569/20)&gt;INT(V568/20)), "TN Ø22 (Lần " &amp; INT(V569/20) &amp; ")", IF(AND(E569=25, INT(W569/20)&gt;INT(W568/20)), "TN Ø25 (Lần " &amp; INT(W569/20) &amp; ")", IF(AND(E569=28, INT(X569/20)&gt;INT(X568/20)), "TN Ø28 (Lần " &amp; INT(X569/20) &amp; ")", IF(AND(E569=32, INT(Y569/20)&gt;INT(Y568/20)), "TN Ø32 (Lần " &amp; INT(Y569/20) &amp; ")", IF(AND(F569="ASTM A416", INT(Z569/20)&gt;INT(Z568/20)), "TN Cáp 15.2 (Lần " &amp; INT(Z569/20) &amp; ")", "")))))))))))</f>
        <v/>
      </c>
      <c r="P569" s="20">
        <f>ROUND(P568 + IF(AND(E569&lt;=10, F569&lt;&gt;"ASTM A416"), L569, 0), 3)</f>
        <v/>
      </c>
      <c r="Q569" s="20">
        <f>ROUND(Q568 + IF(AND(E569=12, F569&lt;&gt;"ASTM A416"), L569, 0), 3)</f>
        <v/>
      </c>
      <c r="R569" s="20">
        <f>ROUND(R568 + IF(AND(E569=14, F569&lt;&gt;"ASTM A416"), L569, 0), 3)</f>
        <v/>
      </c>
      <c r="S569" s="20">
        <f>ROUND(S568 + IF(AND(E569=16, F569&lt;&gt;"ASTM A416"), L569, 0), 3)</f>
        <v/>
      </c>
      <c r="T569" s="20">
        <f>ROUND(T568 + IF(AND(E569=18, F569&lt;&gt;"ASTM A416"), L569, 0), 3)</f>
        <v/>
      </c>
      <c r="U569" s="20">
        <f>ROUND(U568 + IF(AND(E569=20, F569&lt;&gt;"ASTM A416"), L569, 0), 3)</f>
        <v/>
      </c>
      <c r="V569" s="20">
        <f>ROUND(V568 + IF(AND(E569=22, F569&lt;&gt;"ASTM A416"), L569, 0), 3)</f>
        <v/>
      </c>
      <c r="W569" s="20">
        <f>ROUND(W568 + IF(AND(E569=25, F569&lt;&gt;"ASTM A416"), L569, 0), 3)</f>
        <v/>
      </c>
      <c r="X569" s="20">
        <f>ROUND(X568 + IF(AND(E569=28, F569&lt;&gt;"ASTM A416"), L569, 0), 3)</f>
        <v/>
      </c>
      <c r="Y569" s="20">
        <f>ROUND(Y568 + IF(AND(E569=32, F569&lt;&gt;"ASTM A416"), L569, 0), 3)</f>
        <v/>
      </c>
      <c r="Z569" s="20">
        <f>ROUND(Z568 + IF(F569="ASTM A416", L569, 0), 3)</f>
        <v/>
      </c>
      <c r="AA569" s="11">
        <f>IF(INT(P569/20)&gt;INT(P568/20), "Lần " &amp; INT(P569/20), "")</f>
        <v/>
      </c>
      <c r="AB569" s="11">
        <f>IF(INT(Q569/20)&gt;INT(Q568/20), "Lần " &amp; INT(Q569/20), "")</f>
        <v/>
      </c>
      <c r="AC569" s="11">
        <f>IF(INT(R569/20)&gt;INT(R568/20), "Lần " &amp; INT(R569/20), "")</f>
        <v/>
      </c>
      <c r="AD569" s="11">
        <f>IF(INT(S569/20)&gt;INT(S568/20), "Lần " &amp; INT(S569/20), "")</f>
        <v/>
      </c>
      <c r="AE569" s="11">
        <f>IF(INT(T569/20)&gt;INT(T568/20), "Lần " &amp; INT(T569/20), "")</f>
        <v/>
      </c>
      <c r="AF569" s="11">
        <f>IF(INT(U569/20)&gt;INT(U568/20), "Lần " &amp; INT(U569/20), "")</f>
        <v/>
      </c>
      <c r="AG569" s="11">
        <f>IF(INT(V569/20)&gt;INT(V568/20), "Lần " &amp; INT(V569/20), "")</f>
        <v/>
      </c>
      <c r="AH569" s="11">
        <f>IF(INT(W569/20)&gt;INT(W568/20), "Lần " &amp; INT(W569/20), "")</f>
        <v/>
      </c>
      <c r="AI569" s="11">
        <f>IF(INT(X569/20)&gt;INT(X568/20), "Lần " &amp; INT(X569/20), "")</f>
        <v/>
      </c>
      <c r="AJ569" s="11">
        <f>IF(INT(Y569/20)&gt;INT(Y568/20), "Lần " &amp; INT(Y569/20), "")</f>
        <v/>
      </c>
      <c r="AK569" s="11">
        <f>IF(INT(Z569/20)&gt;INT(Z568/20), "Lần " &amp; INT(Z569/20), "")</f>
        <v/>
      </c>
      <c r="AL569" s="6" t="inlineStr">
        <is>
          <t>ĐẠT TCVN 1651:2018</t>
        </is>
      </c>
    </row>
    <row r="570" ht="19" customHeight="1">
      <c r="A570" s="6" t="n">
        <v>539</v>
      </c>
      <c r="B570" s="7" t="inlineStr">
        <is>
          <t>Mố M2</t>
        </is>
      </c>
      <c r="C570" s="7" t="inlineStr">
        <is>
          <t>Thân mố / Bệ mố</t>
        </is>
      </c>
      <c r="D570" s="18" t="inlineStr">
        <is>
          <t>W8(T)</t>
        </is>
      </c>
      <c r="E570" s="19" t="n">
        <v>16</v>
      </c>
      <c r="F570" s="6" t="inlineStr">
        <is>
          <t>CB400-V</t>
        </is>
      </c>
      <c r="G570" s="7" t="inlineStr">
        <is>
          <t>S02</t>
        </is>
      </c>
      <c r="H570" s="20" t="n">
        <v>9.571</v>
      </c>
      <c r="I570" s="21" t="n">
        <v>2</v>
      </c>
      <c r="J570" s="22" t="n">
        <v>1.58</v>
      </c>
      <c r="K570" s="9">
        <f>ROUND(H570*I570*J570, 2)</f>
        <v/>
      </c>
      <c r="L570" s="23">
        <f>ROUND(K570/1000, 3)</f>
        <v/>
      </c>
      <c r="M570" s="8" t="n"/>
      <c r="N570" s="6" t="n"/>
      <c r="O570" s="24">
        <f>IF(AND(E570&lt;=10, F570&lt;&gt;"ASTM A416", INT(P570/20)&gt;INT(P569/20)), "TN Ø10 (Lần " &amp; INT(P570/20) &amp; ")", IF(AND(E570=12, INT(Q570/20)&gt;INT(Q569/20)), "TN Ø12 (Lần " &amp; INT(Q570/20) &amp; ")", IF(AND(E570=14, INT(R570/20)&gt;INT(R569/20)), "TN Ø14 (Lần " &amp; INT(R570/20) &amp; ")", IF(AND(E570=16, INT(S570/20)&gt;INT(S569/20)), "TN Ø16 (Lần " &amp; INT(S570/20) &amp; ")", IF(AND(E570=18, INT(T570/20)&gt;INT(T569/20)), "TN Ø18 (Lần " &amp; INT(T570/20) &amp; ")", IF(AND(E570=20, INT(U570/20)&gt;INT(U569/20)), "TN Ø20 (Lần " &amp; INT(U570/20) &amp; ")", IF(AND(E570=22, INT(V570/20)&gt;INT(V569/20)), "TN Ø22 (Lần " &amp; INT(V570/20) &amp; ")", IF(AND(E570=25, INT(W570/20)&gt;INT(W569/20)), "TN Ø25 (Lần " &amp; INT(W570/20) &amp; ")", IF(AND(E570=28, INT(X570/20)&gt;INT(X569/20)), "TN Ø28 (Lần " &amp; INT(X570/20) &amp; ")", IF(AND(E570=32, INT(Y570/20)&gt;INT(Y569/20)), "TN Ø32 (Lần " &amp; INT(Y570/20) &amp; ")", IF(AND(F570="ASTM A416", INT(Z570/20)&gt;INT(Z569/20)), "TN Cáp 15.2 (Lần " &amp; INT(Z570/20) &amp; ")", "")))))))))))</f>
        <v/>
      </c>
      <c r="P570" s="20">
        <f>ROUND(P569 + IF(AND(E570&lt;=10, F570&lt;&gt;"ASTM A416"), L570, 0), 3)</f>
        <v/>
      </c>
      <c r="Q570" s="20">
        <f>ROUND(Q569 + IF(AND(E570=12, F570&lt;&gt;"ASTM A416"), L570, 0), 3)</f>
        <v/>
      </c>
      <c r="R570" s="20">
        <f>ROUND(R569 + IF(AND(E570=14, F570&lt;&gt;"ASTM A416"), L570, 0), 3)</f>
        <v/>
      </c>
      <c r="S570" s="20">
        <f>ROUND(S569 + IF(AND(E570=16, F570&lt;&gt;"ASTM A416"), L570, 0), 3)</f>
        <v/>
      </c>
      <c r="T570" s="20">
        <f>ROUND(T569 + IF(AND(E570=18, F570&lt;&gt;"ASTM A416"), L570, 0), 3)</f>
        <v/>
      </c>
      <c r="U570" s="20">
        <f>ROUND(U569 + IF(AND(E570=20, F570&lt;&gt;"ASTM A416"), L570, 0), 3)</f>
        <v/>
      </c>
      <c r="V570" s="20">
        <f>ROUND(V569 + IF(AND(E570=22, F570&lt;&gt;"ASTM A416"), L570, 0), 3)</f>
        <v/>
      </c>
      <c r="W570" s="20">
        <f>ROUND(W569 + IF(AND(E570=25, F570&lt;&gt;"ASTM A416"), L570, 0), 3)</f>
        <v/>
      </c>
      <c r="X570" s="20">
        <f>ROUND(X569 + IF(AND(E570=28, F570&lt;&gt;"ASTM A416"), L570, 0), 3)</f>
        <v/>
      </c>
      <c r="Y570" s="20">
        <f>ROUND(Y569 + IF(AND(E570=32, F570&lt;&gt;"ASTM A416"), L570, 0), 3)</f>
        <v/>
      </c>
      <c r="Z570" s="20">
        <f>ROUND(Z569 + IF(F570="ASTM A416", L570, 0), 3)</f>
        <v/>
      </c>
      <c r="AA570" s="11">
        <f>IF(INT(P570/20)&gt;INT(P569/20), "Lần " &amp; INT(P570/20), "")</f>
        <v/>
      </c>
      <c r="AB570" s="11">
        <f>IF(INT(Q570/20)&gt;INT(Q569/20), "Lần " &amp; INT(Q570/20), "")</f>
        <v/>
      </c>
      <c r="AC570" s="11">
        <f>IF(INT(R570/20)&gt;INT(R569/20), "Lần " &amp; INT(R570/20), "")</f>
        <v/>
      </c>
      <c r="AD570" s="11">
        <f>IF(INT(S570/20)&gt;INT(S569/20), "Lần " &amp; INT(S570/20), "")</f>
        <v/>
      </c>
      <c r="AE570" s="11">
        <f>IF(INT(T570/20)&gt;INT(T569/20), "Lần " &amp; INT(T570/20), "")</f>
        <v/>
      </c>
      <c r="AF570" s="11">
        <f>IF(INT(U570/20)&gt;INT(U569/20), "Lần " &amp; INT(U570/20), "")</f>
        <v/>
      </c>
      <c r="AG570" s="11">
        <f>IF(INT(V570/20)&gt;INT(V569/20), "Lần " &amp; INT(V570/20), "")</f>
        <v/>
      </c>
      <c r="AH570" s="11">
        <f>IF(INT(W570/20)&gt;INT(W569/20), "Lần " &amp; INT(W570/20), "")</f>
        <v/>
      </c>
      <c r="AI570" s="11">
        <f>IF(INT(X570/20)&gt;INT(X569/20), "Lần " &amp; INT(X570/20), "")</f>
        <v/>
      </c>
      <c r="AJ570" s="11">
        <f>IF(INT(Y570/20)&gt;INT(Y569/20), "Lần " &amp; INT(Y570/20), "")</f>
        <v/>
      </c>
      <c r="AK570" s="11">
        <f>IF(INT(Z570/20)&gt;INT(Z569/20), "Lần " &amp; INT(Z570/20), "")</f>
        <v/>
      </c>
      <c r="AL570" s="6" t="inlineStr">
        <is>
          <t>ĐẠT TCVN 1651:2018</t>
        </is>
      </c>
    </row>
    <row r="571" ht="19" customHeight="1">
      <c r="A571" s="6" t="n">
        <v>540</v>
      </c>
      <c r="B571" s="7" t="inlineStr">
        <is>
          <t>Mố M2</t>
        </is>
      </c>
      <c r="C571" s="7" t="inlineStr">
        <is>
          <t>Ụ CHỐNG CHUYỂN VỊ</t>
        </is>
      </c>
      <c r="D571" s="18" t="inlineStr">
        <is>
          <t>U1</t>
        </is>
      </c>
      <c r="E571" s="19" t="n">
        <v>16</v>
      </c>
      <c r="F571" s="6" t="inlineStr">
        <is>
          <t>CB400-V</t>
        </is>
      </c>
      <c r="G571" s="7" t="inlineStr">
        <is>
          <t>S06</t>
        </is>
      </c>
      <c r="H571" s="20" t="n">
        <v>4.192</v>
      </c>
      <c r="I571" s="21" t="n">
        <v>8</v>
      </c>
      <c r="J571" s="22" t="n">
        <v>1.58</v>
      </c>
      <c r="K571" s="9">
        <f>ROUND(H571*I571*J571, 2)</f>
        <v/>
      </c>
      <c r="L571" s="23">
        <f>ROUND(K571/1000, 3)</f>
        <v/>
      </c>
      <c r="M571" s="8" t="n"/>
      <c r="N571" s="6" t="n"/>
      <c r="O571" s="24">
        <f>IF(AND(E571&lt;=10, F571&lt;&gt;"ASTM A416", INT(P571/20)&gt;INT(P570/20)), "TN Ø10 (Lần " &amp; INT(P571/20) &amp; ")", IF(AND(E571=12, INT(Q571/20)&gt;INT(Q570/20)), "TN Ø12 (Lần " &amp; INT(Q571/20) &amp; ")", IF(AND(E571=14, INT(R571/20)&gt;INT(R570/20)), "TN Ø14 (Lần " &amp; INT(R571/20) &amp; ")", IF(AND(E571=16, INT(S571/20)&gt;INT(S570/20)), "TN Ø16 (Lần " &amp; INT(S571/20) &amp; ")", IF(AND(E571=18, INT(T571/20)&gt;INT(T570/20)), "TN Ø18 (Lần " &amp; INT(T571/20) &amp; ")", IF(AND(E571=20, INT(U571/20)&gt;INT(U570/20)), "TN Ø20 (Lần " &amp; INT(U571/20) &amp; ")", IF(AND(E571=22, INT(V571/20)&gt;INT(V570/20)), "TN Ø22 (Lần " &amp; INT(V571/20) &amp; ")", IF(AND(E571=25, INT(W571/20)&gt;INT(W570/20)), "TN Ø25 (Lần " &amp; INT(W571/20) &amp; ")", IF(AND(E571=28, INT(X571/20)&gt;INT(X570/20)), "TN Ø28 (Lần " &amp; INT(X571/20) &amp; ")", IF(AND(E571=32, INT(Y571/20)&gt;INT(Y570/20)), "TN Ø32 (Lần " &amp; INT(Y571/20) &amp; ")", IF(AND(F571="ASTM A416", INT(Z571/20)&gt;INT(Z570/20)), "TN Cáp 15.2 (Lần " &amp; INT(Z571/20) &amp; ")", "")))))))))))</f>
        <v/>
      </c>
      <c r="P571" s="20">
        <f>ROUND(P570 + IF(AND(E571&lt;=10, F571&lt;&gt;"ASTM A416"), L571, 0), 3)</f>
        <v/>
      </c>
      <c r="Q571" s="20">
        <f>ROUND(Q570 + IF(AND(E571=12, F571&lt;&gt;"ASTM A416"), L571, 0), 3)</f>
        <v/>
      </c>
      <c r="R571" s="20">
        <f>ROUND(R570 + IF(AND(E571=14, F571&lt;&gt;"ASTM A416"), L571, 0), 3)</f>
        <v/>
      </c>
      <c r="S571" s="20">
        <f>ROUND(S570 + IF(AND(E571=16, F571&lt;&gt;"ASTM A416"), L571, 0), 3)</f>
        <v/>
      </c>
      <c r="T571" s="20">
        <f>ROUND(T570 + IF(AND(E571=18, F571&lt;&gt;"ASTM A416"), L571, 0), 3)</f>
        <v/>
      </c>
      <c r="U571" s="20">
        <f>ROUND(U570 + IF(AND(E571=20, F571&lt;&gt;"ASTM A416"), L571, 0), 3)</f>
        <v/>
      </c>
      <c r="V571" s="20">
        <f>ROUND(V570 + IF(AND(E571=22, F571&lt;&gt;"ASTM A416"), L571, 0), 3)</f>
        <v/>
      </c>
      <c r="W571" s="20">
        <f>ROUND(W570 + IF(AND(E571=25, F571&lt;&gt;"ASTM A416"), L571, 0), 3)</f>
        <v/>
      </c>
      <c r="X571" s="20">
        <f>ROUND(X570 + IF(AND(E571=28, F571&lt;&gt;"ASTM A416"), L571, 0), 3)</f>
        <v/>
      </c>
      <c r="Y571" s="20">
        <f>ROUND(Y570 + IF(AND(E571=32, F571&lt;&gt;"ASTM A416"), L571, 0), 3)</f>
        <v/>
      </c>
      <c r="Z571" s="20">
        <f>ROUND(Z570 + IF(F571="ASTM A416", L571, 0), 3)</f>
        <v/>
      </c>
      <c r="AA571" s="11">
        <f>IF(INT(P571/20)&gt;INT(P570/20), "Lần " &amp; INT(P571/20), "")</f>
        <v/>
      </c>
      <c r="AB571" s="11">
        <f>IF(INT(Q571/20)&gt;INT(Q570/20), "Lần " &amp; INT(Q571/20), "")</f>
        <v/>
      </c>
      <c r="AC571" s="11">
        <f>IF(INT(R571/20)&gt;INT(R570/20), "Lần " &amp; INT(R571/20), "")</f>
        <v/>
      </c>
      <c r="AD571" s="11">
        <f>IF(INT(S571/20)&gt;INT(S570/20), "Lần " &amp; INT(S571/20), "")</f>
        <v/>
      </c>
      <c r="AE571" s="11">
        <f>IF(INT(T571/20)&gt;INT(T570/20), "Lần " &amp; INT(T571/20), "")</f>
        <v/>
      </c>
      <c r="AF571" s="11">
        <f>IF(INT(U571/20)&gt;INT(U570/20), "Lần " &amp; INT(U571/20), "")</f>
        <v/>
      </c>
      <c r="AG571" s="11">
        <f>IF(INT(V571/20)&gt;INT(V570/20), "Lần " &amp; INT(V571/20), "")</f>
        <v/>
      </c>
      <c r="AH571" s="11">
        <f>IF(INT(W571/20)&gt;INT(W570/20), "Lần " &amp; INT(W571/20), "")</f>
        <v/>
      </c>
      <c r="AI571" s="11">
        <f>IF(INT(X571/20)&gt;INT(X570/20), "Lần " &amp; INT(X571/20), "")</f>
        <v/>
      </c>
      <c r="AJ571" s="11">
        <f>IF(INT(Y571/20)&gt;INT(Y570/20), "Lần " &amp; INT(Y571/20), "")</f>
        <v/>
      </c>
      <c r="AK571" s="11">
        <f>IF(INT(Z571/20)&gt;INT(Z570/20), "Lần " &amp; INT(Z571/20), "")</f>
        <v/>
      </c>
      <c r="AL571" s="6" t="inlineStr">
        <is>
          <t>ĐẠT TCVN 1651:2018</t>
        </is>
      </c>
    </row>
    <row r="572" ht="19" customHeight="1">
      <c r="A572" s="6" t="n">
        <v>541</v>
      </c>
      <c r="B572" s="7" t="inlineStr">
        <is>
          <t>Mố M2</t>
        </is>
      </c>
      <c r="C572" s="7" t="inlineStr">
        <is>
          <t>Thân mố / Bệ mố</t>
        </is>
      </c>
      <c r="D572" s="18" t="inlineStr">
        <is>
          <t>U2</t>
        </is>
      </c>
      <c r="E572" s="19" t="n">
        <v>16</v>
      </c>
      <c r="F572" s="6" t="inlineStr">
        <is>
          <t>CB400-V</t>
        </is>
      </c>
      <c r="G572" s="7" t="inlineStr">
        <is>
          <t>S06</t>
        </is>
      </c>
      <c r="H572" s="20" t="n">
        <v>3.892</v>
      </c>
      <c r="I572" s="21" t="n">
        <v>14</v>
      </c>
      <c r="J572" s="22" t="n">
        <v>1.58</v>
      </c>
      <c r="K572" s="9">
        <f>ROUND(H572*I572*J572, 2)</f>
        <v/>
      </c>
      <c r="L572" s="23">
        <f>ROUND(K572/1000, 3)</f>
        <v/>
      </c>
      <c r="M572" s="8" t="n"/>
      <c r="N572" s="6" t="n"/>
      <c r="O572" s="24">
        <f>IF(AND(E572&lt;=10, F572&lt;&gt;"ASTM A416", INT(P572/20)&gt;INT(P571/20)), "TN Ø10 (Lần " &amp; INT(P572/20) &amp; ")", IF(AND(E572=12, INT(Q572/20)&gt;INT(Q571/20)), "TN Ø12 (Lần " &amp; INT(Q572/20) &amp; ")", IF(AND(E572=14, INT(R572/20)&gt;INT(R571/20)), "TN Ø14 (Lần " &amp; INT(R572/20) &amp; ")", IF(AND(E572=16, INT(S572/20)&gt;INT(S571/20)), "TN Ø16 (Lần " &amp; INT(S572/20) &amp; ")", IF(AND(E572=18, INT(T572/20)&gt;INT(T571/20)), "TN Ø18 (Lần " &amp; INT(T572/20) &amp; ")", IF(AND(E572=20, INT(U572/20)&gt;INT(U571/20)), "TN Ø20 (Lần " &amp; INT(U572/20) &amp; ")", IF(AND(E572=22, INT(V572/20)&gt;INT(V571/20)), "TN Ø22 (Lần " &amp; INT(V572/20) &amp; ")", IF(AND(E572=25, INT(W572/20)&gt;INT(W571/20)), "TN Ø25 (Lần " &amp; INT(W572/20) &amp; ")", IF(AND(E572=28, INT(X572/20)&gt;INT(X571/20)), "TN Ø28 (Lần " &amp; INT(X572/20) &amp; ")", IF(AND(E572=32, INT(Y572/20)&gt;INT(Y571/20)), "TN Ø32 (Lần " &amp; INT(Y572/20) &amp; ")", IF(AND(F572="ASTM A416", INT(Z572/20)&gt;INT(Z571/20)), "TN Cáp 15.2 (Lần " &amp; INT(Z572/20) &amp; ")", "")))))))))))</f>
        <v/>
      </c>
      <c r="P572" s="20">
        <f>ROUND(P571 + IF(AND(E572&lt;=10, F572&lt;&gt;"ASTM A416"), L572, 0), 3)</f>
        <v/>
      </c>
      <c r="Q572" s="20">
        <f>ROUND(Q571 + IF(AND(E572=12, F572&lt;&gt;"ASTM A416"), L572, 0), 3)</f>
        <v/>
      </c>
      <c r="R572" s="20">
        <f>ROUND(R571 + IF(AND(E572=14, F572&lt;&gt;"ASTM A416"), L572, 0), 3)</f>
        <v/>
      </c>
      <c r="S572" s="20">
        <f>ROUND(S571 + IF(AND(E572=16, F572&lt;&gt;"ASTM A416"), L572, 0), 3)</f>
        <v/>
      </c>
      <c r="T572" s="20">
        <f>ROUND(T571 + IF(AND(E572=18, F572&lt;&gt;"ASTM A416"), L572, 0), 3)</f>
        <v/>
      </c>
      <c r="U572" s="20">
        <f>ROUND(U571 + IF(AND(E572=20, F572&lt;&gt;"ASTM A416"), L572, 0), 3)</f>
        <v/>
      </c>
      <c r="V572" s="20">
        <f>ROUND(V571 + IF(AND(E572=22, F572&lt;&gt;"ASTM A416"), L572, 0), 3)</f>
        <v/>
      </c>
      <c r="W572" s="20">
        <f>ROUND(W571 + IF(AND(E572=25, F572&lt;&gt;"ASTM A416"), L572, 0), 3)</f>
        <v/>
      </c>
      <c r="X572" s="20">
        <f>ROUND(X571 + IF(AND(E572=28, F572&lt;&gt;"ASTM A416"), L572, 0), 3)</f>
        <v/>
      </c>
      <c r="Y572" s="20">
        <f>ROUND(Y571 + IF(AND(E572=32, F572&lt;&gt;"ASTM A416"), L572, 0), 3)</f>
        <v/>
      </c>
      <c r="Z572" s="20">
        <f>ROUND(Z571 + IF(F572="ASTM A416", L572, 0), 3)</f>
        <v/>
      </c>
      <c r="AA572" s="11">
        <f>IF(INT(P572/20)&gt;INT(P571/20), "Lần " &amp; INT(P572/20), "")</f>
        <v/>
      </c>
      <c r="AB572" s="11">
        <f>IF(INT(Q572/20)&gt;INT(Q571/20), "Lần " &amp; INT(Q572/20), "")</f>
        <v/>
      </c>
      <c r="AC572" s="11">
        <f>IF(INT(R572/20)&gt;INT(R571/20), "Lần " &amp; INT(R572/20), "")</f>
        <v/>
      </c>
      <c r="AD572" s="11">
        <f>IF(INT(S572/20)&gt;INT(S571/20), "Lần " &amp; INT(S572/20), "")</f>
        <v/>
      </c>
      <c r="AE572" s="11">
        <f>IF(INT(T572/20)&gt;INT(T571/20), "Lần " &amp; INT(T572/20), "")</f>
        <v/>
      </c>
      <c r="AF572" s="11">
        <f>IF(INT(U572/20)&gt;INT(U571/20), "Lần " &amp; INT(U572/20), "")</f>
        <v/>
      </c>
      <c r="AG572" s="11">
        <f>IF(INT(V572/20)&gt;INT(V571/20), "Lần " &amp; INT(V572/20), "")</f>
        <v/>
      </c>
      <c r="AH572" s="11">
        <f>IF(INT(W572/20)&gt;INT(W571/20), "Lần " &amp; INT(W572/20), "")</f>
        <v/>
      </c>
      <c r="AI572" s="11">
        <f>IF(INT(X572/20)&gt;INT(X571/20), "Lần " &amp; INT(X572/20), "")</f>
        <v/>
      </c>
      <c r="AJ572" s="11">
        <f>IF(INT(Y572/20)&gt;INT(Y571/20), "Lần " &amp; INT(Y572/20), "")</f>
        <v/>
      </c>
      <c r="AK572" s="11">
        <f>IF(INT(Z572/20)&gt;INT(Z571/20), "Lần " &amp; INT(Z572/20), "")</f>
        <v/>
      </c>
      <c r="AL572" s="6" t="inlineStr">
        <is>
          <t>ĐẠT TCVN 1651:2018</t>
        </is>
      </c>
    </row>
    <row r="573" ht="19" customHeight="1">
      <c r="A573" s="6" t="n">
        <v>542</v>
      </c>
      <c r="B573" s="7" t="inlineStr">
        <is>
          <t>Mố M2</t>
        </is>
      </c>
      <c r="C573" s="7" t="inlineStr">
        <is>
          <t>Thân mố / Bệ mố</t>
        </is>
      </c>
      <c r="D573" s="18" t="inlineStr">
        <is>
          <t>U3</t>
        </is>
      </c>
      <c r="E573" s="19" t="n">
        <v>16</v>
      </c>
      <c r="F573" s="6" t="inlineStr">
        <is>
          <t>CB400-V</t>
        </is>
      </c>
      <c r="G573" s="7" t="inlineStr">
        <is>
          <t>S51</t>
        </is>
      </c>
      <c r="H573" s="20" t="n">
        <v>3.256</v>
      </c>
      <c r="I573" s="21" t="n">
        <v>24</v>
      </c>
      <c r="J573" s="22" t="n">
        <v>1.58</v>
      </c>
      <c r="K573" s="9">
        <f>ROUND(H573*I573*J573, 2)</f>
        <v/>
      </c>
      <c r="L573" s="23">
        <f>ROUND(K573/1000, 3)</f>
        <v/>
      </c>
      <c r="M573" s="8" t="n"/>
      <c r="N573" s="6" t="n"/>
      <c r="O573" s="24">
        <f>IF(AND(E573&lt;=10, F573&lt;&gt;"ASTM A416", INT(P573/20)&gt;INT(P572/20)), "TN Ø10 (Lần " &amp; INT(P573/20) &amp; ")", IF(AND(E573=12, INT(Q573/20)&gt;INT(Q572/20)), "TN Ø12 (Lần " &amp; INT(Q573/20) &amp; ")", IF(AND(E573=14, INT(R573/20)&gt;INT(R572/20)), "TN Ø14 (Lần " &amp; INT(R573/20) &amp; ")", IF(AND(E573=16, INT(S573/20)&gt;INT(S572/20)), "TN Ø16 (Lần " &amp; INT(S573/20) &amp; ")", IF(AND(E573=18, INT(T573/20)&gt;INT(T572/20)), "TN Ø18 (Lần " &amp; INT(T573/20) &amp; ")", IF(AND(E573=20, INT(U573/20)&gt;INT(U572/20)), "TN Ø20 (Lần " &amp; INT(U573/20) &amp; ")", IF(AND(E573=22, INT(V573/20)&gt;INT(V572/20)), "TN Ø22 (Lần " &amp; INT(V573/20) &amp; ")", IF(AND(E573=25, INT(W573/20)&gt;INT(W572/20)), "TN Ø25 (Lần " &amp; INT(W573/20) &amp; ")", IF(AND(E573=28, INT(X573/20)&gt;INT(X572/20)), "TN Ø28 (Lần " &amp; INT(X573/20) &amp; ")", IF(AND(E573=32, INT(Y573/20)&gt;INT(Y572/20)), "TN Ø32 (Lần " &amp; INT(Y573/20) &amp; ")", IF(AND(F573="ASTM A416", INT(Z573/20)&gt;INT(Z572/20)), "TN Cáp 15.2 (Lần " &amp; INT(Z573/20) &amp; ")", "")))))))))))</f>
        <v/>
      </c>
      <c r="P573" s="20">
        <f>ROUND(P572 + IF(AND(E573&lt;=10, F573&lt;&gt;"ASTM A416"), L573, 0), 3)</f>
        <v/>
      </c>
      <c r="Q573" s="20">
        <f>ROUND(Q572 + IF(AND(E573=12, F573&lt;&gt;"ASTM A416"), L573, 0), 3)</f>
        <v/>
      </c>
      <c r="R573" s="20">
        <f>ROUND(R572 + IF(AND(E573=14, F573&lt;&gt;"ASTM A416"), L573, 0), 3)</f>
        <v/>
      </c>
      <c r="S573" s="20">
        <f>ROUND(S572 + IF(AND(E573=16, F573&lt;&gt;"ASTM A416"), L573, 0), 3)</f>
        <v/>
      </c>
      <c r="T573" s="20">
        <f>ROUND(T572 + IF(AND(E573=18, F573&lt;&gt;"ASTM A416"), L573, 0), 3)</f>
        <v/>
      </c>
      <c r="U573" s="20">
        <f>ROUND(U572 + IF(AND(E573=20, F573&lt;&gt;"ASTM A416"), L573, 0), 3)</f>
        <v/>
      </c>
      <c r="V573" s="20">
        <f>ROUND(V572 + IF(AND(E573=22, F573&lt;&gt;"ASTM A416"), L573, 0), 3)</f>
        <v/>
      </c>
      <c r="W573" s="20">
        <f>ROUND(W572 + IF(AND(E573=25, F573&lt;&gt;"ASTM A416"), L573, 0), 3)</f>
        <v/>
      </c>
      <c r="X573" s="20">
        <f>ROUND(X572 + IF(AND(E573=28, F573&lt;&gt;"ASTM A416"), L573, 0), 3)</f>
        <v/>
      </c>
      <c r="Y573" s="20">
        <f>ROUND(Y572 + IF(AND(E573=32, F573&lt;&gt;"ASTM A416"), L573, 0), 3)</f>
        <v/>
      </c>
      <c r="Z573" s="20">
        <f>ROUND(Z572 + IF(F573="ASTM A416", L573, 0), 3)</f>
        <v/>
      </c>
      <c r="AA573" s="11">
        <f>IF(INT(P573/20)&gt;INT(P572/20), "Lần " &amp; INT(P573/20), "")</f>
        <v/>
      </c>
      <c r="AB573" s="11">
        <f>IF(INT(Q573/20)&gt;INT(Q572/20), "Lần " &amp; INT(Q573/20), "")</f>
        <v/>
      </c>
      <c r="AC573" s="11">
        <f>IF(INT(R573/20)&gt;INT(R572/20), "Lần " &amp; INT(R573/20), "")</f>
        <v/>
      </c>
      <c r="AD573" s="11">
        <f>IF(INT(S573/20)&gt;INT(S572/20), "Lần " &amp; INT(S573/20), "")</f>
        <v/>
      </c>
      <c r="AE573" s="11">
        <f>IF(INT(T573/20)&gt;INT(T572/20), "Lần " &amp; INT(T573/20), "")</f>
        <v/>
      </c>
      <c r="AF573" s="11">
        <f>IF(INT(U573/20)&gt;INT(U572/20), "Lần " &amp; INT(U573/20), "")</f>
        <v/>
      </c>
      <c r="AG573" s="11">
        <f>IF(INT(V573/20)&gt;INT(V572/20), "Lần " &amp; INT(V573/20), "")</f>
        <v/>
      </c>
      <c r="AH573" s="11">
        <f>IF(INT(W573/20)&gt;INT(W572/20), "Lần " &amp; INT(W573/20), "")</f>
        <v/>
      </c>
      <c r="AI573" s="11">
        <f>IF(INT(X573/20)&gt;INT(X572/20), "Lần " &amp; INT(X573/20), "")</f>
        <v/>
      </c>
      <c r="AJ573" s="11">
        <f>IF(INT(Y573/20)&gt;INT(Y572/20), "Lần " &amp; INT(Y573/20), "")</f>
        <v/>
      </c>
      <c r="AK573" s="11">
        <f>IF(INT(Z573/20)&gt;INT(Z572/20), "Lần " &amp; INT(Z573/20), "")</f>
        <v/>
      </c>
      <c r="AL573" s="6" t="inlineStr">
        <is>
          <t>ĐẠT TCVN 1651:2018</t>
        </is>
      </c>
    </row>
    <row r="574" ht="19" customHeight="1">
      <c r="A574" s="6" t="n">
        <v>543</v>
      </c>
      <c r="B574" s="7" t="inlineStr">
        <is>
          <t>Mố M2</t>
        </is>
      </c>
      <c r="C574" s="7" t="inlineStr">
        <is>
          <t>Thân mố / Bệ mố</t>
        </is>
      </c>
      <c r="D574" s="18" t="inlineStr">
        <is>
          <t>U4</t>
        </is>
      </c>
      <c r="E574" s="19" t="n">
        <v>16</v>
      </c>
      <c r="F574" s="6" t="inlineStr">
        <is>
          <t>CB400-V</t>
        </is>
      </c>
      <c r="G574" s="7" t="inlineStr">
        <is>
          <t>S32</t>
        </is>
      </c>
      <c r="H574" s="20" t="n">
        <v>1.64</v>
      </c>
      <c r="I574" s="21" t="n">
        <v>4</v>
      </c>
      <c r="J574" s="22" t="n">
        <v>1.58</v>
      </c>
      <c r="K574" s="9">
        <f>ROUND(H574*I574*J574, 2)</f>
        <v/>
      </c>
      <c r="L574" s="23">
        <f>ROUND(K574/1000, 3)</f>
        <v/>
      </c>
      <c r="M574" s="8" t="n"/>
      <c r="N574" s="6" t="n"/>
      <c r="O574" s="24">
        <f>IF(AND(E574&lt;=10, F574&lt;&gt;"ASTM A416", INT(P574/20)&gt;INT(P573/20)), "TN Ø10 (Lần " &amp; INT(P574/20) &amp; ")", IF(AND(E574=12, INT(Q574/20)&gt;INT(Q573/20)), "TN Ø12 (Lần " &amp; INT(Q574/20) &amp; ")", IF(AND(E574=14, INT(R574/20)&gt;INT(R573/20)), "TN Ø14 (Lần " &amp; INT(R574/20) &amp; ")", IF(AND(E574=16, INT(S574/20)&gt;INT(S573/20)), "TN Ø16 (Lần " &amp; INT(S574/20) &amp; ")", IF(AND(E574=18, INT(T574/20)&gt;INT(T573/20)), "TN Ø18 (Lần " &amp; INT(T574/20) &amp; ")", IF(AND(E574=20, INT(U574/20)&gt;INT(U573/20)), "TN Ø20 (Lần " &amp; INT(U574/20) &amp; ")", IF(AND(E574=22, INT(V574/20)&gt;INT(V573/20)), "TN Ø22 (Lần " &amp; INT(V574/20) &amp; ")", IF(AND(E574=25, INT(W574/20)&gt;INT(W573/20)), "TN Ø25 (Lần " &amp; INT(W574/20) &amp; ")", IF(AND(E574=28, INT(X574/20)&gt;INT(X573/20)), "TN Ø28 (Lần " &amp; INT(X574/20) &amp; ")", IF(AND(E574=32, INT(Y574/20)&gt;INT(Y573/20)), "TN Ø32 (Lần " &amp; INT(Y574/20) &amp; ")", IF(AND(F574="ASTM A416", INT(Z574/20)&gt;INT(Z573/20)), "TN Cáp 15.2 (Lần " &amp; INT(Z574/20) &amp; ")", "")))))))))))</f>
        <v/>
      </c>
      <c r="P574" s="20">
        <f>ROUND(P573 + IF(AND(E574&lt;=10, F574&lt;&gt;"ASTM A416"), L574, 0), 3)</f>
        <v/>
      </c>
      <c r="Q574" s="20">
        <f>ROUND(Q573 + IF(AND(E574=12, F574&lt;&gt;"ASTM A416"), L574, 0), 3)</f>
        <v/>
      </c>
      <c r="R574" s="20">
        <f>ROUND(R573 + IF(AND(E574=14, F574&lt;&gt;"ASTM A416"), L574, 0), 3)</f>
        <v/>
      </c>
      <c r="S574" s="20">
        <f>ROUND(S573 + IF(AND(E574=16, F574&lt;&gt;"ASTM A416"), L574, 0), 3)</f>
        <v/>
      </c>
      <c r="T574" s="20">
        <f>ROUND(T573 + IF(AND(E574=18, F574&lt;&gt;"ASTM A416"), L574, 0), 3)</f>
        <v/>
      </c>
      <c r="U574" s="20">
        <f>ROUND(U573 + IF(AND(E574=20, F574&lt;&gt;"ASTM A416"), L574, 0), 3)</f>
        <v/>
      </c>
      <c r="V574" s="20">
        <f>ROUND(V573 + IF(AND(E574=22, F574&lt;&gt;"ASTM A416"), L574, 0), 3)</f>
        <v/>
      </c>
      <c r="W574" s="20">
        <f>ROUND(W573 + IF(AND(E574=25, F574&lt;&gt;"ASTM A416"), L574, 0), 3)</f>
        <v/>
      </c>
      <c r="X574" s="20">
        <f>ROUND(X573 + IF(AND(E574=28, F574&lt;&gt;"ASTM A416"), L574, 0), 3)</f>
        <v/>
      </c>
      <c r="Y574" s="20">
        <f>ROUND(Y573 + IF(AND(E574=32, F574&lt;&gt;"ASTM A416"), L574, 0), 3)</f>
        <v/>
      </c>
      <c r="Z574" s="20">
        <f>ROUND(Z573 + IF(F574="ASTM A416", L574, 0), 3)</f>
        <v/>
      </c>
      <c r="AA574" s="11">
        <f>IF(INT(P574/20)&gt;INT(P573/20), "Lần " &amp; INT(P574/20), "")</f>
        <v/>
      </c>
      <c r="AB574" s="11">
        <f>IF(INT(Q574/20)&gt;INT(Q573/20), "Lần " &amp; INT(Q574/20), "")</f>
        <v/>
      </c>
      <c r="AC574" s="11">
        <f>IF(INT(R574/20)&gt;INT(R573/20), "Lần " &amp; INT(R574/20), "")</f>
        <v/>
      </c>
      <c r="AD574" s="11">
        <f>IF(INT(S574/20)&gt;INT(S573/20), "Lần " &amp; INT(S574/20), "")</f>
        <v/>
      </c>
      <c r="AE574" s="11">
        <f>IF(INT(T574/20)&gt;INT(T573/20), "Lần " &amp; INT(T574/20), "")</f>
        <v/>
      </c>
      <c r="AF574" s="11">
        <f>IF(INT(U574/20)&gt;INT(U573/20), "Lần " &amp; INT(U574/20), "")</f>
        <v/>
      </c>
      <c r="AG574" s="11">
        <f>IF(INT(V574/20)&gt;INT(V573/20), "Lần " &amp; INT(V574/20), "")</f>
        <v/>
      </c>
      <c r="AH574" s="11">
        <f>IF(INT(W574/20)&gt;INT(W573/20), "Lần " &amp; INT(W574/20), "")</f>
        <v/>
      </c>
      <c r="AI574" s="11">
        <f>IF(INT(X574/20)&gt;INT(X573/20), "Lần " &amp; INT(X574/20), "")</f>
        <v/>
      </c>
      <c r="AJ574" s="11">
        <f>IF(INT(Y574/20)&gt;INT(Y573/20), "Lần " &amp; INT(Y574/20), "")</f>
        <v/>
      </c>
      <c r="AK574" s="11">
        <f>IF(INT(Z574/20)&gt;INT(Z573/20), "Lần " &amp; INT(Z574/20), "")</f>
        <v/>
      </c>
      <c r="AL574" s="6" t="inlineStr">
        <is>
          <t>ĐẠT TCVN 1651:2018</t>
        </is>
      </c>
    </row>
    <row r="575" ht="19" customHeight="1">
      <c r="A575" s="6" t="n">
        <v>544</v>
      </c>
      <c r="B575" s="7" t="inlineStr">
        <is>
          <t>Mố M2</t>
        </is>
      </c>
      <c r="C575" s="7" t="inlineStr">
        <is>
          <t>VỮA ĐỆM</t>
        </is>
      </c>
      <c r="D575" s="18" t="inlineStr">
        <is>
          <t>B1</t>
        </is>
      </c>
      <c r="E575" s="19" t="n">
        <v>8</v>
      </c>
      <c r="F575" s="6" t="inlineStr">
        <is>
          <t>CB240-T</t>
        </is>
      </c>
      <c r="G575" s="7" t="inlineStr">
        <is>
          <t>S01</t>
        </is>
      </c>
      <c r="H575" s="20" t="n">
        <v>0.64</v>
      </c>
      <c r="I575" s="21" t="n">
        <v>50</v>
      </c>
      <c r="J575" s="22" t="n">
        <v>0.395</v>
      </c>
      <c r="K575" s="9">
        <f>ROUND(H575*I575*J575, 2)</f>
        <v/>
      </c>
      <c r="L575" s="23">
        <f>ROUND(K575/1000, 3)</f>
        <v/>
      </c>
      <c r="M575" s="8" t="n"/>
      <c r="N575" s="6" t="n"/>
      <c r="O575" s="24">
        <f>IF(AND(E575&lt;=10, F575&lt;&gt;"ASTM A416", INT(P575/20)&gt;INT(P574/20)), "TN Ø10 (Lần " &amp; INT(P575/20) &amp; ")", IF(AND(E575=12, INT(Q575/20)&gt;INT(Q574/20)), "TN Ø12 (Lần " &amp; INT(Q575/20) &amp; ")", IF(AND(E575=14, INT(R575/20)&gt;INT(R574/20)), "TN Ø14 (Lần " &amp; INT(R575/20) &amp; ")", IF(AND(E575=16, INT(S575/20)&gt;INT(S574/20)), "TN Ø16 (Lần " &amp; INT(S575/20) &amp; ")", IF(AND(E575=18, INT(T575/20)&gt;INT(T574/20)), "TN Ø18 (Lần " &amp; INT(T575/20) &amp; ")", IF(AND(E575=20, INT(U575/20)&gt;INT(U574/20)), "TN Ø20 (Lần " &amp; INT(U575/20) &amp; ")", IF(AND(E575=22, INT(V575/20)&gt;INT(V574/20)), "TN Ø22 (Lần " &amp; INT(V575/20) &amp; ")", IF(AND(E575=25, INT(W575/20)&gt;INT(W574/20)), "TN Ø25 (Lần " &amp; INT(W575/20) &amp; ")", IF(AND(E575=28, INT(X575/20)&gt;INT(X574/20)), "TN Ø28 (Lần " &amp; INT(X575/20) &amp; ")", IF(AND(E575=32, INT(Y575/20)&gt;INT(Y574/20)), "TN Ø32 (Lần " &amp; INT(Y575/20) &amp; ")", IF(AND(F575="ASTM A416", INT(Z575/20)&gt;INT(Z574/20)), "TN Cáp 15.2 (Lần " &amp; INT(Z575/20) &amp; ")", "")))))))))))</f>
        <v/>
      </c>
      <c r="P575" s="20">
        <f>ROUND(P574 + IF(AND(E575&lt;=10, F575&lt;&gt;"ASTM A416"), L575, 0), 3)</f>
        <v/>
      </c>
      <c r="Q575" s="20">
        <f>ROUND(Q574 + IF(AND(E575=12, F575&lt;&gt;"ASTM A416"), L575, 0), 3)</f>
        <v/>
      </c>
      <c r="R575" s="20">
        <f>ROUND(R574 + IF(AND(E575=14, F575&lt;&gt;"ASTM A416"), L575, 0), 3)</f>
        <v/>
      </c>
      <c r="S575" s="20">
        <f>ROUND(S574 + IF(AND(E575=16, F575&lt;&gt;"ASTM A416"), L575, 0), 3)</f>
        <v/>
      </c>
      <c r="T575" s="20">
        <f>ROUND(T574 + IF(AND(E575=18, F575&lt;&gt;"ASTM A416"), L575, 0), 3)</f>
        <v/>
      </c>
      <c r="U575" s="20">
        <f>ROUND(U574 + IF(AND(E575=20, F575&lt;&gt;"ASTM A416"), L575, 0), 3)</f>
        <v/>
      </c>
      <c r="V575" s="20">
        <f>ROUND(V574 + IF(AND(E575=22, F575&lt;&gt;"ASTM A416"), L575, 0), 3)</f>
        <v/>
      </c>
      <c r="W575" s="20">
        <f>ROUND(W574 + IF(AND(E575=25, F575&lt;&gt;"ASTM A416"), L575, 0), 3)</f>
        <v/>
      </c>
      <c r="X575" s="20">
        <f>ROUND(X574 + IF(AND(E575=28, F575&lt;&gt;"ASTM A416"), L575, 0), 3)</f>
        <v/>
      </c>
      <c r="Y575" s="20">
        <f>ROUND(Y574 + IF(AND(E575=32, F575&lt;&gt;"ASTM A416"), L575, 0), 3)</f>
        <v/>
      </c>
      <c r="Z575" s="20">
        <f>ROUND(Z574 + IF(F575="ASTM A416", L575, 0), 3)</f>
        <v/>
      </c>
      <c r="AA575" s="11">
        <f>IF(INT(P575/20)&gt;INT(P574/20), "Lần " &amp; INT(P575/20), "")</f>
        <v/>
      </c>
      <c r="AB575" s="11">
        <f>IF(INT(Q575/20)&gt;INT(Q574/20), "Lần " &amp; INT(Q575/20), "")</f>
        <v/>
      </c>
      <c r="AC575" s="11">
        <f>IF(INT(R575/20)&gt;INT(R574/20), "Lần " &amp; INT(R575/20), "")</f>
        <v/>
      </c>
      <c r="AD575" s="11">
        <f>IF(INT(S575/20)&gt;INT(S574/20), "Lần " &amp; INT(S575/20), "")</f>
        <v/>
      </c>
      <c r="AE575" s="11">
        <f>IF(INT(T575/20)&gt;INT(T574/20), "Lần " &amp; INT(T575/20), "")</f>
        <v/>
      </c>
      <c r="AF575" s="11">
        <f>IF(INT(U575/20)&gt;INT(U574/20), "Lần " &amp; INT(U575/20), "")</f>
        <v/>
      </c>
      <c r="AG575" s="11">
        <f>IF(INT(V575/20)&gt;INT(V574/20), "Lần " &amp; INT(V575/20), "")</f>
        <v/>
      </c>
      <c r="AH575" s="11">
        <f>IF(INT(W575/20)&gt;INT(W574/20), "Lần " &amp; INT(W575/20), "")</f>
        <v/>
      </c>
      <c r="AI575" s="11">
        <f>IF(INT(X575/20)&gt;INT(X574/20), "Lần " &amp; INT(X575/20), "")</f>
        <v/>
      </c>
      <c r="AJ575" s="11">
        <f>IF(INT(Y575/20)&gt;INT(Y574/20), "Lần " &amp; INT(Y575/20), "")</f>
        <v/>
      </c>
      <c r="AK575" s="11">
        <f>IF(INT(Z575/20)&gt;INT(Z574/20), "Lần " &amp; INT(Z575/20), "")</f>
        <v/>
      </c>
      <c r="AL575" s="6" t="inlineStr">
        <is>
          <t>ĐẠT TCVN 1651:2018</t>
        </is>
      </c>
    </row>
    <row r="576" ht="19" customHeight="1">
      <c r="A576" s="6" t="n">
        <v>545</v>
      </c>
      <c r="B576" s="7" t="inlineStr">
        <is>
          <t>Mố M2</t>
        </is>
      </c>
      <c r="C576" s="7" t="inlineStr">
        <is>
          <t>Thân mố / Bệ mố</t>
        </is>
      </c>
      <c r="D576" s="18" t="inlineStr">
        <is>
          <t>B2</t>
        </is>
      </c>
      <c r="E576" s="19" t="n">
        <v>8</v>
      </c>
      <c r="F576" s="6" t="inlineStr">
        <is>
          <t>CB240-T</t>
        </is>
      </c>
      <c r="G576" s="7" t="inlineStr">
        <is>
          <t>S01</t>
        </is>
      </c>
      <c r="H576" s="20" t="n">
        <v>0.48</v>
      </c>
      <c r="I576" s="21" t="n">
        <v>65</v>
      </c>
      <c r="J576" s="22" t="n">
        <v>0.395</v>
      </c>
      <c r="K576" s="9">
        <f>ROUND(H576*I576*J576, 2)</f>
        <v/>
      </c>
      <c r="L576" s="23">
        <f>ROUND(K576/1000, 3)</f>
        <v/>
      </c>
      <c r="M576" s="8" t="n"/>
      <c r="N576" s="6" t="n"/>
      <c r="O576" s="24">
        <f>IF(AND(E576&lt;=10, F576&lt;&gt;"ASTM A416", INT(P576/20)&gt;INT(P575/20)), "TN Ø10 (Lần " &amp; INT(P576/20) &amp; ")", IF(AND(E576=12, INT(Q576/20)&gt;INT(Q575/20)), "TN Ø12 (Lần " &amp; INT(Q576/20) &amp; ")", IF(AND(E576=14, INT(R576/20)&gt;INT(R575/20)), "TN Ø14 (Lần " &amp; INT(R576/20) &amp; ")", IF(AND(E576=16, INT(S576/20)&gt;INT(S575/20)), "TN Ø16 (Lần " &amp; INT(S576/20) &amp; ")", IF(AND(E576=18, INT(T576/20)&gt;INT(T575/20)), "TN Ø18 (Lần " &amp; INT(T576/20) &amp; ")", IF(AND(E576=20, INT(U576/20)&gt;INT(U575/20)), "TN Ø20 (Lần " &amp; INT(U576/20) &amp; ")", IF(AND(E576=22, INT(V576/20)&gt;INT(V575/20)), "TN Ø22 (Lần " &amp; INT(V576/20) &amp; ")", IF(AND(E576=25, INT(W576/20)&gt;INT(W575/20)), "TN Ø25 (Lần " &amp; INT(W576/20) &amp; ")", IF(AND(E576=28, INT(X576/20)&gt;INT(X575/20)), "TN Ø28 (Lần " &amp; INT(X576/20) &amp; ")", IF(AND(E576=32, INT(Y576/20)&gt;INT(Y575/20)), "TN Ø32 (Lần " &amp; INT(Y576/20) &amp; ")", IF(AND(F576="ASTM A416", INT(Z576/20)&gt;INT(Z575/20)), "TN Cáp 15.2 (Lần " &amp; INT(Z576/20) &amp; ")", "")))))))))))</f>
        <v/>
      </c>
      <c r="P576" s="20">
        <f>ROUND(P575 + IF(AND(E576&lt;=10, F576&lt;&gt;"ASTM A416"), L576, 0), 3)</f>
        <v/>
      </c>
      <c r="Q576" s="20">
        <f>ROUND(Q575 + IF(AND(E576=12, F576&lt;&gt;"ASTM A416"), L576, 0), 3)</f>
        <v/>
      </c>
      <c r="R576" s="20">
        <f>ROUND(R575 + IF(AND(E576=14, F576&lt;&gt;"ASTM A416"), L576, 0), 3)</f>
        <v/>
      </c>
      <c r="S576" s="20">
        <f>ROUND(S575 + IF(AND(E576=16, F576&lt;&gt;"ASTM A416"), L576, 0), 3)</f>
        <v/>
      </c>
      <c r="T576" s="20">
        <f>ROUND(T575 + IF(AND(E576=18, F576&lt;&gt;"ASTM A416"), L576, 0), 3)</f>
        <v/>
      </c>
      <c r="U576" s="20">
        <f>ROUND(U575 + IF(AND(E576=20, F576&lt;&gt;"ASTM A416"), L576, 0), 3)</f>
        <v/>
      </c>
      <c r="V576" s="20">
        <f>ROUND(V575 + IF(AND(E576=22, F576&lt;&gt;"ASTM A416"), L576, 0), 3)</f>
        <v/>
      </c>
      <c r="W576" s="20">
        <f>ROUND(W575 + IF(AND(E576=25, F576&lt;&gt;"ASTM A416"), L576, 0), 3)</f>
        <v/>
      </c>
      <c r="X576" s="20">
        <f>ROUND(X575 + IF(AND(E576=28, F576&lt;&gt;"ASTM A416"), L576, 0), 3)</f>
        <v/>
      </c>
      <c r="Y576" s="20">
        <f>ROUND(Y575 + IF(AND(E576=32, F576&lt;&gt;"ASTM A416"), L576, 0), 3)</f>
        <v/>
      </c>
      <c r="Z576" s="20">
        <f>ROUND(Z575 + IF(F576="ASTM A416", L576, 0), 3)</f>
        <v/>
      </c>
      <c r="AA576" s="11">
        <f>IF(INT(P576/20)&gt;INT(P575/20), "Lần " &amp; INT(P576/20), "")</f>
        <v/>
      </c>
      <c r="AB576" s="11">
        <f>IF(INT(Q576/20)&gt;INT(Q575/20), "Lần " &amp; INT(Q576/20), "")</f>
        <v/>
      </c>
      <c r="AC576" s="11">
        <f>IF(INT(R576/20)&gt;INT(R575/20), "Lần " &amp; INT(R576/20), "")</f>
        <v/>
      </c>
      <c r="AD576" s="11">
        <f>IF(INT(S576/20)&gt;INT(S575/20), "Lần " &amp; INT(S576/20), "")</f>
        <v/>
      </c>
      <c r="AE576" s="11">
        <f>IF(INT(T576/20)&gt;INT(T575/20), "Lần " &amp; INT(T576/20), "")</f>
        <v/>
      </c>
      <c r="AF576" s="11">
        <f>IF(INT(U576/20)&gt;INT(U575/20), "Lần " &amp; INT(U576/20), "")</f>
        <v/>
      </c>
      <c r="AG576" s="11">
        <f>IF(INT(V576/20)&gt;INT(V575/20), "Lần " &amp; INT(V576/20), "")</f>
        <v/>
      </c>
      <c r="AH576" s="11">
        <f>IF(INT(W576/20)&gt;INT(W575/20), "Lần " &amp; INT(W576/20), "")</f>
        <v/>
      </c>
      <c r="AI576" s="11">
        <f>IF(INT(X576/20)&gt;INT(X575/20), "Lần " &amp; INT(X576/20), "")</f>
        <v/>
      </c>
      <c r="AJ576" s="11">
        <f>IF(INT(Y576/20)&gt;INT(Y575/20), "Lần " &amp; INT(Y576/20), "")</f>
        <v/>
      </c>
      <c r="AK576" s="11">
        <f>IF(INT(Z576/20)&gt;INT(Z575/20), "Lần " &amp; INT(Z576/20), "")</f>
        <v/>
      </c>
      <c r="AL576" s="6" t="inlineStr">
        <is>
          <t>ĐẠT TCVN 1651:2018</t>
        </is>
      </c>
    </row>
    <row r="577" ht="19" customHeight="1">
      <c r="A577" s="6" t="n">
        <v>546</v>
      </c>
      <c r="B577" s="7" t="inlineStr">
        <is>
          <t>Mố M2</t>
        </is>
      </c>
      <c r="C577" s="7" t="inlineStr">
        <is>
          <t>TƯỜNG TAI</t>
        </is>
      </c>
      <c r="D577" s="18" t="inlineStr">
        <is>
          <t>T1</t>
        </is>
      </c>
      <c r="E577" s="19" t="n">
        <v>16</v>
      </c>
      <c r="F577" s="6" t="inlineStr">
        <is>
          <t>CB400-V</t>
        </is>
      </c>
      <c r="G577" s="7" t="inlineStr">
        <is>
          <t>S01</t>
        </is>
      </c>
      <c r="H577" s="20" t="n">
        <v>1.89</v>
      </c>
      <c r="I577" s="21" t="n">
        <v>7</v>
      </c>
      <c r="J577" s="22" t="n">
        <v>1.58</v>
      </c>
      <c r="K577" s="9">
        <f>ROUND(H577*I577*J577, 2)</f>
        <v/>
      </c>
      <c r="L577" s="23">
        <f>ROUND(K577/1000, 3)</f>
        <v/>
      </c>
      <c r="M577" s="8" t="n"/>
      <c r="N577" s="6" t="n"/>
      <c r="O577" s="24">
        <f>IF(AND(E577&lt;=10, F577&lt;&gt;"ASTM A416", INT(P577/20)&gt;INT(P576/20)), "TN Ø10 (Lần " &amp; INT(P577/20) &amp; ")", IF(AND(E577=12, INT(Q577/20)&gt;INT(Q576/20)), "TN Ø12 (Lần " &amp; INT(Q577/20) &amp; ")", IF(AND(E577=14, INT(R577/20)&gt;INT(R576/20)), "TN Ø14 (Lần " &amp; INT(R577/20) &amp; ")", IF(AND(E577=16, INT(S577/20)&gt;INT(S576/20)), "TN Ø16 (Lần " &amp; INT(S577/20) &amp; ")", IF(AND(E577=18, INT(T577/20)&gt;INT(T576/20)), "TN Ø18 (Lần " &amp; INT(T577/20) &amp; ")", IF(AND(E577=20, INT(U577/20)&gt;INT(U576/20)), "TN Ø20 (Lần " &amp; INT(U577/20) &amp; ")", IF(AND(E577=22, INT(V577/20)&gt;INT(V576/20)), "TN Ø22 (Lần " &amp; INT(V577/20) &amp; ")", IF(AND(E577=25, INT(W577/20)&gt;INT(W576/20)), "TN Ø25 (Lần " &amp; INT(W577/20) &amp; ")", IF(AND(E577=28, INT(X577/20)&gt;INT(X576/20)), "TN Ø28 (Lần " &amp; INT(X577/20) &amp; ")", IF(AND(E577=32, INT(Y577/20)&gt;INT(Y576/20)), "TN Ø32 (Lần " &amp; INT(Y577/20) &amp; ")", IF(AND(F577="ASTM A416", INT(Z577/20)&gt;INT(Z576/20)), "TN Cáp 15.2 (Lần " &amp; INT(Z577/20) &amp; ")", "")))))))))))</f>
        <v/>
      </c>
      <c r="P577" s="20">
        <f>ROUND(P576 + IF(AND(E577&lt;=10, F577&lt;&gt;"ASTM A416"), L577, 0), 3)</f>
        <v/>
      </c>
      <c r="Q577" s="20">
        <f>ROUND(Q576 + IF(AND(E577=12, F577&lt;&gt;"ASTM A416"), L577, 0), 3)</f>
        <v/>
      </c>
      <c r="R577" s="20">
        <f>ROUND(R576 + IF(AND(E577=14, F577&lt;&gt;"ASTM A416"), L577, 0), 3)</f>
        <v/>
      </c>
      <c r="S577" s="20">
        <f>ROUND(S576 + IF(AND(E577=16, F577&lt;&gt;"ASTM A416"), L577, 0), 3)</f>
        <v/>
      </c>
      <c r="T577" s="20">
        <f>ROUND(T576 + IF(AND(E577=18, F577&lt;&gt;"ASTM A416"), L577, 0), 3)</f>
        <v/>
      </c>
      <c r="U577" s="20">
        <f>ROUND(U576 + IF(AND(E577=20, F577&lt;&gt;"ASTM A416"), L577, 0), 3)</f>
        <v/>
      </c>
      <c r="V577" s="20">
        <f>ROUND(V576 + IF(AND(E577=22, F577&lt;&gt;"ASTM A416"), L577, 0), 3)</f>
        <v/>
      </c>
      <c r="W577" s="20">
        <f>ROUND(W576 + IF(AND(E577=25, F577&lt;&gt;"ASTM A416"), L577, 0), 3)</f>
        <v/>
      </c>
      <c r="X577" s="20">
        <f>ROUND(X576 + IF(AND(E577=28, F577&lt;&gt;"ASTM A416"), L577, 0), 3)</f>
        <v/>
      </c>
      <c r="Y577" s="20">
        <f>ROUND(Y576 + IF(AND(E577=32, F577&lt;&gt;"ASTM A416"), L577, 0), 3)</f>
        <v/>
      </c>
      <c r="Z577" s="20">
        <f>ROUND(Z576 + IF(F577="ASTM A416", L577, 0), 3)</f>
        <v/>
      </c>
      <c r="AA577" s="11">
        <f>IF(INT(P577/20)&gt;INT(P576/20), "Lần " &amp; INT(P577/20), "")</f>
        <v/>
      </c>
      <c r="AB577" s="11">
        <f>IF(INT(Q577/20)&gt;INT(Q576/20), "Lần " &amp; INT(Q577/20), "")</f>
        <v/>
      </c>
      <c r="AC577" s="11">
        <f>IF(INT(R577/20)&gt;INT(R576/20), "Lần " &amp; INT(R577/20), "")</f>
        <v/>
      </c>
      <c r="AD577" s="11">
        <f>IF(INT(S577/20)&gt;INT(S576/20), "Lần " &amp; INT(S577/20), "")</f>
        <v/>
      </c>
      <c r="AE577" s="11">
        <f>IF(INT(T577/20)&gt;INT(T576/20), "Lần " &amp; INT(T577/20), "")</f>
        <v/>
      </c>
      <c r="AF577" s="11">
        <f>IF(INT(U577/20)&gt;INT(U576/20), "Lần " &amp; INT(U577/20), "")</f>
        <v/>
      </c>
      <c r="AG577" s="11">
        <f>IF(INT(V577/20)&gt;INT(V576/20), "Lần " &amp; INT(V577/20), "")</f>
        <v/>
      </c>
      <c r="AH577" s="11">
        <f>IF(INT(W577/20)&gt;INT(W576/20), "Lần " &amp; INT(W577/20), "")</f>
        <v/>
      </c>
      <c r="AI577" s="11">
        <f>IF(INT(X577/20)&gt;INT(X576/20), "Lần " &amp; INT(X577/20), "")</f>
        <v/>
      </c>
      <c r="AJ577" s="11">
        <f>IF(INT(Y577/20)&gt;INT(Y576/20), "Lần " &amp; INT(Y577/20), "")</f>
        <v/>
      </c>
      <c r="AK577" s="11">
        <f>IF(INT(Z577/20)&gt;INT(Z576/20), "Lần " &amp; INT(Z577/20), "")</f>
        <v/>
      </c>
      <c r="AL577" s="6" t="inlineStr">
        <is>
          <t>ĐẠT TCVN 1651:2018</t>
        </is>
      </c>
    </row>
    <row r="578" ht="19" customHeight="1">
      <c r="A578" s="6" t="n">
        <v>547</v>
      </c>
      <c r="B578" s="7" t="inlineStr">
        <is>
          <t>Mố M2</t>
        </is>
      </c>
      <c r="C578" s="7" t="inlineStr">
        <is>
          <t>Thân mố / Bệ mố</t>
        </is>
      </c>
      <c r="D578" s="18" t="inlineStr">
        <is>
          <t>T2</t>
        </is>
      </c>
      <c r="E578" s="19" t="n">
        <v>16</v>
      </c>
      <c r="F578" s="6" t="inlineStr">
        <is>
          <t>CB400-V</t>
        </is>
      </c>
      <c r="G578" s="7" t="inlineStr">
        <is>
          <t>S01</t>
        </is>
      </c>
      <c r="H578" s="20" t="n">
        <v>1.59</v>
      </c>
      <c r="I578" s="21" t="n">
        <v>9</v>
      </c>
      <c r="J578" s="22" t="n">
        <v>1.58</v>
      </c>
      <c r="K578" s="9">
        <f>ROUND(H578*I578*J578, 2)</f>
        <v/>
      </c>
      <c r="L578" s="23">
        <f>ROUND(K578/1000, 3)</f>
        <v/>
      </c>
      <c r="M578" s="8" t="n"/>
      <c r="N578" s="6" t="n"/>
      <c r="O578" s="24">
        <f>IF(AND(E578&lt;=10, F578&lt;&gt;"ASTM A416", INT(P578/20)&gt;INT(P577/20)), "TN Ø10 (Lần " &amp; INT(P578/20) &amp; ")", IF(AND(E578=12, INT(Q578/20)&gt;INT(Q577/20)), "TN Ø12 (Lần " &amp; INT(Q578/20) &amp; ")", IF(AND(E578=14, INT(R578/20)&gt;INT(R577/20)), "TN Ø14 (Lần " &amp; INT(R578/20) &amp; ")", IF(AND(E578=16, INT(S578/20)&gt;INT(S577/20)), "TN Ø16 (Lần " &amp; INT(S578/20) &amp; ")", IF(AND(E578=18, INT(T578/20)&gt;INT(T577/20)), "TN Ø18 (Lần " &amp; INT(T578/20) &amp; ")", IF(AND(E578=20, INT(U578/20)&gt;INT(U577/20)), "TN Ø20 (Lần " &amp; INT(U578/20) &amp; ")", IF(AND(E578=22, INT(V578/20)&gt;INT(V577/20)), "TN Ø22 (Lần " &amp; INT(V578/20) &amp; ")", IF(AND(E578=25, INT(W578/20)&gt;INT(W577/20)), "TN Ø25 (Lần " &amp; INT(W578/20) &amp; ")", IF(AND(E578=28, INT(X578/20)&gt;INT(X577/20)), "TN Ø28 (Lần " &amp; INT(X578/20) &amp; ")", IF(AND(E578=32, INT(Y578/20)&gt;INT(Y577/20)), "TN Ø32 (Lần " &amp; INT(Y578/20) &amp; ")", IF(AND(F578="ASTM A416", INT(Z578/20)&gt;INT(Z577/20)), "TN Cáp 15.2 (Lần " &amp; INT(Z578/20) &amp; ")", "")))))))))))</f>
        <v/>
      </c>
      <c r="P578" s="20">
        <f>ROUND(P577 + IF(AND(E578&lt;=10, F578&lt;&gt;"ASTM A416"), L578, 0), 3)</f>
        <v/>
      </c>
      <c r="Q578" s="20">
        <f>ROUND(Q577 + IF(AND(E578=12, F578&lt;&gt;"ASTM A416"), L578, 0), 3)</f>
        <v/>
      </c>
      <c r="R578" s="20">
        <f>ROUND(R577 + IF(AND(E578=14, F578&lt;&gt;"ASTM A416"), L578, 0), 3)</f>
        <v/>
      </c>
      <c r="S578" s="20">
        <f>ROUND(S577 + IF(AND(E578=16, F578&lt;&gt;"ASTM A416"), L578, 0), 3)</f>
        <v/>
      </c>
      <c r="T578" s="20">
        <f>ROUND(T577 + IF(AND(E578=18, F578&lt;&gt;"ASTM A416"), L578, 0), 3)</f>
        <v/>
      </c>
      <c r="U578" s="20">
        <f>ROUND(U577 + IF(AND(E578=20, F578&lt;&gt;"ASTM A416"), L578, 0), 3)</f>
        <v/>
      </c>
      <c r="V578" s="20">
        <f>ROUND(V577 + IF(AND(E578=22, F578&lt;&gt;"ASTM A416"), L578, 0), 3)</f>
        <v/>
      </c>
      <c r="W578" s="20">
        <f>ROUND(W577 + IF(AND(E578=25, F578&lt;&gt;"ASTM A416"), L578, 0), 3)</f>
        <v/>
      </c>
      <c r="X578" s="20">
        <f>ROUND(X577 + IF(AND(E578=28, F578&lt;&gt;"ASTM A416"), L578, 0), 3)</f>
        <v/>
      </c>
      <c r="Y578" s="20">
        <f>ROUND(Y577 + IF(AND(E578=32, F578&lt;&gt;"ASTM A416"), L578, 0), 3)</f>
        <v/>
      </c>
      <c r="Z578" s="20">
        <f>ROUND(Z577 + IF(F578="ASTM A416", L578, 0), 3)</f>
        <v/>
      </c>
      <c r="AA578" s="11">
        <f>IF(INT(P578/20)&gt;INT(P577/20), "Lần " &amp; INT(P578/20), "")</f>
        <v/>
      </c>
      <c r="AB578" s="11">
        <f>IF(INT(Q578/20)&gt;INT(Q577/20), "Lần " &amp; INT(Q578/20), "")</f>
        <v/>
      </c>
      <c r="AC578" s="11">
        <f>IF(INT(R578/20)&gt;INT(R577/20), "Lần " &amp; INT(R578/20), "")</f>
        <v/>
      </c>
      <c r="AD578" s="11">
        <f>IF(INT(S578/20)&gt;INT(S577/20), "Lần " &amp; INT(S578/20), "")</f>
        <v/>
      </c>
      <c r="AE578" s="11">
        <f>IF(INT(T578/20)&gt;INT(T577/20), "Lần " &amp; INT(T578/20), "")</f>
        <v/>
      </c>
      <c r="AF578" s="11">
        <f>IF(INT(U578/20)&gt;INT(U577/20), "Lần " &amp; INT(U578/20), "")</f>
        <v/>
      </c>
      <c r="AG578" s="11">
        <f>IF(INT(V578/20)&gt;INT(V577/20), "Lần " &amp; INT(V578/20), "")</f>
        <v/>
      </c>
      <c r="AH578" s="11">
        <f>IF(INT(W578/20)&gt;INT(W577/20), "Lần " &amp; INT(W578/20), "")</f>
        <v/>
      </c>
      <c r="AI578" s="11">
        <f>IF(INT(X578/20)&gt;INT(X577/20), "Lần " &amp; INT(X578/20), "")</f>
        <v/>
      </c>
      <c r="AJ578" s="11">
        <f>IF(INT(Y578/20)&gt;INT(Y577/20), "Lần " &amp; INT(Y578/20), "")</f>
        <v/>
      </c>
      <c r="AK578" s="11">
        <f>IF(INT(Z578/20)&gt;INT(Z577/20), "Lần " &amp; INT(Z578/20), "")</f>
        <v/>
      </c>
      <c r="AL578" s="6" t="inlineStr">
        <is>
          <t>ĐẠT TCVN 1651:2018</t>
        </is>
      </c>
    </row>
    <row r="579" ht="19" customHeight="1">
      <c r="A579" s="6" t="n">
        <v>548</v>
      </c>
      <c r="B579" s="7" t="inlineStr">
        <is>
          <t>Mố M2</t>
        </is>
      </c>
      <c r="C579" s="7" t="inlineStr">
        <is>
          <t>GỜ LAN CAN</t>
        </is>
      </c>
      <c r="D579" s="18" t="inlineStr">
        <is>
          <t>G1</t>
        </is>
      </c>
      <c r="E579" s="19" t="n">
        <v>14</v>
      </c>
      <c r="F579" s="6" t="inlineStr">
        <is>
          <t>CB400-V</t>
        </is>
      </c>
      <c r="G579" s="7" t="inlineStr">
        <is>
          <t>S01</t>
        </is>
      </c>
      <c r="H579" s="20" t="n">
        <v>5.9</v>
      </c>
      <c r="I579" s="21" t="n">
        <v>19</v>
      </c>
      <c r="J579" s="22" t="n">
        <v>1.21</v>
      </c>
      <c r="K579" s="9">
        <f>ROUND(H579*I579*J579, 2)</f>
        <v/>
      </c>
      <c r="L579" s="23">
        <f>ROUND(K579/1000, 3)</f>
        <v/>
      </c>
      <c r="M579" s="8" t="n"/>
      <c r="N579" s="6" t="n"/>
      <c r="O579" s="24">
        <f>IF(AND(E579&lt;=10, F579&lt;&gt;"ASTM A416", INT(P579/20)&gt;INT(P578/20)), "TN Ø10 (Lần " &amp; INT(P579/20) &amp; ")", IF(AND(E579=12, INT(Q579/20)&gt;INT(Q578/20)), "TN Ø12 (Lần " &amp; INT(Q579/20) &amp; ")", IF(AND(E579=14, INT(R579/20)&gt;INT(R578/20)), "TN Ø14 (Lần " &amp; INT(R579/20) &amp; ")", IF(AND(E579=16, INT(S579/20)&gt;INT(S578/20)), "TN Ø16 (Lần " &amp; INT(S579/20) &amp; ")", IF(AND(E579=18, INT(T579/20)&gt;INT(T578/20)), "TN Ø18 (Lần " &amp; INT(T579/20) &amp; ")", IF(AND(E579=20, INT(U579/20)&gt;INT(U578/20)), "TN Ø20 (Lần " &amp; INT(U579/20) &amp; ")", IF(AND(E579=22, INT(V579/20)&gt;INT(V578/20)), "TN Ø22 (Lần " &amp; INT(V579/20) &amp; ")", IF(AND(E579=25, INT(W579/20)&gt;INT(W578/20)), "TN Ø25 (Lần " &amp; INT(W579/20) &amp; ")", IF(AND(E579=28, INT(X579/20)&gt;INT(X578/20)), "TN Ø28 (Lần " &amp; INT(X579/20) &amp; ")", IF(AND(E579=32, INT(Y579/20)&gt;INT(Y578/20)), "TN Ø32 (Lần " &amp; INT(Y579/20) &amp; ")", IF(AND(F579="ASTM A416", INT(Z579/20)&gt;INT(Z578/20)), "TN Cáp 15.2 (Lần " &amp; INT(Z579/20) &amp; ")", "")))))))))))</f>
        <v/>
      </c>
      <c r="P579" s="20">
        <f>ROUND(P578 + IF(AND(E579&lt;=10, F579&lt;&gt;"ASTM A416"), L579, 0), 3)</f>
        <v/>
      </c>
      <c r="Q579" s="20">
        <f>ROUND(Q578 + IF(AND(E579=12, F579&lt;&gt;"ASTM A416"), L579, 0), 3)</f>
        <v/>
      </c>
      <c r="R579" s="20">
        <f>ROUND(R578 + IF(AND(E579=14, F579&lt;&gt;"ASTM A416"), L579, 0), 3)</f>
        <v/>
      </c>
      <c r="S579" s="20">
        <f>ROUND(S578 + IF(AND(E579=16, F579&lt;&gt;"ASTM A416"), L579, 0), 3)</f>
        <v/>
      </c>
      <c r="T579" s="20">
        <f>ROUND(T578 + IF(AND(E579=18, F579&lt;&gt;"ASTM A416"), L579, 0), 3)</f>
        <v/>
      </c>
      <c r="U579" s="20">
        <f>ROUND(U578 + IF(AND(E579=20, F579&lt;&gt;"ASTM A416"), L579, 0), 3)</f>
        <v/>
      </c>
      <c r="V579" s="20">
        <f>ROUND(V578 + IF(AND(E579=22, F579&lt;&gt;"ASTM A416"), L579, 0), 3)</f>
        <v/>
      </c>
      <c r="W579" s="20">
        <f>ROUND(W578 + IF(AND(E579=25, F579&lt;&gt;"ASTM A416"), L579, 0), 3)</f>
        <v/>
      </c>
      <c r="X579" s="20">
        <f>ROUND(X578 + IF(AND(E579=28, F579&lt;&gt;"ASTM A416"), L579, 0), 3)</f>
        <v/>
      </c>
      <c r="Y579" s="20">
        <f>ROUND(Y578 + IF(AND(E579=32, F579&lt;&gt;"ASTM A416"), L579, 0), 3)</f>
        <v/>
      </c>
      <c r="Z579" s="20">
        <f>ROUND(Z578 + IF(F579="ASTM A416", L579, 0), 3)</f>
        <v/>
      </c>
      <c r="AA579" s="11">
        <f>IF(INT(P579/20)&gt;INT(P578/20), "Lần " &amp; INT(P579/20), "")</f>
        <v/>
      </c>
      <c r="AB579" s="11">
        <f>IF(INT(Q579/20)&gt;INT(Q578/20), "Lần " &amp; INT(Q579/20), "")</f>
        <v/>
      </c>
      <c r="AC579" s="11">
        <f>IF(INT(R579/20)&gt;INT(R578/20), "Lần " &amp; INT(R579/20), "")</f>
        <v/>
      </c>
      <c r="AD579" s="11">
        <f>IF(INT(S579/20)&gt;INT(S578/20), "Lần " &amp; INT(S579/20), "")</f>
        <v/>
      </c>
      <c r="AE579" s="11">
        <f>IF(INT(T579/20)&gt;INT(T578/20), "Lần " &amp; INT(T579/20), "")</f>
        <v/>
      </c>
      <c r="AF579" s="11">
        <f>IF(INT(U579/20)&gt;INT(U578/20), "Lần " &amp; INT(U579/20), "")</f>
        <v/>
      </c>
      <c r="AG579" s="11">
        <f>IF(INT(V579/20)&gt;INT(V578/20), "Lần " &amp; INT(V579/20), "")</f>
        <v/>
      </c>
      <c r="AH579" s="11">
        <f>IF(INT(W579/20)&gt;INT(W578/20), "Lần " &amp; INT(W579/20), "")</f>
        <v/>
      </c>
      <c r="AI579" s="11">
        <f>IF(INT(X579/20)&gt;INT(X578/20), "Lần " &amp; INT(X579/20), "")</f>
        <v/>
      </c>
      <c r="AJ579" s="11">
        <f>IF(INT(Y579/20)&gt;INT(Y578/20), "Lần " &amp; INT(Y579/20), "")</f>
        <v/>
      </c>
      <c r="AK579" s="11">
        <f>IF(INT(Z579/20)&gt;INT(Z578/20), "Lần " &amp; INT(Z579/20), "")</f>
        <v/>
      </c>
      <c r="AL579" s="6" t="inlineStr">
        <is>
          <t>ĐẠT TCVN 1651:2018</t>
        </is>
      </c>
    </row>
    <row r="580" ht="19" customHeight="1">
      <c r="A580" s="6" t="n">
        <v>549</v>
      </c>
      <c r="B580" s="7" t="inlineStr">
        <is>
          <t>Mố M2</t>
        </is>
      </c>
      <c r="C580" s="7" t="inlineStr">
        <is>
          <t>Thân mố / Bệ mố</t>
        </is>
      </c>
      <c r="D580" s="18" t="inlineStr">
        <is>
          <t>G2</t>
        </is>
      </c>
      <c r="E580" s="19" t="n">
        <v>18</v>
      </c>
      <c r="F580" s="6" t="inlineStr">
        <is>
          <t>CB400-V</t>
        </is>
      </c>
      <c r="G580" s="7" t="inlineStr">
        <is>
          <t>S57</t>
        </is>
      </c>
      <c r="H580" s="20" t="n">
        <v>3.265</v>
      </c>
      <c r="I580" s="21" t="n">
        <v>4</v>
      </c>
      <c r="J580" s="22" t="n">
        <v>2</v>
      </c>
      <c r="K580" s="9">
        <f>ROUND(H580*I580*J580, 2)</f>
        <v/>
      </c>
      <c r="L580" s="23">
        <f>ROUND(K580/1000, 3)</f>
        <v/>
      </c>
      <c r="M580" s="8" t="n"/>
      <c r="N580" s="6" t="n"/>
      <c r="O580" s="24">
        <f>IF(AND(E580&lt;=10, F580&lt;&gt;"ASTM A416", INT(P580/20)&gt;INT(P579/20)), "TN Ø10 (Lần " &amp; INT(P580/20) &amp; ")", IF(AND(E580=12, INT(Q580/20)&gt;INT(Q579/20)), "TN Ø12 (Lần " &amp; INT(Q580/20) &amp; ")", IF(AND(E580=14, INT(R580/20)&gt;INT(R579/20)), "TN Ø14 (Lần " &amp; INT(R580/20) &amp; ")", IF(AND(E580=16, INT(S580/20)&gt;INT(S579/20)), "TN Ø16 (Lần " &amp; INT(S580/20) &amp; ")", IF(AND(E580=18, INT(T580/20)&gt;INT(T579/20)), "TN Ø18 (Lần " &amp; INT(T580/20) &amp; ")", IF(AND(E580=20, INT(U580/20)&gt;INT(U579/20)), "TN Ø20 (Lần " &amp; INT(U580/20) &amp; ")", IF(AND(E580=22, INT(V580/20)&gt;INT(V579/20)), "TN Ø22 (Lần " &amp; INT(V580/20) &amp; ")", IF(AND(E580=25, INT(W580/20)&gt;INT(W579/20)), "TN Ø25 (Lần " &amp; INT(W580/20) &amp; ")", IF(AND(E580=28, INT(X580/20)&gt;INT(X579/20)), "TN Ø28 (Lần " &amp; INT(X580/20) &amp; ")", IF(AND(E580=32, INT(Y580/20)&gt;INT(Y579/20)), "TN Ø32 (Lần " &amp; INT(Y580/20) &amp; ")", IF(AND(F580="ASTM A416", INT(Z580/20)&gt;INT(Z579/20)), "TN Cáp 15.2 (Lần " &amp; INT(Z580/20) &amp; ")", "")))))))))))</f>
        <v/>
      </c>
      <c r="P580" s="20">
        <f>ROUND(P579 + IF(AND(E580&lt;=10, F580&lt;&gt;"ASTM A416"), L580, 0), 3)</f>
        <v/>
      </c>
      <c r="Q580" s="20">
        <f>ROUND(Q579 + IF(AND(E580=12, F580&lt;&gt;"ASTM A416"), L580, 0), 3)</f>
        <v/>
      </c>
      <c r="R580" s="20">
        <f>ROUND(R579 + IF(AND(E580=14, F580&lt;&gt;"ASTM A416"), L580, 0), 3)</f>
        <v/>
      </c>
      <c r="S580" s="20">
        <f>ROUND(S579 + IF(AND(E580=16, F580&lt;&gt;"ASTM A416"), L580, 0), 3)</f>
        <v/>
      </c>
      <c r="T580" s="20">
        <f>ROUND(T579 + IF(AND(E580=18, F580&lt;&gt;"ASTM A416"), L580, 0), 3)</f>
        <v/>
      </c>
      <c r="U580" s="20">
        <f>ROUND(U579 + IF(AND(E580=20, F580&lt;&gt;"ASTM A416"), L580, 0), 3)</f>
        <v/>
      </c>
      <c r="V580" s="20">
        <f>ROUND(V579 + IF(AND(E580=22, F580&lt;&gt;"ASTM A416"), L580, 0), 3)</f>
        <v/>
      </c>
      <c r="W580" s="20">
        <f>ROUND(W579 + IF(AND(E580=25, F580&lt;&gt;"ASTM A416"), L580, 0), 3)</f>
        <v/>
      </c>
      <c r="X580" s="20">
        <f>ROUND(X579 + IF(AND(E580=28, F580&lt;&gt;"ASTM A416"), L580, 0), 3)</f>
        <v/>
      </c>
      <c r="Y580" s="20">
        <f>ROUND(Y579 + IF(AND(E580=32, F580&lt;&gt;"ASTM A416"), L580, 0), 3)</f>
        <v/>
      </c>
      <c r="Z580" s="20">
        <f>ROUND(Z579 + IF(F580="ASTM A416", L580, 0), 3)</f>
        <v/>
      </c>
      <c r="AA580" s="11">
        <f>IF(INT(P580/20)&gt;INT(P579/20), "Lần " &amp; INT(P580/20), "")</f>
        <v/>
      </c>
      <c r="AB580" s="11">
        <f>IF(INT(Q580/20)&gt;INT(Q579/20), "Lần " &amp; INT(Q580/20), "")</f>
        <v/>
      </c>
      <c r="AC580" s="11">
        <f>IF(INT(R580/20)&gt;INT(R579/20), "Lần " &amp; INT(R580/20), "")</f>
        <v/>
      </c>
      <c r="AD580" s="11">
        <f>IF(INT(S580/20)&gt;INT(S579/20), "Lần " &amp; INT(S580/20), "")</f>
        <v/>
      </c>
      <c r="AE580" s="11">
        <f>IF(INT(T580/20)&gt;INT(T579/20), "Lần " &amp; INT(T580/20), "")</f>
        <v/>
      </c>
      <c r="AF580" s="11">
        <f>IF(INT(U580/20)&gt;INT(U579/20), "Lần " &amp; INT(U580/20), "")</f>
        <v/>
      </c>
      <c r="AG580" s="11">
        <f>IF(INT(V580/20)&gt;INT(V579/20), "Lần " &amp; INT(V580/20), "")</f>
        <v/>
      </c>
      <c r="AH580" s="11">
        <f>IF(INT(W580/20)&gt;INT(W579/20), "Lần " &amp; INT(W580/20), "")</f>
        <v/>
      </c>
      <c r="AI580" s="11">
        <f>IF(INT(X580/20)&gt;INT(X579/20), "Lần " &amp; INT(X580/20), "")</f>
        <v/>
      </c>
      <c r="AJ580" s="11">
        <f>IF(INT(Y580/20)&gt;INT(Y579/20), "Lần " &amp; INT(Y580/20), "")</f>
        <v/>
      </c>
      <c r="AK580" s="11">
        <f>IF(INT(Z580/20)&gt;INT(Z579/20), "Lần " &amp; INT(Z580/20), "")</f>
        <v/>
      </c>
      <c r="AL580" s="6" t="inlineStr">
        <is>
          <t>ĐẠT TCVN 1651:2018</t>
        </is>
      </c>
    </row>
    <row r="581" ht="19" customHeight="1">
      <c r="A581" s="6" t="n">
        <v>550</v>
      </c>
      <c r="B581" s="7" t="inlineStr">
        <is>
          <t>Mố M2</t>
        </is>
      </c>
      <c r="C581" s="7" t="inlineStr">
        <is>
          <t>Thân mố / Bệ mố</t>
        </is>
      </c>
      <c r="D581" s="18" t="inlineStr">
        <is>
          <t>G3</t>
        </is>
      </c>
      <c r="E581" s="19" t="n">
        <v>14</v>
      </c>
      <c r="F581" s="6" t="inlineStr">
        <is>
          <t>CB400-V</t>
        </is>
      </c>
      <c r="G581" s="7" t="inlineStr">
        <is>
          <t>S29</t>
        </is>
      </c>
      <c r="H581" s="20" t="n">
        <v>2.344</v>
      </c>
      <c r="I581" s="21" t="n">
        <v>4</v>
      </c>
      <c r="J581" s="22" t="n">
        <v>1.21</v>
      </c>
      <c r="K581" s="9">
        <f>ROUND(H581*I581*J581, 2)</f>
        <v/>
      </c>
      <c r="L581" s="23">
        <f>ROUND(K581/1000, 3)</f>
        <v/>
      </c>
      <c r="M581" s="8" t="n"/>
      <c r="N581" s="6" t="n"/>
      <c r="O581" s="24">
        <f>IF(AND(E581&lt;=10, F581&lt;&gt;"ASTM A416", INT(P581/20)&gt;INT(P580/20)), "TN Ø10 (Lần " &amp; INT(P581/20) &amp; ")", IF(AND(E581=12, INT(Q581/20)&gt;INT(Q580/20)), "TN Ø12 (Lần " &amp; INT(Q581/20) &amp; ")", IF(AND(E581=14, INT(R581/20)&gt;INT(R580/20)), "TN Ø14 (Lần " &amp; INT(R581/20) &amp; ")", IF(AND(E581=16, INT(S581/20)&gt;INT(S580/20)), "TN Ø16 (Lần " &amp; INT(S581/20) &amp; ")", IF(AND(E581=18, INT(T581/20)&gt;INT(T580/20)), "TN Ø18 (Lần " &amp; INT(T581/20) &amp; ")", IF(AND(E581=20, INT(U581/20)&gt;INT(U580/20)), "TN Ø20 (Lần " &amp; INT(U581/20) &amp; ")", IF(AND(E581=22, INT(V581/20)&gt;INT(V580/20)), "TN Ø22 (Lần " &amp; INT(V581/20) &amp; ")", IF(AND(E581=25, INT(W581/20)&gt;INT(W580/20)), "TN Ø25 (Lần " &amp; INT(W581/20) &amp; ")", IF(AND(E581=28, INT(X581/20)&gt;INT(X580/20)), "TN Ø28 (Lần " &amp; INT(X581/20) &amp; ")", IF(AND(E581=32, INT(Y581/20)&gt;INT(Y580/20)), "TN Ø32 (Lần " &amp; INT(Y581/20) &amp; ")", IF(AND(F581="ASTM A416", INT(Z581/20)&gt;INT(Z580/20)), "TN Cáp 15.2 (Lần " &amp; INT(Z581/20) &amp; ")", "")))))))))))</f>
        <v/>
      </c>
      <c r="P581" s="20">
        <f>ROUND(P580 + IF(AND(E581&lt;=10, F581&lt;&gt;"ASTM A416"), L581, 0), 3)</f>
        <v/>
      </c>
      <c r="Q581" s="20">
        <f>ROUND(Q580 + IF(AND(E581=12, F581&lt;&gt;"ASTM A416"), L581, 0), 3)</f>
        <v/>
      </c>
      <c r="R581" s="20">
        <f>ROUND(R580 + IF(AND(E581=14, F581&lt;&gt;"ASTM A416"), L581, 0), 3)</f>
        <v/>
      </c>
      <c r="S581" s="20">
        <f>ROUND(S580 + IF(AND(E581=16, F581&lt;&gt;"ASTM A416"), L581, 0), 3)</f>
        <v/>
      </c>
      <c r="T581" s="20">
        <f>ROUND(T580 + IF(AND(E581=18, F581&lt;&gt;"ASTM A416"), L581, 0), 3)</f>
        <v/>
      </c>
      <c r="U581" s="20">
        <f>ROUND(U580 + IF(AND(E581=20, F581&lt;&gt;"ASTM A416"), L581, 0), 3)</f>
        <v/>
      </c>
      <c r="V581" s="20">
        <f>ROUND(V580 + IF(AND(E581=22, F581&lt;&gt;"ASTM A416"), L581, 0), 3)</f>
        <v/>
      </c>
      <c r="W581" s="20">
        <f>ROUND(W580 + IF(AND(E581=25, F581&lt;&gt;"ASTM A416"), L581, 0), 3)</f>
        <v/>
      </c>
      <c r="X581" s="20">
        <f>ROUND(X580 + IF(AND(E581=28, F581&lt;&gt;"ASTM A416"), L581, 0), 3)</f>
        <v/>
      </c>
      <c r="Y581" s="20">
        <f>ROUND(Y580 + IF(AND(E581=32, F581&lt;&gt;"ASTM A416"), L581, 0), 3)</f>
        <v/>
      </c>
      <c r="Z581" s="20">
        <f>ROUND(Z580 + IF(F581="ASTM A416", L581, 0), 3)</f>
        <v/>
      </c>
      <c r="AA581" s="11">
        <f>IF(INT(P581/20)&gt;INT(P580/20), "Lần " &amp; INT(P581/20), "")</f>
        <v/>
      </c>
      <c r="AB581" s="11">
        <f>IF(INT(Q581/20)&gt;INT(Q580/20), "Lần " &amp; INT(Q581/20), "")</f>
        <v/>
      </c>
      <c r="AC581" s="11">
        <f>IF(INT(R581/20)&gt;INT(R580/20), "Lần " &amp; INT(R581/20), "")</f>
        <v/>
      </c>
      <c r="AD581" s="11">
        <f>IF(INT(S581/20)&gt;INT(S580/20), "Lần " &amp; INT(S581/20), "")</f>
        <v/>
      </c>
      <c r="AE581" s="11">
        <f>IF(INT(T581/20)&gt;INT(T580/20), "Lần " &amp; INT(T581/20), "")</f>
        <v/>
      </c>
      <c r="AF581" s="11">
        <f>IF(INT(U581/20)&gt;INT(U580/20), "Lần " &amp; INT(U581/20), "")</f>
        <v/>
      </c>
      <c r="AG581" s="11">
        <f>IF(INT(V581/20)&gt;INT(V580/20), "Lần " &amp; INT(V581/20), "")</f>
        <v/>
      </c>
      <c r="AH581" s="11">
        <f>IF(INT(W581/20)&gt;INT(W580/20), "Lần " &amp; INT(W581/20), "")</f>
        <v/>
      </c>
      <c r="AI581" s="11">
        <f>IF(INT(X581/20)&gt;INT(X580/20), "Lần " &amp; INT(X581/20), "")</f>
        <v/>
      </c>
      <c r="AJ581" s="11">
        <f>IF(INT(Y581/20)&gt;INT(Y580/20), "Lần " &amp; INT(Y581/20), "")</f>
        <v/>
      </c>
      <c r="AK581" s="11">
        <f>IF(INT(Z581/20)&gt;INT(Z580/20), "Lần " &amp; INT(Z581/20), "")</f>
        <v/>
      </c>
      <c r="AL581" s="6" t="inlineStr">
        <is>
          <t>ĐẠT TCVN 1651:2018</t>
        </is>
      </c>
    </row>
    <row r="582" ht="19" customHeight="1">
      <c r="A582" s="6" t="n">
        <v>551</v>
      </c>
      <c r="B582" s="7" t="inlineStr">
        <is>
          <t>Mố M2</t>
        </is>
      </c>
      <c r="C582" s="7" t="inlineStr">
        <is>
          <t>Thân mố / Bệ mố</t>
        </is>
      </c>
      <c r="D582" s="18" t="inlineStr">
        <is>
          <t>G4A</t>
        </is>
      </c>
      <c r="E582" s="19" t="n">
        <v>12</v>
      </c>
      <c r="F582" s="6" t="inlineStr">
        <is>
          <t>CB400-V</t>
        </is>
      </c>
      <c r="G582" s="7" t="inlineStr">
        <is>
          <t>S06</t>
        </is>
      </c>
      <c r="H582" s="20" t="n">
        <v>0.342</v>
      </c>
      <c r="I582" s="21" t="n">
        <v>2</v>
      </c>
      <c r="J582" s="22" t="n">
        <v>0.888</v>
      </c>
      <c r="K582" s="9">
        <f>ROUND(H582*I582*J582, 2)</f>
        <v/>
      </c>
      <c r="L582" s="23">
        <f>ROUND(K582/1000, 3)</f>
        <v/>
      </c>
      <c r="M582" s="8" t="n"/>
      <c r="N582" s="6" t="n"/>
      <c r="O582" s="24">
        <f>IF(AND(E582&lt;=10, F582&lt;&gt;"ASTM A416", INT(P582/20)&gt;INT(P581/20)), "TN Ø10 (Lần " &amp; INT(P582/20) &amp; ")", IF(AND(E582=12, INT(Q582/20)&gt;INT(Q581/20)), "TN Ø12 (Lần " &amp; INT(Q582/20) &amp; ")", IF(AND(E582=14, INT(R582/20)&gt;INT(R581/20)), "TN Ø14 (Lần " &amp; INT(R582/20) &amp; ")", IF(AND(E582=16, INT(S582/20)&gt;INT(S581/20)), "TN Ø16 (Lần " &amp; INT(S582/20) &amp; ")", IF(AND(E582=18, INT(T582/20)&gt;INT(T581/20)), "TN Ø18 (Lần " &amp; INT(T582/20) &amp; ")", IF(AND(E582=20, INT(U582/20)&gt;INT(U581/20)), "TN Ø20 (Lần " &amp; INT(U582/20) &amp; ")", IF(AND(E582=22, INT(V582/20)&gt;INT(V581/20)), "TN Ø22 (Lần " &amp; INT(V582/20) &amp; ")", IF(AND(E582=25, INT(W582/20)&gt;INT(W581/20)), "TN Ø25 (Lần " &amp; INT(W582/20) &amp; ")", IF(AND(E582=28, INT(X582/20)&gt;INT(X581/20)), "TN Ø28 (Lần " &amp; INT(X582/20) &amp; ")", IF(AND(E582=32, INT(Y582/20)&gt;INT(Y581/20)), "TN Ø32 (Lần " &amp; INT(Y582/20) &amp; ")", IF(AND(F582="ASTM A416", INT(Z582/20)&gt;INT(Z581/20)), "TN Cáp 15.2 (Lần " &amp; INT(Z582/20) &amp; ")", "")))))))))))</f>
        <v/>
      </c>
      <c r="P582" s="20">
        <f>ROUND(P581 + IF(AND(E582&lt;=10, F582&lt;&gt;"ASTM A416"), L582, 0), 3)</f>
        <v/>
      </c>
      <c r="Q582" s="20">
        <f>ROUND(Q581 + IF(AND(E582=12, F582&lt;&gt;"ASTM A416"), L582, 0), 3)</f>
        <v/>
      </c>
      <c r="R582" s="20">
        <f>ROUND(R581 + IF(AND(E582=14, F582&lt;&gt;"ASTM A416"), L582, 0), 3)</f>
        <v/>
      </c>
      <c r="S582" s="20">
        <f>ROUND(S581 + IF(AND(E582=16, F582&lt;&gt;"ASTM A416"), L582, 0), 3)</f>
        <v/>
      </c>
      <c r="T582" s="20">
        <f>ROUND(T581 + IF(AND(E582=18, F582&lt;&gt;"ASTM A416"), L582, 0), 3)</f>
        <v/>
      </c>
      <c r="U582" s="20">
        <f>ROUND(U581 + IF(AND(E582=20, F582&lt;&gt;"ASTM A416"), L582, 0), 3)</f>
        <v/>
      </c>
      <c r="V582" s="20">
        <f>ROUND(V581 + IF(AND(E582=22, F582&lt;&gt;"ASTM A416"), L582, 0), 3)</f>
        <v/>
      </c>
      <c r="W582" s="20">
        <f>ROUND(W581 + IF(AND(E582=25, F582&lt;&gt;"ASTM A416"), L582, 0), 3)</f>
        <v/>
      </c>
      <c r="X582" s="20">
        <f>ROUND(X581 + IF(AND(E582=28, F582&lt;&gt;"ASTM A416"), L582, 0), 3)</f>
        <v/>
      </c>
      <c r="Y582" s="20">
        <f>ROUND(Y581 + IF(AND(E582=32, F582&lt;&gt;"ASTM A416"), L582, 0), 3)</f>
        <v/>
      </c>
      <c r="Z582" s="20">
        <f>ROUND(Z581 + IF(F582="ASTM A416", L582, 0), 3)</f>
        <v/>
      </c>
      <c r="AA582" s="11">
        <f>IF(INT(P582/20)&gt;INT(P581/20), "Lần " &amp; INT(P582/20), "")</f>
        <v/>
      </c>
      <c r="AB582" s="11">
        <f>IF(INT(Q582/20)&gt;INT(Q581/20), "Lần " &amp; INT(Q582/20), "")</f>
        <v/>
      </c>
      <c r="AC582" s="11">
        <f>IF(INT(R582/20)&gt;INT(R581/20), "Lần " &amp; INT(R582/20), "")</f>
        <v/>
      </c>
      <c r="AD582" s="11">
        <f>IF(INT(S582/20)&gt;INT(S581/20), "Lần " &amp; INT(S582/20), "")</f>
        <v/>
      </c>
      <c r="AE582" s="11">
        <f>IF(INT(T582/20)&gt;INT(T581/20), "Lần " &amp; INT(T582/20), "")</f>
        <v/>
      </c>
      <c r="AF582" s="11">
        <f>IF(INT(U582/20)&gt;INT(U581/20), "Lần " &amp; INT(U582/20), "")</f>
        <v/>
      </c>
      <c r="AG582" s="11">
        <f>IF(INT(V582/20)&gt;INT(V581/20), "Lần " &amp; INT(V582/20), "")</f>
        <v/>
      </c>
      <c r="AH582" s="11">
        <f>IF(INT(W582/20)&gt;INT(W581/20), "Lần " &amp; INT(W582/20), "")</f>
        <v/>
      </c>
      <c r="AI582" s="11">
        <f>IF(INT(X582/20)&gt;INT(X581/20), "Lần " &amp; INT(X582/20), "")</f>
        <v/>
      </c>
      <c r="AJ582" s="11">
        <f>IF(INT(Y582/20)&gt;INT(Y581/20), "Lần " &amp; INT(Y582/20), "")</f>
        <v/>
      </c>
      <c r="AK582" s="11">
        <f>IF(INT(Z582/20)&gt;INT(Z581/20), "Lần " &amp; INT(Z582/20), "")</f>
        <v/>
      </c>
      <c r="AL582" s="6" t="inlineStr">
        <is>
          <t>ĐẠT TCVN 1651:2018</t>
        </is>
      </c>
    </row>
    <row r="583" ht="19" customHeight="1">
      <c r="A583" s="6" t="n">
        <v>552</v>
      </c>
      <c r="B583" s="7" t="inlineStr">
        <is>
          <t>Mố M2</t>
        </is>
      </c>
      <c r="C583" s="7" t="inlineStr">
        <is>
          <t>Thân mố / Bệ mố</t>
        </is>
      </c>
      <c r="D583" s="18" t="inlineStr">
        <is>
          <t>G4B</t>
        </is>
      </c>
      <c r="E583" s="19" t="n">
        <v>12</v>
      </c>
      <c r="F583" s="6" t="inlineStr">
        <is>
          <t>CB400-V</t>
        </is>
      </c>
      <c r="G583" s="7" t="inlineStr">
        <is>
          <t>S06</t>
        </is>
      </c>
      <c r="H583" s="20" t="n">
        <v>0.388</v>
      </c>
      <c r="I583" s="21" t="n">
        <v>2</v>
      </c>
      <c r="J583" s="22" t="n">
        <v>0.888</v>
      </c>
      <c r="K583" s="9">
        <f>ROUND(H583*I583*J583, 2)</f>
        <v/>
      </c>
      <c r="L583" s="23">
        <f>ROUND(K583/1000, 3)</f>
        <v/>
      </c>
      <c r="M583" s="8" t="n"/>
      <c r="N583" s="6" t="n"/>
      <c r="O583" s="24">
        <f>IF(AND(E583&lt;=10, F583&lt;&gt;"ASTM A416", INT(P583/20)&gt;INT(P582/20)), "TN Ø10 (Lần " &amp; INT(P583/20) &amp; ")", IF(AND(E583=12, INT(Q583/20)&gt;INT(Q582/20)), "TN Ø12 (Lần " &amp; INT(Q583/20) &amp; ")", IF(AND(E583=14, INT(R583/20)&gt;INT(R582/20)), "TN Ø14 (Lần " &amp; INT(R583/20) &amp; ")", IF(AND(E583=16, INT(S583/20)&gt;INT(S582/20)), "TN Ø16 (Lần " &amp; INT(S583/20) &amp; ")", IF(AND(E583=18, INT(T583/20)&gt;INT(T582/20)), "TN Ø18 (Lần " &amp; INT(T583/20) &amp; ")", IF(AND(E583=20, INT(U583/20)&gt;INT(U582/20)), "TN Ø20 (Lần " &amp; INT(U583/20) &amp; ")", IF(AND(E583=22, INT(V583/20)&gt;INT(V582/20)), "TN Ø22 (Lần " &amp; INT(V583/20) &amp; ")", IF(AND(E583=25, INT(W583/20)&gt;INT(W582/20)), "TN Ø25 (Lần " &amp; INT(W583/20) &amp; ")", IF(AND(E583=28, INT(X583/20)&gt;INT(X582/20)), "TN Ø28 (Lần " &amp; INT(X583/20) &amp; ")", IF(AND(E583=32, INT(Y583/20)&gt;INT(Y582/20)), "TN Ø32 (Lần " &amp; INT(Y583/20) &amp; ")", IF(AND(F583="ASTM A416", INT(Z583/20)&gt;INT(Z582/20)), "TN Cáp 15.2 (Lần " &amp; INT(Z583/20) &amp; ")", "")))))))))))</f>
        <v/>
      </c>
      <c r="P583" s="20">
        <f>ROUND(P582 + IF(AND(E583&lt;=10, F583&lt;&gt;"ASTM A416"), L583, 0), 3)</f>
        <v/>
      </c>
      <c r="Q583" s="20">
        <f>ROUND(Q582 + IF(AND(E583=12, F583&lt;&gt;"ASTM A416"), L583, 0), 3)</f>
        <v/>
      </c>
      <c r="R583" s="20">
        <f>ROUND(R582 + IF(AND(E583=14, F583&lt;&gt;"ASTM A416"), L583, 0), 3)</f>
        <v/>
      </c>
      <c r="S583" s="20">
        <f>ROUND(S582 + IF(AND(E583=16, F583&lt;&gt;"ASTM A416"), L583, 0), 3)</f>
        <v/>
      </c>
      <c r="T583" s="20">
        <f>ROUND(T582 + IF(AND(E583=18, F583&lt;&gt;"ASTM A416"), L583, 0), 3)</f>
        <v/>
      </c>
      <c r="U583" s="20">
        <f>ROUND(U582 + IF(AND(E583=20, F583&lt;&gt;"ASTM A416"), L583, 0), 3)</f>
        <v/>
      </c>
      <c r="V583" s="20">
        <f>ROUND(V582 + IF(AND(E583=22, F583&lt;&gt;"ASTM A416"), L583, 0), 3)</f>
        <v/>
      </c>
      <c r="W583" s="20">
        <f>ROUND(W582 + IF(AND(E583=25, F583&lt;&gt;"ASTM A416"), L583, 0), 3)</f>
        <v/>
      </c>
      <c r="X583" s="20">
        <f>ROUND(X582 + IF(AND(E583=28, F583&lt;&gt;"ASTM A416"), L583, 0), 3)</f>
        <v/>
      </c>
      <c r="Y583" s="20">
        <f>ROUND(Y582 + IF(AND(E583=32, F583&lt;&gt;"ASTM A416"), L583, 0), 3)</f>
        <v/>
      </c>
      <c r="Z583" s="20">
        <f>ROUND(Z582 + IF(F583="ASTM A416", L583, 0), 3)</f>
        <v/>
      </c>
      <c r="AA583" s="11">
        <f>IF(INT(P583/20)&gt;INT(P582/20), "Lần " &amp; INT(P583/20), "")</f>
        <v/>
      </c>
      <c r="AB583" s="11">
        <f>IF(INT(Q583/20)&gt;INT(Q582/20), "Lần " &amp; INT(Q583/20), "")</f>
        <v/>
      </c>
      <c r="AC583" s="11">
        <f>IF(INT(R583/20)&gt;INT(R582/20), "Lần " &amp; INT(R583/20), "")</f>
        <v/>
      </c>
      <c r="AD583" s="11">
        <f>IF(INT(S583/20)&gt;INT(S582/20), "Lần " &amp; INT(S583/20), "")</f>
        <v/>
      </c>
      <c r="AE583" s="11">
        <f>IF(INT(T583/20)&gt;INT(T582/20), "Lần " &amp; INT(T583/20), "")</f>
        <v/>
      </c>
      <c r="AF583" s="11">
        <f>IF(INT(U583/20)&gt;INT(U582/20), "Lần " &amp; INT(U583/20), "")</f>
        <v/>
      </c>
      <c r="AG583" s="11">
        <f>IF(INT(V583/20)&gt;INT(V582/20), "Lần " &amp; INT(V583/20), "")</f>
        <v/>
      </c>
      <c r="AH583" s="11">
        <f>IF(INT(W583/20)&gt;INT(W582/20), "Lần " &amp; INT(W583/20), "")</f>
        <v/>
      </c>
      <c r="AI583" s="11">
        <f>IF(INT(X583/20)&gt;INT(X582/20), "Lần " &amp; INT(X583/20), "")</f>
        <v/>
      </c>
      <c r="AJ583" s="11">
        <f>IF(INT(Y583/20)&gt;INT(Y582/20), "Lần " &amp; INT(Y583/20), "")</f>
        <v/>
      </c>
      <c r="AK583" s="11">
        <f>IF(INT(Z583/20)&gt;INT(Z582/20), "Lần " &amp; INT(Z583/20), "")</f>
        <v/>
      </c>
      <c r="AL583" s="6" t="inlineStr">
        <is>
          <t>ĐẠT TCVN 1651:2018</t>
        </is>
      </c>
    </row>
    <row r="584" ht="19" customHeight="1">
      <c r="A584" s="6" t="n">
        <v>553</v>
      </c>
      <c r="B584" s="7" t="inlineStr">
        <is>
          <t>Mố M2</t>
        </is>
      </c>
      <c r="C584" s="7" t="inlineStr">
        <is>
          <t>Thân mố / Bệ mố</t>
        </is>
      </c>
      <c r="D584" s="18" t="inlineStr">
        <is>
          <t>G4C</t>
        </is>
      </c>
      <c r="E584" s="19" t="n">
        <v>12</v>
      </c>
      <c r="F584" s="6" t="inlineStr">
        <is>
          <t>CB400-V</t>
        </is>
      </c>
      <c r="G584" s="7" t="inlineStr">
        <is>
          <t>S06</t>
        </is>
      </c>
      <c r="H584" s="20" t="n">
        <v>0.634</v>
      </c>
      <c r="I584" s="21" t="n">
        <v>2</v>
      </c>
      <c r="J584" s="22" t="n">
        <v>0.888</v>
      </c>
      <c r="K584" s="9">
        <f>ROUND(H584*I584*J584, 2)</f>
        <v/>
      </c>
      <c r="L584" s="23">
        <f>ROUND(K584/1000, 3)</f>
        <v/>
      </c>
      <c r="M584" s="8" t="n"/>
      <c r="N584" s="6" t="n"/>
      <c r="O584" s="24">
        <f>IF(AND(E584&lt;=10, F584&lt;&gt;"ASTM A416", INT(P584/20)&gt;INT(P583/20)), "TN Ø10 (Lần " &amp; INT(P584/20) &amp; ")", IF(AND(E584=12, INT(Q584/20)&gt;INT(Q583/20)), "TN Ø12 (Lần " &amp; INT(Q584/20) &amp; ")", IF(AND(E584=14, INT(R584/20)&gt;INT(R583/20)), "TN Ø14 (Lần " &amp; INT(R584/20) &amp; ")", IF(AND(E584=16, INT(S584/20)&gt;INT(S583/20)), "TN Ø16 (Lần " &amp; INT(S584/20) &amp; ")", IF(AND(E584=18, INT(T584/20)&gt;INT(T583/20)), "TN Ø18 (Lần " &amp; INT(T584/20) &amp; ")", IF(AND(E584=20, INT(U584/20)&gt;INT(U583/20)), "TN Ø20 (Lần " &amp; INT(U584/20) &amp; ")", IF(AND(E584=22, INT(V584/20)&gt;INT(V583/20)), "TN Ø22 (Lần " &amp; INT(V584/20) &amp; ")", IF(AND(E584=25, INT(W584/20)&gt;INT(W583/20)), "TN Ø25 (Lần " &amp; INT(W584/20) &amp; ")", IF(AND(E584=28, INT(X584/20)&gt;INT(X583/20)), "TN Ø28 (Lần " &amp; INT(X584/20) &amp; ")", IF(AND(E584=32, INT(Y584/20)&gt;INT(Y583/20)), "TN Ø32 (Lần " &amp; INT(Y584/20) &amp; ")", IF(AND(F584="ASTM A416", INT(Z584/20)&gt;INT(Z583/20)), "TN Cáp 15.2 (Lần " &amp; INT(Z584/20) &amp; ")", "")))))))))))</f>
        <v/>
      </c>
      <c r="P584" s="20">
        <f>ROUND(P583 + IF(AND(E584&lt;=10, F584&lt;&gt;"ASTM A416"), L584, 0), 3)</f>
        <v/>
      </c>
      <c r="Q584" s="20">
        <f>ROUND(Q583 + IF(AND(E584=12, F584&lt;&gt;"ASTM A416"), L584, 0), 3)</f>
        <v/>
      </c>
      <c r="R584" s="20">
        <f>ROUND(R583 + IF(AND(E584=14, F584&lt;&gt;"ASTM A416"), L584, 0), 3)</f>
        <v/>
      </c>
      <c r="S584" s="20">
        <f>ROUND(S583 + IF(AND(E584=16, F584&lt;&gt;"ASTM A416"), L584, 0), 3)</f>
        <v/>
      </c>
      <c r="T584" s="20">
        <f>ROUND(T583 + IF(AND(E584=18, F584&lt;&gt;"ASTM A416"), L584, 0), 3)</f>
        <v/>
      </c>
      <c r="U584" s="20">
        <f>ROUND(U583 + IF(AND(E584=20, F584&lt;&gt;"ASTM A416"), L584, 0), 3)</f>
        <v/>
      </c>
      <c r="V584" s="20">
        <f>ROUND(V583 + IF(AND(E584=22, F584&lt;&gt;"ASTM A416"), L584, 0), 3)</f>
        <v/>
      </c>
      <c r="W584" s="20">
        <f>ROUND(W583 + IF(AND(E584=25, F584&lt;&gt;"ASTM A416"), L584, 0), 3)</f>
        <v/>
      </c>
      <c r="X584" s="20">
        <f>ROUND(X583 + IF(AND(E584=28, F584&lt;&gt;"ASTM A416"), L584, 0), 3)</f>
        <v/>
      </c>
      <c r="Y584" s="20">
        <f>ROUND(Y583 + IF(AND(E584=32, F584&lt;&gt;"ASTM A416"), L584, 0), 3)</f>
        <v/>
      </c>
      <c r="Z584" s="20">
        <f>ROUND(Z583 + IF(F584="ASTM A416", L584, 0), 3)</f>
        <v/>
      </c>
      <c r="AA584" s="11">
        <f>IF(INT(P584/20)&gt;INT(P583/20), "Lần " &amp; INT(P584/20), "")</f>
        <v/>
      </c>
      <c r="AB584" s="11">
        <f>IF(INT(Q584/20)&gt;INT(Q583/20), "Lần " &amp; INT(Q584/20), "")</f>
        <v/>
      </c>
      <c r="AC584" s="11">
        <f>IF(INT(R584/20)&gt;INT(R583/20), "Lần " &amp; INT(R584/20), "")</f>
        <v/>
      </c>
      <c r="AD584" s="11">
        <f>IF(INT(S584/20)&gt;INT(S583/20), "Lần " &amp; INT(S584/20), "")</f>
        <v/>
      </c>
      <c r="AE584" s="11">
        <f>IF(INT(T584/20)&gt;INT(T583/20), "Lần " &amp; INT(T584/20), "")</f>
        <v/>
      </c>
      <c r="AF584" s="11">
        <f>IF(INT(U584/20)&gt;INT(U583/20), "Lần " &amp; INT(U584/20), "")</f>
        <v/>
      </c>
      <c r="AG584" s="11">
        <f>IF(INT(V584/20)&gt;INT(V583/20), "Lần " &amp; INT(V584/20), "")</f>
        <v/>
      </c>
      <c r="AH584" s="11">
        <f>IF(INT(W584/20)&gt;INT(W583/20), "Lần " &amp; INT(W584/20), "")</f>
        <v/>
      </c>
      <c r="AI584" s="11">
        <f>IF(INT(X584/20)&gt;INT(X583/20), "Lần " &amp; INT(X584/20), "")</f>
        <v/>
      </c>
      <c r="AJ584" s="11">
        <f>IF(INT(Y584/20)&gt;INT(Y583/20), "Lần " &amp; INT(Y584/20), "")</f>
        <v/>
      </c>
      <c r="AK584" s="11">
        <f>IF(INT(Z584/20)&gt;INT(Z583/20), "Lần " &amp; INT(Z584/20), "")</f>
        <v/>
      </c>
      <c r="AL584" s="6" t="inlineStr">
        <is>
          <t>ĐẠT TCVN 1651:2018</t>
        </is>
      </c>
    </row>
    <row r="585" ht="19" customHeight="1">
      <c r="A585" s="6" t="n">
        <v>554</v>
      </c>
      <c r="B585" s="7" t="inlineStr">
        <is>
          <t>Mố M2</t>
        </is>
      </c>
      <c r="C585" s="7" t="inlineStr">
        <is>
          <t>Thân mố / Bệ mố</t>
        </is>
      </c>
      <c r="D585" s="18" t="inlineStr">
        <is>
          <t>G5</t>
        </is>
      </c>
      <c r="E585" s="19" t="n">
        <v>14</v>
      </c>
      <c r="F585" s="6" t="inlineStr">
        <is>
          <t>CB400-V</t>
        </is>
      </c>
      <c r="G585" s="7" t="inlineStr">
        <is>
          <t>S01</t>
        </is>
      </c>
      <c r="H585" s="20" t="n">
        <v>0.4</v>
      </c>
      <c r="I585" s="21" t="n">
        <v>18</v>
      </c>
      <c r="J585" s="22" t="n">
        <v>1.21</v>
      </c>
      <c r="K585" s="9">
        <f>ROUND(H585*I585*J585, 2)</f>
        <v/>
      </c>
      <c r="L585" s="23">
        <f>ROUND(K585/1000, 3)</f>
        <v/>
      </c>
      <c r="M585" s="8" t="n"/>
      <c r="N585" s="6" t="n"/>
      <c r="O585" s="24">
        <f>IF(AND(E585&lt;=10, F585&lt;&gt;"ASTM A416", INT(P585/20)&gt;INT(P584/20)), "TN Ø10 (Lần " &amp; INT(P585/20) &amp; ")", IF(AND(E585=12, INT(Q585/20)&gt;INT(Q584/20)), "TN Ø12 (Lần " &amp; INT(Q585/20) &amp; ")", IF(AND(E585=14, INT(R585/20)&gt;INT(R584/20)), "TN Ø14 (Lần " &amp; INT(R585/20) &amp; ")", IF(AND(E585=16, INT(S585/20)&gt;INT(S584/20)), "TN Ø16 (Lần " &amp; INT(S585/20) &amp; ")", IF(AND(E585=18, INT(T585/20)&gt;INT(T584/20)), "TN Ø18 (Lần " &amp; INT(T585/20) &amp; ")", IF(AND(E585=20, INT(U585/20)&gt;INT(U584/20)), "TN Ø20 (Lần " &amp; INT(U585/20) &amp; ")", IF(AND(E585=22, INT(V585/20)&gt;INT(V584/20)), "TN Ø22 (Lần " &amp; INT(V585/20) &amp; ")", IF(AND(E585=25, INT(W585/20)&gt;INT(W584/20)), "TN Ø25 (Lần " &amp; INT(W585/20) &amp; ")", IF(AND(E585=28, INT(X585/20)&gt;INT(X584/20)), "TN Ø28 (Lần " &amp; INT(X585/20) &amp; ")", IF(AND(E585=32, INT(Y585/20)&gt;INT(Y584/20)), "TN Ø32 (Lần " &amp; INT(Y585/20) &amp; ")", IF(AND(F585="ASTM A416", INT(Z585/20)&gt;INT(Z584/20)), "TN Cáp 15.2 (Lần " &amp; INT(Z585/20) &amp; ")", "")))))))))))</f>
        <v/>
      </c>
      <c r="P585" s="20">
        <f>ROUND(P584 + IF(AND(E585&lt;=10, F585&lt;&gt;"ASTM A416"), L585, 0), 3)</f>
        <v/>
      </c>
      <c r="Q585" s="20">
        <f>ROUND(Q584 + IF(AND(E585=12, F585&lt;&gt;"ASTM A416"), L585, 0), 3)</f>
        <v/>
      </c>
      <c r="R585" s="20">
        <f>ROUND(R584 + IF(AND(E585=14, F585&lt;&gt;"ASTM A416"), L585, 0), 3)</f>
        <v/>
      </c>
      <c r="S585" s="20">
        <f>ROUND(S584 + IF(AND(E585=16, F585&lt;&gt;"ASTM A416"), L585, 0), 3)</f>
        <v/>
      </c>
      <c r="T585" s="20">
        <f>ROUND(T584 + IF(AND(E585=18, F585&lt;&gt;"ASTM A416"), L585, 0), 3)</f>
        <v/>
      </c>
      <c r="U585" s="20">
        <f>ROUND(U584 + IF(AND(E585=20, F585&lt;&gt;"ASTM A416"), L585, 0), 3)</f>
        <v/>
      </c>
      <c r="V585" s="20">
        <f>ROUND(V584 + IF(AND(E585=22, F585&lt;&gt;"ASTM A416"), L585, 0), 3)</f>
        <v/>
      </c>
      <c r="W585" s="20">
        <f>ROUND(W584 + IF(AND(E585=25, F585&lt;&gt;"ASTM A416"), L585, 0), 3)</f>
        <v/>
      </c>
      <c r="X585" s="20">
        <f>ROUND(X584 + IF(AND(E585=28, F585&lt;&gt;"ASTM A416"), L585, 0), 3)</f>
        <v/>
      </c>
      <c r="Y585" s="20">
        <f>ROUND(Y584 + IF(AND(E585=32, F585&lt;&gt;"ASTM A416"), L585, 0), 3)</f>
        <v/>
      </c>
      <c r="Z585" s="20">
        <f>ROUND(Z584 + IF(F585="ASTM A416", L585, 0), 3)</f>
        <v/>
      </c>
      <c r="AA585" s="11">
        <f>IF(INT(P585/20)&gt;INT(P584/20), "Lần " &amp; INT(P585/20), "")</f>
        <v/>
      </c>
      <c r="AB585" s="11">
        <f>IF(INT(Q585/20)&gt;INT(Q584/20), "Lần " &amp; INT(Q585/20), "")</f>
        <v/>
      </c>
      <c r="AC585" s="11">
        <f>IF(INT(R585/20)&gt;INT(R584/20), "Lần " &amp; INT(R585/20), "")</f>
        <v/>
      </c>
      <c r="AD585" s="11">
        <f>IF(INT(S585/20)&gt;INT(S584/20), "Lần " &amp; INT(S585/20), "")</f>
        <v/>
      </c>
      <c r="AE585" s="11">
        <f>IF(INT(T585/20)&gt;INT(T584/20), "Lần " &amp; INT(T585/20), "")</f>
        <v/>
      </c>
      <c r="AF585" s="11">
        <f>IF(INT(U585/20)&gt;INT(U584/20), "Lần " &amp; INT(U585/20), "")</f>
        <v/>
      </c>
      <c r="AG585" s="11">
        <f>IF(INT(V585/20)&gt;INT(V584/20), "Lần " &amp; INT(V585/20), "")</f>
        <v/>
      </c>
      <c r="AH585" s="11">
        <f>IF(INT(W585/20)&gt;INT(W584/20), "Lần " &amp; INT(W585/20), "")</f>
        <v/>
      </c>
      <c r="AI585" s="11">
        <f>IF(INT(X585/20)&gt;INT(X584/20), "Lần " &amp; INT(X585/20), "")</f>
        <v/>
      </c>
      <c r="AJ585" s="11">
        <f>IF(INT(Y585/20)&gt;INT(Y584/20), "Lần " &amp; INT(Y585/20), "")</f>
        <v/>
      </c>
      <c r="AK585" s="11">
        <f>IF(INT(Z585/20)&gt;INT(Z584/20), "Lần " &amp; INT(Z585/20), "")</f>
        <v/>
      </c>
      <c r="AL585" s="6" t="inlineStr">
        <is>
          <t>ĐẠT TCVN 1651:2018</t>
        </is>
      </c>
    </row>
    <row r="586" ht="19" customHeight="1">
      <c r="A586" s="6" t="n">
        <v>555</v>
      </c>
      <c r="B586" s="7" t="inlineStr">
        <is>
          <t>Mố M2</t>
        </is>
      </c>
      <c r="C586" s="7" t="inlineStr">
        <is>
          <t>Thân mố / Bệ mố</t>
        </is>
      </c>
      <c r="D586" s="18" t="inlineStr">
        <is>
          <t>G5A</t>
        </is>
      </c>
      <c r="E586" s="19" t="n">
        <v>14</v>
      </c>
      <c r="F586" s="6" t="inlineStr">
        <is>
          <t>CB400-V</t>
        </is>
      </c>
      <c r="G586" s="7" t="inlineStr">
        <is>
          <t>S01</t>
        </is>
      </c>
      <c r="H586" s="20" t="n">
        <v>5.38</v>
      </c>
      <c r="I586" s="21" t="n">
        <v>22</v>
      </c>
      <c r="J586" s="22" t="n">
        <v>1.21</v>
      </c>
      <c r="K586" s="9">
        <f>ROUND(H586*I586*J586, 2)</f>
        <v/>
      </c>
      <c r="L586" s="23">
        <f>ROUND(K586/1000, 3)</f>
        <v/>
      </c>
      <c r="M586" s="8" t="n"/>
      <c r="N586" s="6" t="n"/>
      <c r="O586" s="24">
        <f>IF(AND(E586&lt;=10, F586&lt;&gt;"ASTM A416", INT(P586/20)&gt;INT(P585/20)), "TN Ø10 (Lần " &amp; INT(P586/20) &amp; ")", IF(AND(E586=12, INT(Q586/20)&gt;INT(Q585/20)), "TN Ø12 (Lần " &amp; INT(Q586/20) &amp; ")", IF(AND(E586=14, INT(R586/20)&gt;INT(R585/20)), "TN Ø14 (Lần " &amp; INT(R586/20) &amp; ")", IF(AND(E586=16, INT(S586/20)&gt;INT(S585/20)), "TN Ø16 (Lần " &amp; INT(S586/20) &amp; ")", IF(AND(E586=18, INT(T586/20)&gt;INT(T585/20)), "TN Ø18 (Lần " &amp; INT(T586/20) &amp; ")", IF(AND(E586=20, INT(U586/20)&gt;INT(U585/20)), "TN Ø20 (Lần " &amp; INT(U586/20) &amp; ")", IF(AND(E586=22, INT(V586/20)&gt;INT(V585/20)), "TN Ø22 (Lần " &amp; INT(V586/20) &amp; ")", IF(AND(E586=25, INT(W586/20)&gt;INT(W585/20)), "TN Ø25 (Lần " &amp; INT(W586/20) &amp; ")", IF(AND(E586=28, INT(X586/20)&gt;INT(X585/20)), "TN Ø28 (Lần " &amp; INT(X586/20) &amp; ")", IF(AND(E586=32, INT(Y586/20)&gt;INT(Y585/20)), "TN Ø32 (Lần " &amp; INT(Y586/20) &amp; ")", IF(AND(F586="ASTM A416", INT(Z586/20)&gt;INT(Z585/20)), "TN Cáp 15.2 (Lần " &amp; INT(Z586/20) &amp; ")", "")))))))))))</f>
        <v/>
      </c>
      <c r="P586" s="20">
        <f>ROUND(P585 + IF(AND(E586&lt;=10, F586&lt;&gt;"ASTM A416"), L586, 0), 3)</f>
        <v/>
      </c>
      <c r="Q586" s="20">
        <f>ROUND(Q585 + IF(AND(E586=12, F586&lt;&gt;"ASTM A416"), L586, 0), 3)</f>
        <v/>
      </c>
      <c r="R586" s="20">
        <f>ROUND(R585 + IF(AND(E586=14, F586&lt;&gt;"ASTM A416"), L586, 0), 3)</f>
        <v/>
      </c>
      <c r="S586" s="20">
        <f>ROUND(S585 + IF(AND(E586=16, F586&lt;&gt;"ASTM A416"), L586, 0), 3)</f>
        <v/>
      </c>
      <c r="T586" s="20">
        <f>ROUND(T585 + IF(AND(E586=18, F586&lt;&gt;"ASTM A416"), L586, 0), 3)</f>
        <v/>
      </c>
      <c r="U586" s="20">
        <f>ROUND(U585 + IF(AND(E586=20, F586&lt;&gt;"ASTM A416"), L586, 0), 3)</f>
        <v/>
      </c>
      <c r="V586" s="20">
        <f>ROUND(V585 + IF(AND(E586=22, F586&lt;&gt;"ASTM A416"), L586, 0), 3)</f>
        <v/>
      </c>
      <c r="W586" s="20">
        <f>ROUND(W585 + IF(AND(E586=25, F586&lt;&gt;"ASTM A416"), L586, 0), 3)</f>
        <v/>
      </c>
      <c r="X586" s="20">
        <f>ROUND(X585 + IF(AND(E586=28, F586&lt;&gt;"ASTM A416"), L586, 0), 3)</f>
        <v/>
      </c>
      <c r="Y586" s="20">
        <f>ROUND(Y585 + IF(AND(E586=32, F586&lt;&gt;"ASTM A416"), L586, 0), 3)</f>
        <v/>
      </c>
      <c r="Z586" s="20">
        <f>ROUND(Z585 + IF(F586="ASTM A416", L586, 0), 3)</f>
        <v/>
      </c>
      <c r="AA586" s="11">
        <f>IF(INT(P586/20)&gt;INT(P585/20), "Lần " &amp; INT(P586/20), "")</f>
        <v/>
      </c>
      <c r="AB586" s="11">
        <f>IF(INT(Q586/20)&gt;INT(Q585/20), "Lần " &amp; INT(Q586/20), "")</f>
        <v/>
      </c>
      <c r="AC586" s="11">
        <f>IF(INT(R586/20)&gt;INT(R585/20), "Lần " &amp; INT(R586/20), "")</f>
        <v/>
      </c>
      <c r="AD586" s="11">
        <f>IF(INT(S586/20)&gt;INT(S585/20), "Lần " &amp; INT(S586/20), "")</f>
        <v/>
      </c>
      <c r="AE586" s="11">
        <f>IF(INT(T586/20)&gt;INT(T585/20), "Lần " &amp; INT(T586/20), "")</f>
        <v/>
      </c>
      <c r="AF586" s="11">
        <f>IF(INT(U586/20)&gt;INT(U585/20), "Lần " &amp; INT(U586/20), "")</f>
        <v/>
      </c>
      <c r="AG586" s="11">
        <f>IF(INT(V586/20)&gt;INT(V585/20), "Lần " &amp; INT(V586/20), "")</f>
        <v/>
      </c>
      <c r="AH586" s="11">
        <f>IF(INT(W586/20)&gt;INT(W585/20), "Lần " &amp; INT(W586/20), "")</f>
        <v/>
      </c>
      <c r="AI586" s="11">
        <f>IF(INT(X586/20)&gt;INT(X585/20), "Lần " &amp; INT(X586/20), "")</f>
        <v/>
      </c>
      <c r="AJ586" s="11">
        <f>IF(INT(Y586/20)&gt;INT(Y585/20), "Lần " &amp; INT(Y586/20), "")</f>
        <v/>
      </c>
      <c r="AK586" s="11">
        <f>IF(INT(Z586/20)&gt;INT(Z585/20), "Lần " &amp; INT(Z586/20), "")</f>
        <v/>
      </c>
      <c r="AL586" s="6" t="inlineStr">
        <is>
          <t>ĐẠT TCVN 1651:2018</t>
        </is>
      </c>
    </row>
    <row r="587" ht="19" customHeight="1">
      <c r="A587" s="6" t="n">
        <v>556</v>
      </c>
      <c r="B587" s="7" t="inlineStr">
        <is>
          <t>Mố M2</t>
        </is>
      </c>
      <c r="C587" s="7" t="inlineStr">
        <is>
          <t>Thân mố / Bệ mố</t>
        </is>
      </c>
      <c r="D587" s="18" t="inlineStr">
        <is>
          <t>G6</t>
        </is>
      </c>
      <c r="E587" s="19" t="n">
        <v>20</v>
      </c>
      <c r="F587" s="6" t="inlineStr">
        <is>
          <t>CB400-V</t>
        </is>
      </c>
      <c r="G587" s="7" t="inlineStr">
        <is>
          <t>S57</t>
        </is>
      </c>
      <c r="H587" s="20" t="n">
        <v>3.095</v>
      </c>
      <c r="I587" s="21" t="n">
        <v>39</v>
      </c>
      <c r="J587" s="22" t="n">
        <v>2.47</v>
      </c>
      <c r="K587" s="9">
        <f>ROUND(H587*I587*J587, 2)</f>
        <v/>
      </c>
      <c r="L587" s="23">
        <f>ROUND(K587/1000, 3)</f>
        <v/>
      </c>
      <c r="M587" s="8" t="n"/>
      <c r="N587" s="6" t="n"/>
      <c r="O587" s="24">
        <f>IF(AND(E587&lt;=10, F587&lt;&gt;"ASTM A416", INT(P587/20)&gt;INT(P586/20)), "TN Ø10 (Lần " &amp; INT(P587/20) &amp; ")", IF(AND(E587=12, INT(Q587/20)&gt;INT(Q586/20)), "TN Ø12 (Lần " &amp; INT(Q587/20) &amp; ")", IF(AND(E587=14, INT(R587/20)&gt;INT(R586/20)), "TN Ø14 (Lần " &amp; INT(R587/20) &amp; ")", IF(AND(E587=16, INT(S587/20)&gt;INT(S586/20)), "TN Ø16 (Lần " &amp; INT(S587/20) &amp; ")", IF(AND(E587=18, INT(T587/20)&gt;INT(T586/20)), "TN Ø18 (Lần " &amp; INT(T587/20) &amp; ")", IF(AND(E587=20, INT(U587/20)&gt;INT(U586/20)), "TN Ø20 (Lần " &amp; INT(U587/20) &amp; ")", IF(AND(E587=22, INT(V587/20)&gt;INT(V586/20)), "TN Ø22 (Lần " &amp; INT(V587/20) &amp; ")", IF(AND(E587=25, INT(W587/20)&gt;INT(W586/20)), "TN Ø25 (Lần " &amp; INT(W587/20) &amp; ")", IF(AND(E587=28, INT(X587/20)&gt;INT(X586/20)), "TN Ø28 (Lần " &amp; INT(X587/20) &amp; ")", IF(AND(E587=32, INT(Y587/20)&gt;INT(Y586/20)), "TN Ø32 (Lần " &amp; INT(Y587/20) &amp; ")", IF(AND(F587="ASTM A416", INT(Z587/20)&gt;INT(Z586/20)), "TN Cáp 15.2 (Lần " &amp; INT(Z587/20) &amp; ")", "")))))))))))</f>
        <v/>
      </c>
      <c r="P587" s="20">
        <f>ROUND(P586 + IF(AND(E587&lt;=10, F587&lt;&gt;"ASTM A416"), L587, 0), 3)</f>
        <v/>
      </c>
      <c r="Q587" s="20">
        <f>ROUND(Q586 + IF(AND(E587=12, F587&lt;&gt;"ASTM A416"), L587, 0), 3)</f>
        <v/>
      </c>
      <c r="R587" s="20">
        <f>ROUND(R586 + IF(AND(E587=14, F587&lt;&gt;"ASTM A416"), L587, 0), 3)</f>
        <v/>
      </c>
      <c r="S587" s="20">
        <f>ROUND(S586 + IF(AND(E587=16, F587&lt;&gt;"ASTM A416"), L587, 0), 3)</f>
        <v/>
      </c>
      <c r="T587" s="20">
        <f>ROUND(T586 + IF(AND(E587=18, F587&lt;&gt;"ASTM A416"), L587, 0), 3)</f>
        <v/>
      </c>
      <c r="U587" s="20">
        <f>ROUND(U586 + IF(AND(E587=20, F587&lt;&gt;"ASTM A416"), L587, 0), 3)</f>
        <v/>
      </c>
      <c r="V587" s="20">
        <f>ROUND(V586 + IF(AND(E587=22, F587&lt;&gt;"ASTM A416"), L587, 0), 3)</f>
        <v/>
      </c>
      <c r="W587" s="20">
        <f>ROUND(W586 + IF(AND(E587=25, F587&lt;&gt;"ASTM A416"), L587, 0), 3)</f>
        <v/>
      </c>
      <c r="X587" s="20">
        <f>ROUND(X586 + IF(AND(E587=28, F587&lt;&gt;"ASTM A416"), L587, 0), 3)</f>
        <v/>
      </c>
      <c r="Y587" s="20">
        <f>ROUND(Y586 + IF(AND(E587=32, F587&lt;&gt;"ASTM A416"), L587, 0), 3)</f>
        <v/>
      </c>
      <c r="Z587" s="20">
        <f>ROUND(Z586 + IF(F587="ASTM A416", L587, 0), 3)</f>
        <v/>
      </c>
      <c r="AA587" s="11">
        <f>IF(INT(P587/20)&gt;INT(P586/20), "Lần " &amp; INT(P587/20), "")</f>
        <v/>
      </c>
      <c r="AB587" s="11">
        <f>IF(INT(Q587/20)&gt;INT(Q586/20), "Lần " &amp; INT(Q587/20), "")</f>
        <v/>
      </c>
      <c r="AC587" s="11">
        <f>IF(INT(R587/20)&gt;INT(R586/20), "Lần " &amp; INT(R587/20), "")</f>
        <v/>
      </c>
      <c r="AD587" s="11">
        <f>IF(INT(S587/20)&gt;INT(S586/20), "Lần " &amp; INT(S587/20), "")</f>
        <v/>
      </c>
      <c r="AE587" s="11">
        <f>IF(INT(T587/20)&gt;INT(T586/20), "Lần " &amp; INT(T587/20), "")</f>
        <v/>
      </c>
      <c r="AF587" s="11">
        <f>IF(INT(U587/20)&gt;INT(U586/20), "Lần " &amp; INT(U587/20), "")</f>
        <v/>
      </c>
      <c r="AG587" s="11">
        <f>IF(INT(V587/20)&gt;INT(V586/20), "Lần " &amp; INT(V587/20), "")</f>
        <v/>
      </c>
      <c r="AH587" s="11">
        <f>IF(INT(W587/20)&gt;INT(W586/20), "Lần " &amp; INT(W587/20), "")</f>
        <v/>
      </c>
      <c r="AI587" s="11">
        <f>IF(INT(X587/20)&gt;INT(X586/20), "Lần " &amp; INT(X587/20), "")</f>
        <v/>
      </c>
      <c r="AJ587" s="11">
        <f>IF(INT(Y587/20)&gt;INT(Y586/20), "Lần " &amp; INT(Y587/20), "")</f>
        <v/>
      </c>
      <c r="AK587" s="11">
        <f>IF(INT(Z587/20)&gt;INT(Z586/20), "Lần " &amp; INT(Z587/20), "")</f>
        <v/>
      </c>
      <c r="AL587" s="6" t="inlineStr">
        <is>
          <t>ĐẠT TCVN 1651:2018</t>
        </is>
      </c>
    </row>
    <row r="588" ht="19" customHeight="1">
      <c r="A588" s="6" t="n">
        <v>557</v>
      </c>
      <c r="B588" s="7" t="inlineStr">
        <is>
          <t>Mố M2</t>
        </is>
      </c>
      <c r="C588" s="7" t="inlineStr">
        <is>
          <t>Thân mố / Bệ mố</t>
        </is>
      </c>
      <c r="D588" s="18" t="inlineStr">
        <is>
          <t>G7</t>
        </is>
      </c>
      <c r="E588" s="19" t="n">
        <v>14</v>
      </c>
      <c r="F588" s="6" t="inlineStr">
        <is>
          <t>CB400-V</t>
        </is>
      </c>
      <c r="G588" s="7" t="inlineStr">
        <is>
          <t>S29</t>
        </is>
      </c>
      <c r="H588" s="20" t="n">
        <v>1.536</v>
      </c>
      <c r="I588" s="21" t="n">
        <v>39</v>
      </c>
      <c r="J588" s="22" t="n">
        <v>1.21</v>
      </c>
      <c r="K588" s="9">
        <f>ROUND(H588*I588*J588, 2)</f>
        <v/>
      </c>
      <c r="L588" s="23">
        <f>ROUND(K588/1000, 3)</f>
        <v/>
      </c>
      <c r="M588" s="8" t="n"/>
      <c r="N588" s="6" t="n"/>
      <c r="O588" s="24">
        <f>IF(AND(E588&lt;=10, F588&lt;&gt;"ASTM A416", INT(P588/20)&gt;INT(P587/20)), "TN Ø10 (Lần " &amp; INT(P588/20) &amp; ")", IF(AND(E588=12, INT(Q588/20)&gt;INT(Q587/20)), "TN Ø12 (Lần " &amp; INT(Q588/20) &amp; ")", IF(AND(E588=14, INT(R588/20)&gt;INT(R587/20)), "TN Ø14 (Lần " &amp; INT(R588/20) &amp; ")", IF(AND(E588=16, INT(S588/20)&gt;INT(S587/20)), "TN Ø16 (Lần " &amp; INT(S588/20) &amp; ")", IF(AND(E588=18, INT(T588/20)&gt;INT(T587/20)), "TN Ø18 (Lần " &amp; INT(T588/20) &amp; ")", IF(AND(E588=20, INT(U588/20)&gt;INT(U587/20)), "TN Ø20 (Lần " &amp; INT(U588/20) &amp; ")", IF(AND(E588=22, INT(V588/20)&gt;INT(V587/20)), "TN Ø22 (Lần " &amp; INT(V588/20) &amp; ")", IF(AND(E588=25, INT(W588/20)&gt;INT(W587/20)), "TN Ø25 (Lần " &amp; INT(W588/20) &amp; ")", IF(AND(E588=28, INT(X588/20)&gt;INT(X587/20)), "TN Ø28 (Lần " &amp; INT(X588/20) &amp; ")", IF(AND(E588=32, INT(Y588/20)&gt;INT(Y587/20)), "TN Ø32 (Lần " &amp; INT(Y588/20) &amp; ")", IF(AND(F588="ASTM A416", INT(Z588/20)&gt;INT(Z587/20)), "TN Cáp 15.2 (Lần " &amp; INT(Z588/20) &amp; ")", "")))))))))))</f>
        <v/>
      </c>
      <c r="P588" s="20">
        <f>ROUND(P587 + IF(AND(E588&lt;=10, F588&lt;&gt;"ASTM A416"), L588, 0), 3)</f>
        <v/>
      </c>
      <c r="Q588" s="20">
        <f>ROUND(Q587 + IF(AND(E588=12, F588&lt;&gt;"ASTM A416"), L588, 0), 3)</f>
        <v/>
      </c>
      <c r="R588" s="20">
        <f>ROUND(R587 + IF(AND(E588=14, F588&lt;&gt;"ASTM A416"), L588, 0), 3)</f>
        <v/>
      </c>
      <c r="S588" s="20">
        <f>ROUND(S587 + IF(AND(E588=16, F588&lt;&gt;"ASTM A416"), L588, 0), 3)</f>
        <v/>
      </c>
      <c r="T588" s="20">
        <f>ROUND(T587 + IF(AND(E588=18, F588&lt;&gt;"ASTM A416"), L588, 0), 3)</f>
        <v/>
      </c>
      <c r="U588" s="20">
        <f>ROUND(U587 + IF(AND(E588=20, F588&lt;&gt;"ASTM A416"), L588, 0), 3)</f>
        <v/>
      </c>
      <c r="V588" s="20">
        <f>ROUND(V587 + IF(AND(E588=22, F588&lt;&gt;"ASTM A416"), L588, 0), 3)</f>
        <v/>
      </c>
      <c r="W588" s="20">
        <f>ROUND(W587 + IF(AND(E588=25, F588&lt;&gt;"ASTM A416"), L588, 0), 3)</f>
        <v/>
      </c>
      <c r="X588" s="20">
        <f>ROUND(X587 + IF(AND(E588=28, F588&lt;&gt;"ASTM A416"), L588, 0), 3)</f>
        <v/>
      </c>
      <c r="Y588" s="20">
        <f>ROUND(Y587 + IF(AND(E588=32, F588&lt;&gt;"ASTM A416"), L588, 0), 3)</f>
        <v/>
      </c>
      <c r="Z588" s="20">
        <f>ROUND(Z587 + IF(F588="ASTM A416", L588, 0), 3)</f>
        <v/>
      </c>
      <c r="AA588" s="11">
        <f>IF(INT(P588/20)&gt;INT(P587/20), "Lần " &amp; INT(P588/20), "")</f>
        <v/>
      </c>
      <c r="AB588" s="11">
        <f>IF(INT(Q588/20)&gt;INT(Q587/20), "Lần " &amp; INT(Q588/20), "")</f>
        <v/>
      </c>
      <c r="AC588" s="11">
        <f>IF(INT(R588/20)&gt;INT(R587/20), "Lần " &amp; INT(R588/20), "")</f>
        <v/>
      </c>
      <c r="AD588" s="11">
        <f>IF(INT(S588/20)&gt;INT(S587/20), "Lần " &amp; INT(S588/20), "")</f>
        <v/>
      </c>
      <c r="AE588" s="11">
        <f>IF(INT(T588/20)&gt;INT(T587/20), "Lần " &amp; INT(T588/20), "")</f>
        <v/>
      </c>
      <c r="AF588" s="11">
        <f>IF(INT(U588/20)&gt;INT(U587/20), "Lần " &amp; INT(U588/20), "")</f>
        <v/>
      </c>
      <c r="AG588" s="11">
        <f>IF(INT(V588/20)&gt;INT(V587/20), "Lần " &amp; INT(V588/20), "")</f>
        <v/>
      </c>
      <c r="AH588" s="11">
        <f>IF(INT(W588/20)&gt;INT(W587/20), "Lần " &amp; INT(W588/20), "")</f>
        <v/>
      </c>
      <c r="AI588" s="11">
        <f>IF(INT(X588/20)&gt;INT(X587/20), "Lần " &amp; INT(X588/20), "")</f>
        <v/>
      </c>
      <c r="AJ588" s="11">
        <f>IF(INT(Y588/20)&gt;INT(Y587/20), "Lần " &amp; INT(Y588/20), "")</f>
        <v/>
      </c>
      <c r="AK588" s="11">
        <f>IF(INT(Z588/20)&gt;INT(Z587/20), "Lần " &amp; INT(Z588/20), "")</f>
        <v/>
      </c>
      <c r="AL588" s="6" t="inlineStr">
        <is>
          <t>ĐẠT TCVN 1651:2018</t>
        </is>
      </c>
    </row>
    <row r="589" ht="19" customHeight="1">
      <c r="A589" s="6" t="n">
        <v>558</v>
      </c>
      <c r="B589" s="7" t="inlineStr">
        <is>
          <t>Mố M2</t>
        </is>
      </c>
      <c r="C589" s="7" t="inlineStr">
        <is>
          <t>Thân mố / Bệ mố</t>
        </is>
      </c>
      <c r="D589" s="18" t="inlineStr">
        <is>
          <t>G7A</t>
        </is>
      </c>
      <c r="E589" s="19" t="n">
        <v>20</v>
      </c>
      <c r="F589" s="6" t="inlineStr">
        <is>
          <t>CB400-V</t>
        </is>
      </c>
      <c r="G589" s="7" t="inlineStr">
        <is>
          <t>S05</t>
        </is>
      </c>
      <c r="H589" s="20" t="n">
        <v>1.182</v>
      </c>
      <c r="I589" s="21" t="n">
        <v>39</v>
      </c>
      <c r="J589" s="22" t="n">
        <v>2.47</v>
      </c>
      <c r="K589" s="9">
        <f>ROUND(H589*I589*J589, 2)</f>
        <v/>
      </c>
      <c r="L589" s="23">
        <f>ROUND(K589/1000, 3)</f>
        <v/>
      </c>
      <c r="M589" s="8" t="n"/>
      <c r="N589" s="6" t="n"/>
      <c r="O589" s="24">
        <f>IF(AND(E589&lt;=10, F589&lt;&gt;"ASTM A416", INT(P589/20)&gt;INT(P588/20)), "TN Ø10 (Lần " &amp; INT(P589/20) &amp; ")", IF(AND(E589=12, INT(Q589/20)&gt;INT(Q588/20)), "TN Ø12 (Lần " &amp; INT(Q589/20) &amp; ")", IF(AND(E589=14, INT(R589/20)&gt;INT(R588/20)), "TN Ø14 (Lần " &amp; INT(R589/20) &amp; ")", IF(AND(E589=16, INT(S589/20)&gt;INT(S588/20)), "TN Ø16 (Lần " &amp; INT(S589/20) &amp; ")", IF(AND(E589=18, INT(T589/20)&gt;INT(T588/20)), "TN Ø18 (Lần " &amp; INT(T589/20) &amp; ")", IF(AND(E589=20, INT(U589/20)&gt;INT(U588/20)), "TN Ø20 (Lần " &amp; INT(U589/20) &amp; ")", IF(AND(E589=22, INT(V589/20)&gt;INT(V588/20)), "TN Ø22 (Lần " &amp; INT(V589/20) &amp; ")", IF(AND(E589=25, INT(W589/20)&gt;INT(W588/20)), "TN Ø25 (Lần " &amp; INT(W589/20) &amp; ")", IF(AND(E589=28, INT(X589/20)&gt;INT(X588/20)), "TN Ø28 (Lần " &amp; INT(X589/20) &amp; ")", IF(AND(E589=32, INT(Y589/20)&gt;INT(Y588/20)), "TN Ø32 (Lần " &amp; INT(Y589/20) &amp; ")", IF(AND(F589="ASTM A416", INT(Z589/20)&gt;INT(Z588/20)), "TN Cáp 15.2 (Lần " &amp; INT(Z589/20) &amp; ")", "")))))))))))</f>
        <v/>
      </c>
      <c r="P589" s="20">
        <f>ROUND(P588 + IF(AND(E589&lt;=10, F589&lt;&gt;"ASTM A416"), L589, 0), 3)</f>
        <v/>
      </c>
      <c r="Q589" s="20">
        <f>ROUND(Q588 + IF(AND(E589=12, F589&lt;&gt;"ASTM A416"), L589, 0), 3)</f>
        <v/>
      </c>
      <c r="R589" s="20">
        <f>ROUND(R588 + IF(AND(E589=14, F589&lt;&gt;"ASTM A416"), L589, 0), 3)</f>
        <v/>
      </c>
      <c r="S589" s="20">
        <f>ROUND(S588 + IF(AND(E589=16, F589&lt;&gt;"ASTM A416"), L589, 0), 3)</f>
        <v/>
      </c>
      <c r="T589" s="20">
        <f>ROUND(T588 + IF(AND(E589=18, F589&lt;&gt;"ASTM A416"), L589, 0), 3)</f>
        <v/>
      </c>
      <c r="U589" s="20">
        <f>ROUND(U588 + IF(AND(E589=20, F589&lt;&gt;"ASTM A416"), L589, 0), 3)</f>
        <v/>
      </c>
      <c r="V589" s="20">
        <f>ROUND(V588 + IF(AND(E589=22, F589&lt;&gt;"ASTM A416"), L589, 0), 3)</f>
        <v/>
      </c>
      <c r="W589" s="20">
        <f>ROUND(W588 + IF(AND(E589=25, F589&lt;&gt;"ASTM A416"), L589, 0), 3)</f>
        <v/>
      </c>
      <c r="X589" s="20">
        <f>ROUND(X588 + IF(AND(E589=28, F589&lt;&gt;"ASTM A416"), L589, 0), 3)</f>
        <v/>
      </c>
      <c r="Y589" s="20">
        <f>ROUND(Y588 + IF(AND(E589=32, F589&lt;&gt;"ASTM A416"), L589, 0), 3)</f>
        <v/>
      </c>
      <c r="Z589" s="20">
        <f>ROUND(Z588 + IF(F589="ASTM A416", L589, 0), 3)</f>
        <v/>
      </c>
      <c r="AA589" s="11">
        <f>IF(INT(P589/20)&gt;INT(P588/20), "Lần " &amp; INT(P589/20), "")</f>
        <v/>
      </c>
      <c r="AB589" s="11">
        <f>IF(INT(Q589/20)&gt;INT(Q588/20), "Lần " &amp; INT(Q589/20), "")</f>
        <v/>
      </c>
      <c r="AC589" s="11">
        <f>IF(INT(R589/20)&gt;INT(R588/20), "Lần " &amp; INT(R589/20), "")</f>
        <v/>
      </c>
      <c r="AD589" s="11">
        <f>IF(INT(S589/20)&gt;INT(S588/20), "Lần " &amp; INT(S589/20), "")</f>
        <v/>
      </c>
      <c r="AE589" s="11">
        <f>IF(INT(T589/20)&gt;INT(T588/20), "Lần " &amp; INT(T589/20), "")</f>
        <v/>
      </c>
      <c r="AF589" s="11">
        <f>IF(INT(U589/20)&gt;INT(U588/20), "Lần " &amp; INT(U589/20), "")</f>
        <v/>
      </c>
      <c r="AG589" s="11">
        <f>IF(INT(V589/20)&gt;INT(V588/20), "Lần " &amp; INT(V589/20), "")</f>
        <v/>
      </c>
      <c r="AH589" s="11">
        <f>IF(INT(W589/20)&gt;INT(W588/20), "Lần " &amp; INT(W589/20), "")</f>
        <v/>
      </c>
      <c r="AI589" s="11">
        <f>IF(INT(X589/20)&gt;INT(X588/20), "Lần " &amp; INT(X589/20), "")</f>
        <v/>
      </c>
      <c r="AJ589" s="11">
        <f>IF(INT(Y589/20)&gt;INT(Y588/20), "Lần " &amp; INT(Y589/20), "")</f>
        <v/>
      </c>
      <c r="AK589" s="11">
        <f>IF(INT(Z589/20)&gt;INT(Z588/20), "Lần " &amp; INT(Z589/20), "")</f>
        <v/>
      </c>
      <c r="AL589" s="6" t="inlineStr">
        <is>
          <t>ĐẠT TCVN 1651:2018</t>
        </is>
      </c>
    </row>
    <row r="590" ht="19" customHeight="1">
      <c r="A590" s="6" t="n">
        <v>559</v>
      </c>
      <c r="B590" s="7" t="inlineStr">
        <is>
          <t>Mố M2</t>
        </is>
      </c>
      <c r="C590" s="7" t="inlineStr">
        <is>
          <t>Thân mố / Bệ mố</t>
        </is>
      </c>
      <c r="D590" s="18" t="inlineStr">
        <is>
          <t>G8A</t>
        </is>
      </c>
      <c r="E590" s="19" t="n">
        <v>12</v>
      </c>
      <c r="F590" s="6" t="inlineStr">
        <is>
          <t>CB400-V</t>
        </is>
      </c>
      <c r="G590" s="7" t="inlineStr">
        <is>
          <t>S06</t>
        </is>
      </c>
      <c r="H590" s="20" t="n">
        <v>0.26</v>
      </c>
      <c r="I590" s="21" t="n">
        <v>14</v>
      </c>
      <c r="J590" s="22" t="n">
        <v>0.888</v>
      </c>
      <c r="K590" s="9">
        <f>ROUND(H590*I590*J590, 2)</f>
        <v/>
      </c>
      <c r="L590" s="23">
        <f>ROUND(K590/1000, 3)</f>
        <v/>
      </c>
      <c r="M590" s="8" t="n"/>
      <c r="N590" s="6" t="n"/>
      <c r="O590" s="24">
        <f>IF(AND(E590&lt;=10, F590&lt;&gt;"ASTM A416", INT(P590/20)&gt;INT(P589/20)), "TN Ø10 (Lần " &amp; INT(P590/20) &amp; ")", IF(AND(E590=12, INT(Q590/20)&gt;INT(Q589/20)), "TN Ø12 (Lần " &amp; INT(Q590/20) &amp; ")", IF(AND(E590=14, INT(R590/20)&gt;INT(R589/20)), "TN Ø14 (Lần " &amp; INT(R590/20) &amp; ")", IF(AND(E590=16, INT(S590/20)&gt;INT(S589/20)), "TN Ø16 (Lần " &amp; INT(S590/20) &amp; ")", IF(AND(E590=18, INT(T590/20)&gt;INT(T589/20)), "TN Ø18 (Lần " &amp; INT(T590/20) &amp; ")", IF(AND(E590=20, INT(U590/20)&gt;INT(U589/20)), "TN Ø20 (Lần " &amp; INT(U590/20) &amp; ")", IF(AND(E590=22, INT(V590/20)&gt;INT(V589/20)), "TN Ø22 (Lần " &amp; INT(V590/20) &amp; ")", IF(AND(E590=25, INT(W590/20)&gt;INT(W589/20)), "TN Ø25 (Lần " &amp; INT(W590/20) &amp; ")", IF(AND(E590=28, INT(X590/20)&gt;INT(X589/20)), "TN Ø28 (Lần " &amp; INT(X590/20) &amp; ")", IF(AND(E590=32, INT(Y590/20)&gt;INT(Y589/20)), "TN Ø32 (Lần " &amp; INT(Y590/20) &amp; ")", IF(AND(F590="ASTM A416", INT(Z590/20)&gt;INT(Z589/20)), "TN Cáp 15.2 (Lần " &amp; INT(Z590/20) &amp; ")", "")))))))))))</f>
        <v/>
      </c>
      <c r="P590" s="20">
        <f>ROUND(P589 + IF(AND(E590&lt;=10, F590&lt;&gt;"ASTM A416"), L590, 0), 3)</f>
        <v/>
      </c>
      <c r="Q590" s="20">
        <f>ROUND(Q589 + IF(AND(E590=12, F590&lt;&gt;"ASTM A416"), L590, 0), 3)</f>
        <v/>
      </c>
      <c r="R590" s="20">
        <f>ROUND(R589 + IF(AND(E590=14, F590&lt;&gt;"ASTM A416"), L590, 0), 3)</f>
        <v/>
      </c>
      <c r="S590" s="20">
        <f>ROUND(S589 + IF(AND(E590=16, F590&lt;&gt;"ASTM A416"), L590, 0), 3)</f>
        <v/>
      </c>
      <c r="T590" s="20">
        <f>ROUND(T589 + IF(AND(E590=18, F590&lt;&gt;"ASTM A416"), L590, 0), 3)</f>
        <v/>
      </c>
      <c r="U590" s="20">
        <f>ROUND(U589 + IF(AND(E590=20, F590&lt;&gt;"ASTM A416"), L590, 0), 3)</f>
        <v/>
      </c>
      <c r="V590" s="20">
        <f>ROUND(V589 + IF(AND(E590=22, F590&lt;&gt;"ASTM A416"), L590, 0), 3)</f>
        <v/>
      </c>
      <c r="W590" s="20">
        <f>ROUND(W589 + IF(AND(E590=25, F590&lt;&gt;"ASTM A416"), L590, 0), 3)</f>
        <v/>
      </c>
      <c r="X590" s="20">
        <f>ROUND(X589 + IF(AND(E590=28, F590&lt;&gt;"ASTM A416"), L590, 0), 3)</f>
        <v/>
      </c>
      <c r="Y590" s="20">
        <f>ROUND(Y589 + IF(AND(E590=32, F590&lt;&gt;"ASTM A416"), L590, 0), 3)</f>
        <v/>
      </c>
      <c r="Z590" s="20">
        <f>ROUND(Z589 + IF(F590="ASTM A416", L590, 0), 3)</f>
        <v/>
      </c>
      <c r="AA590" s="11">
        <f>IF(INT(P590/20)&gt;INT(P589/20), "Lần " &amp; INT(P590/20), "")</f>
        <v/>
      </c>
      <c r="AB590" s="11">
        <f>IF(INT(Q590/20)&gt;INT(Q589/20), "Lần " &amp; INT(Q590/20), "")</f>
        <v/>
      </c>
      <c r="AC590" s="11">
        <f>IF(INT(R590/20)&gt;INT(R589/20), "Lần " &amp; INT(R590/20), "")</f>
        <v/>
      </c>
      <c r="AD590" s="11">
        <f>IF(INT(S590/20)&gt;INT(S589/20), "Lần " &amp; INT(S590/20), "")</f>
        <v/>
      </c>
      <c r="AE590" s="11">
        <f>IF(INT(T590/20)&gt;INT(T589/20), "Lần " &amp; INT(T590/20), "")</f>
        <v/>
      </c>
      <c r="AF590" s="11">
        <f>IF(INT(U590/20)&gt;INT(U589/20), "Lần " &amp; INT(U590/20), "")</f>
        <v/>
      </c>
      <c r="AG590" s="11">
        <f>IF(INT(V590/20)&gt;INT(V589/20), "Lần " &amp; INT(V590/20), "")</f>
        <v/>
      </c>
      <c r="AH590" s="11">
        <f>IF(INT(W590/20)&gt;INT(W589/20), "Lần " &amp; INT(W590/20), "")</f>
        <v/>
      </c>
      <c r="AI590" s="11">
        <f>IF(INT(X590/20)&gt;INT(X589/20), "Lần " &amp; INT(X590/20), "")</f>
        <v/>
      </c>
      <c r="AJ590" s="11">
        <f>IF(INT(Y590/20)&gt;INT(Y589/20), "Lần " &amp; INT(Y590/20), "")</f>
        <v/>
      </c>
      <c r="AK590" s="11">
        <f>IF(INT(Z590/20)&gt;INT(Z589/20), "Lần " &amp; INT(Z590/20), "")</f>
        <v/>
      </c>
      <c r="AL590" s="6" t="inlineStr">
        <is>
          <t>ĐẠT TCVN 1651:2018</t>
        </is>
      </c>
    </row>
    <row r="591" ht="19" customHeight="1">
      <c r="A591" s="6" t="n">
        <v>560</v>
      </c>
      <c r="B591" s="7" t="inlineStr">
        <is>
          <t>Mố M2</t>
        </is>
      </c>
      <c r="C591" s="7" t="inlineStr">
        <is>
          <t>Thân mố / Bệ mố</t>
        </is>
      </c>
      <c r="D591" s="18" t="inlineStr">
        <is>
          <t>G8B</t>
        </is>
      </c>
      <c r="E591" s="19" t="n">
        <v>12</v>
      </c>
      <c r="F591" s="6" t="inlineStr">
        <is>
          <t>CB400-V</t>
        </is>
      </c>
      <c r="G591" s="7" t="inlineStr">
        <is>
          <t>S06</t>
        </is>
      </c>
      <c r="H591" s="20" t="n">
        <v>0.306</v>
      </c>
      <c r="I591" s="21" t="n">
        <v>14</v>
      </c>
      <c r="J591" s="22" t="n">
        <v>0.888</v>
      </c>
      <c r="K591" s="9">
        <f>ROUND(H591*I591*J591, 2)</f>
        <v/>
      </c>
      <c r="L591" s="23">
        <f>ROUND(K591/1000, 3)</f>
        <v/>
      </c>
      <c r="M591" s="8" t="n"/>
      <c r="N591" s="6" t="n"/>
      <c r="O591" s="24">
        <f>IF(AND(E591&lt;=10, F591&lt;&gt;"ASTM A416", INT(P591/20)&gt;INT(P590/20)), "TN Ø10 (Lần " &amp; INT(P591/20) &amp; ")", IF(AND(E591=12, INT(Q591/20)&gt;INT(Q590/20)), "TN Ø12 (Lần " &amp; INT(Q591/20) &amp; ")", IF(AND(E591=14, INT(R591/20)&gt;INT(R590/20)), "TN Ø14 (Lần " &amp; INT(R591/20) &amp; ")", IF(AND(E591=16, INT(S591/20)&gt;INT(S590/20)), "TN Ø16 (Lần " &amp; INT(S591/20) &amp; ")", IF(AND(E591=18, INT(T591/20)&gt;INT(T590/20)), "TN Ø18 (Lần " &amp; INT(T591/20) &amp; ")", IF(AND(E591=20, INT(U591/20)&gt;INT(U590/20)), "TN Ø20 (Lần " &amp; INT(U591/20) &amp; ")", IF(AND(E591=22, INT(V591/20)&gt;INT(V590/20)), "TN Ø22 (Lần " &amp; INT(V591/20) &amp; ")", IF(AND(E591=25, INT(W591/20)&gt;INT(W590/20)), "TN Ø25 (Lần " &amp; INT(W591/20) &amp; ")", IF(AND(E591=28, INT(X591/20)&gt;INT(X590/20)), "TN Ø28 (Lần " &amp; INT(X591/20) &amp; ")", IF(AND(E591=32, INT(Y591/20)&gt;INT(Y590/20)), "TN Ø32 (Lần " &amp; INT(Y591/20) &amp; ")", IF(AND(F591="ASTM A416", INT(Z591/20)&gt;INT(Z590/20)), "TN Cáp 15.2 (Lần " &amp; INT(Z591/20) &amp; ")", "")))))))))))</f>
        <v/>
      </c>
      <c r="P591" s="20">
        <f>ROUND(P590 + IF(AND(E591&lt;=10, F591&lt;&gt;"ASTM A416"), L591, 0), 3)</f>
        <v/>
      </c>
      <c r="Q591" s="20">
        <f>ROUND(Q590 + IF(AND(E591=12, F591&lt;&gt;"ASTM A416"), L591, 0), 3)</f>
        <v/>
      </c>
      <c r="R591" s="20">
        <f>ROUND(R590 + IF(AND(E591=14, F591&lt;&gt;"ASTM A416"), L591, 0), 3)</f>
        <v/>
      </c>
      <c r="S591" s="20">
        <f>ROUND(S590 + IF(AND(E591=16, F591&lt;&gt;"ASTM A416"), L591, 0), 3)</f>
        <v/>
      </c>
      <c r="T591" s="20">
        <f>ROUND(T590 + IF(AND(E591=18, F591&lt;&gt;"ASTM A416"), L591, 0), 3)</f>
        <v/>
      </c>
      <c r="U591" s="20">
        <f>ROUND(U590 + IF(AND(E591=20, F591&lt;&gt;"ASTM A416"), L591, 0), 3)</f>
        <v/>
      </c>
      <c r="V591" s="20">
        <f>ROUND(V590 + IF(AND(E591=22, F591&lt;&gt;"ASTM A416"), L591, 0), 3)</f>
        <v/>
      </c>
      <c r="W591" s="20">
        <f>ROUND(W590 + IF(AND(E591=25, F591&lt;&gt;"ASTM A416"), L591, 0), 3)</f>
        <v/>
      </c>
      <c r="X591" s="20">
        <f>ROUND(X590 + IF(AND(E591=28, F591&lt;&gt;"ASTM A416"), L591, 0), 3)</f>
        <v/>
      </c>
      <c r="Y591" s="20">
        <f>ROUND(Y590 + IF(AND(E591=32, F591&lt;&gt;"ASTM A416"), L591, 0), 3)</f>
        <v/>
      </c>
      <c r="Z591" s="20">
        <f>ROUND(Z590 + IF(F591="ASTM A416", L591, 0), 3)</f>
        <v/>
      </c>
      <c r="AA591" s="11">
        <f>IF(INT(P591/20)&gt;INT(P590/20), "Lần " &amp; INT(P591/20), "")</f>
        <v/>
      </c>
      <c r="AB591" s="11">
        <f>IF(INT(Q591/20)&gt;INT(Q590/20), "Lần " &amp; INT(Q591/20), "")</f>
        <v/>
      </c>
      <c r="AC591" s="11">
        <f>IF(INT(R591/20)&gt;INT(R590/20), "Lần " &amp; INT(R591/20), "")</f>
        <v/>
      </c>
      <c r="AD591" s="11">
        <f>IF(INT(S591/20)&gt;INT(S590/20), "Lần " &amp; INT(S591/20), "")</f>
        <v/>
      </c>
      <c r="AE591" s="11">
        <f>IF(INT(T591/20)&gt;INT(T590/20), "Lần " &amp; INT(T591/20), "")</f>
        <v/>
      </c>
      <c r="AF591" s="11">
        <f>IF(INT(U591/20)&gt;INT(U590/20), "Lần " &amp; INT(U591/20), "")</f>
        <v/>
      </c>
      <c r="AG591" s="11">
        <f>IF(INT(V591/20)&gt;INT(V590/20), "Lần " &amp; INT(V591/20), "")</f>
        <v/>
      </c>
      <c r="AH591" s="11">
        <f>IF(INT(W591/20)&gt;INT(W590/20), "Lần " &amp; INT(W591/20), "")</f>
        <v/>
      </c>
      <c r="AI591" s="11">
        <f>IF(INT(X591/20)&gt;INT(X590/20), "Lần " &amp; INT(X591/20), "")</f>
        <v/>
      </c>
      <c r="AJ591" s="11">
        <f>IF(INT(Y591/20)&gt;INT(Y590/20), "Lần " &amp; INT(Y591/20), "")</f>
        <v/>
      </c>
      <c r="AK591" s="11">
        <f>IF(INT(Z591/20)&gt;INT(Z590/20), "Lần " &amp; INT(Z591/20), "")</f>
        <v/>
      </c>
      <c r="AL591" s="6" t="inlineStr">
        <is>
          <t>ĐẠT TCVN 1651:2018</t>
        </is>
      </c>
    </row>
    <row r="592" ht="19" customHeight="1">
      <c r="A592" s="6" t="n">
        <v>561</v>
      </c>
      <c r="B592" s="7" t="inlineStr">
        <is>
          <t>Mố M2</t>
        </is>
      </c>
      <c r="C592" s="7" t="inlineStr">
        <is>
          <t>Thân mố / Bệ mố</t>
        </is>
      </c>
      <c r="D592" s="18" t="inlineStr">
        <is>
          <t>G8C</t>
        </is>
      </c>
      <c r="E592" s="19" t="n">
        <v>12</v>
      </c>
      <c r="F592" s="6" t="inlineStr">
        <is>
          <t>CB400-V</t>
        </is>
      </c>
      <c r="G592" s="7" t="inlineStr">
        <is>
          <t>S06</t>
        </is>
      </c>
      <c r="H592" s="20" t="n">
        <v>0.417</v>
      </c>
      <c r="I592" s="21" t="n">
        <v>14</v>
      </c>
      <c r="J592" s="22" t="n">
        <v>0.888</v>
      </c>
      <c r="K592" s="9">
        <f>ROUND(H592*I592*J592, 2)</f>
        <v/>
      </c>
      <c r="L592" s="23">
        <f>ROUND(K592/1000, 3)</f>
        <v/>
      </c>
      <c r="M592" s="8" t="n"/>
      <c r="N592" s="6" t="n"/>
      <c r="O592" s="24">
        <f>IF(AND(E592&lt;=10, F592&lt;&gt;"ASTM A416", INT(P592/20)&gt;INT(P591/20)), "TN Ø10 (Lần " &amp; INT(P592/20) &amp; ")", IF(AND(E592=12, INT(Q592/20)&gt;INT(Q591/20)), "TN Ø12 (Lần " &amp; INT(Q592/20) &amp; ")", IF(AND(E592=14, INT(R592/20)&gt;INT(R591/20)), "TN Ø14 (Lần " &amp; INT(R592/20) &amp; ")", IF(AND(E592=16, INT(S592/20)&gt;INT(S591/20)), "TN Ø16 (Lần " &amp; INT(S592/20) &amp; ")", IF(AND(E592=18, INT(T592/20)&gt;INT(T591/20)), "TN Ø18 (Lần " &amp; INT(T592/20) &amp; ")", IF(AND(E592=20, INT(U592/20)&gt;INT(U591/20)), "TN Ø20 (Lần " &amp; INT(U592/20) &amp; ")", IF(AND(E592=22, INT(V592/20)&gt;INT(V591/20)), "TN Ø22 (Lần " &amp; INT(V592/20) &amp; ")", IF(AND(E592=25, INT(W592/20)&gt;INT(W591/20)), "TN Ø25 (Lần " &amp; INT(W592/20) &amp; ")", IF(AND(E592=28, INT(X592/20)&gt;INT(X591/20)), "TN Ø28 (Lần " &amp; INT(X592/20) &amp; ")", IF(AND(E592=32, INT(Y592/20)&gt;INT(Y591/20)), "TN Ø32 (Lần " &amp; INT(Y592/20) &amp; ")", IF(AND(F592="ASTM A416", INT(Z592/20)&gt;INT(Z591/20)), "TN Cáp 15.2 (Lần " &amp; INT(Z592/20) &amp; ")", "")))))))))))</f>
        <v/>
      </c>
      <c r="P592" s="20">
        <f>ROUND(P591 + IF(AND(E592&lt;=10, F592&lt;&gt;"ASTM A416"), L592, 0), 3)</f>
        <v/>
      </c>
      <c r="Q592" s="20">
        <f>ROUND(Q591 + IF(AND(E592=12, F592&lt;&gt;"ASTM A416"), L592, 0), 3)</f>
        <v/>
      </c>
      <c r="R592" s="20">
        <f>ROUND(R591 + IF(AND(E592=14, F592&lt;&gt;"ASTM A416"), L592, 0), 3)</f>
        <v/>
      </c>
      <c r="S592" s="20">
        <f>ROUND(S591 + IF(AND(E592=16, F592&lt;&gt;"ASTM A416"), L592, 0), 3)</f>
        <v/>
      </c>
      <c r="T592" s="20">
        <f>ROUND(T591 + IF(AND(E592=18, F592&lt;&gt;"ASTM A416"), L592, 0), 3)</f>
        <v/>
      </c>
      <c r="U592" s="20">
        <f>ROUND(U591 + IF(AND(E592=20, F592&lt;&gt;"ASTM A416"), L592, 0), 3)</f>
        <v/>
      </c>
      <c r="V592" s="20">
        <f>ROUND(V591 + IF(AND(E592=22, F592&lt;&gt;"ASTM A416"), L592, 0), 3)</f>
        <v/>
      </c>
      <c r="W592" s="20">
        <f>ROUND(W591 + IF(AND(E592=25, F592&lt;&gt;"ASTM A416"), L592, 0), 3)</f>
        <v/>
      </c>
      <c r="X592" s="20">
        <f>ROUND(X591 + IF(AND(E592=28, F592&lt;&gt;"ASTM A416"), L592, 0), 3)</f>
        <v/>
      </c>
      <c r="Y592" s="20">
        <f>ROUND(Y591 + IF(AND(E592=32, F592&lt;&gt;"ASTM A416"), L592, 0), 3)</f>
        <v/>
      </c>
      <c r="Z592" s="20">
        <f>ROUND(Z591 + IF(F592="ASTM A416", L592, 0), 3)</f>
        <v/>
      </c>
      <c r="AA592" s="11">
        <f>IF(INT(P592/20)&gt;INT(P591/20), "Lần " &amp; INT(P592/20), "")</f>
        <v/>
      </c>
      <c r="AB592" s="11">
        <f>IF(INT(Q592/20)&gt;INT(Q591/20), "Lần " &amp; INT(Q592/20), "")</f>
        <v/>
      </c>
      <c r="AC592" s="11">
        <f>IF(INT(R592/20)&gt;INT(R591/20), "Lần " &amp; INT(R592/20), "")</f>
        <v/>
      </c>
      <c r="AD592" s="11">
        <f>IF(INT(S592/20)&gt;INT(S591/20), "Lần " &amp; INT(S592/20), "")</f>
        <v/>
      </c>
      <c r="AE592" s="11">
        <f>IF(INT(T592/20)&gt;INT(T591/20), "Lần " &amp; INT(T592/20), "")</f>
        <v/>
      </c>
      <c r="AF592" s="11">
        <f>IF(INT(U592/20)&gt;INT(U591/20), "Lần " &amp; INT(U592/20), "")</f>
        <v/>
      </c>
      <c r="AG592" s="11">
        <f>IF(INT(V592/20)&gt;INT(V591/20), "Lần " &amp; INT(V592/20), "")</f>
        <v/>
      </c>
      <c r="AH592" s="11">
        <f>IF(INT(W592/20)&gt;INT(W591/20), "Lần " &amp; INT(W592/20), "")</f>
        <v/>
      </c>
      <c r="AI592" s="11">
        <f>IF(INT(X592/20)&gt;INT(X591/20), "Lần " &amp; INT(X592/20), "")</f>
        <v/>
      </c>
      <c r="AJ592" s="11">
        <f>IF(INT(Y592/20)&gt;INT(Y591/20), "Lần " &amp; INT(Y592/20), "")</f>
        <v/>
      </c>
      <c r="AK592" s="11">
        <f>IF(INT(Z592/20)&gt;INT(Z591/20), "Lần " &amp; INT(Z592/20), "")</f>
        <v/>
      </c>
      <c r="AL592" s="6" t="inlineStr">
        <is>
          <t>ĐẠT TCVN 1651:2018</t>
        </is>
      </c>
    </row>
    <row r="593" ht="19" customHeight="1">
      <c r="A593" s="6" t="n">
        <v>562</v>
      </c>
      <c r="B593" s="7" t="inlineStr">
        <is>
          <t>Mố M2</t>
        </is>
      </c>
      <c r="C593" s="7" t="inlineStr">
        <is>
          <t>Thân mố / Bệ mố</t>
        </is>
      </c>
      <c r="D593" s="18" t="inlineStr">
        <is>
          <t>G9</t>
        </is>
      </c>
      <c r="E593" s="19" t="n">
        <v>16</v>
      </c>
      <c r="F593" s="6" t="inlineStr">
        <is>
          <t>CB400-V</t>
        </is>
      </c>
      <c r="G593" s="7" t="inlineStr">
        <is>
          <t>S02</t>
        </is>
      </c>
      <c r="H593" s="20" t="n">
        <v>0.625</v>
      </c>
      <c r="I593" s="21" t="n">
        <v>70</v>
      </c>
      <c r="J593" s="22" t="n">
        <v>1.58</v>
      </c>
      <c r="K593" s="9">
        <f>ROUND(H593*I593*J593, 2)</f>
        <v/>
      </c>
      <c r="L593" s="23">
        <f>ROUND(K593/1000, 3)</f>
        <v/>
      </c>
      <c r="M593" s="8" t="n"/>
      <c r="N593" s="6" t="n"/>
      <c r="O593" s="24">
        <f>IF(AND(E593&lt;=10, F593&lt;&gt;"ASTM A416", INT(P593/20)&gt;INT(P592/20)), "TN Ø10 (Lần " &amp; INT(P593/20) &amp; ")", IF(AND(E593=12, INT(Q593/20)&gt;INT(Q592/20)), "TN Ø12 (Lần " &amp; INT(Q593/20) &amp; ")", IF(AND(E593=14, INT(R593/20)&gt;INT(R592/20)), "TN Ø14 (Lần " &amp; INT(R593/20) &amp; ")", IF(AND(E593=16, INT(S593/20)&gt;INT(S592/20)), "TN Ø16 (Lần " &amp; INT(S593/20) &amp; ")", IF(AND(E593=18, INT(T593/20)&gt;INT(T592/20)), "TN Ø18 (Lần " &amp; INT(T593/20) &amp; ")", IF(AND(E593=20, INT(U593/20)&gt;INT(U592/20)), "TN Ø20 (Lần " &amp; INT(U593/20) &amp; ")", IF(AND(E593=22, INT(V593/20)&gt;INT(V592/20)), "TN Ø22 (Lần " &amp; INT(V593/20) &amp; ")", IF(AND(E593=25, INT(W593/20)&gt;INT(W592/20)), "TN Ø25 (Lần " &amp; INT(W593/20) &amp; ")", IF(AND(E593=28, INT(X593/20)&gt;INT(X592/20)), "TN Ø28 (Lần " &amp; INT(X593/20) &amp; ")", IF(AND(E593=32, INT(Y593/20)&gt;INT(Y592/20)), "TN Ø32 (Lần " &amp; INT(Y593/20) &amp; ")", IF(AND(F593="ASTM A416", INT(Z593/20)&gt;INT(Z592/20)), "TN Cáp 15.2 (Lần " &amp; INT(Z593/20) &amp; ")", "")))))))))))</f>
        <v/>
      </c>
      <c r="P593" s="20">
        <f>ROUND(P592 + IF(AND(E593&lt;=10, F593&lt;&gt;"ASTM A416"), L593, 0), 3)</f>
        <v/>
      </c>
      <c r="Q593" s="20">
        <f>ROUND(Q592 + IF(AND(E593=12, F593&lt;&gt;"ASTM A416"), L593, 0), 3)</f>
        <v/>
      </c>
      <c r="R593" s="20">
        <f>ROUND(R592 + IF(AND(E593=14, F593&lt;&gt;"ASTM A416"), L593, 0), 3)</f>
        <v/>
      </c>
      <c r="S593" s="20">
        <f>ROUND(S592 + IF(AND(E593=16, F593&lt;&gt;"ASTM A416"), L593, 0), 3)</f>
        <v/>
      </c>
      <c r="T593" s="20">
        <f>ROUND(T592 + IF(AND(E593=18, F593&lt;&gt;"ASTM A416"), L593, 0), 3)</f>
        <v/>
      </c>
      <c r="U593" s="20">
        <f>ROUND(U592 + IF(AND(E593=20, F593&lt;&gt;"ASTM A416"), L593, 0), 3)</f>
        <v/>
      </c>
      <c r="V593" s="20">
        <f>ROUND(V592 + IF(AND(E593=22, F593&lt;&gt;"ASTM A416"), L593, 0), 3)</f>
        <v/>
      </c>
      <c r="W593" s="20">
        <f>ROUND(W592 + IF(AND(E593=25, F593&lt;&gt;"ASTM A416"), L593, 0), 3)</f>
        <v/>
      </c>
      <c r="X593" s="20">
        <f>ROUND(X592 + IF(AND(E593=28, F593&lt;&gt;"ASTM A416"), L593, 0), 3)</f>
        <v/>
      </c>
      <c r="Y593" s="20">
        <f>ROUND(Y592 + IF(AND(E593=32, F593&lt;&gt;"ASTM A416"), L593, 0), 3)</f>
        <v/>
      </c>
      <c r="Z593" s="20">
        <f>ROUND(Z592 + IF(F593="ASTM A416", L593, 0), 3)</f>
        <v/>
      </c>
      <c r="AA593" s="11">
        <f>IF(INT(P593/20)&gt;INT(P592/20), "Lần " &amp; INT(P593/20), "")</f>
        <v/>
      </c>
      <c r="AB593" s="11">
        <f>IF(INT(Q593/20)&gt;INT(Q592/20), "Lần " &amp; INT(Q593/20), "")</f>
        <v/>
      </c>
      <c r="AC593" s="11">
        <f>IF(INT(R593/20)&gt;INT(R592/20), "Lần " &amp; INT(R593/20), "")</f>
        <v/>
      </c>
      <c r="AD593" s="11">
        <f>IF(INT(S593/20)&gt;INT(S592/20), "Lần " &amp; INT(S593/20), "")</f>
        <v/>
      </c>
      <c r="AE593" s="11">
        <f>IF(INT(T593/20)&gt;INT(T592/20), "Lần " &amp; INT(T593/20), "")</f>
        <v/>
      </c>
      <c r="AF593" s="11">
        <f>IF(INT(U593/20)&gt;INT(U592/20), "Lần " &amp; INT(U593/20), "")</f>
        <v/>
      </c>
      <c r="AG593" s="11">
        <f>IF(INT(V593/20)&gt;INT(V592/20), "Lần " &amp; INT(V593/20), "")</f>
        <v/>
      </c>
      <c r="AH593" s="11">
        <f>IF(INT(W593/20)&gt;INT(W592/20), "Lần " &amp; INT(W593/20), "")</f>
        <v/>
      </c>
      <c r="AI593" s="11">
        <f>IF(INT(X593/20)&gt;INT(X592/20), "Lần " &amp; INT(X593/20), "")</f>
        <v/>
      </c>
      <c r="AJ593" s="11">
        <f>IF(INT(Y593/20)&gt;INT(Y592/20), "Lần " &amp; INT(Y593/20), "")</f>
        <v/>
      </c>
      <c r="AK593" s="11">
        <f>IF(INT(Z593/20)&gt;INT(Z592/20), "Lần " &amp; INT(Z593/20), "")</f>
        <v/>
      </c>
      <c r="AL593" s="6" t="inlineStr">
        <is>
          <t>ĐẠT TCVN 1651:2018</t>
        </is>
      </c>
    </row>
    <row r="594" ht="19" customHeight="1">
      <c r="A594" s="6" t="n">
        <v>563</v>
      </c>
      <c r="B594" s="7" t="inlineStr">
        <is>
          <t>Trụ T1, T2 (Bệ móng)</t>
        </is>
      </c>
      <c r="C594" s="7" t="inlineStr">
        <is>
          <t>Bệ trụ 2 thân</t>
        </is>
      </c>
      <c r="D594" s="18" t="inlineStr">
        <is>
          <t>B1</t>
        </is>
      </c>
      <c r="E594" s="19" t="n">
        <v>28</v>
      </c>
      <c r="F594" s="6" t="inlineStr">
        <is>
          <t>CB400-V</t>
        </is>
      </c>
      <c r="G594" s="7" t="inlineStr">
        <is>
          <t>S06</t>
        </is>
      </c>
      <c r="H594" s="20" t="n">
        <v>11.528</v>
      </c>
      <c r="I594" s="21" t="n">
        <v>132</v>
      </c>
      <c r="J594" s="22" t="n">
        <v>4.83</v>
      </c>
      <c r="K594" s="9">
        <f>ROUND(H594*I594*J594, 2)</f>
        <v/>
      </c>
      <c r="L594" s="23">
        <f>ROUND(K594/1000, 3)</f>
        <v/>
      </c>
      <c r="M594" s="8" t="n"/>
      <c r="N594" s="6" t="n"/>
      <c r="O594" s="24">
        <f>IF(AND(E594&lt;=10, F594&lt;&gt;"ASTM A416", INT(P594/20)&gt;INT(P593/20)), "TN Ø10 (Lần " &amp; INT(P594/20) &amp; ")", IF(AND(E594=12, INT(Q594/20)&gt;INT(Q593/20)), "TN Ø12 (Lần " &amp; INT(Q594/20) &amp; ")", IF(AND(E594=14, INT(R594/20)&gt;INT(R593/20)), "TN Ø14 (Lần " &amp; INT(R594/20) &amp; ")", IF(AND(E594=16, INT(S594/20)&gt;INT(S593/20)), "TN Ø16 (Lần " &amp; INT(S594/20) &amp; ")", IF(AND(E594=18, INT(T594/20)&gt;INT(T593/20)), "TN Ø18 (Lần " &amp; INT(T594/20) &amp; ")", IF(AND(E594=20, INT(U594/20)&gt;INT(U593/20)), "TN Ø20 (Lần " &amp; INT(U594/20) &amp; ")", IF(AND(E594=22, INT(V594/20)&gt;INT(V593/20)), "TN Ø22 (Lần " &amp; INT(V594/20) &amp; ")", IF(AND(E594=25, INT(W594/20)&gt;INT(W593/20)), "TN Ø25 (Lần " &amp; INT(W594/20) &amp; ")", IF(AND(E594=28, INT(X594/20)&gt;INT(X593/20)), "TN Ø28 (Lần " &amp; INT(X594/20) &amp; ")", IF(AND(E594=32, INT(Y594/20)&gt;INT(Y593/20)), "TN Ø32 (Lần " &amp; INT(Y594/20) &amp; ")", IF(AND(F594="ASTM A416", INT(Z594/20)&gt;INT(Z593/20)), "TN Cáp 15.2 (Lần " &amp; INT(Z594/20) &amp; ")", "")))))))))))</f>
        <v/>
      </c>
      <c r="P594" s="20">
        <f>ROUND(P593 + IF(AND(E594&lt;=10, F594&lt;&gt;"ASTM A416"), L594, 0), 3)</f>
        <v/>
      </c>
      <c r="Q594" s="20">
        <f>ROUND(Q593 + IF(AND(E594=12, F594&lt;&gt;"ASTM A416"), L594, 0), 3)</f>
        <v/>
      </c>
      <c r="R594" s="20">
        <f>ROUND(R593 + IF(AND(E594=14, F594&lt;&gt;"ASTM A416"), L594, 0), 3)</f>
        <v/>
      </c>
      <c r="S594" s="20">
        <f>ROUND(S593 + IF(AND(E594=16, F594&lt;&gt;"ASTM A416"), L594, 0), 3)</f>
        <v/>
      </c>
      <c r="T594" s="20">
        <f>ROUND(T593 + IF(AND(E594=18, F594&lt;&gt;"ASTM A416"), L594, 0), 3)</f>
        <v/>
      </c>
      <c r="U594" s="20">
        <f>ROUND(U593 + IF(AND(E594=20, F594&lt;&gt;"ASTM A416"), L594, 0), 3)</f>
        <v/>
      </c>
      <c r="V594" s="20">
        <f>ROUND(V593 + IF(AND(E594=22, F594&lt;&gt;"ASTM A416"), L594, 0), 3)</f>
        <v/>
      </c>
      <c r="W594" s="20">
        <f>ROUND(W593 + IF(AND(E594=25, F594&lt;&gt;"ASTM A416"), L594, 0), 3)</f>
        <v/>
      </c>
      <c r="X594" s="20">
        <f>ROUND(X593 + IF(AND(E594=28, F594&lt;&gt;"ASTM A416"), L594, 0), 3)</f>
        <v/>
      </c>
      <c r="Y594" s="20">
        <f>ROUND(Y593 + IF(AND(E594=32, F594&lt;&gt;"ASTM A416"), L594, 0), 3)</f>
        <v/>
      </c>
      <c r="Z594" s="20">
        <f>ROUND(Z593 + IF(F594="ASTM A416", L594, 0), 3)</f>
        <v/>
      </c>
      <c r="AA594" s="11">
        <f>IF(INT(P594/20)&gt;INT(P593/20), "Lần " &amp; INT(P594/20), "")</f>
        <v/>
      </c>
      <c r="AB594" s="11">
        <f>IF(INT(Q594/20)&gt;INT(Q593/20), "Lần " &amp; INT(Q594/20), "")</f>
        <v/>
      </c>
      <c r="AC594" s="11">
        <f>IF(INT(R594/20)&gt;INT(R593/20), "Lần " &amp; INT(R594/20), "")</f>
        <v/>
      </c>
      <c r="AD594" s="11">
        <f>IF(INT(S594/20)&gt;INT(S593/20), "Lần " &amp; INT(S594/20), "")</f>
        <v/>
      </c>
      <c r="AE594" s="11">
        <f>IF(INT(T594/20)&gt;INT(T593/20), "Lần " &amp; INT(T594/20), "")</f>
        <v/>
      </c>
      <c r="AF594" s="11">
        <f>IF(INT(U594/20)&gt;INT(U593/20), "Lần " &amp; INT(U594/20), "")</f>
        <v/>
      </c>
      <c r="AG594" s="11">
        <f>IF(INT(V594/20)&gt;INT(V593/20), "Lần " &amp; INT(V594/20), "")</f>
        <v/>
      </c>
      <c r="AH594" s="11">
        <f>IF(INT(W594/20)&gt;INT(W593/20), "Lần " &amp; INT(W594/20), "")</f>
        <v/>
      </c>
      <c r="AI594" s="11">
        <f>IF(INT(X594/20)&gt;INT(X593/20), "Lần " &amp; INT(X594/20), "")</f>
        <v/>
      </c>
      <c r="AJ594" s="11">
        <f>IF(INT(Y594/20)&gt;INT(Y593/20), "Lần " &amp; INT(Y594/20), "")</f>
        <v/>
      </c>
      <c r="AK594" s="11">
        <f>IF(INT(Z594/20)&gt;INT(Z593/20), "Lần " &amp; INT(Z594/20), "")</f>
        <v/>
      </c>
      <c r="AL594" s="6" t="inlineStr">
        <is>
          <t>ĐẠT TCVN 1651:2018</t>
        </is>
      </c>
    </row>
    <row r="595" ht="19" customHeight="1">
      <c r="A595" s="6" t="n">
        <v>564</v>
      </c>
      <c r="B595" s="7" t="inlineStr">
        <is>
          <t>Trụ T1, T2 (Bệ móng)</t>
        </is>
      </c>
      <c r="C595" s="7" t="inlineStr">
        <is>
          <t>Bệ trụ 2 thân</t>
        </is>
      </c>
      <c r="D595" s="18" t="inlineStr">
        <is>
          <t>B2</t>
        </is>
      </c>
      <c r="E595" s="19" t="n">
        <v>18</v>
      </c>
      <c r="F595" s="6" t="inlineStr">
        <is>
          <t>CB400-V</t>
        </is>
      </c>
      <c r="G595" s="7" t="inlineStr">
        <is>
          <t>S06</t>
        </is>
      </c>
      <c r="H595" s="20" t="n">
        <v>11.286</v>
      </c>
      <c r="I595" s="21" t="n">
        <v>66</v>
      </c>
      <c r="J595" s="22" t="n">
        <v>2</v>
      </c>
      <c r="K595" s="9">
        <f>ROUND(H595*I595*J595, 2)</f>
        <v/>
      </c>
      <c r="L595" s="23">
        <f>ROUND(K595/1000, 3)</f>
        <v/>
      </c>
      <c r="M595" s="8" t="n"/>
      <c r="N595" s="6" t="n"/>
      <c r="O595" s="24">
        <f>IF(AND(E595&lt;=10, F595&lt;&gt;"ASTM A416", INT(P595/20)&gt;INT(P594/20)), "TN Ø10 (Lần " &amp; INT(P595/20) &amp; ")", IF(AND(E595=12, INT(Q595/20)&gt;INT(Q594/20)), "TN Ø12 (Lần " &amp; INT(Q595/20) &amp; ")", IF(AND(E595=14, INT(R595/20)&gt;INT(R594/20)), "TN Ø14 (Lần " &amp; INT(R595/20) &amp; ")", IF(AND(E595=16, INT(S595/20)&gt;INT(S594/20)), "TN Ø16 (Lần " &amp; INT(S595/20) &amp; ")", IF(AND(E595=18, INT(T595/20)&gt;INT(T594/20)), "TN Ø18 (Lần " &amp; INT(T595/20) &amp; ")", IF(AND(E595=20, INT(U595/20)&gt;INT(U594/20)), "TN Ø20 (Lần " &amp; INT(U595/20) &amp; ")", IF(AND(E595=22, INT(V595/20)&gt;INT(V594/20)), "TN Ø22 (Lần " &amp; INT(V595/20) &amp; ")", IF(AND(E595=25, INT(W595/20)&gt;INT(W594/20)), "TN Ø25 (Lần " &amp; INT(W595/20) &amp; ")", IF(AND(E595=28, INT(X595/20)&gt;INT(X594/20)), "TN Ø28 (Lần " &amp; INT(X595/20) &amp; ")", IF(AND(E595=32, INT(Y595/20)&gt;INT(Y594/20)), "TN Ø32 (Lần " &amp; INT(Y595/20) &amp; ")", IF(AND(F595="ASTM A416", INT(Z595/20)&gt;INT(Z594/20)), "TN Cáp 15.2 (Lần " &amp; INT(Z595/20) &amp; ")", "")))))))))))</f>
        <v/>
      </c>
      <c r="P595" s="20">
        <f>ROUND(P594 + IF(AND(E595&lt;=10, F595&lt;&gt;"ASTM A416"), L595, 0), 3)</f>
        <v/>
      </c>
      <c r="Q595" s="20">
        <f>ROUND(Q594 + IF(AND(E595=12, F595&lt;&gt;"ASTM A416"), L595, 0), 3)</f>
        <v/>
      </c>
      <c r="R595" s="20">
        <f>ROUND(R594 + IF(AND(E595=14, F595&lt;&gt;"ASTM A416"), L595, 0), 3)</f>
        <v/>
      </c>
      <c r="S595" s="20">
        <f>ROUND(S594 + IF(AND(E595=16, F595&lt;&gt;"ASTM A416"), L595, 0), 3)</f>
        <v/>
      </c>
      <c r="T595" s="20">
        <f>ROUND(T594 + IF(AND(E595=18, F595&lt;&gt;"ASTM A416"), L595, 0), 3)</f>
        <v/>
      </c>
      <c r="U595" s="20">
        <f>ROUND(U594 + IF(AND(E595=20, F595&lt;&gt;"ASTM A416"), L595, 0), 3)</f>
        <v/>
      </c>
      <c r="V595" s="20">
        <f>ROUND(V594 + IF(AND(E595=22, F595&lt;&gt;"ASTM A416"), L595, 0), 3)</f>
        <v/>
      </c>
      <c r="W595" s="20">
        <f>ROUND(W594 + IF(AND(E595=25, F595&lt;&gt;"ASTM A416"), L595, 0), 3)</f>
        <v/>
      </c>
      <c r="X595" s="20">
        <f>ROUND(X594 + IF(AND(E595=28, F595&lt;&gt;"ASTM A416"), L595, 0), 3)</f>
        <v/>
      </c>
      <c r="Y595" s="20">
        <f>ROUND(Y594 + IF(AND(E595=32, F595&lt;&gt;"ASTM A416"), L595, 0), 3)</f>
        <v/>
      </c>
      <c r="Z595" s="20">
        <f>ROUND(Z594 + IF(F595="ASTM A416", L595, 0), 3)</f>
        <v/>
      </c>
      <c r="AA595" s="11">
        <f>IF(INT(P595/20)&gt;INT(P594/20), "Lần " &amp; INT(P595/20), "")</f>
        <v/>
      </c>
      <c r="AB595" s="11">
        <f>IF(INT(Q595/20)&gt;INT(Q594/20), "Lần " &amp; INT(Q595/20), "")</f>
        <v/>
      </c>
      <c r="AC595" s="11">
        <f>IF(INT(R595/20)&gt;INT(R594/20), "Lần " &amp; INT(R595/20), "")</f>
        <v/>
      </c>
      <c r="AD595" s="11">
        <f>IF(INT(S595/20)&gt;INT(S594/20), "Lần " &amp; INT(S595/20), "")</f>
        <v/>
      </c>
      <c r="AE595" s="11">
        <f>IF(INT(T595/20)&gt;INT(T594/20), "Lần " &amp; INT(T595/20), "")</f>
        <v/>
      </c>
      <c r="AF595" s="11">
        <f>IF(INT(U595/20)&gt;INT(U594/20), "Lần " &amp; INT(U595/20), "")</f>
        <v/>
      </c>
      <c r="AG595" s="11">
        <f>IF(INT(V595/20)&gt;INT(V594/20), "Lần " &amp; INT(V595/20), "")</f>
        <v/>
      </c>
      <c r="AH595" s="11">
        <f>IF(INT(W595/20)&gt;INT(W594/20), "Lần " &amp; INT(W595/20), "")</f>
        <v/>
      </c>
      <c r="AI595" s="11">
        <f>IF(INT(X595/20)&gt;INT(X594/20), "Lần " &amp; INT(X595/20), "")</f>
        <v/>
      </c>
      <c r="AJ595" s="11">
        <f>IF(INT(Y595/20)&gt;INT(Y594/20), "Lần " &amp; INT(Y595/20), "")</f>
        <v/>
      </c>
      <c r="AK595" s="11">
        <f>IF(INT(Z595/20)&gt;INT(Z594/20), "Lần " &amp; INT(Z595/20), "")</f>
        <v/>
      </c>
      <c r="AL595" s="6" t="inlineStr">
        <is>
          <t>ĐẠT TCVN 1651:2018</t>
        </is>
      </c>
    </row>
    <row r="596" ht="19" customHeight="1">
      <c r="A596" s="6" t="n">
        <v>565</v>
      </c>
      <c r="B596" s="7" t="inlineStr">
        <is>
          <t>Trụ T1, T2 (Bệ móng)</t>
        </is>
      </c>
      <c r="C596" s="7" t="inlineStr">
        <is>
          <t>Bệ trụ 2 thân</t>
        </is>
      </c>
      <c r="D596" s="18" t="inlineStr">
        <is>
          <t>B3</t>
        </is>
      </c>
      <c r="E596" s="19" t="n">
        <v>28</v>
      </c>
      <c r="F596" s="6" t="inlineStr">
        <is>
          <t>CB400-V</t>
        </is>
      </c>
      <c r="G596" s="7" t="inlineStr">
        <is>
          <t>S06</t>
        </is>
      </c>
      <c r="H596" s="20" t="n">
        <v>5.528</v>
      </c>
      <c r="I596" s="21" t="n">
        <v>146</v>
      </c>
      <c r="J596" s="22" t="n">
        <v>4.83</v>
      </c>
      <c r="K596" s="9">
        <f>ROUND(H596*I596*J596, 2)</f>
        <v/>
      </c>
      <c r="L596" s="23">
        <f>ROUND(K596/1000, 3)</f>
        <v/>
      </c>
      <c r="M596" s="8" t="n"/>
      <c r="N596" s="6" t="n"/>
      <c r="O596" s="24">
        <f>IF(AND(E596&lt;=10, F596&lt;&gt;"ASTM A416", INT(P596/20)&gt;INT(P595/20)), "TN Ø10 (Lần " &amp; INT(P596/20) &amp; ")", IF(AND(E596=12, INT(Q596/20)&gt;INT(Q595/20)), "TN Ø12 (Lần " &amp; INT(Q596/20) &amp; ")", IF(AND(E596=14, INT(R596/20)&gt;INT(R595/20)), "TN Ø14 (Lần " &amp; INT(R596/20) &amp; ")", IF(AND(E596=16, INT(S596/20)&gt;INT(S595/20)), "TN Ø16 (Lần " &amp; INT(S596/20) &amp; ")", IF(AND(E596=18, INT(T596/20)&gt;INT(T595/20)), "TN Ø18 (Lần " &amp; INT(T596/20) &amp; ")", IF(AND(E596=20, INT(U596/20)&gt;INT(U595/20)), "TN Ø20 (Lần " &amp; INT(U596/20) &amp; ")", IF(AND(E596=22, INT(V596/20)&gt;INT(V595/20)), "TN Ø22 (Lần " &amp; INT(V596/20) &amp; ")", IF(AND(E596=25, INT(W596/20)&gt;INT(W595/20)), "TN Ø25 (Lần " &amp; INT(W596/20) &amp; ")", IF(AND(E596=28, INT(X596/20)&gt;INT(X595/20)), "TN Ø28 (Lần " &amp; INT(X596/20) &amp; ")", IF(AND(E596=32, INT(Y596/20)&gt;INT(Y595/20)), "TN Ø32 (Lần " &amp; INT(Y596/20) &amp; ")", IF(AND(F596="ASTM A416", INT(Z596/20)&gt;INT(Z595/20)), "TN Cáp 15.2 (Lần " &amp; INT(Z596/20) &amp; ")", "")))))))))))</f>
        <v/>
      </c>
      <c r="P596" s="20">
        <f>ROUND(P595 + IF(AND(E596&lt;=10, F596&lt;&gt;"ASTM A416"), L596, 0), 3)</f>
        <v/>
      </c>
      <c r="Q596" s="20">
        <f>ROUND(Q595 + IF(AND(E596=12, F596&lt;&gt;"ASTM A416"), L596, 0), 3)</f>
        <v/>
      </c>
      <c r="R596" s="20">
        <f>ROUND(R595 + IF(AND(E596=14, F596&lt;&gt;"ASTM A416"), L596, 0), 3)</f>
        <v/>
      </c>
      <c r="S596" s="20">
        <f>ROUND(S595 + IF(AND(E596=16, F596&lt;&gt;"ASTM A416"), L596, 0), 3)</f>
        <v/>
      </c>
      <c r="T596" s="20">
        <f>ROUND(T595 + IF(AND(E596=18, F596&lt;&gt;"ASTM A416"), L596, 0), 3)</f>
        <v/>
      </c>
      <c r="U596" s="20">
        <f>ROUND(U595 + IF(AND(E596=20, F596&lt;&gt;"ASTM A416"), L596, 0), 3)</f>
        <v/>
      </c>
      <c r="V596" s="20">
        <f>ROUND(V595 + IF(AND(E596=22, F596&lt;&gt;"ASTM A416"), L596, 0), 3)</f>
        <v/>
      </c>
      <c r="W596" s="20">
        <f>ROUND(W595 + IF(AND(E596=25, F596&lt;&gt;"ASTM A416"), L596, 0), 3)</f>
        <v/>
      </c>
      <c r="X596" s="20">
        <f>ROUND(X595 + IF(AND(E596=28, F596&lt;&gt;"ASTM A416"), L596, 0), 3)</f>
        <v/>
      </c>
      <c r="Y596" s="20">
        <f>ROUND(Y595 + IF(AND(E596=32, F596&lt;&gt;"ASTM A416"), L596, 0), 3)</f>
        <v/>
      </c>
      <c r="Z596" s="20">
        <f>ROUND(Z595 + IF(F596="ASTM A416", L596, 0), 3)</f>
        <v/>
      </c>
      <c r="AA596" s="11">
        <f>IF(INT(P596/20)&gt;INT(P595/20), "Lần " &amp; INT(P596/20), "")</f>
        <v/>
      </c>
      <c r="AB596" s="11">
        <f>IF(INT(Q596/20)&gt;INT(Q595/20), "Lần " &amp; INT(Q596/20), "")</f>
        <v/>
      </c>
      <c r="AC596" s="11">
        <f>IF(INT(R596/20)&gt;INT(R595/20), "Lần " &amp; INT(R596/20), "")</f>
        <v/>
      </c>
      <c r="AD596" s="11">
        <f>IF(INT(S596/20)&gt;INT(S595/20), "Lần " &amp; INT(S596/20), "")</f>
        <v/>
      </c>
      <c r="AE596" s="11">
        <f>IF(INT(T596/20)&gt;INT(T595/20), "Lần " &amp; INT(T596/20), "")</f>
        <v/>
      </c>
      <c r="AF596" s="11">
        <f>IF(INT(U596/20)&gt;INT(U595/20), "Lần " &amp; INT(U596/20), "")</f>
        <v/>
      </c>
      <c r="AG596" s="11">
        <f>IF(INT(V596/20)&gt;INT(V595/20), "Lần " &amp; INT(V596/20), "")</f>
        <v/>
      </c>
      <c r="AH596" s="11">
        <f>IF(INT(W596/20)&gt;INT(W595/20), "Lần " &amp; INT(W596/20), "")</f>
        <v/>
      </c>
      <c r="AI596" s="11">
        <f>IF(INT(X596/20)&gt;INT(X595/20), "Lần " &amp; INT(X596/20), "")</f>
        <v/>
      </c>
      <c r="AJ596" s="11">
        <f>IF(INT(Y596/20)&gt;INT(Y595/20), "Lần " &amp; INT(Y596/20), "")</f>
        <v/>
      </c>
      <c r="AK596" s="11">
        <f>IF(INT(Z596/20)&gt;INT(Z595/20), "Lần " &amp; INT(Z596/20), "")</f>
        <v/>
      </c>
      <c r="AL596" s="6" t="inlineStr">
        <is>
          <t>ĐẠT TCVN 1651:2018</t>
        </is>
      </c>
    </row>
    <row r="597" ht="19" customHeight="1">
      <c r="A597" s="6" t="n">
        <v>566</v>
      </c>
      <c r="B597" s="7" t="inlineStr">
        <is>
          <t>Trụ T1, T2 (Bệ móng)</t>
        </is>
      </c>
      <c r="C597" s="7" t="inlineStr">
        <is>
          <t>Bệ trụ 2 thân</t>
        </is>
      </c>
      <c r="D597" s="18" t="inlineStr">
        <is>
          <t>B4</t>
        </is>
      </c>
      <c r="E597" s="19" t="n">
        <v>18</v>
      </c>
      <c r="F597" s="6" t="inlineStr">
        <is>
          <t>CB400-V</t>
        </is>
      </c>
      <c r="G597" s="7" t="inlineStr">
        <is>
          <t>S06</t>
        </is>
      </c>
      <c r="H597" s="20" t="n">
        <v>5.286</v>
      </c>
      <c r="I597" s="21" t="n">
        <v>146</v>
      </c>
      <c r="J597" s="22" t="n">
        <v>2</v>
      </c>
      <c r="K597" s="9">
        <f>ROUND(H597*I597*J597, 2)</f>
        <v/>
      </c>
      <c r="L597" s="23">
        <f>ROUND(K597/1000, 3)</f>
        <v/>
      </c>
      <c r="M597" s="8" t="n"/>
      <c r="N597" s="6" t="n"/>
      <c r="O597" s="24">
        <f>IF(AND(E597&lt;=10, F597&lt;&gt;"ASTM A416", INT(P597/20)&gt;INT(P596/20)), "TN Ø10 (Lần " &amp; INT(P597/20) &amp; ")", IF(AND(E597=12, INT(Q597/20)&gt;INT(Q596/20)), "TN Ø12 (Lần " &amp; INT(Q597/20) &amp; ")", IF(AND(E597=14, INT(R597/20)&gt;INT(R596/20)), "TN Ø14 (Lần " &amp; INT(R597/20) &amp; ")", IF(AND(E597=16, INT(S597/20)&gt;INT(S596/20)), "TN Ø16 (Lần " &amp; INT(S597/20) &amp; ")", IF(AND(E597=18, INT(T597/20)&gt;INT(T596/20)), "TN Ø18 (Lần " &amp; INT(T597/20) &amp; ")", IF(AND(E597=20, INT(U597/20)&gt;INT(U596/20)), "TN Ø20 (Lần " &amp; INT(U597/20) &amp; ")", IF(AND(E597=22, INT(V597/20)&gt;INT(V596/20)), "TN Ø22 (Lần " &amp; INT(V597/20) &amp; ")", IF(AND(E597=25, INT(W597/20)&gt;INT(W596/20)), "TN Ø25 (Lần " &amp; INT(W597/20) &amp; ")", IF(AND(E597=28, INT(X597/20)&gt;INT(X596/20)), "TN Ø28 (Lần " &amp; INT(X597/20) &amp; ")", IF(AND(E597=32, INT(Y597/20)&gt;INT(Y596/20)), "TN Ø32 (Lần " &amp; INT(Y597/20) &amp; ")", IF(AND(F597="ASTM A416", INT(Z597/20)&gt;INT(Z596/20)), "TN Cáp 15.2 (Lần " &amp; INT(Z597/20) &amp; ")", "")))))))))))</f>
        <v/>
      </c>
      <c r="P597" s="20">
        <f>ROUND(P596 + IF(AND(E597&lt;=10, F597&lt;&gt;"ASTM A416"), L597, 0), 3)</f>
        <v/>
      </c>
      <c r="Q597" s="20">
        <f>ROUND(Q596 + IF(AND(E597=12, F597&lt;&gt;"ASTM A416"), L597, 0), 3)</f>
        <v/>
      </c>
      <c r="R597" s="20">
        <f>ROUND(R596 + IF(AND(E597=14, F597&lt;&gt;"ASTM A416"), L597, 0), 3)</f>
        <v/>
      </c>
      <c r="S597" s="20">
        <f>ROUND(S596 + IF(AND(E597=16, F597&lt;&gt;"ASTM A416"), L597, 0), 3)</f>
        <v/>
      </c>
      <c r="T597" s="20">
        <f>ROUND(T596 + IF(AND(E597=18, F597&lt;&gt;"ASTM A416"), L597, 0), 3)</f>
        <v/>
      </c>
      <c r="U597" s="20">
        <f>ROUND(U596 + IF(AND(E597=20, F597&lt;&gt;"ASTM A416"), L597, 0), 3)</f>
        <v/>
      </c>
      <c r="V597" s="20">
        <f>ROUND(V596 + IF(AND(E597=22, F597&lt;&gt;"ASTM A416"), L597, 0), 3)</f>
        <v/>
      </c>
      <c r="W597" s="20">
        <f>ROUND(W596 + IF(AND(E597=25, F597&lt;&gt;"ASTM A416"), L597, 0), 3)</f>
        <v/>
      </c>
      <c r="X597" s="20">
        <f>ROUND(X596 + IF(AND(E597=28, F597&lt;&gt;"ASTM A416"), L597, 0), 3)</f>
        <v/>
      </c>
      <c r="Y597" s="20">
        <f>ROUND(Y596 + IF(AND(E597=32, F597&lt;&gt;"ASTM A416"), L597, 0), 3)</f>
        <v/>
      </c>
      <c r="Z597" s="20">
        <f>ROUND(Z596 + IF(F597="ASTM A416", L597, 0), 3)</f>
        <v/>
      </c>
      <c r="AA597" s="11">
        <f>IF(INT(P597/20)&gt;INT(P596/20), "Lần " &amp; INT(P597/20), "")</f>
        <v/>
      </c>
      <c r="AB597" s="11">
        <f>IF(INT(Q597/20)&gt;INT(Q596/20), "Lần " &amp; INT(Q597/20), "")</f>
        <v/>
      </c>
      <c r="AC597" s="11">
        <f>IF(INT(R597/20)&gt;INT(R596/20), "Lần " &amp; INT(R597/20), "")</f>
        <v/>
      </c>
      <c r="AD597" s="11">
        <f>IF(INT(S597/20)&gt;INT(S596/20), "Lần " &amp; INT(S597/20), "")</f>
        <v/>
      </c>
      <c r="AE597" s="11">
        <f>IF(INT(T597/20)&gt;INT(T596/20), "Lần " &amp; INT(T597/20), "")</f>
        <v/>
      </c>
      <c r="AF597" s="11">
        <f>IF(INT(U597/20)&gt;INT(U596/20), "Lần " &amp; INT(U597/20), "")</f>
        <v/>
      </c>
      <c r="AG597" s="11">
        <f>IF(INT(V597/20)&gt;INT(V596/20), "Lần " &amp; INT(V597/20), "")</f>
        <v/>
      </c>
      <c r="AH597" s="11">
        <f>IF(INT(W597/20)&gt;INT(W596/20), "Lần " &amp; INT(W597/20), "")</f>
        <v/>
      </c>
      <c r="AI597" s="11">
        <f>IF(INT(X597/20)&gt;INT(X596/20), "Lần " &amp; INT(X597/20), "")</f>
        <v/>
      </c>
      <c r="AJ597" s="11">
        <f>IF(INT(Y597/20)&gt;INT(Y596/20), "Lần " &amp; INT(Y597/20), "")</f>
        <v/>
      </c>
      <c r="AK597" s="11">
        <f>IF(INT(Z597/20)&gt;INT(Z596/20), "Lần " &amp; INT(Z597/20), "")</f>
        <v/>
      </c>
      <c r="AL597" s="6" t="inlineStr">
        <is>
          <t>ĐẠT TCVN 1651:2018</t>
        </is>
      </c>
    </row>
    <row r="598" ht="19" customHeight="1">
      <c r="A598" s="6" t="n">
        <v>567</v>
      </c>
      <c r="B598" s="7" t="inlineStr">
        <is>
          <t>Trụ T1, T2 (Bệ móng)</t>
        </is>
      </c>
      <c r="C598" s="7" t="inlineStr">
        <is>
          <t>Bệ trụ 2 thân</t>
        </is>
      </c>
      <c r="D598" s="18" t="inlineStr">
        <is>
          <t>B5</t>
        </is>
      </c>
      <c r="E598" s="19" t="n">
        <v>16</v>
      </c>
      <c r="F598" s="6" t="inlineStr">
        <is>
          <t>CB400-V</t>
        </is>
      </c>
      <c r="G598" s="7" t="inlineStr">
        <is>
          <t>S06</t>
        </is>
      </c>
      <c r="H598" s="20" t="n">
        <v>1.99</v>
      </c>
      <c r="I598" s="21" t="n">
        <v>556</v>
      </c>
      <c r="J598" s="22" t="n">
        <v>1.58</v>
      </c>
      <c r="K598" s="9">
        <f>ROUND(H598*I598*J598, 2)</f>
        <v/>
      </c>
      <c r="L598" s="23">
        <f>ROUND(K598/1000, 3)</f>
        <v/>
      </c>
      <c r="M598" s="8" t="n"/>
      <c r="N598" s="6" t="n"/>
      <c r="O598" s="24">
        <f>IF(AND(E598&lt;=10, F598&lt;&gt;"ASTM A416", INT(P598/20)&gt;INT(P597/20)), "TN Ø10 (Lần " &amp; INT(P598/20) &amp; ")", IF(AND(E598=12, INT(Q598/20)&gt;INT(Q597/20)), "TN Ø12 (Lần " &amp; INT(Q598/20) &amp; ")", IF(AND(E598=14, INT(R598/20)&gt;INT(R597/20)), "TN Ø14 (Lần " &amp; INT(R598/20) &amp; ")", IF(AND(E598=16, INT(S598/20)&gt;INT(S597/20)), "TN Ø16 (Lần " &amp; INT(S598/20) &amp; ")", IF(AND(E598=18, INT(T598/20)&gt;INT(T597/20)), "TN Ø18 (Lần " &amp; INT(T598/20) &amp; ")", IF(AND(E598=20, INT(U598/20)&gt;INT(U597/20)), "TN Ø20 (Lần " &amp; INT(U598/20) &amp; ")", IF(AND(E598=22, INT(V598/20)&gt;INT(V597/20)), "TN Ø22 (Lần " &amp; INT(V598/20) &amp; ")", IF(AND(E598=25, INT(W598/20)&gt;INT(W597/20)), "TN Ø25 (Lần " &amp; INT(W598/20) &amp; ")", IF(AND(E598=28, INT(X598/20)&gt;INT(X597/20)), "TN Ø28 (Lần " &amp; INT(X598/20) &amp; ")", IF(AND(E598=32, INT(Y598/20)&gt;INT(Y597/20)), "TN Ø32 (Lần " &amp; INT(Y598/20) &amp; ")", IF(AND(F598="ASTM A416", INT(Z598/20)&gt;INT(Z597/20)), "TN Cáp 15.2 (Lần " &amp; INT(Z598/20) &amp; ")", "")))))))))))</f>
        <v/>
      </c>
      <c r="P598" s="20">
        <f>ROUND(P597 + IF(AND(E598&lt;=10, F598&lt;&gt;"ASTM A416"), L598, 0), 3)</f>
        <v/>
      </c>
      <c r="Q598" s="20">
        <f>ROUND(Q597 + IF(AND(E598=12, F598&lt;&gt;"ASTM A416"), L598, 0), 3)</f>
        <v/>
      </c>
      <c r="R598" s="20">
        <f>ROUND(R597 + IF(AND(E598=14, F598&lt;&gt;"ASTM A416"), L598, 0), 3)</f>
        <v/>
      </c>
      <c r="S598" s="20">
        <f>ROUND(S597 + IF(AND(E598=16, F598&lt;&gt;"ASTM A416"), L598, 0), 3)</f>
        <v/>
      </c>
      <c r="T598" s="20">
        <f>ROUND(T597 + IF(AND(E598=18, F598&lt;&gt;"ASTM A416"), L598, 0), 3)</f>
        <v/>
      </c>
      <c r="U598" s="20">
        <f>ROUND(U597 + IF(AND(E598=20, F598&lt;&gt;"ASTM A416"), L598, 0), 3)</f>
        <v/>
      </c>
      <c r="V598" s="20">
        <f>ROUND(V597 + IF(AND(E598=22, F598&lt;&gt;"ASTM A416"), L598, 0), 3)</f>
        <v/>
      </c>
      <c r="W598" s="20">
        <f>ROUND(W597 + IF(AND(E598=25, F598&lt;&gt;"ASTM A416"), L598, 0), 3)</f>
        <v/>
      </c>
      <c r="X598" s="20">
        <f>ROUND(X597 + IF(AND(E598=28, F598&lt;&gt;"ASTM A416"), L598, 0), 3)</f>
        <v/>
      </c>
      <c r="Y598" s="20">
        <f>ROUND(Y597 + IF(AND(E598=32, F598&lt;&gt;"ASTM A416"), L598, 0), 3)</f>
        <v/>
      </c>
      <c r="Z598" s="20">
        <f>ROUND(Z597 + IF(F598="ASTM A416", L598, 0), 3)</f>
        <v/>
      </c>
      <c r="AA598" s="11">
        <f>IF(INT(P598/20)&gt;INT(P597/20), "Lần " &amp; INT(P598/20), "")</f>
        <v/>
      </c>
      <c r="AB598" s="11">
        <f>IF(INT(Q598/20)&gt;INT(Q597/20), "Lần " &amp; INT(Q598/20), "")</f>
        <v/>
      </c>
      <c r="AC598" s="11">
        <f>IF(INT(R598/20)&gt;INT(R597/20), "Lần " &amp; INT(R598/20), "")</f>
        <v/>
      </c>
      <c r="AD598" s="11">
        <f>IF(INT(S598/20)&gt;INT(S597/20), "Lần " &amp; INT(S598/20), "")</f>
        <v/>
      </c>
      <c r="AE598" s="11">
        <f>IF(INT(T598/20)&gt;INT(T597/20), "Lần " &amp; INT(T598/20), "")</f>
        <v/>
      </c>
      <c r="AF598" s="11">
        <f>IF(INT(U598/20)&gt;INT(U597/20), "Lần " &amp; INT(U598/20), "")</f>
        <v/>
      </c>
      <c r="AG598" s="11">
        <f>IF(INT(V598/20)&gt;INT(V597/20), "Lần " &amp; INT(V598/20), "")</f>
        <v/>
      </c>
      <c r="AH598" s="11">
        <f>IF(INT(W598/20)&gt;INT(W597/20), "Lần " &amp; INT(W598/20), "")</f>
        <v/>
      </c>
      <c r="AI598" s="11">
        <f>IF(INT(X598/20)&gt;INT(X597/20), "Lần " &amp; INT(X598/20), "")</f>
        <v/>
      </c>
      <c r="AJ598" s="11">
        <f>IF(INT(Y598/20)&gt;INT(Y597/20), "Lần " &amp; INT(Y598/20), "")</f>
        <v/>
      </c>
      <c r="AK598" s="11">
        <f>IF(INT(Z598/20)&gt;INT(Z597/20), "Lần " &amp; INT(Z598/20), "")</f>
        <v/>
      </c>
      <c r="AL598" s="6" t="inlineStr">
        <is>
          <t>ĐẠT TCVN 1651:2018</t>
        </is>
      </c>
    </row>
    <row r="599" ht="19" customHeight="1">
      <c r="A599" s="6" t="n">
        <v>568</v>
      </c>
      <c r="B599" s="7" t="inlineStr">
        <is>
          <t>Trụ T1, T2 (Bệ móng)</t>
        </is>
      </c>
      <c r="C599" s="7" t="inlineStr">
        <is>
          <t>Bệ trụ 2 thân</t>
        </is>
      </c>
      <c r="D599" s="18" t="inlineStr">
        <is>
          <t>B6</t>
        </is>
      </c>
      <c r="E599" s="19" t="n">
        <v>16</v>
      </c>
      <c r="F599" s="6" t="inlineStr">
        <is>
          <t>CB400-V</t>
        </is>
      </c>
      <c r="G599" s="7" t="inlineStr">
        <is>
          <t>S01</t>
        </is>
      </c>
      <c r="H599" s="20" t="n">
        <v>4.8</v>
      </c>
      <c r="I599" s="21" t="n">
        <v>40</v>
      </c>
      <c r="J599" s="22" t="n">
        <v>1.58</v>
      </c>
      <c r="K599" s="9">
        <f>ROUND(H599*I599*J599, 2)</f>
        <v/>
      </c>
      <c r="L599" s="23">
        <f>ROUND(K599/1000, 3)</f>
        <v/>
      </c>
      <c r="M599" s="8" t="n"/>
      <c r="N599" s="6" t="n"/>
      <c r="O599" s="24">
        <f>IF(AND(E599&lt;=10, F599&lt;&gt;"ASTM A416", INT(P599/20)&gt;INT(P598/20)), "TN Ø10 (Lần " &amp; INT(P599/20) &amp; ")", IF(AND(E599=12, INT(Q599/20)&gt;INT(Q598/20)), "TN Ø12 (Lần " &amp; INT(Q599/20) &amp; ")", IF(AND(E599=14, INT(R599/20)&gt;INT(R598/20)), "TN Ø14 (Lần " &amp; INT(R599/20) &amp; ")", IF(AND(E599=16, INT(S599/20)&gt;INT(S598/20)), "TN Ø16 (Lần " &amp; INT(S599/20) &amp; ")", IF(AND(E599=18, INT(T599/20)&gt;INT(T598/20)), "TN Ø18 (Lần " &amp; INT(T599/20) &amp; ")", IF(AND(E599=20, INT(U599/20)&gt;INT(U598/20)), "TN Ø20 (Lần " &amp; INT(U599/20) &amp; ")", IF(AND(E599=22, INT(V599/20)&gt;INT(V598/20)), "TN Ø22 (Lần " &amp; INT(V599/20) &amp; ")", IF(AND(E599=25, INT(W599/20)&gt;INT(W598/20)), "TN Ø25 (Lần " &amp; INT(W599/20) &amp; ")", IF(AND(E599=28, INT(X599/20)&gt;INT(X598/20)), "TN Ø28 (Lần " &amp; INT(X599/20) &amp; ")", IF(AND(E599=32, INT(Y599/20)&gt;INT(Y598/20)), "TN Ø32 (Lần " &amp; INT(Y599/20) &amp; ")", IF(AND(F599="ASTM A416", INT(Z599/20)&gt;INT(Z598/20)), "TN Cáp 15.2 (Lần " &amp; INT(Z599/20) &amp; ")", "")))))))))))</f>
        <v/>
      </c>
      <c r="P599" s="20">
        <f>ROUND(P598 + IF(AND(E599&lt;=10, F599&lt;&gt;"ASTM A416"), L599, 0), 3)</f>
        <v/>
      </c>
      <c r="Q599" s="20">
        <f>ROUND(Q598 + IF(AND(E599=12, F599&lt;&gt;"ASTM A416"), L599, 0), 3)</f>
        <v/>
      </c>
      <c r="R599" s="20">
        <f>ROUND(R598 + IF(AND(E599=14, F599&lt;&gt;"ASTM A416"), L599, 0), 3)</f>
        <v/>
      </c>
      <c r="S599" s="20">
        <f>ROUND(S598 + IF(AND(E599=16, F599&lt;&gt;"ASTM A416"), L599, 0), 3)</f>
        <v/>
      </c>
      <c r="T599" s="20">
        <f>ROUND(T598 + IF(AND(E599=18, F599&lt;&gt;"ASTM A416"), L599, 0), 3)</f>
        <v/>
      </c>
      <c r="U599" s="20">
        <f>ROUND(U598 + IF(AND(E599=20, F599&lt;&gt;"ASTM A416"), L599, 0), 3)</f>
        <v/>
      </c>
      <c r="V599" s="20">
        <f>ROUND(V598 + IF(AND(E599=22, F599&lt;&gt;"ASTM A416"), L599, 0), 3)</f>
        <v/>
      </c>
      <c r="W599" s="20">
        <f>ROUND(W598 + IF(AND(E599=25, F599&lt;&gt;"ASTM A416"), L599, 0), 3)</f>
        <v/>
      </c>
      <c r="X599" s="20">
        <f>ROUND(X598 + IF(AND(E599=28, F599&lt;&gt;"ASTM A416"), L599, 0), 3)</f>
        <v/>
      </c>
      <c r="Y599" s="20">
        <f>ROUND(Y598 + IF(AND(E599=32, F599&lt;&gt;"ASTM A416"), L599, 0), 3)</f>
        <v/>
      </c>
      <c r="Z599" s="20">
        <f>ROUND(Z598 + IF(F599="ASTM A416", L599, 0), 3)</f>
        <v/>
      </c>
      <c r="AA599" s="11">
        <f>IF(INT(P599/20)&gt;INT(P598/20), "Lần " &amp; INT(P599/20), "")</f>
        <v/>
      </c>
      <c r="AB599" s="11">
        <f>IF(INT(Q599/20)&gt;INT(Q598/20), "Lần " &amp; INT(Q599/20), "")</f>
        <v/>
      </c>
      <c r="AC599" s="11">
        <f>IF(INT(R599/20)&gt;INT(R598/20), "Lần " &amp; INT(R599/20), "")</f>
        <v/>
      </c>
      <c r="AD599" s="11">
        <f>IF(INT(S599/20)&gt;INT(S598/20), "Lần " &amp; INT(S599/20), "")</f>
        <v/>
      </c>
      <c r="AE599" s="11">
        <f>IF(INT(T599/20)&gt;INT(T598/20), "Lần " &amp; INT(T599/20), "")</f>
        <v/>
      </c>
      <c r="AF599" s="11">
        <f>IF(INT(U599/20)&gt;INT(U598/20), "Lần " &amp; INT(U599/20), "")</f>
        <v/>
      </c>
      <c r="AG599" s="11">
        <f>IF(INT(V599/20)&gt;INT(V598/20), "Lần " &amp; INT(V599/20), "")</f>
        <v/>
      </c>
      <c r="AH599" s="11">
        <f>IF(INT(W599/20)&gt;INT(W598/20), "Lần " &amp; INT(W599/20), "")</f>
        <v/>
      </c>
      <c r="AI599" s="11">
        <f>IF(INT(X599/20)&gt;INT(X598/20), "Lần " &amp; INT(X599/20), "")</f>
        <v/>
      </c>
      <c r="AJ599" s="11">
        <f>IF(INT(Y599/20)&gt;INT(Y598/20), "Lần " &amp; INT(Y599/20), "")</f>
        <v/>
      </c>
      <c r="AK599" s="11">
        <f>IF(INT(Z599/20)&gt;INT(Z598/20), "Lần " &amp; INT(Z599/20), "")</f>
        <v/>
      </c>
      <c r="AL599" s="6" t="inlineStr">
        <is>
          <t>ĐẠT TCVN 1651:2018</t>
        </is>
      </c>
    </row>
    <row r="600" ht="19" customHeight="1">
      <c r="A600" s="6" t="n">
        <v>569</v>
      </c>
      <c r="B600" s="7" t="inlineStr">
        <is>
          <t>Trụ T1, T2 (Bệ móng)</t>
        </is>
      </c>
      <c r="C600" s="7" t="inlineStr">
        <is>
          <t>Bệ trụ 2 thân</t>
        </is>
      </c>
      <c r="D600" s="18" t="inlineStr">
        <is>
          <t>B7</t>
        </is>
      </c>
      <c r="E600" s="19" t="n">
        <v>16</v>
      </c>
      <c r="F600" s="6" t="inlineStr">
        <is>
          <t>CB400-V</t>
        </is>
      </c>
      <c r="G600" s="7" t="inlineStr">
        <is>
          <t>S01</t>
        </is>
      </c>
      <c r="H600" s="20" t="n">
        <v>10.8</v>
      </c>
      <c r="I600" s="21" t="n">
        <v>40</v>
      </c>
      <c r="J600" s="22" t="n">
        <v>1.58</v>
      </c>
      <c r="K600" s="9">
        <f>ROUND(H600*I600*J600, 2)</f>
        <v/>
      </c>
      <c r="L600" s="23">
        <f>ROUND(K600/1000, 3)</f>
        <v/>
      </c>
      <c r="M600" s="8" t="n"/>
      <c r="N600" s="6" t="n"/>
      <c r="O600" s="24">
        <f>IF(AND(E600&lt;=10, F600&lt;&gt;"ASTM A416", INT(P600/20)&gt;INT(P599/20)), "TN Ø10 (Lần " &amp; INT(P600/20) &amp; ")", IF(AND(E600=12, INT(Q600/20)&gt;INT(Q599/20)), "TN Ø12 (Lần " &amp; INT(Q600/20) &amp; ")", IF(AND(E600=14, INT(R600/20)&gt;INT(R599/20)), "TN Ø14 (Lần " &amp; INT(R600/20) &amp; ")", IF(AND(E600=16, INT(S600/20)&gt;INT(S599/20)), "TN Ø16 (Lần " &amp; INT(S600/20) &amp; ")", IF(AND(E600=18, INT(T600/20)&gt;INT(T599/20)), "TN Ø18 (Lần " &amp; INT(T600/20) &amp; ")", IF(AND(E600=20, INT(U600/20)&gt;INT(U599/20)), "TN Ø20 (Lần " &amp; INT(U600/20) &amp; ")", IF(AND(E600=22, INT(V600/20)&gt;INT(V599/20)), "TN Ø22 (Lần " &amp; INT(V600/20) &amp; ")", IF(AND(E600=25, INT(W600/20)&gt;INT(W599/20)), "TN Ø25 (Lần " &amp; INT(W600/20) &amp; ")", IF(AND(E600=28, INT(X600/20)&gt;INT(X599/20)), "TN Ø28 (Lần " &amp; INT(X600/20) &amp; ")", IF(AND(E600=32, INT(Y600/20)&gt;INT(Y599/20)), "TN Ø32 (Lần " &amp; INT(Y600/20) &amp; ")", IF(AND(F600="ASTM A416", INT(Z600/20)&gt;INT(Z599/20)), "TN Cáp 15.2 (Lần " &amp; INT(Z600/20) &amp; ")", "")))))))))))</f>
        <v/>
      </c>
      <c r="P600" s="20">
        <f>ROUND(P599 + IF(AND(E600&lt;=10, F600&lt;&gt;"ASTM A416"), L600, 0), 3)</f>
        <v/>
      </c>
      <c r="Q600" s="20">
        <f>ROUND(Q599 + IF(AND(E600=12, F600&lt;&gt;"ASTM A416"), L600, 0), 3)</f>
        <v/>
      </c>
      <c r="R600" s="20">
        <f>ROUND(R599 + IF(AND(E600=14, F600&lt;&gt;"ASTM A416"), L600, 0), 3)</f>
        <v/>
      </c>
      <c r="S600" s="20">
        <f>ROUND(S599 + IF(AND(E600=16, F600&lt;&gt;"ASTM A416"), L600, 0), 3)</f>
        <v/>
      </c>
      <c r="T600" s="20">
        <f>ROUND(T599 + IF(AND(E600=18, F600&lt;&gt;"ASTM A416"), L600, 0), 3)</f>
        <v/>
      </c>
      <c r="U600" s="20">
        <f>ROUND(U599 + IF(AND(E600=20, F600&lt;&gt;"ASTM A416"), L600, 0), 3)</f>
        <v/>
      </c>
      <c r="V600" s="20">
        <f>ROUND(V599 + IF(AND(E600=22, F600&lt;&gt;"ASTM A416"), L600, 0), 3)</f>
        <v/>
      </c>
      <c r="W600" s="20">
        <f>ROUND(W599 + IF(AND(E600=25, F600&lt;&gt;"ASTM A416"), L600, 0), 3)</f>
        <v/>
      </c>
      <c r="X600" s="20">
        <f>ROUND(X599 + IF(AND(E600=28, F600&lt;&gt;"ASTM A416"), L600, 0), 3)</f>
        <v/>
      </c>
      <c r="Y600" s="20">
        <f>ROUND(Y599 + IF(AND(E600=32, F600&lt;&gt;"ASTM A416"), L600, 0), 3)</f>
        <v/>
      </c>
      <c r="Z600" s="20">
        <f>ROUND(Z599 + IF(F600="ASTM A416", L600, 0), 3)</f>
        <v/>
      </c>
      <c r="AA600" s="11">
        <f>IF(INT(P600/20)&gt;INT(P599/20), "Lần " &amp; INT(P600/20), "")</f>
        <v/>
      </c>
      <c r="AB600" s="11">
        <f>IF(INT(Q600/20)&gt;INT(Q599/20), "Lần " &amp; INT(Q600/20), "")</f>
        <v/>
      </c>
      <c r="AC600" s="11">
        <f>IF(INT(R600/20)&gt;INT(R599/20), "Lần " &amp; INT(R600/20), "")</f>
        <v/>
      </c>
      <c r="AD600" s="11">
        <f>IF(INT(S600/20)&gt;INT(S599/20), "Lần " &amp; INT(S600/20), "")</f>
        <v/>
      </c>
      <c r="AE600" s="11">
        <f>IF(INT(T600/20)&gt;INT(T599/20), "Lần " &amp; INT(T600/20), "")</f>
        <v/>
      </c>
      <c r="AF600" s="11">
        <f>IF(INT(U600/20)&gt;INT(U599/20), "Lần " &amp; INT(U600/20), "")</f>
        <v/>
      </c>
      <c r="AG600" s="11">
        <f>IF(INT(V600/20)&gt;INT(V599/20), "Lần " &amp; INT(V600/20), "")</f>
        <v/>
      </c>
      <c r="AH600" s="11">
        <f>IF(INT(W600/20)&gt;INT(W599/20), "Lần " &amp; INT(W600/20), "")</f>
        <v/>
      </c>
      <c r="AI600" s="11">
        <f>IF(INT(X600/20)&gt;INT(X599/20), "Lần " &amp; INT(X600/20), "")</f>
        <v/>
      </c>
      <c r="AJ600" s="11">
        <f>IF(INT(Y600/20)&gt;INT(Y599/20), "Lần " &amp; INT(Y600/20), "")</f>
        <v/>
      </c>
      <c r="AK600" s="11">
        <f>IF(INT(Z600/20)&gt;INT(Z599/20), "Lần " &amp; INT(Z600/20), "")</f>
        <v/>
      </c>
      <c r="AL600" s="6" t="inlineStr">
        <is>
          <t>ĐẠT TCVN 1651:2018</t>
        </is>
      </c>
    </row>
    <row r="601" ht="19" customHeight="1">
      <c r="A601" s="6" t="n">
        <v>570</v>
      </c>
      <c r="B601" s="7" t="inlineStr">
        <is>
          <t>Trụ T1, T2 (Bệ móng)</t>
        </is>
      </c>
      <c r="C601" s="7" t="inlineStr">
        <is>
          <t>Bệ trụ 2 thân</t>
        </is>
      </c>
      <c r="D601" s="18" t="inlineStr">
        <is>
          <t>B8</t>
        </is>
      </c>
      <c r="E601" s="19" t="n">
        <v>16</v>
      </c>
      <c r="F601" s="6" t="inlineStr">
        <is>
          <t>CB400-V</t>
        </is>
      </c>
      <c r="G601" s="7" t="inlineStr">
        <is>
          <t>S06</t>
        </is>
      </c>
      <c r="H601" s="20" t="n">
        <v>1.926</v>
      </c>
      <c r="I601" s="21" t="n">
        <v>612</v>
      </c>
      <c r="J601" s="22" t="n">
        <v>1.58</v>
      </c>
      <c r="K601" s="9">
        <f>ROUND(H601*I601*J601, 2)</f>
        <v/>
      </c>
      <c r="L601" s="23">
        <f>ROUND(K601/1000, 3)</f>
        <v/>
      </c>
      <c r="M601" s="8" t="n"/>
      <c r="N601" s="6" t="n"/>
      <c r="O601" s="24">
        <f>IF(AND(E601&lt;=10, F601&lt;&gt;"ASTM A416", INT(P601/20)&gt;INT(P600/20)), "TN Ø10 (Lần " &amp; INT(P601/20) &amp; ")", IF(AND(E601=12, INT(Q601/20)&gt;INT(Q600/20)), "TN Ø12 (Lần " &amp; INT(Q601/20) &amp; ")", IF(AND(E601=14, INT(R601/20)&gt;INT(R600/20)), "TN Ø14 (Lần " &amp; INT(R601/20) &amp; ")", IF(AND(E601=16, INT(S601/20)&gt;INT(S600/20)), "TN Ø16 (Lần " &amp; INT(S601/20) &amp; ")", IF(AND(E601=18, INT(T601/20)&gt;INT(T600/20)), "TN Ø18 (Lần " &amp; INT(T601/20) &amp; ")", IF(AND(E601=20, INT(U601/20)&gt;INT(U600/20)), "TN Ø20 (Lần " &amp; INT(U601/20) &amp; ")", IF(AND(E601=22, INT(V601/20)&gt;INT(V600/20)), "TN Ø22 (Lần " &amp; INT(V601/20) &amp; ")", IF(AND(E601=25, INT(W601/20)&gt;INT(W600/20)), "TN Ø25 (Lần " &amp; INT(W601/20) &amp; ")", IF(AND(E601=28, INT(X601/20)&gt;INT(X600/20)), "TN Ø28 (Lần " &amp; INT(X601/20) &amp; ")", IF(AND(E601=32, INT(Y601/20)&gt;INT(Y600/20)), "TN Ø32 (Lần " &amp; INT(Y601/20) &amp; ")", IF(AND(F601="ASTM A416", INT(Z601/20)&gt;INT(Z600/20)), "TN Cáp 15.2 (Lần " &amp; INT(Z601/20) &amp; ")", "")))))))))))</f>
        <v/>
      </c>
      <c r="P601" s="20">
        <f>ROUND(P600 + IF(AND(E601&lt;=10, F601&lt;&gt;"ASTM A416"), L601, 0), 3)</f>
        <v/>
      </c>
      <c r="Q601" s="20">
        <f>ROUND(Q600 + IF(AND(E601=12, F601&lt;&gt;"ASTM A416"), L601, 0), 3)</f>
        <v/>
      </c>
      <c r="R601" s="20">
        <f>ROUND(R600 + IF(AND(E601=14, F601&lt;&gt;"ASTM A416"), L601, 0), 3)</f>
        <v/>
      </c>
      <c r="S601" s="20">
        <f>ROUND(S600 + IF(AND(E601=16, F601&lt;&gt;"ASTM A416"), L601, 0), 3)</f>
        <v/>
      </c>
      <c r="T601" s="20">
        <f>ROUND(T600 + IF(AND(E601=18, F601&lt;&gt;"ASTM A416"), L601, 0), 3)</f>
        <v/>
      </c>
      <c r="U601" s="20">
        <f>ROUND(U600 + IF(AND(E601=20, F601&lt;&gt;"ASTM A416"), L601, 0), 3)</f>
        <v/>
      </c>
      <c r="V601" s="20">
        <f>ROUND(V600 + IF(AND(E601=22, F601&lt;&gt;"ASTM A416"), L601, 0), 3)</f>
        <v/>
      </c>
      <c r="W601" s="20">
        <f>ROUND(W600 + IF(AND(E601=25, F601&lt;&gt;"ASTM A416"), L601, 0), 3)</f>
        <v/>
      </c>
      <c r="X601" s="20">
        <f>ROUND(X600 + IF(AND(E601=28, F601&lt;&gt;"ASTM A416"), L601, 0), 3)</f>
        <v/>
      </c>
      <c r="Y601" s="20">
        <f>ROUND(Y600 + IF(AND(E601=32, F601&lt;&gt;"ASTM A416"), L601, 0), 3)</f>
        <v/>
      </c>
      <c r="Z601" s="20">
        <f>ROUND(Z600 + IF(F601="ASTM A416", L601, 0), 3)</f>
        <v/>
      </c>
      <c r="AA601" s="11">
        <f>IF(INT(P601/20)&gt;INT(P600/20), "Lần " &amp; INT(P601/20), "")</f>
        <v/>
      </c>
      <c r="AB601" s="11">
        <f>IF(INT(Q601/20)&gt;INT(Q600/20), "Lần " &amp; INT(Q601/20), "")</f>
        <v/>
      </c>
      <c r="AC601" s="11">
        <f>IF(INT(R601/20)&gt;INT(R600/20), "Lần " &amp; INT(R601/20), "")</f>
        <v/>
      </c>
      <c r="AD601" s="11">
        <f>IF(INT(S601/20)&gt;INT(S600/20), "Lần " &amp; INT(S601/20), "")</f>
        <v/>
      </c>
      <c r="AE601" s="11">
        <f>IF(INT(T601/20)&gt;INT(T600/20), "Lần " &amp; INT(T601/20), "")</f>
        <v/>
      </c>
      <c r="AF601" s="11">
        <f>IF(INT(U601/20)&gt;INT(U600/20), "Lần " &amp; INT(U601/20), "")</f>
        <v/>
      </c>
      <c r="AG601" s="11">
        <f>IF(INT(V601/20)&gt;INT(V600/20), "Lần " &amp; INT(V601/20), "")</f>
        <v/>
      </c>
      <c r="AH601" s="11">
        <f>IF(INT(W601/20)&gt;INT(W600/20), "Lần " &amp; INT(W601/20), "")</f>
        <v/>
      </c>
      <c r="AI601" s="11">
        <f>IF(INT(X601/20)&gt;INT(X600/20), "Lần " &amp; INT(X601/20), "")</f>
        <v/>
      </c>
      <c r="AJ601" s="11">
        <f>IF(INT(Y601/20)&gt;INT(Y600/20), "Lần " &amp; INT(Y601/20), "")</f>
        <v/>
      </c>
      <c r="AK601" s="11">
        <f>IF(INT(Z601/20)&gt;INT(Z600/20), "Lần " &amp; INT(Z601/20), "")</f>
        <v/>
      </c>
      <c r="AL601" s="6" t="inlineStr">
        <is>
          <t>ĐẠT TCVN 1651:2018</t>
        </is>
      </c>
    </row>
    <row r="602" ht="19" customHeight="1">
      <c r="A602" s="6" t="n">
        <v>571</v>
      </c>
      <c r="B602" s="7" t="inlineStr">
        <is>
          <t>Trụ T1 (Thân trụ)</t>
        </is>
      </c>
      <c r="C602" s="7" t="inlineStr">
        <is>
          <t>th©n trô ®o¹n 1</t>
        </is>
      </c>
      <c r="D602" s="18" t="inlineStr">
        <is>
          <t>T1a</t>
        </is>
      </c>
      <c r="E602" s="19" t="n">
        <v>32</v>
      </c>
      <c r="F602" s="6" t="inlineStr">
        <is>
          <t>CB400-V</t>
        </is>
      </c>
      <c r="G602" s="7" t="inlineStr">
        <is>
          <t>S02</t>
        </is>
      </c>
      <c r="H602" s="20" t="n">
        <v>14.256</v>
      </c>
      <c r="I602" s="21" t="n">
        <v>90</v>
      </c>
      <c r="J602" s="22" t="n">
        <v>6.31</v>
      </c>
      <c r="K602" s="9">
        <f>ROUND(H602*I602*J602, 2)</f>
        <v/>
      </c>
      <c r="L602" s="23">
        <f>ROUND(K602/1000, 3)</f>
        <v/>
      </c>
      <c r="M602" s="8" t="n"/>
      <c r="N602" s="6" t="n"/>
      <c r="O602" s="24">
        <f>IF(AND(E602&lt;=10, F602&lt;&gt;"ASTM A416", INT(P602/20)&gt;INT(P601/20)), "TN Ø10 (Lần " &amp; INT(P602/20) &amp; ")", IF(AND(E602=12, INT(Q602/20)&gt;INT(Q601/20)), "TN Ø12 (Lần " &amp; INT(Q602/20) &amp; ")", IF(AND(E602=14, INT(R602/20)&gt;INT(R601/20)), "TN Ø14 (Lần " &amp; INT(R602/20) &amp; ")", IF(AND(E602=16, INT(S602/20)&gt;INT(S601/20)), "TN Ø16 (Lần " &amp; INT(S602/20) &amp; ")", IF(AND(E602=18, INT(T602/20)&gt;INT(T601/20)), "TN Ø18 (Lần " &amp; INT(T602/20) &amp; ")", IF(AND(E602=20, INT(U602/20)&gt;INT(U601/20)), "TN Ø20 (Lần " &amp; INT(U602/20) &amp; ")", IF(AND(E602=22, INT(V602/20)&gt;INT(V601/20)), "TN Ø22 (Lần " &amp; INT(V602/20) &amp; ")", IF(AND(E602=25, INT(W602/20)&gt;INT(W601/20)), "TN Ø25 (Lần " &amp; INT(W602/20) &amp; ")", IF(AND(E602=28, INT(X602/20)&gt;INT(X601/20)), "TN Ø28 (Lần " &amp; INT(X602/20) &amp; ")", IF(AND(E602=32, INT(Y602/20)&gt;INT(Y601/20)), "TN Ø32 (Lần " &amp; INT(Y602/20) &amp; ")", IF(AND(F602="ASTM A416", INT(Z602/20)&gt;INT(Z601/20)), "TN Cáp 15.2 (Lần " &amp; INT(Z602/20) &amp; ")", "")))))))))))</f>
        <v/>
      </c>
      <c r="P602" s="20">
        <f>ROUND(P601 + IF(AND(E602&lt;=10, F602&lt;&gt;"ASTM A416"), L602, 0), 3)</f>
        <v/>
      </c>
      <c r="Q602" s="20">
        <f>ROUND(Q601 + IF(AND(E602=12, F602&lt;&gt;"ASTM A416"), L602, 0), 3)</f>
        <v/>
      </c>
      <c r="R602" s="20">
        <f>ROUND(R601 + IF(AND(E602=14, F602&lt;&gt;"ASTM A416"), L602, 0), 3)</f>
        <v/>
      </c>
      <c r="S602" s="20">
        <f>ROUND(S601 + IF(AND(E602=16, F602&lt;&gt;"ASTM A416"), L602, 0), 3)</f>
        <v/>
      </c>
      <c r="T602" s="20">
        <f>ROUND(T601 + IF(AND(E602=18, F602&lt;&gt;"ASTM A416"), L602, 0), 3)</f>
        <v/>
      </c>
      <c r="U602" s="20">
        <f>ROUND(U601 + IF(AND(E602=20, F602&lt;&gt;"ASTM A416"), L602, 0), 3)</f>
        <v/>
      </c>
      <c r="V602" s="20">
        <f>ROUND(V601 + IF(AND(E602=22, F602&lt;&gt;"ASTM A416"), L602, 0), 3)</f>
        <v/>
      </c>
      <c r="W602" s="20">
        <f>ROUND(W601 + IF(AND(E602=25, F602&lt;&gt;"ASTM A416"), L602, 0), 3)</f>
        <v/>
      </c>
      <c r="X602" s="20">
        <f>ROUND(X601 + IF(AND(E602=28, F602&lt;&gt;"ASTM A416"), L602, 0), 3)</f>
        <v/>
      </c>
      <c r="Y602" s="20">
        <f>ROUND(Y601 + IF(AND(E602=32, F602&lt;&gt;"ASTM A416"), L602, 0), 3)</f>
        <v/>
      </c>
      <c r="Z602" s="20">
        <f>ROUND(Z601 + IF(F602="ASTM A416", L602, 0), 3)</f>
        <v/>
      </c>
      <c r="AA602" s="11">
        <f>IF(INT(P602/20)&gt;INT(P601/20), "Lần " &amp; INT(P602/20), "")</f>
        <v/>
      </c>
      <c r="AB602" s="11">
        <f>IF(INT(Q602/20)&gt;INT(Q601/20), "Lần " &amp; INT(Q602/20), "")</f>
        <v/>
      </c>
      <c r="AC602" s="11">
        <f>IF(INT(R602/20)&gt;INT(R601/20), "Lần " &amp; INT(R602/20), "")</f>
        <v/>
      </c>
      <c r="AD602" s="11">
        <f>IF(INT(S602/20)&gt;INT(S601/20), "Lần " &amp; INT(S602/20), "")</f>
        <v/>
      </c>
      <c r="AE602" s="11">
        <f>IF(INT(T602/20)&gt;INT(T601/20), "Lần " &amp; INT(T602/20), "")</f>
        <v/>
      </c>
      <c r="AF602" s="11">
        <f>IF(INT(U602/20)&gt;INT(U601/20), "Lần " &amp; INT(U602/20), "")</f>
        <v/>
      </c>
      <c r="AG602" s="11">
        <f>IF(INT(V602/20)&gt;INT(V601/20), "Lần " &amp; INT(V602/20), "")</f>
        <v/>
      </c>
      <c r="AH602" s="11">
        <f>IF(INT(W602/20)&gt;INT(W601/20), "Lần " &amp; INT(W602/20), "")</f>
        <v/>
      </c>
      <c r="AI602" s="11">
        <f>IF(INT(X602/20)&gt;INT(X601/20), "Lần " &amp; INT(X602/20), "")</f>
        <v/>
      </c>
      <c r="AJ602" s="11">
        <f>IF(INT(Y602/20)&gt;INT(Y601/20), "Lần " &amp; INT(Y602/20), "")</f>
        <v/>
      </c>
      <c r="AK602" s="11">
        <f>IF(INT(Z602/20)&gt;INT(Z601/20), "Lần " &amp; INT(Z602/20), "")</f>
        <v/>
      </c>
      <c r="AL602" s="6" t="inlineStr">
        <is>
          <t>ĐẠT TCVN 1651:2018</t>
        </is>
      </c>
    </row>
    <row r="603" ht="19" customHeight="1">
      <c r="A603" s="6" t="n">
        <v>572</v>
      </c>
      <c r="B603" s="7" t="inlineStr">
        <is>
          <t>Trụ T1 (Thân trụ)</t>
        </is>
      </c>
      <c r="C603" s="7" t="inlineStr">
        <is>
          <t>Thân trụ đặc</t>
        </is>
      </c>
      <c r="D603" s="18" t="inlineStr">
        <is>
          <t>T2a</t>
        </is>
      </c>
      <c r="E603" s="19" t="n">
        <v>16</v>
      </c>
      <c r="F603" s="6" t="inlineStr">
        <is>
          <t>CB400-V</t>
        </is>
      </c>
      <c r="G603" s="7" t="inlineStr">
        <is>
          <t>S07</t>
        </is>
      </c>
      <c r="H603" s="20" t="n">
        <v>5.352</v>
      </c>
      <c r="I603" s="21" t="n">
        <v>176</v>
      </c>
      <c r="J603" s="22" t="n">
        <v>1.58</v>
      </c>
      <c r="K603" s="9">
        <f>ROUND(H603*I603*J603, 2)</f>
        <v/>
      </c>
      <c r="L603" s="23">
        <f>ROUND(K603/1000, 3)</f>
        <v/>
      </c>
      <c r="M603" s="8" t="n"/>
      <c r="N603" s="6" t="n"/>
      <c r="O603" s="24">
        <f>IF(AND(E603&lt;=10, F603&lt;&gt;"ASTM A416", INT(P603/20)&gt;INT(P602/20)), "TN Ø10 (Lần " &amp; INT(P603/20) &amp; ")", IF(AND(E603=12, INT(Q603/20)&gt;INT(Q602/20)), "TN Ø12 (Lần " &amp; INT(Q603/20) &amp; ")", IF(AND(E603=14, INT(R603/20)&gt;INT(R602/20)), "TN Ø14 (Lần " &amp; INT(R603/20) &amp; ")", IF(AND(E603=16, INT(S603/20)&gt;INT(S602/20)), "TN Ø16 (Lần " &amp; INT(S603/20) &amp; ")", IF(AND(E603=18, INT(T603/20)&gt;INT(T602/20)), "TN Ø18 (Lần " &amp; INT(T603/20) &amp; ")", IF(AND(E603=20, INT(U603/20)&gt;INT(U602/20)), "TN Ø20 (Lần " &amp; INT(U603/20) &amp; ")", IF(AND(E603=22, INT(V603/20)&gt;INT(V602/20)), "TN Ø22 (Lần " &amp; INT(V603/20) &amp; ")", IF(AND(E603=25, INT(W603/20)&gt;INT(W602/20)), "TN Ø25 (Lần " &amp; INT(W603/20) &amp; ")", IF(AND(E603=28, INT(X603/20)&gt;INT(X602/20)), "TN Ø28 (Lần " &amp; INT(X603/20) &amp; ")", IF(AND(E603=32, INT(Y603/20)&gt;INT(Y602/20)), "TN Ø32 (Lần " &amp; INT(Y603/20) &amp; ")", IF(AND(F603="ASTM A416", INT(Z603/20)&gt;INT(Z602/20)), "TN Cáp 15.2 (Lần " &amp; INT(Z603/20) &amp; ")", "")))))))))))</f>
        <v/>
      </c>
      <c r="P603" s="20">
        <f>ROUND(P602 + IF(AND(E603&lt;=10, F603&lt;&gt;"ASTM A416"), L603, 0), 3)</f>
        <v/>
      </c>
      <c r="Q603" s="20">
        <f>ROUND(Q602 + IF(AND(E603=12, F603&lt;&gt;"ASTM A416"), L603, 0), 3)</f>
        <v/>
      </c>
      <c r="R603" s="20">
        <f>ROUND(R602 + IF(AND(E603=14, F603&lt;&gt;"ASTM A416"), L603, 0), 3)</f>
        <v/>
      </c>
      <c r="S603" s="20">
        <f>ROUND(S602 + IF(AND(E603=16, F603&lt;&gt;"ASTM A416"), L603, 0), 3)</f>
        <v/>
      </c>
      <c r="T603" s="20">
        <f>ROUND(T602 + IF(AND(E603=18, F603&lt;&gt;"ASTM A416"), L603, 0), 3)</f>
        <v/>
      </c>
      <c r="U603" s="20">
        <f>ROUND(U602 + IF(AND(E603=20, F603&lt;&gt;"ASTM A416"), L603, 0), 3)</f>
        <v/>
      </c>
      <c r="V603" s="20">
        <f>ROUND(V602 + IF(AND(E603=22, F603&lt;&gt;"ASTM A416"), L603, 0), 3)</f>
        <v/>
      </c>
      <c r="W603" s="20">
        <f>ROUND(W602 + IF(AND(E603=25, F603&lt;&gt;"ASTM A416"), L603, 0), 3)</f>
        <v/>
      </c>
      <c r="X603" s="20">
        <f>ROUND(X602 + IF(AND(E603=28, F603&lt;&gt;"ASTM A416"), L603, 0), 3)</f>
        <v/>
      </c>
      <c r="Y603" s="20">
        <f>ROUND(Y602 + IF(AND(E603=32, F603&lt;&gt;"ASTM A416"), L603, 0), 3)</f>
        <v/>
      </c>
      <c r="Z603" s="20">
        <f>ROUND(Z602 + IF(F603="ASTM A416", L603, 0), 3)</f>
        <v/>
      </c>
      <c r="AA603" s="11">
        <f>IF(INT(P603/20)&gt;INT(P602/20), "Lần " &amp; INT(P603/20), "")</f>
        <v/>
      </c>
      <c r="AB603" s="11">
        <f>IF(INT(Q603/20)&gt;INT(Q602/20), "Lần " &amp; INT(Q603/20), "")</f>
        <v/>
      </c>
      <c r="AC603" s="11">
        <f>IF(INT(R603/20)&gt;INT(R602/20), "Lần " &amp; INT(R603/20), "")</f>
        <v/>
      </c>
      <c r="AD603" s="11">
        <f>IF(INT(S603/20)&gt;INT(S602/20), "Lần " &amp; INT(S603/20), "")</f>
        <v/>
      </c>
      <c r="AE603" s="11">
        <f>IF(INT(T603/20)&gt;INT(T602/20), "Lần " &amp; INT(T603/20), "")</f>
        <v/>
      </c>
      <c r="AF603" s="11">
        <f>IF(INT(U603/20)&gt;INT(U602/20), "Lần " &amp; INT(U603/20), "")</f>
        <v/>
      </c>
      <c r="AG603" s="11">
        <f>IF(INT(V603/20)&gt;INT(V602/20), "Lần " &amp; INT(V603/20), "")</f>
        <v/>
      </c>
      <c r="AH603" s="11">
        <f>IF(INT(W603/20)&gt;INT(W602/20), "Lần " &amp; INT(W603/20), "")</f>
        <v/>
      </c>
      <c r="AI603" s="11">
        <f>IF(INT(X603/20)&gt;INT(X602/20), "Lần " &amp; INT(X603/20), "")</f>
        <v/>
      </c>
      <c r="AJ603" s="11">
        <f>IF(INT(Y603/20)&gt;INT(Y602/20), "Lần " &amp; INT(Y603/20), "")</f>
        <v/>
      </c>
      <c r="AK603" s="11">
        <f>IF(INT(Z603/20)&gt;INT(Z602/20), "Lần " &amp; INT(Z603/20), "")</f>
        <v/>
      </c>
      <c r="AL603" s="6" t="inlineStr">
        <is>
          <t>ĐẠT TCVN 1651:2018</t>
        </is>
      </c>
    </row>
    <row r="604" ht="19" customHeight="1">
      <c r="A604" s="6" t="n">
        <v>573</v>
      </c>
      <c r="B604" s="7" t="inlineStr">
        <is>
          <t>Trụ T1 (Thân trụ)</t>
        </is>
      </c>
      <c r="C604" s="7" t="inlineStr">
        <is>
          <t>Thân trụ đặc</t>
        </is>
      </c>
      <c r="D604" s="18" t="inlineStr">
        <is>
          <t>T3a</t>
        </is>
      </c>
      <c r="E604" s="19" t="n">
        <v>16</v>
      </c>
      <c r="F604" s="6" t="inlineStr">
        <is>
          <t>CB400-V</t>
        </is>
      </c>
      <c r="G604" s="7" t="inlineStr">
        <is>
          <t>S51</t>
        </is>
      </c>
      <c r="H604" s="20" t="n">
        <v>6.806</v>
      </c>
      <c r="I604" s="21" t="n">
        <v>176</v>
      </c>
      <c r="J604" s="22" t="n">
        <v>1.58</v>
      </c>
      <c r="K604" s="9">
        <f>ROUND(H604*I604*J604, 2)</f>
        <v/>
      </c>
      <c r="L604" s="23">
        <f>ROUND(K604/1000, 3)</f>
        <v/>
      </c>
      <c r="M604" s="8" t="n"/>
      <c r="N604" s="6" t="n"/>
      <c r="O604" s="24">
        <f>IF(AND(E604&lt;=10, F604&lt;&gt;"ASTM A416", INT(P604/20)&gt;INT(P603/20)), "TN Ø10 (Lần " &amp; INT(P604/20) &amp; ")", IF(AND(E604=12, INT(Q604/20)&gt;INT(Q603/20)), "TN Ø12 (Lần " &amp; INT(Q604/20) &amp; ")", IF(AND(E604=14, INT(R604/20)&gt;INT(R603/20)), "TN Ø14 (Lần " &amp; INT(R604/20) &amp; ")", IF(AND(E604=16, INT(S604/20)&gt;INT(S603/20)), "TN Ø16 (Lần " &amp; INT(S604/20) &amp; ")", IF(AND(E604=18, INT(T604/20)&gt;INT(T603/20)), "TN Ø18 (Lần " &amp; INT(T604/20) &amp; ")", IF(AND(E604=20, INT(U604/20)&gt;INT(U603/20)), "TN Ø20 (Lần " &amp; INT(U604/20) &amp; ")", IF(AND(E604=22, INT(V604/20)&gt;INT(V603/20)), "TN Ø22 (Lần " &amp; INT(V604/20) &amp; ")", IF(AND(E604=25, INT(W604/20)&gt;INT(W603/20)), "TN Ø25 (Lần " &amp; INT(W604/20) &amp; ")", IF(AND(E604=28, INT(X604/20)&gt;INT(X603/20)), "TN Ø28 (Lần " &amp; INT(X604/20) &amp; ")", IF(AND(E604=32, INT(Y604/20)&gt;INT(Y603/20)), "TN Ø32 (Lần " &amp; INT(Y604/20) &amp; ")", IF(AND(F604="ASTM A416", INT(Z604/20)&gt;INT(Z603/20)), "TN Cáp 15.2 (Lần " &amp; INT(Z604/20) &amp; ")", "")))))))))))</f>
        <v/>
      </c>
      <c r="P604" s="20">
        <f>ROUND(P603 + IF(AND(E604&lt;=10, F604&lt;&gt;"ASTM A416"), L604, 0), 3)</f>
        <v/>
      </c>
      <c r="Q604" s="20">
        <f>ROUND(Q603 + IF(AND(E604=12, F604&lt;&gt;"ASTM A416"), L604, 0), 3)</f>
        <v/>
      </c>
      <c r="R604" s="20">
        <f>ROUND(R603 + IF(AND(E604=14, F604&lt;&gt;"ASTM A416"), L604, 0), 3)</f>
        <v/>
      </c>
      <c r="S604" s="20">
        <f>ROUND(S603 + IF(AND(E604=16, F604&lt;&gt;"ASTM A416"), L604, 0), 3)</f>
        <v/>
      </c>
      <c r="T604" s="20">
        <f>ROUND(T603 + IF(AND(E604=18, F604&lt;&gt;"ASTM A416"), L604, 0), 3)</f>
        <v/>
      </c>
      <c r="U604" s="20">
        <f>ROUND(U603 + IF(AND(E604=20, F604&lt;&gt;"ASTM A416"), L604, 0), 3)</f>
        <v/>
      </c>
      <c r="V604" s="20">
        <f>ROUND(V603 + IF(AND(E604=22, F604&lt;&gt;"ASTM A416"), L604, 0), 3)</f>
        <v/>
      </c>
      <c r="W604" s="20">
        <f>ROUND(W603 + IF(AND(E604=25, F604&lt;&gt;"ASTM A416"), L604, 0), 3)</f>
        <v/>
      </c>
      <c r="X604" s="20">
        <f>ROUND(X603 + IF(AND(E604=28, F604&lt;&gt;"ASTM A416"), L604, 0), 3)</f>
        <v/>
      </c>
      <c r="Y604" s="20">
        <f>ROUND(Y603 + IF(AND(E604=32, F604&lt;&gt;"ASTM A416"), L604, 0), 3)</f>
        <v/>
      </c>
      <c r="Z604" s="20">
        <f>ROUND(Z603 + IF(F604="ASTM A416", L604, 0), 3)</f>
        <v/>
      </c>
      <c r="AA604" s="11">
        <f>IF(INT(P604/20)&gt;INT(P603/20), "Lần " &amp; INT(P604/20), "")</f>
        <v/>
      </c>
      <c r="AB604" s="11">
        <f>IF(INT(Q604/20)&gt;INT(Q603/20), "Lần " &amp; INT(Q604/20), "")</f>
        <v/>
      </c>
      <c r="AC604" s="11">
        <f>IF(INT(R604/20)&gt;INT(R603/20), "Lần " &amp; INT(R604/20), "")</f>
        <v/>
      </c>
      <c r="AD604" s="11">
        <f>IF(INT(S604/20)&gt;INT(S603/20), "Lần " &amp; INT(S604/20), "")</f>
        <v/>
      </c>
      <c r="AE604" s="11">
        <f>IF(INT(T604/20)&gt;INT(T603/20), "Lần " &amp; INT(T604/20), "")</f>
        <v/>
      </c>
      <c r="AF604" s="11">
        <f>IF(INT(U604/20)&gt;INT(U603/20), "Lần " &amp; INT(U604/20), "")</f>
        <v/>
      </c>
      <c r="AG604" s="11">
        <f>IF(INT(V604/20)&gt;INT(V603/20), "Lần " &amp; INT(V604/20), "")</f>
        <v/>
      </c>
      <c r="AH604" s="11">
        <f>IF(INT(W604/20)&gt;INT(W603/20), "Lần " &amp; INT(W604/20), "")</f>
        <v/>
      </c>
      <c r="AI604" s="11">
        <f>IF(INT(X604/20)&gt;INT(X603/20), "Lần " &amp; INT(X604/20), "")</f>
        <v/>
      </c>
      <c r="AJ604" s="11">
        <f>IF(INT(Y604/20)&gt;INT(Y603/20), "Lần " &amp; INT(Y604/20), "")</f>
        <v/>
      </c>
      <c r="AK604" s="11">
        <f>IF(INT(Z604/20)&gt;INT(Z603/20), "Lần " &amp; INT(Z604/20), "")</f>
        <v/>
      </c>
      <c r="AL604" s="6" t="inlineStr">
        <is>
          <t>ĐẠT TCVN 1651:2018</t>
        </is>
      </c>
    </row>
    <row r="605" ht="19" customHeight="1">
      <c r="A605" s="6" t="n">
        <v>574</v>
      </c>
      <c r="B605" s="7" t="inlineStr">
        <is>
          <t>Trụ T1 (Thân trụ)</t>
        </is>
      </c>
      <c r="C605" s="7" t="inlineStr">
        <is>
          <t>Thân trụ đặc</t>
        </is>
      </c>
      <c r="D605" s="18" t="inlineStr">
        <is>
          <t>T4a</t>
        </is>
      </c>
      <c r="E605" s="19" t="n">
        <v>16</v>
      </c>
      <c r="F605" s="6" t="inlineStr">
        <is>
          <t>CB400-V</t>
        </is>
      </c>
      <c r="G605" s="7" t="inlineStr">
        <is>
          <t>S06</t>
        </is>
      </c>
      <c r="H605" s="20" t="n">
        <v>5.332</v>
      </c>
      <c r="I605" s="21" t="n">
        <v>20</v>
      </c>
      <c r="J605" s="22" t="n">
        <v>1.58</v>
      </c>
      <c r="K605" s="9">
        <f>ROUND(H605*I605*J605, 2)</f>
        <v/>
      </c>
      <c r="L605" s="23">
        <f>ROUND(K605/1000, 3)</f>
        <v/>
      </c>
      <c r="M605" s="8" t="n"/>
      <c r="N605" s="6" t="n"/>
      <c r="O605" s="24">
        <f>IF(AND(E605&lt;=10, F605&lt;&gt;"ASTM A416", INT(P605/20)&gt;INT(P604/20)), "TN Ø10 (Lần " &amp; INT(P605/20) &amp; ")", IF(AND(E605=12, INT(Q605/20)&gt;INT(Q604/20)), "TN Ø12 (Lần " &amp; INT(Q605/20) &amp; ")", IF(AND(E605=14, INT(R605/20)&gt;INT(R604/20)), "TN Ø14 (Lần " &amp; INT(R605/20) &amp; ")", IF(AND(E605=16, INT(S605/20)&gt;INT(S604/20)), "TN Ø16 (Lần " &amp; INT(S605/20) &amp; ")", IF(AND(E605=18, INT(T605/20)&gt;INT(T604/20)), "TN Ø18 (Lần " &amp; INT(T605/20) &amp; ")", IF(AND(E605=20, INT(U605/20)&gt;INT(U604/20)), "TN Ø20 (Lần " &amp; INT(U605/20) &amp; ")", IF(AND(E605=22, INT(V605/20)&gt;INT(V604/20)), "TN Ø22 (Lần " &amp; INT(V605/20) &amp; ")", IF(AND(E605=25, INT(W605/20)&gt;INT(W604/20)), "TN Ø25 (Lần " &amp; INT(W605/20) &amp; ")", IF(AND(E605=28, INT(X605/20)&gt;INT(X604/20)), "TN Ø28 (Lần " &amp; INT(X605/20) &amp; ")", IF(AND(E605=32, INT(Y605/20)&gt;INT(Y604/20)), "TN Ø32 (Lần " &amp; INT(Y605/20) &amp; ")", IF(AND(F605="ASTM A416", INT(Z605/20)&gt;INT(Z604/20)), "TN Cáp 15.2 (Lần " &amp; INT(Z605/20) &amp; ")", "")))))))))))</f>
        <v/>
      </c>
      <c r="P605" s="20">
        <f>ROUND(P604 + IF(AND(E605&lt;=10, F605&lt;&gt;"ASTM A416"), L605, 0), 3)</f>
        <v/>
      </c>
      <c r="Q605" s="20">
        <f>ROUND(Q604 + IF(AND(E605=12, F605&lt;&gt;"ASTM A416"), L605, 0), 3)</f>
        <v/>
      </c>
      <c r="R605" s="20">
        <f>ROUND(R604 + IF(AND(E605=14, F605&lt;&gt;"ASTM A416"), L605, 0), 3)</f>
        <v/>
      </c>
      <c r="S605" s="20">
        <f>ROUND(S604 + IF(AND(E605=16, F605&lt;&gt;"ASTM A416"), L605, 0), 3)</f>
        <v/>
      </c>
      <c r="T605" s="20">
        <f>ROUND(T604 + IF(AND(E605=18, F605&lt;&gt;"ASTM A416"), L605, 0), 3)</f>
        <v/>
      </c>
      <c r="U605" s="20">
        <f>ROUND(U604 + IF(AND(E605=20, F605&lt;&gt;"ASTM A416"), L605, 0), 3)</f>
        <v/>
      </c>
      <c r="V605" s="20">
        <f>ROUND(V604 + IF(AND(E605=22, F605&lt;&gt;"ASTM A416"), L605, 0), 3)</f>
        <v/>
      </c>
      <c r="W605" s="20">
        <f>ROUND(W604 + IF(AND(E605=25, F605&lt;&gt;"ASTM A416"), L605, 0), 3)</f>
        <v/>
      </c>
      <c r="X605" s="20">
        <f>ROUND(X604 + IF(AND(E605=28, F605&lt;&gt;"ASTM A416"), L605, 0), 3)</f>
        <v/>
      </c>
      <c r="Y605" s="20">
        <f>ROUND(Y604 + IF(AND(E605=32, F605&lt;&gt;"ASTM A416"), L605, 0), 3)</f>
        <v/>
      </c>
      <c r="Z605" s="20">
        <f>ROUND(Z604 + IF(F605="ASTM A416", L605, 0), 3)</f>
        <v/>
      </c>
      <c r="AA605" s="11">
        <f>IF(INT(P605/20)&gt;INT(P604/20), "Lần " &amp; INT(P605/20), "")</f>
        <v/>
      </c>
      <c r="AB605" s="11">
        <f>IF(INT(Q605/20)&gt;INT(Q604/20), "Lần " &amp; INT(Q605/20), "")</f>
        <v/>
      </c>
      <c r="AC605" s="11">
        <f>IF(INT(R605/20)&gt;INT(R604/20), "Lần " &amp; INT(R605/20), "")</f>
        <v/>
      </c>
      <c r="AD605" s="11">
        <f>IF(INT(S605/20)&gt;INT(S604/20), "Lần " &amp; INT(S605/20), "")</f>
        <v/>
      </c>
      <c r="AE605" s="11">
        <f>IF(INT(T605/20)&gt;INT(T604/20), "Lần " &amp; INT(T605/20), "")</f>
        <v/>
      </c>
      <c r="AF605" s="11">
        <f>IF(INT(U605/20)&gt;INT(U604/20), "Lần " &amp; INT(U605/20), "")</f>
        <v/>
      </c>
      <c r="AG605" s="11">
        <f>IF(INT(V605/20)&gt;INT(V604/20), "Lần " &amp; INT(V605/20), "")</f>
        <v/>
      </c>
      <c r="AH605" s="11">
        <f>IF(INT(W605/20)&gt;INT(W604/20), "Lần " &amp; INT(W605/20), "")</f>
        <v/>
      </c>
      <c r="AI605" s="11">
        <f>IF(INT(X605/20)&gt;INT(X604/20), "Lần " &amp; INT(X605/20), "")</f>
        <v/>
      </c>
      <c r="AJ605" s="11">
        <f>IF(INT(Y605/20)&gt;INT(Y604/20), "Lần " &amp; INT(Y605/20), "")</f>
        <v/>
      </c>
      <c r="AK605" s="11">
        <f>IF(INT(Z605/20)&gt;INT(Z604/20), "Lần " &amp; INT(Z605/20), "")</f>
        <v/>
      </c>
      <c r="AL605" s="6" t="inlineStr">
        <is>
          <t>ĐẠT TCVN 1651:2018</t>
        </is>
      </c>
    </row>
    <row r="606" ht="19" customHeight="1">
      <c r="A606" s="6" t="n">
        <v>575</v>
      </c>
      <c r="B606" s="7" t="inlineStr">
        <is>
          <t>Trụ T1 (Thân trụ)</t>
        </is>
      </c>
      <c r="C606" s="7" t="inlineStr">
        <is>
          <t>Thân trụ đặc</t>
        </is>
      </c>
      <c r="D606" s="18" t="inlineStr">
        <is>
          <t>T4a1</t>
        </is>
      </c>
      <c r="E606" s="19" t="n">
        <v>16</v>
      </c>
      <c r="F606" s="6" t="inlineStr">
        <is>
          <t>CB400-V</t>
        </is>
      </c>
      <c r="G606" s="7" t="inlineStr">
        <is>
          <t>S06</t>
        </is>
      </c>
      <c r="H606" s="20" t="n">
        <v>5.102</v>
      </c>
      <c r="I606" s="21" t="n">
        <v>40</v>
      </c>
      <c r="J606" s="22" t="n">
        <v>1.58</v>
      </c>
      <c r="K606" s="9">
        <f>ROUND(H606*I606*J606, 2)</f>
        <v/>
      </c>
      <c r="L606" s="23">
        <f>ROUND(K606/1000, 3)</f>
        <v/>
      </c>
      <c r="M606" s="8" t="n"/>
      <c r="N606" s="6" t="n"/>
      <c r="O606" s="24">
        <f>IF(AND(E606&lt;=10, F606&lt;&gt;"ASTM A416", INT(P606/20)&gt;INT(P605/20)), "TN Ø10 (Lần " &amp; INT(P606/20) &amp; ")", IF(AND(E606=12, INT(Q606/20)&gt;INT(Q605/20)), "TN Ø12 (Lần " &amp; INT(Q606/20) &amp; ")", IF(AND(E606=14, INT(R606/20)&gt;INT(R605/20)), "TN Ø14 (Lần " &amp; INT(R606/20) &amp; ")", IF(AND(E606=16, INT(S606/20)&gt;INT(S605/20)), "TN Ø16 (Lần " &amp; INT(S606/20) &amp; ")", IF(AND(E606=18, INT(T606/20)&gt;INT(T605/20)), "TN Ø18 (Lần " &amp; INT(T606/20) &amp; ")", IF(AND(E606=20, INT(U606/20)&gt;INT(U605/20)), "TN Ø20 (Lần " &amp; INT(U606/20) &amp; ")", IF(AND(E606=22, INT(V606/20)&gt;INT(V605/20)), "TN Ø22 (Lần " &amp; INT(V606/20) &amp; ")", IF(AND(E606=25, INT(W606/20)&gt;INT(W605/20)), "TN Ø25 (Lần " &amp; INT(W606/20) &amp; ")", IF(AND(E606=28, INT(X606/20)&gt;INT(X605/20)), "TN Ø28 (Lần " &amp; INT(X606/20) &amp; ")", IF(AND(E606=32, INT(Y606/20)&gt;INT(Y605/20)), "TN Ø32 (Lần " &amp; INT(Y606/20) &amp; ")", IF(AND(F606="ASTM A416", INT(Z606/20)&gt;INT(Z605/20)), "TN Cáp 15.2 (Lần " &amp; INT(Z606/20) &amp; ")", "")))))))))))</f>
        <v/>
      </c>
      <c r="P606" s="20">
        <f>ROUND(P605 + IF(AND(E606&lt;=10, F606&lt;&gt;"ASTM A416"), L606, 0), 3)</f>
        <v/>
      </c>
      <c r="Q606" s="20">
        <f>ROUND(Q605 + IF(AND(E606=12, F606&lt;&gt;"ASTM A416"), L606, 0), 3)</f>
        <v/>
      </c>
      <c r="R606" s="20">
        <f>ROUND(R605 + IF(AND(E606=14, F606&lt;&gt;"ASTM A416"), L606, 0), 3)</f>
        <v/>
      </c>
      <c r="S606" s="20">
        <f>ROUND(S605 + IF(AND(E606=16, F606&lt;&gt;"ASTM A416"), L606, 0), 3)</f>
        <v/>
      </c>
      <c r="T606" s="20">
        <f>ROUND(T605 + IF(AND(E606=18, F606&lt;&gt;"ASTM A416"), L606, 0), 3)</f>
        <v/>
      </c>
      <c r="U606" s="20">
        <f>ROUND(U605 + IF(AND(E606=20, F606&lt;&gt;"ASTM A416"), L606, 0), 3)</f>
        <v/>
      </c>
      <c r="V606" s="20">
        <f>ROUND(V605 + IF(AND(E606=22, F606&lt;&gt;"ASTM A416"), L606, 0), 3)</f>
        <v/>
      </c>
      <c r="W606" s="20">
        <f>ROUND(W605 + IF(AND(E606=25, F606&lt;&gt;"ASTM A416"), L606, 0), 3)</f>
        <v/>
      </c>
      <c r="X606" s="20">
        <f>ROUND(X605 + IF(AND(E606=28, F606&lt;&gt;"ASTM A416"), L606, 0), 3)</f>
        <v/>
      </c>
      <c r="Y606" s="20">
        <f>ROUND(Y605 + IF(AND(E606=32, F606&lt;&gt;"ASTM A416"), L606, 0), 3)</f>
        <v/>
      </c>
      <c r="Z606" s="20">
        <f>ROUND(Z605 + IF(F606="ASTM A416", L606, 0), 3)</f>
        <v/>
      </c>
      <c r="AA606" s="11">
        <f>IF(INT(P606/20)&gt;INT(P605/20), "Lần " &amp; INT(P606/20), "")</f>
        <v/>
      </c>
      <c r="AB606" s="11">
        <f>IF(INT(Q606/20)&gt;INT(Q605/20), "Lần " &amp; INT(Q606/20), "")</f>
        <v/>
      </c>
      <c r="AC606" s="11">
        <f>IF(INT(R606/20)&gt;INT(R605/20), "Lần " &amp; INT(R606/20), "")</f>
        <v/>
      </c>
      <c r="AD606" s="11">
        <f>IF(INT(S606/20)&gt;INT(S605/20), "Lần " &amp; INT(S606/20), "")</f>
        <v/>
      </c>
      <c r="AE606" s="11">
        <f>IF(INT(T606/20)&gt;INT(T605/20), "Lần " &amp; INT(T606/20), "")</f>
        <v/>
      </c>
      <c r="AF606" s="11">
        <f>IF(INT(U606/20)&gt;INT(U605/20), "Lần " &amp; INT(U606/20), "")</f>
        <v/>
      </c>
      <c r="AG606" s="11">
        <f>IF(INT(V606/20)&gt;INT(V605/20), "Lần " &amp; INT(V606/20), "")</f>
        <v/>
      </c>
      <c r="AH606" s="11">
        <f>IF(INT(W606/20)&gt;INT(W605/20), "Lần " &amp; INT(W606/20), "")</f>
        <v/>
      </c>
      <c r="AI606" s="11">
        <f>IF(INT(X606/20)&gt;INT(X605/20), "Lần " &amp; INT(X606/20), "")</f>
        <v/>
      </c>
      <c r="AJ606" s="11">
        <f>IF(INT(Y606/20)&gt;INT(Y605/20), "Lần " &amp; INT(Y606/20), "")</f>
        <v/>
      </c>
      <c r="AK606" s="11">
        <f>IF(INT(Z606/20)&gt;INT(Z605/20), "Lần " &amp; INT(Z606/20), "")</f>
        <v/>
      </c>
      <c r="AL606" s="6" t="inlineStr">
        <is>
          <t>ĐẠT TCVN 1651:2018</t>
        </is>
      </c>
    </row>
    <row r="607" ht="19" customHeight="1">
      <c r="A607" s="6" t="n">
        <v>576</v>
      </c>
      <c r="B607" s="7" t="inlineStr">
        <is>
          <t>Trụ T1 (Thân trụ)</t>
        </is>
      </c>
      <c r="C607" s="7" t="inlineStr">
        <is>
          <t>th©n trô ®o¹n 2</t>
        </is>
      </c>
      <c r="D607" s="18" t="inlineStr">
        <is>
          <t>T1b</t>
        </is>
      </c>
      <c r="E607" s="19" t="n">
        <v>32</v>
      </c>
      <c r="F607" s="6" t="inlineStr">
        <is>
          <t>CB400-V</t>
        </is>
      </c>
      <c r="G607" s="7" t="inlineStr">
        <is>
          <t>S28</t>
        </is>
      </c>
      <c r="H607" s="20" t="n">
        <v>13.616</v>
      </c>
      <c r="I607" s="21" t="n">
        <v>106</v>
      </c>
      <c r="J607" s="22" t="n">
        <v>6.31</v>
      </c>
      <c r="K607" s="9">
        <f>ROUND(H607*I607*J607, 2)</f>
        <v/>
      </c>
      <c r="L607" s="23">
        <f>ROUND(K607/1000, 3)</f>
        <v/>
      </c>
      <c r="M607" s="8" t="n"/>
      <c r="N607" s="6" t="n"/>
      <c r="O607" s="24">
        <f>IF(AND(E607&lt;=10, F607&lt;&gt;"ASTM A416", INT(P607/20)&gt;INT(P606/20)), "TN Ø10 (Lần " &amp; INT(P607/20) &amp; ")", IF(AND(E607=12, INT(Q607/20)&gt;INT(Q606/20)), "TN Ø12 (Lần " &amp; INT(Q607/20) &amp; ")", IF(AND(E607=14, INT(R607/20)&gt;INT(R606/20)), "TN Ø14 (Lần " &amp; INT(R607/20) &amp; ")", IF(AND(E607=16, INT(S607/20)&gt;INT(S606/20)), "TN Ø16 (Lần " &amp; INT(S607/20) &amp; ")", IF(AND(E607=18, INT(T607/20)&gt;INT(T606/20)), "TN Ø18 (Lần " &amp; INT(T607/20) &amp; ")", IF(AND(E607=20, INT(U607/20)&gt;INT(U606/20)), "TN Ø20 (Lần " &amp; INT(U607/20) &amp; ")", IF(AND(E607=22, INT(V607/20)&gt;INT(V606/20)), "TN Ø22 (Lần " &amp; INT(V607/20) &amp; ")", IF(AND(E607=25, INT(W607/20)&gt;INT(W606/20)), "TN Ø25 (Lần " &amp; INT(W607/20) &amp; ")", IF(AND(E607=28, INT(X607/20)&gt;INT(X606/20)), "TN Ø28 (Lần " &amp; INT(X607/20) &amp; ")", IF(AND(E607=32, INT(Y607/20)&gt;INT(Y606/20)), "TN Ø32 (Lần " &amp; INT(Y607/20) &amp; ")", IF(AND(F607="ASTM A416", INT(Z607/20)&gt;INT(Z606/20)), "TN Cáp 15.2 (Lần " &amp; INT(Z607/20) &amp; ")", "")))))))))))</f>
        <v/>
      </c>
      <c r="P607" s="20">
        <f>ROUND(P606 + IF(AND(E607&lt;=10, F607&lt;&gt;"ASTM A416"), L607, 0), 3)</f>
        <v/>
      </c>
      <c r="Q607" s="20">
        <f>ROUND(Q606 + IF(AND(E607=12, F607&lt;&gt;"ASTM A416"), L607, 0), 3)</f>
        <v/>
      </c>
      <c r="R607" s="20">
        <f>ROUND(R606 + IF(AND(E607=14, F607&lt;&gt;"ASTM A416"), L607, 0), 3)</f>
        <v/>
      </c>
      <c r="S607" s="20">
        <f>ROUND(S606 + IF(AND(E607=16, F607&lt;&gt;"ASTM A416"), L607, 0), 3)</f>
        <v/>
      </c>
      <c r="T607" s="20">
        <f>ROUND(T606 + IF(AND(E607=18, F607&lt;&gt;"ASTM A416"), L607, 0), 3)</f>
        <v/>
      </c>
      <c r="U607" s="20">
        <f>ROUND(U606 + IF(AND(E607=20, F607&lt;&gt;"ASTM A416"), L607, 0), 3)</f>
        <v/>
      </c>
      <c r="V607" s="20">
        <f>ROUND(V606 + IF(AND(E607=22, F607&lt;&gt;"ASTM A416"), L607, 0), 3)</f>
        <v/>
      </c>
      <c r="W607" s="20">
        <f>ROUND(W606 + IF(AND(E607=25, F607&lt;&gt;"ASTM A416"), L607, 0), 3)</f>
        <v/>
      </c>
      <c r="X607" s="20">
        <f>ROUND(X606 + IF(AND(E607=28, F607&lt;&gt;"ASTM A416"), L607, 0), 3)</f>
        <v/>
      </c>
      <c r="Y607" s="20">
        <f>ROUND(Y606 + IF(AND(E607=32, F607&lt;&gt;"ASTM A416"), L607, 0), 3)</f>
        <v/>
      </c>
      <c r="Z607" s="20">
        <f>ROUND(Z606 + IF(F607="ASTM A416", L607, 0), 3)</f>
        <v/>
      </c>
      <c r="AA607" s="11">
        <f>IF(INT(P607/20)&gt;INT(P606/20), "Lần " &amp; INT(P607/20), "")</f>
        <v/>
      </c>
      <c r="AB607" s="11">
        <f>IF(INT(Q607/20)&gt;INT(Q606/20), "Lần " &amp; INT(Q607/20), "")</f>
        <v/>
      </c>
      <c r="AC607" s="11">
        <f>IF(INT(R607/20)&gt;INT(R606/20), "Lần " &amp; INT(R607/20), "")</f>
        <v/>
      </c>
      <c r="AD607" s="11">
        <f>IF(INT(S607/20)&gt;INT(S606/20), "Lần " &amp; INT(S607/20), "")</f>
        <v/>
      </c>
      <c r="AE607" s="11">
        <f>IF(INT(T607/20)&gt;INT(T606/20), "Lần " &amp; INT(T607/20), "")</f>
        <v/>
      </c>
      <c r="AF607" s="11">
        <f>IF(INT(U607/20)&gt;INT(U606/20), "Lần " &amp; INT(U607/20), "")</f>
        <v/>
      </c>
      <c r="AG607" s="11">
        <f>IF(INT(V607/20)&gt;INT(V606/20), "Lần " &amp; INT(V607/20), "")</f>
        <v/>
      </c>
      <c r="AH607" s="11">
        <f>IF(INT(W607/20)&gt;INT(W606/20), "Lần " &amp; INT(W607/20), "")</f>
        <v/>
      </c>
      <c r="AI607" s="11">
        <f>IF(INT(X607/20)&gt;INT(X606/20), "Lần " &amp; INT(X607/20), "")</f>
        <v/>
      </c>
      <c r="AJ607" s="11">
        <f>IF(INT(Y607/20)&gt;INT(Y606/20), "Lần " &amp; INT(Y607/20), "")</f>
        <v/>
      </c>
      <c r="AK607" s="11">
        <f>IF(INT(Z607/20)&gt;INT(Z606/20), "Lần " &amp; INT(Z607/20), "")</f>
        <v/>
      </c>
      <c r="AL607" s="6" t="inlineStr">
        <is>
          <t>ĐẠT TCVN 1651:2018</t>
        </is>
      </c>
    </row>
    <row r="608" ht="19" customHeight="1">
      <c r="A608" s="6" t="n">
        <v>577</v>
      </c>
      <c r="B608" s="7" t="inlineStr">
        <is>
          <t>Trụ T1 (Thân trụ)</t>
        </is>
      </c>
      <c r="C608" s="7" t="inlineStr">
        <is>
          <t>Thân trụ đặc</t>
        </is>
      </c>
      <c r="D608" s="18" t="inlineStr">
        <is>
          <t>T2b</t>
        </is>
      </c>
      <c r="E608" s="19" t="n">
        <v>16</v>
      </c>
      <c r="F608" s="6" t="inlineStr">
        <is>
          <t>CB400-V</t>
        </is>
      </c>
      <c r="G608" s="7" t="inlineStr">
        <is>
          <t>S07</t>
        </is>
      </c>
      <c r="H608" s="20" t="n">
        <v>6.894</v>
      </c>
      <c r="I608" s="21" t="n">
        <v>150</v>
      </c>
      <c r="J608" s="22" t="n">
        <v>1.58</v>
      </c>
      <c r="K608" s="9">
        <f>ROUND(H608*I608*J608, 2)</f>
        <v/>
      </c>
      <c r="L608" s="23">
        <f>ROUND(K608/1000, 3)</f>
        <v/>
      </c>
      <c r="M608" s="8" t="n"/>
      <c r="N608" s="6" t="n"/>
      <c r="O608" s="24">
        <f>IF(AND(E608&lt;=10, F608&lt;&gt;"ASTM A416", INT(P608/20)&gt;INT(P607/20)), "TN Ø10 (Lần " &amp; INT(P608/20) &amp; ")", IF(AND(E608=12, INT(Q608/20)&gt;INT(Q607/20)), "TN Ø12 (Lần " &amp; INT(Q608/20) &amp; ")", IF(AND(E608=14, INT(R608/20)&gt;INT(R607/20)), "TN Ø14 (Lần " &amp; INT(R608/20) &amp; ")", IF(AND(E608=16, INT(S608/20)&gt;INT(S607/20)), "TN Ø16 (Lần " &amp; INT(S608/20) &amp; ")", IF(AND(E608=18, INT(T608/20)&gt;INT(T607/20)), "TN Ø18 (Lần " &amp; INT(T608/20) &amp; ")", IF(AND(E608=20, INT(U608/20)&gt;INT(U607/20)), "TN Ø20 (Lần " &amp; INT(U608/20) &amp; ")", IF(AND(E608=22, INT(V608/20)&gt;INT(V607/20)), "TN Ø22 (Lần " &amp; INT(V608/20) &amp; ")", IF(AND(E608=25, INT(W608/20)&gt;INT(W607/20)), "TN Ø25 (Lần " &amp; INT(W608/20) &amp; ")", IF(AND(E608=28, INT(X608/20)&gt;INT(X607/20)), "TN Ø28 (Lần " &amp; INT(X608/20) &amp; ")", IF(AND(E608=32, INT(Y608/20)&gt;INT(Y607/20)), "TN Ø32 (Lần " &amp; INT(Y608/20) &amp; ")", IF(AND(F608="ASTM A416", INT(Z608/20)&gt;INT(Z607/20)), "TN Cáp 15.2 (Lần " &amp; INT(Z608/20) &amp; ")", "")))))))))))</f>
        <v/>
      </c>
      <c r="P608" s="20">
        <f>ROUND(P607 + IF(AND(E608&lt;=10, F608&lt;&gt;"ASTM A416"), L608, 0), 3)</f>
        <v/>
      </c>
      <c r="Q608" s="20">
        <f>ROUND(Q607 + IF(AND(E608=12, F608&lt;&gt;"ASTM A416"), L608, 0), 3)</f>
        <v/>
      </c>
      <c r="R608" s="20">
        <f>ROUND(R607 + IF(AND(E608=14, F608&lt;&gt;"ASTM A416"), L608, 0), 3)</f>
        <v/>
      </c>
      <c r="S608" s="20">
        <f>ROUND(S607 + IF(AND(E608=16, F608&lt;&gt;"ASTM A416"), L608, 0), 3)</f>
        <v/>
      </c>
      <c r="T608" s="20">
        <f>ROUND(T607 + IF(AND(E608=18, F608&lt;&gt;"ASTM A416"), L608, 0), 3)</f>
        <v/>
      </c>
      <c r="U608" s="20">
        <f>ROUND(U607 + IF(AND(E608=20, F608&lt;&gt;"ASTM A416"), L608, 0), 3)</f>
        <v/>
      </c>
      <c r="V608" s="20">
        <f>ROUND(V607 + IF(AND(E608=22, F608&lt;&gt;"ASTM A416"), L608, 0), 3)</f>
        <v/>
      </c>
      <c r="W608" s="20">
        <f>ROUND(W607 + IF(AND(E608=25, F608&lt;&gt;"ASTM A416"), L608, 0), 3)</f>
        <v/>
      </c>
      <c r="X608" s="20">
        <f>ROUND(X607 + IF(AND(E608=28, F608&lt;&gt;"ASTM A416"), L608, 0), 3)</f>
        <v/>
      </c>
      <c r="Y608" s="20">
        <f>ROUND(Y607 + IF(AND(E608=32, F608&lt;&gt;"ASTM A416"), L608, 0), 3)</f>
        <v/>
      </c>
      <c r="Z608" s="20">
        <f>ROUND(Z607 + IF(F608="ASTM A416", L608, 0), 3)</f>
        <v/>
      </c>
      <c r="AA608" s="11">
        <f>IF(INT(P608/20)&gt;INT(P607/20), "Lần " &amp; INT(P608/20), "")</f>
        <v/>
      </c>
      <c r="AB608" s="11">
        <f>IF(INT(Q608/20)&gt;INT(Q607/20), "Lần " &amp; INT(Q608/20), "")</f>
        <v/>
      </c>
      <c r="AC608" s="11">
        <f>IF(INT(R608/20)&gt;INT(R607/20), "Lần " &amp; INT(R608/20), "")</f>
        <v/>
      </c>
      <c r="AD608" s="11">
        <f>IF(INT(S608/20)&gt;INT(S607/20), "Lần " &amp; INT(S608/20), "")</f>
        <v/>
      </c>
      <c r="AE608" s="11">
        <f>IF(INT(T608/20)&gt;INT(T607/20), "Lần " &amp; INT(T608/20), "")</f>
        <v/>
      </c>
      <c r="AF608" s="11">
        <f>IF(INT(U608/20)&gt;INT(U607/20), "Lần " &amp; INT(U608/20), "")</f>
        <v/>
      </c>
      <c r="AG608" s="11">
        <f>IF(INT(V608/20)&gt;INT(V607/20), "Lần " &amp; INT(V608/20), "")</f>
        <v/>
      </c>
      <c r="AH608" s="11">
        <f>IF(INT(W608/20)&gt;INT(W607/20), "Lần " &amp; INT(W608/20), "")</f>
        <v/>
      </c>
      <c r="AI608" s="11">
        <f>IF(INT(X608/20)&gt;INT(X607/20), "Lần " &amp; INT(X608/20), "")</f>
        <v/>
      </c>
      <c r="AJ608" s="11">
        <f>IF(INT(Y608/20)&gt;INT(Y607/20), "Lần " &amp; INT(Y608/20), "")</f>
        <v/>
      </c>
      <c r="AK608" s="11">
        <f>IF(INT(Z608/20)&gt;INT(Z607/20), "Lần " &amp; INT(Z608/20), "")</f>
        <v/>
      </c>
      <c r="AL608" s="6" t="inlineStr">
        <is>
          <t>ĐẠT TCVN 1651:2018</t>
        </is>
      </c>
    </row>
    <row r="609" ht="19" customHeight="1">
      <c r="A609" s="6" t="n">
        <v>578</v>
      </c>
      <c r="B609" s="7" t="inlineStr">
        <is>
          <t>Trụ T1 (Thân trụ)</t>
        </is>
      </c>
      <c r="C609" s="7" t="inlineStr">
        <is>
          <t>Thân trụ đặc</t>
        </is>
      </c>
      <c r="D609" s="18" t="inlineStr">
        <is>
          <t>T3b</t>
        </is>
      </c>
      <c r="E609" s="19" t="n">
        <v>16</v>
      </c>
      <c r="F609" s="6" t="inlineStr">
        <is>
          <t>CB400-V</t>
        </is>
      </c>
      <c r="G609" s="7" t="inlineStr">
        <is>
          <t>S51</t>
        </is>
      </c>
      <c r="H609" s="20" t="n">
        <v>8.006</v>
      </c>
      <c r="I609" s="21" t="n">
        <v>150</v>
      </c>
      <c r="J609" s="22" t="n">
        <v>1.58</v>
      </c>
      <c r="K609" s="9">
        <f>ROUND(H609*I609*J609, 2)</f>
        <v/>
      </c>
      <c r="L609" s="23">
        <f>ROUND(K609/1000, 3)</f>
        <v/>
      </c>
      <c r="M609" s="8" t="n"/>
      <c r="N609" s="6" t="n"/>
      <c r="O609" s="24">
        <f>IF(AND(E609&lt;=10, F609&lt;&gt;"ASTM A416", INT(P609/20)&gt;INT(P608/20)), "TN Ø10 (Lần " &amp; INT(P609/20) &amp; ")", IF(AND(E609=12, INT(Q609/20)&gt;INT(Q608/20)), "TN Ø12 (Lần " &amp; INT(Q609/20) &amp; ")", IF(AND(E609=14, INT(R609/20)&gt;INT(R608/20)), "TN Ø14 (Lần " &amp; INT(R609/20) &amp; ")", IF(AND(E609=16, INT(S609/20)&gt;INT(S608/20)), "TN Ø16 (Lần " &amp; INT(S609/20) &amp; ")", IF(AND(E609=18, INT(T609/20)&gt;INT(T608/20)), "TN Ø18 (Lần " &amp; INT(T609/20) &amp; ")", IF(AND(E609=20, INT(U609/20)&gt;INT(U608/20)), "TN Ø20 (Lần " &amp; INT(U609/20) &amp; ")", IF(AND(E609=22, INT(V609/20)&gt;INT(V608/20)), "TN Ø22 (Lần " &amp; INT(V609/20) &amp; ")", IF(AND(E609=25, INT(W609/20)&gt;INT(W608/20)), "TN Ø25 (Lần " &amp; INT(W609/20) &amp; ")", IF(AND(E609=28, INT(X609/20)&gt;INT(X608/20)), "TN Ø28 (Lần " &amp; INT(X609/20) &amp; ")", IF(AND(E609=32, INT(Y609/20)&gt;INT(Y608/20)), "TN Ø32 (Lần " &amp; INT(Y609/20) &amp; ")", IF(AND(F609="ASTM A416", INT(Z609/20)&gt;INT(Z608/20)), "TN Cáp 15.2 (Lần " &amp; INT(Z609/20) &amp; ")", "")))))))))))</f>
        <v/>
      </c>
      <c r="P609" s="20">
        <f>ROUND(P608 + IF(AND(E609&lt;=10, F609&lt;&gt;"ASTM A416"), L609, 0), 3)</f>
        <v/>
      </c>
      <c r="Q609" s="20">
        <f>ROUND(Q608 + IF(AND(E609=12, F609&lt;&gt;"ASTM A416"), L609, 0), 3)</f>
        <v/>
      </c>
      <c r="R609" s="20">
        <f>ROUND(R608 + IF(AND(E609=14, F609&lt;&gt;"ASTM A416"), L609, 0), 3)</f>
        <v/>
      </c>
      <c r="S609" s="20">
        <f>ROUND(S608 + IF(AND(E609=16, F609&lt;&gt;"ASTM A416"), L609, 0), 3)</f>
        <v/>
      </c>
      <c r="T609" s="20">
        <f>ROUND(T608 + IF(AND(E609=18, F609&lt;&gt;"ASTM A416"), L609, 0), 3)</f>
        <v/>
      </c>
      <c r="U609" s="20">
        <f>ROUND(U608 + IF(AND(E609=20, F609&lt;&gt;"ASTM A416"), L609, 0), 3)</f>
        <v/>
      </c>
      <c r="V609" s="20">
        <f>ROUND(V608 + IF(AND(E609=22, F609&lt;&gt;"ASTM A416"), L609, 0), 3)</f>
        <v/>
      </c>
      <c r="W609" s="20">
        <f>ROUND(W608 + IF(AND(E609=25, F609&lt;&gt;"ASTM A416"), L609, 0), 3)</f>
        <v/>
      </c>
      <c r="X609" s="20">
        <f>ROUND(X608 + IF(AND(E609=28, F609&lt;&gt;"ASTM A416"), L609, 0), 3)</f>
        <v/>
      </c>
      <c r="Y609" s="20">
        <f>ROUND(Y608 + IF(AND(E609=32, F609&lt;&gt;"ASTM A416"), L609, 0), 3)</f>
        <v/>
      </c>
      <c r="Z609" s="20">
        <f>ROUND(Z608 + IF(F609="ASTM A416", L609, 0), 3)</f>
        <v/>
      </c>
      <c r="AA609" s="11">
        <f>IF(INT(P609/20)&gt;INT(P608/20), "Lần " &amp; INT(P609/20), "")</f>
        <v/>
      </c>
      <c r="AB609" s="11">
        <f>IF(INT(Q609/20)&gt;INT(Q608/20), "Lần " &amp; INT(Q609/20), "")</f>
        <v/>
      </c>
      <c r="AC609" s="11">
        <f>IF(INT(R609/20)&gt;INT(R608/20), "Lần " &amp; INT(R609/20), "")</f>
        <v/>
      </c>
      <c r="AD609" s="11">
        <f>IF(INT(S609/20)&gt;INT(S608/20), "Lần " &amp; INT(S609/20), "")</f>
        <v/>
      </c>
      <c r="AE609" s="11">
        <f>IF(INT(T609/20)&gt;INT(T608/20), "Lần " &amp; INT(T609/20), "")</f>
        <v/>
      </c>
      <c r="AF609" s="11">
        <f>IF(INT(U609/20)&gt;INT(U608/20), "Lần " &amp; INT(U609/20), "")</f>
        <v/>
      </c>
      <c r="AG609" s="11">
        <f>IF(INT(V609/20)&gt;INT(V608/20), "Lần " &amp; INT(V609/20), "")</f>
        <v/>
      </c>
      <c r="AH609" s="11">
        <f>IF(INT(W609/20)&gt;INT(W608/20), "Lần " &amp; INT(W609/20), "")</f>
        <v/>
      </c>
      <c r="AI609" s="11">
        <f>IF(INT(X609/20)&gt;INT(X608/20), "Lần " &amp; INT(X609/20), "")</f>
        <v/>
      </c>
      <c r="AJ609" s="11">
        <f>IF(INT(Y609/20)&gt;INT(Y608/20), "Lần " &amp; INT(Y609/20), "")</f>
        <v/>
      </c>
      <c r="AK609" s="11">
        <f>IF(INT(Z609/20)&gt;INT(Z608/20), "Lần " &amp; INT(Z609/20), "")</f>
        <v/>
      </c>
      <c r="AL609" s="6" t="inlineStr">
        <is>
          <t>ĐẠT TCVN 1651:2018</t>
        </is>
      </c>
    </row>
    <row r="610" ht="19" customHeight="1">
      <c r="A610" s="6" t="n">
        <v>579</v>
      </c>
      <c r="B610" s="7" t="inlineStr">
        <is>
          <t>Trụ T1 (Thân trụ)</t>
        </is>
      </c>
      <c r="C610" s="7" t="inlineStr">
        <is>
          <t>Thân trụ đặc</t>
        </is>
      </c>
      <c r="D610" s="18" t="inlineStr">
        <is>
          <t>T4b</t>
        </is>
      </c>
      <c r="E610" s="19" t="n">
        <v>16</v>
      </c>
      <c r="F610" s="6" t="inlineStr">
        <is>
          <t>CB400-V</t>
        </is>
      </c>
      <c r="G610" s="7" t="inlineStr">
        <is>
          <t>S06</t>
        </is>
      </c>
      <c r="H610" s="20" t="n">
        <v>5.932</v>
      </c>
      <c r="I610" s="21" t="n">
        <v>19</v>
      </c>
      <c r="J610" s="22" t="n">
        <v>1.58</v>
      </c>
      <c r="K610" s="9">
        <f>ROUND(H610*I610*J610, 2)</f>
        <v/>
      </c>
      <c r="L610" s="23">
        <f>ROUND(K610/1000, 3)</f>
        <v/>
      </c>
      <c r="M610" s="8" t="n"/>
      <c r="N610" s="6" t="n"/>
      <c r="O610" s="24">
        <f>IF(AND(E610&lt;=10, F610&lt;&gt;"ASTM A416", INT(P610/20)&gt;INT(P609/20)), "TN Ø10 (Lần " &amp; INT(P610/20) &amp; ")", IF(AND(E610=12, INT(Q610/20)&gt;INT(Q609/20)), "TN Ø12 (Lần " &amp; INT(Q610/20) &amp; ")", IF(AND(E610=14, INT(R610/20)&gt;INT(R609/20)), "TN Ø14 (Lần " &amp; INT(R610/20) &amp; ")", IF(AND(E610=16, INT(S610/20)&gt;INT(S609/20)), "TN Ø16 (Lần " &amp; INT(S610/20) &amp; ")", IF(AND(E610=18, INT(T610/20)&gt;INT(T609/20)), "TN Ø18 (Lần " &amp; INT(T610/20) &amp; ")", IF(AND(E610=20, INT(U610/20)&gt;INT(U609/20)), "TN Ø20 (Lần " &amp; INT(U610/20) &amp; ")", IF(AND(E610=22, INT(V610/20)&gt;INT(V609/20)), "TN Ø22 (Lần " &amp; INT(V610/20) &amp; ")", IF(AND(E610=25, INT(W610/20)&gt;INT(W609/20)), "TN Ø25 (Lần " &amp; INT(W610/20) &amp; ")", IF(AND(E610=28, INT(X610/20)&gt;INT(X609/20)), "TN Ø28 (Lần " &amp; INT(X610/20) &amp; ")", IF(AND(E610=32, INT(Y610/20)&gt;INT(Y609/20)), "TN Ø32 (Lần " &amp; INT(Y610/20) &amp; ")", IF(AND(F610="ASTM A416", INT(Z610/20)&gt;INT(Z609/20)), "TN Cáp 15.2 (Lần " &amp; INT(Z610/20) &amp; ")", "")))))))))))</f>
        <v/>
      </c>
      <c r="P610" s="20">
        <f>ROUND(P609 + IF(AND(E610&lt;=10, F610&lt;&gt;"ASTM A416"), L610, 0), 3)</f>
        <v/>
      </c>
      <c r="Q610" s="20">
        <f>ROUND(Q609 + IF(AND(E610=12, F610&lt;&gt;"ASTM A416"), L610, 0), 3)</f>
        <v/>
      </c>
      <c r="R610" s="20">
        <f>ROUND(R609 + IF(AND(E610=14, F610&lt;&gt;"ASTM A416"), L610, 0), 3)</f>
        <v/>
      </c>
      <c r="S610" s="20">
        <f>ROUND(S609 + IF(AND(E610=16, F610&lt;&gt;"ASTM A416"), L610, 0), 3)</f>
        <v/>
      </c>
      <c r="T610" s="20">
        <f>ROUND(T609 + IF(AND(E610=18, F610&lt;&gt;"ASTM A416"), L610, 0), 3)</f>
        <v/>
      </c>
      <c r="U610" s="20">
        <f>ROUND(U609 + IF(AND(E610=20, F610&lt;&gt;"ASTM A416"), L610, 0), 3)</f>
        <v/>
      </c>
      <c r="V610" s="20">
        <f>ROUND(V609 + IF(AND(E610=22, F610&lt;&gt;"ASTM A416"), L610, 0), 3)</f>
        <v/>
      </c>
      <c r="W610" s="20">
        <f>ROUND(W609 + IF(AND(E610=25, F610&lt;&gt;"ASTM A416"), L610, 0), 3)</f>
        <v/>
      </c>
      <c r="X610" s="20">
        <f>ROUND(X609 + IF(AND(E610=28, F610&lt;&gt;"ASTM A416"), L610, 0), 3)</f>
        <v/>
      </c>
      <c r="Y610" s="20">
        <f>ROUND(Y609 + IF(AND(E610=32, F610&lt;&gt;"ASTM A416"), L610, 0), 3)</f>
        <v/>
      </c>
      <c r="Z610" s="20">
        <f>ROUND(Z609 + IF(F610="ASTM A416", L610, 0), 3)</f>
        <v/>
      </c>
      <c r="AA610" s="11">
        <f>IF(INT(P610/20)&gt;INT(P609/20), "Lần " &amp; INT(P610/20), "")</f>
        <v/>
      </c>
      <c r="AB610" s="11">
        <f>IF(INT(Q610/20)&gt;INT(Q609/20), "Lần " &amp; INT(Q610/20), "")</f>
        <v/>
      </c>
      <c r="AC610" s="11">
        <f>IF(INT(R610/20)&gt;INT(R609/20), "Lần " &amp; INT(R610/20), "")</f>
        <v/>
      </c>
      <c r="AD610" s="11">
        <f>IF(INT(S610/20)&gt;INT(S609/20), "Lần " &amp; INT(S610/20), "")</f>
        <v/>
      </c>
      <c r="AE610" s="11">
        <f>IF(INT(T610/20)&gt;INT(T609/20), "Lần " &amp; INT(T610/20), "")</f>
        <v/>
      </c>
      <c r="AF610" s="11">
        <f>IF(INT(U610/20)&gt;INT(U609/20), "Lần " &amp; INT(U610/20), "")</f>
        <v/>
      </c>
      <c r="AG610" s="11">
        <f>IF(INT(V610/20)&gt;INT(V609/20), "Lần " &amp; INT(V610/20), "")</f>
        <v/>
      </c>
      <c r="AH610" s="11">
        <f>IF(INT(W610/20)&gt;INT(W609/20), "Lần " &amp; INT(W610/20), "")</f>
        <v/>
      </c>
      <c r="AI610" s="11">
        <f>IF(INT(X610/20)&gt;INT(X609/20), "Lần " &amp; INT(X610/20), "")</f>
        <v/>
      </c>
      <c r="AJ610" s="11">
        <f>IF(INT(Y610/20)&gt;INT(Y609/20), "Lần " &amp; INT(Y610/20), "")</f>
        <v/>
      </c>
      <c r="AK610" s="11">
        <f>IF(INT(Z610/20)&gt;INT(Z609/20), "Lần " &amp; INT(Z610/20), "")</f>
        <v/>
      </c>
      <c r="AL610" s="6" t="inlineStr">
        <is>
          <t>ĐẠT TCVN 1651:2018</t>
        </is>
      </c>
    </row>
    <row r="611" ht="19" customHeight="1">
      <c r="A611" s="6" t="n">
        <v>580</v>
      </c>
      <c r="B611" s="7" t="inlineStr">
        <is>
          <t>Trụ T1 (Thân trụ)</t>
        </is>
      </c>
      <c r="C611" s="7" t="inlineStr">
        <is>
          <t>Thân trụ đặc</t>
        </is>
      </c>
      <c r="D611" s="18" t="inlineStr">
        <is>
          <t>T4b1</t>
        </is>
      </c>
      <c r="E611" s="19" t="n">
        <v>16</v>
      </c>
      <c r="F611" s="6" t="inlineStr">
        <is>
          <t>CB400-V</t>
        </is>
      </c>
      <c r="G611" s="7" t="inlineStr">
        <is>
          <t>S06</t>
        </is>
      </c>
      <c r="H611" s="20" t="n">
        <v>5.652</v>
      </c>
      <c r="I611" s="21" t="n">
        <v>38</v>
      </c>
      <c r="J611" s="22" t="n">
        <v>1.58</v>
      </c>
      <c r="K611" s="9">
        <f>ROUND(H611*I611*J611, 2)</f>
        <v/>
      </c>
      <c r="L611" s="23">
        <f>ROUND(K611/1000, 3)</f>
        <v/>
      </c>
      <c r="M611" s="8" t="n"/>
      <c r="N611" s="6" t="n"/>
      <c r="O611" s="24">
        <f>IF(AND(E611&lt;=10, F611&lt;&gt;"ASTM A416", INT(P611/20)&gt;INT(P610/20)), "TN Ø10 (Lần " &amp; INT(P611/20) &amp; ")", IF(AND(E611=12, INT(Q611/20)&gt;INT(Q610/20)), "TN Ø12 (Lần " &amp; INT(Q611/20) &amp; ")", IF(AND(E611=14, INT(R611/20)&gt;INT(R610/20)), "TN Ø14 (Lần " &amp; INT(R611/20) &amp; ")", IF(AND(E611=16, INT(S611/20)&gt;INT(S610/20)), "TN Ø16 (Lần " &amp; INT(S611/20) &amp; ")", IF(AND(E611=18, INT(T611/20)&gt;INT(T610/20)), "TN Ø18 (Lần " &amp; INT(T611/20) &amp; ")", IF(AND(E611=20, INT(U611/20)&gt;INT(U610/20)), "TN Ø20 (Lần " &amp; INT(U611/20) &amp; ")", IF(AND(E611=22, INT(V611/20)&gt;INT(V610/20)), "TN Ø22 (Lần " &amp; INT(V611/20) &amp; ")", IF(AND(E611=25, INT(W611/20)&gt;INT(W610/20)), "TN Ø25 (Lần " &amp; INT(W611/20) &amp; ")", IF(AND(E611=28, INT(X611/20)&gt;INT(X610/20)), "TN Ø28 (Lần " &amp; INT(X611/20) &amp; ")", IF(AND(E611=32, INT(Y611/20)&gt;INT(Y610/20)), "TN Ø32 (Lần " &amp; INT(Y611/20) &amp; ")", IF(AND(F611="ASTM A416", INT(Z611/20)&gt;INT(Z610/20)), "TN Cáp 15.2 (Lần " &amp; INT(Z611/20) &amp; ")", "")))))))))))</f>
        <v/>
      </c>
      <c r="P611" s="20">
        <f>ROUND(P610 + IF(AND(E611&lt;=10, F611&lt;&gt;"ASTM A416"), L611, 0), 3)</f>
        <v/>
      </c>
      <c r="Q611" s="20">
        <f>ROUND(Q610 + IF(AND(E611=12, F611&lt;&gt;"ASTM A416"), L611, 0), 3)</f>
        <v/>
      </c>
      <c r="R611" s="20">
        <f>ROUND(R610 + IF(AND(E611=14, F611&lt;&gt;"ASTM A416"), L611, 0), 3)</f>
        <v/>
      </c>
      <c r="S611" s="20">
        <f>ROUND(S610 + IF(AND(E611=16, F611&lt;&gt;"ASTM A416"), L611, 0), 3)</f>
        <v/>
      </c>
      <c r="T611" s="20">
        <f>ROUND(T610 + IF(AND(E611=18, F611&lt;&gt;"ASTM A416"), L611, 0), 3)</f>
        <v/>
      </c>
      <c r="U611" s="20">
        <f>ROUND(U610 + IF(AND(E611=20, F611&lt;&gt;"ASTM A416"), L611, 0), 3)</f>
        <v/>
      </c>
      <c r="V611" s="20">
        <f>ROUND(V610 + IF(AND(E611=22, F611&lt;&gt;"ASTM A416"), L611, 0), 3)</f>
        <v/>
      </c>
      <c r="W611" s="20">
        <f>ROUND(W610 + IF(AND(E611=25, F611&lt;&gt;"ASTM A416"), L611, 0), 3)</f>
        <v/>
      </c>
      <c r="X611" s="20">
        <f>ROUND(X610 + IF(AND(E611=28, F611&lt;&gt;"ASTM A416"), L611, 0), 3)</f>
        <v/>
      </c>
      <c r="Y611" s="20">
        <f>ROUND(Y610 + IF(AND(E611=32, F611&lt;&gt;"ASTM A416"), L611, 0), 3)</f>
        <v/>
      </c>
      <c r="Z611" s="20">
        <f>ROUND(Z610 + IF(F611="ASTM A416", L611, 0), 3)</f>
        <v/>
      </c>
      <c r="AA611" s="11">
        <f>IF(INT(P611/20)&gt;INT(P610/20), "Lần " &amp; INT(P611/20), "")</f>
        <v/>
      </c>
      <c r="AB611" s="11">
        <f>IF(INT(Q611/20)&gt;INT(Q610/20), "Lần " &amp; INT(Q611/20), "")</f>
        <v/>
      </c>
      <c r="AC611" s="11">
        <f>IF(INT(R611/20)&gt;INT(R610/20), "Lần " &amp; INT(R611/20), "")</f>
        <v/>
      </c>
      <c r="AD611" s="11">
        <f>IF(INT(S611/20)&gt;INT(S610/20), "Lần " &amp; INT(S611/20), "")</f>
        <v/>
      </c>
      <c r="AE611" s="11">
        <f>IF(INT(T611/20)&gt;INT(T610/20), "Lần " &amp; INT(T611/20), "")</f>
        <v/>
      </c>
      <c r="AF611" s="11">
        <f>IF(INT(U611/20)&gt;INT(U610/20), "Lần " &amp; INT(U611/20), "")</f>
        <v/>
      </c>
      <c r="AG611" s="11">
        <f>IF(INT(V611/20)&gt;INT(V610/20), "Lần " &amp; INT(V611/20), "")</f>
        <v/>
      </c>
      <c r="AH611" s="11">
        <f>IF(INT(W611/20)&gt;INT(W610/20), "Lần " &amp; INT(W611/20), "")</f>
        <v/>
      </c>
      <c r="AI611" s="11">
        <f>IF(INT(X611/20)&gt;INT(X610/20), "Lần " &amp; INT(X611/20), "")</f>
        <v/>
      </c>
      <c r="AJ611" s="11">
        <f>IF(INT(Y611/20)&gt;INT(Y610/20), "Lần " &amp; INT(Y611/20), "")</f>
        <v/>
      </c>
      <c r="AK611" s="11">
        <f>IF(INT(Z611/20)&gt;INT(Z610/20), "Lần " &amp; INT(Z611/20), "")</f>
        <v/>
      </c>
      <c r="AL611" s="6" t="inlineStr">
        <is>
          <t>ĐẠT TCVN 1651:2018</t>
        </is>
      </c>
    </row>
    <row r="612" ht="19" customHeight="1">
      <c r="A612" s="6" t="n">
        <v>581</v>
      </c>
      <c r="B612" s="7" t="inlineStr">
        <is>
          <t>Trụ T1 (Thân trụ)</t>
        </is>
      </c>
      <c r="C612" s="7" t="inlineStr">
        <is>
          <t>th©n trô ®o¹n 3</t>
        </is>
      </c>
      <c r="D612" s="18" t="inlineStr">
        <is>
          <t>T1c</t>
        </is>
      </c>
      <c r="E612" s="19" t="n">
        <v>32</v>
      </c>
      <c r="F612" s="6" t="inlineStr">
        <is>
          <t>CB400-V</t>
        </is>
      </c>
      <c r="G612" s="7" t="inlineStr">
        <is>
          <t>S28</t>
        </is>
      </c>
      <c r="H612" s="20" t="n">
        <v>6.556</v>
      </c>
      <c r="I612" s="21" t="n">
        <v>122</v>
      </c>
      <c r="J612" s="22" t="n">
        <v>6.31</v>
      </c>
      <c r="K612" s="9">
        <f>ROUND(H612*I612*J612, 2)</f>
        <v/>
      </c>
      <c r="L612" s="23">
        <f>ROUND(K612/1000, 3)</f>
        <v/>
      </c>
      <c r="M612" s="8" t="n"/>
      <c r="N612" s="6" t="n"/>
      <c r="O612" s="24">
        <f>IF(AND(E612&lt;=10, F612&lt;&gt;"ASTM A416", INT(P612/20)&gt;INT(P611/20)), "TN Ø10 (Lần " &amp; INT(P612/20) &amp; ")", IF(AND(E612=12, INT(Q612/20)&gt;INT(Q611/20)), "TN Ø12 (Lần " &amp; INT(Q612/20) &amp; ")", IF(AND(E612=14, INT(R612/20)&gt;INT(R611/20)), "TN Ø14 (Lần " &amp; INT(R612/20) &amp; ")", IF(AND(E612=16, INT(S612/20)&gt;INT(S611/20)), "TN Ø16 (Lần " &amp; INT(S612/20) &amp; ")", IF(AND(E612=18, INT(T612/20)&gt;INT(T611/20)), "TN Ø18 (Lần " &amp; INT(T612/20) &amp; ")", IF(AND(E612=20, INT(U612/20)&gt;INT(U611/20)), "TN Ø20 (Lần " &amp; INT(U612/20) &amp; ")", IF(AND(E612=22, INT(V612/20)&gt;INT(V611/20)), "TN Ø22 (Lần " &amp; INT(V612/20) &amp; ")", IF(AND(E612=25, INT(W612/20)&gt;INT(W611/20)), "TN Ø25 (Lần " &amp; INT(W612/20) &amp; ")", IF(AND(E612=28, INT(X612/20)&gt;INT(X611/20)), "TN Ø28 (Lần " &amp; INT(X612/20) &amp; ")", IF(AND(E612=32, INT(Y612/20)&gt;INT(Y611/20)), "TN Ø32 (Lần " &amp; INT(Y612/20) &amp; ")", IF(AND(F612="ASTM A416", INT(Z612/20)&gt;INT(Z611/20)), "TN Cáp 15.2 (Lần " &amp; INT(Z612/20) &amp; ")", "")))))))))))</f>
        <v/>
      </c>
      <c r="P612" s="20">
        <f>ROUND(P611 + IF(AND(E612&lt;=10, F612&lt;&gt;"ASTM A416"), L612, 0), 3)</f>
        <v/>
      </c>
      <c r="Q612" s="20">
        <f>ROUND(Q611 + IF(AND(E612=12, F612&lt;&gt;"ASTM A416"), L612, 0), 3)</f>
        <v/>
      </c>
      <c r="R612" s="20">
        <f>ROUND(R611 + IF(AND(E612=14, F612&lt;&gt;"ASTM A416"), L612, 0), 3)</f>
        <v/>
      </c>
      <c r="S612" s="20">
        <f>ROUND(S611 + IF(AND(E612=16, F612&lt;&gt;"ASTM A416"), L612, 0), 3)</f>
        <v/>
      </c>
      <c r="T612" s="20">
        <f>ROUND(T611 + IF(AND(E612=18, F612&lt;&gt;"ASTM A416"), L612, 0), 3)</f>
        <v/>
      </c>
      <c r="U612" s="20">
        <f>ROUND(U611 + IF(AND(E612=20, F612&lt;&gt;"ASTM A416"), L612, 0), 3)</f>
        <v/>
      </c>
      <c r="V612" s="20">
        <f>ROUND(V611 + IF(AND(E612=22, F612&lt;&gt;"ASTM A416"), L612, 0), 3)</f>
        <v/>
      </c>
      <c r="W612" s="20">
        <f>ROUND(W611 + IF(AND(E612=25, F612&lt;&gt;"ASTM A416"), L612, 0), 3)</f>
        <v/>
      </c>
      <c r="X612" s="20">
        <f>ROUND(X611 + IF(AND(E612=28, F612&lt;&gt;"ASTM A416"), L612, 0), 3)</f>
        <v/>
      </c>
      <c r="Y612" s="20">
        <f>ROUND(Y611 + IF(AND(E612=32, F612&lt;&gt;"ASTM A416"), L612, 0), 3)</f>
        <v/>
      </c>
      <c r="Z612" s="20">
        <f>ROUND(Z611 + IF(F612="ASTM A416", L612, 0), 3)</f>
        <v/>
      </c>
      <c r="AA612" s="11">
        <f>IF(INT(P612/20)&gt;INT(P611/20), "Lần " &amp; INT(P612/20), "")</f>
        <v/>
      </c>
      <c r="AB612" s="11">
        <f>IF(INT(Q612/20)&gt;INT(Q611/20), "Lần " &amp; INT(Q612/20), "")</f>
        <v/>
      </c>
      <c r="AC612" s="11">
        <f>IF(INT(R612/20)&gt;INT(R611/20), "Lần " &amp; INT(R612/20), "")</f>
        <v/>
      </c>
      <c r="AD612" s="11">
        <f>IF(INT(S612/20)&gt;INT(S611/20), "Lần " &amp; INT(S612/20), "")</f>
        <v/>
      </c>
      <c r="AE612" s="11">
        <f>IF(INT(T612/20)&gt;INT(T611/20), "Lần " &amp; INT(T612/20), "")</f>
        <v/>
      </c>
      <c r="AF612" s="11">
        <f>IF(INT(U612/20)&gt;INT(U611/20), "Lần " &amp; INT(U612/20), "")</f>
        <v/>
      </c>
      <c r="AG612" s="11">
        <f>IF(INT(V612/20)&gt;INT(V611/20), "Lần " &amp; INT(V612/20), "")</f>
        <v/>
      </c>
      <c r="AH612" s="11">
        <f>IF(INT(W612/20)&gt;INT(W611/20), "Lần " &amp; INT(W612/20), "")</f>
        <v/>
      </c>
      <c r="AI612" s="11">
        <f>IF(INT(X612/20)&gt;INT(X611/20), "Lần " &amp; INT(X612/20), "")</f>
        <v/>
      </c>
      <c r="AJ612" s="11">
        <f>IF(INT(Y612/20)&gt;INT(Y611/20), "Lần " &amp; INT(Y612/20), "")</f>
        <v/>
      </c>
      <c r="AK612" s="11">
        <f>IF(INT(Z612/20)&gt;INT(Z611/20), "Lần " &amp; INT(Z612/20), "")</f>
        <v/>
      </c>
      <c r="AL612" s="6" t="inlineStr">
        <is>
          <t>ĐẠT TCVN 1651:2018</t>
        </is>
      </c>
    </row>
    <row r="613" ht="19" customHeight="1">
      <c r="A613" s="6" t="n">
        <v>582</v>
      </c>
      <c r="B613" s="7" t="inlineStr">
        <is>
          <t>Trụ T1 (Thân trụ)</t>
        </is>
      </c>
      <c r="C613" s="7" t="inlineStr">
        <is>
          <t>Thân trụ đặc</t>
        </is>
      </c>
      <c r="D613" s="18" t="inlineStr">
        <is>
          <t>T2c</t>
        </is>
      </c>
      <c r="E613" s="19" t="n">
        <v>16</v>
      </c>
      <c r="F613" s="6" t="inlineStr">
        <is>
          <t>CB400-V</t>
        </is>
      </c>
      <c r="G613" s="7" t="inlineStr">
        <is>
          <t>S07</t>
        </is>
      </c>
      <c r="H613" s="20" t="n">
        <v>8.436999999999999</v>
      </c>
      <c r="I613" s="21" t="n">
        <v>76</v>
      </c>
      <c r="J613" s="22" t="n">
        <v>1.58</v>
      </c>
      <c r="K613" s="9">
        <f>ROUND(H613*I613*J613, 2)</f>
        <v/>
      </c>
      <c r="L613" s="23">
        <f>ROUND(K613/1000, 3)</f>
        <v/>
      </c>
      <c r="M613" s="8" t="n"/>
      <c r="N613" s="6" t="n"/>
      <c r="O613" s="24">
        <f>IF(AND(E613&lt;=10, F613&lt;&gt;"ASTM A416", INT(P613/20)&gt;INT(P612/20)), "TN Ø10 (Lần " &amp; INT(P613/20) &amp; ")", IF(AND(E613=12, INT(Q613/20)&gt;INT(Q612/20)), "TN Ø12 (Lần " &amp; INT(Q613/20) &amp; ")", IF(AND(E613=14, INT(R613/20)&gt;INT(R612/20)), "TN Ø14 (Lần " &amp; INT(R613/20) &amp; ")", IF(AND(E613=16, INT(S613/20)&gt;INT(S612/20)), "TN Ø16 (Lần " &amp; INT(S613/20) &amp; ")", IF(AND(E613=18, INT(T613/20)&gt;INT(T612/20)), "TN Ø18 (Lần " &amp; INT(T613/20) &amp; ")", IF(AND(E613=20, INT(U613/20)&gt;INT(U612/20)), "TN Ø20 (Lần " &amp; INT(U613/20) &amp; ")", IF(AND(E613=22, INT(V613/20)&gt;INT(V612/20)), "TN Ø22 (Lần " &amp; INT(V613/20) &amp; ")", IF(AND(E613=25, INT(W613/20)&gt;INT(W612/20)), "TN Ø25 (Lần " &amp; INT(W613/20) &amp; ")", IF(AND(E613=28, INT(X613/20)&gt;INT(X612/20)), "TN Ø28 (Lần " &amp; INT(X613/20) &amp; ")", IF(AND(E613=32, INT(Y613/20)&gt;INT(Y612/20)), "TN Ø32 (Lần " &amp; INT(Y613/20) &amp; ")", IF(AND(F613="ASTM A416", INT(Z613/20)&gt;INT(Z612/20)), "TN Cáp 15.2 (Lần " &amp; INT(Z613/20) &amp; ")", "")))))))))))</f>
        <v/>
      </c>
      <c r="P613" s="20">
        <f>ROUND(P612 + IF(AND(E613&lt;=10, F613&lt;&gt;"ASTM A416"), L613, 0), 3)</f>
        <v/>
      </c>
      <c r="Q613" s="20">
        <f>ROUND(Q612 + IF(AND(E613=12, F613&lt;&gt;"ASTM A416"), L613, 0), 3)</f>
        <v/>
      </c>
      <c r="R613" s="20">
        <f>ROUND(R612 + IF(AND(E613=14, F613&lt;&gt;"ASTM A416"), L613, 0), 3)</f>
        <v/>
      </c>
      <c r="S613" s="20">
        <f>ROUND(S612 + IF(AND(E613=16, F613&lt;&gt;"ASTM A416"), L613, 0), 3)</f>
        <v/>
      </c>
      <c r="T613" s="20">
        <f>ROUND(T612 + IF(AND(E613=18, F613&lt;&gt;"ASTM A416"), L613, 0), 3)</f>
        <v/>
      </c>
      <c r="U613" s="20">
        <f>ROUND(U612 + IF(AND(E613=20, F613&lt;&gt;"ASTM A416"), L613, 0), 3)</f>
        <v/>
      </c>
      <c r="V613" s="20">
        <f>ROUND(V612 + IF(AND(E613=22, F613&lt;&gt;"ASTM A416"), L613, 0), 3)</f>
        <v/>
      </c>
      <c r="W613" s="20">
        <f>ROUND(W612 + IF(AND(E613=25, F613&lt;&gt;"ASTM A416"), L613, 0), 3)</f>
        <v/>
      </c>
      <c r="X613" s="20">
        <f>ROUND(X612 + IF(AND(E613=28, F613&lt;&gt;"ASTM A416"), L613, 0), 3)</f>
        <v/>
      </c>
      <c r="Y613" s="20">
        <f>ROUND(Y612 + IF(AND(E613=32, F613&lt;&gt;"ASTM A416"), L613, 0), 3)</f>
        <v/>
      </c>
      <c r="Z613" s="20">
        <f>ROUND(Z612 + IF(F613="ASTM A416", L613, 0), 3)</f>
        <v/>
      </c>
      <c r="AA613" s="11">
        <f>IF(INT(P613/20)&gt;INT(P612/20), "Lần " &amp; INT(P613/20), "")</f>
        <v/>
      </c>
      <c r="AB613" s="11">
        <f>IF(INT(Q613/20)&gt;INT(Q612/20), "Lần " &amp; INT(Q613/20), "")</f>
        <v/>
      </c>
      <c r="AC613" s="11">
        <f>IF(INT(R613/20)&gt;INT(R612/20), "Lần " &amp; INT(R613/20), "")</f>
        <v/>
      </c>
      <c r="AD613" s="11">
        <f>IF(INT(S613/20)&gt;INT(S612/20), "Lần " &amp; INT(S613/20), "")</f>
        <v/>
      </c>
      <c r="AE613" s="11">
        <f>IF(INT(T613/20)&gt;INT(T612/20), "Lần " &amp; INT(T613/20), "")</f>
        <v/>
      </c>
      <c r="AF613" s="11">
        <f>IF(INT(U613/20)&gt;INT(U612/20), "Lần " &amp; INT(U613/20), "")</f>
        <v/>
      </c>
      <c r="AG613" s="11">
        <f>IF(INT(V613/20)&gt;INT(V612/20), "Lần " &amp; INT(V613/20), "")</f>
        <v/>
      </c>
      <c r="AH613" s="11">
        <f>IF(INT(W613/20)&gt;INT(W612/20), "Lần " &amp; INT(W613/20), "")</f>
        <v/>
      </c>
      <c r="AI613" s="11">
        <f>IF(INT(X613/20)&gt;INT(X612/20), "Lần " &amp; INT(X613/20), "")</f>
        <v/>
      </c>
      <c r="AJ613" s="11">
        <f>IF(INT(Y613/20)&gt;INT(Y612/20), "Lần " &amp; INT(Y613/20), "")</f>
        <v/>
      </c>
      <c r="AK613" s="11">
        <f>IF(INT(Z613/20)&gt;INT(Z612/20), "Lần " &amp; INT(Z613/20), "")</f>
        <v/>
      </c>
      <c r="AL613" s="6" t="inlineStr">
        <is>
          <t>ĐẠT TCVN 1651:2018</t>
        </is>
      </c>
    </row>
    <row r="614" ht="19" customHeight="1">
      <c r="A614" s="6" t="n">
        <v>583</v>
      </c>
      <c r="B614" s="7" t="inlineStr">
        <is>
          <t>Trụ T1 (Thân trụ)</t>
        </is>
      </c>
      <c r="C614" s="7" t="inlineStr">
        <is>
          <t>Thân trụ đặc</t>
        </is>
      </c>
      <c r="D614" s="18" t="inlineStr">
        <is>
          <t>T3c</t>
        </is>
      </c>
      <c r="E614" s="19" t="n">
        <v>16</v>
      </c>
      <c r="F614" s="6" t="inlineStr">
        <is>
          <t>CB400-V</t>
        </is>
      </c>
      <c r="G614" s="7" t="inlineStr">
        <is>
          <t>S51</t>
        </is>
      </c>
      <c r="H614" s="20" t="n">
        <v>9.206</v>
      </c>
      <c r="I614" s="21" t="n">
        <v>76</v>
      </c>
      <c r="J614" s="22" t="n">
        <v>1.58</v>
      </c>
      <c r="K614" s="9">
        <f>ROUND(H614*I614*J614, 2)</f>
        <v/>
      </c>
      <c r="L614" s="23">
        <f>ROUND(K614/1000, 3)</f>
        <v/>
      </c>
      <c r="M614" s="8" t="n"/>
      <c r="N614" s="6" t="n"/>
      <c r="O614" s="24">
        <f>IF(AND(E614&lt;=10, F614&lt;&gt;"ASTM A416", INT(P614/20)&gt;INT(P613/20)), "TN Ø10 (Lần " &amp; INT(P614/20) &amp; ")", IF(AND(E614=12, INT(Q614/20)&gt;INT(Q613/20)), "TN Ø12 (Lần " &amp; INT(Q614/20) &amp; ")", IF(AND(E614=14, INT(R614/20)&gt;INT(R613/20)), "TN Ø14 (Lần " &amp; INT(R614/20) &amp; ")", IF(AND(E614=16, INT(S614/20)&gt;INT(S613/20)), "TN Ø16 (Lần " &amp; INT(S614/20) &amp; ")", IF(AND(E614=18, INT(T614/20)&gt;INT(T613/20)), "TN Ø18 (Lần " &amp; INT(T614/20) &amp; ")", IF(AND(E614=20, INT(U614/20)&gt;INT(U613/20)), "TN Ø20 (Lần " &amp; INT(U614/20) &amp; ")", IF(AND(E614=22, INT(V614/20)&gt;INT(V613/20)), "TN Ø22 (Lần " &amp; INT(V614/20) &amp; ")", IF(AND(E614=25, INT(W614/20)&gt;INT(W613/20)), "TN Ø25 (Lần " &amp; INT(W614/20) &amp; ")", IF(AND(E614=28, INT(X614/20)&gt;INT(X613/20)), "TN Ø28 (Lần " &amp; INT(X614/20) &amp; ")", IF(AND(E614=32, INT(Y614/20)&gt;INT(Y613/20)), "TN Ø32 (Lần " &amp; INT(Y614/20) &amp; ")", IF(AND(F614="ASTM A416", INT(Z614/20)&gt;INT(Z613/20)), "TN Cáp 15.2 (Lần " &amp; INT(Z614/20) &amp; ")", "")))))))))))</f>
        <v/>
      </c>
      <c r="P614" s="20">
        <f>ROUND(P613 + IF(AND(E614&lt;=10, F614&lt;&gt;"ASTM A416"), L614, 0), 3)</f>
        <v/>
      </c>
      <c r="Q614" s="20">
        <f>ROUND(Q613 + IF(AND(E614=12, F614&lt;&gt;"ASTM A416"), L614, 0), 3)</f>
        <v/>
      </c>
      <c r="R614" s="20">
        <f>ROUND(R613 + IF(AND(E614=14, F614&lt;&gt;"ASTM A416"), L614, 0), 3)</f>
        <v/>
      </c>
      <c r="S614" s="20">
        <f>ROUND(S613 + IF(AND(E614=16, F614&lt;&gt;"ASTM A416"), L614, 0), 3)</f>
        <v/>
      </c>
      <c r="T614" s="20">
        <f>ROUND(T613 + IF(AND(E614=18, F614&lt;&gt;"ASTM A416"), L614, 0), 3)</f>
        <v/>
      </c>
      <c r="U614" s="20">
        <f>ROUND(U613 + IF(AND(E614=20, F614&lt;&gt;"ASTM A416"), L614, 0), 3)</f>
        <v/>
      </c>
      <c r="V614" s="20">
        <f>ROUND(V613 + IF(AND(E614=22, F614&lt;&gt;"ASTM A416"), L614, 0), 3)</f>
        <v/>
      </c>
      <c r="W614" s="20">
        <f>ROUND(W613 + IF(AND(E614=25, F614&lt;&gt;"ASTM A416"), L614, 0), 3)</f>
        <v/>
      </c>
      <c r="X614" s="20">
        <f>ROUND(X613 + IF(AND(E614=28, F614&lt;&gt;"ASTM A416"), L614, 0), 3)</f>
        <v/>
      </c>
      <c r="Y614" s="20">
        <f>ROUND(Y613 + IF(AND(E614=32, F614&lt;&gt;"ASTM A416"), L614, 0), 3)</f>
        <v/>
      </c>
      <c r="Z614" s="20">
        <f>ROUND(Z613 + IF(F614="ASTM A416", L614, 0), 3)</f>
        <v/>
      </c>
      <c r="AA614" s="11">
        <f>IF(INT(P614/20)&gt;INT(P613/20), "Lần " &amp; INT(P614/20), "")</f>
        <v/>
      </c>
      <c r="AB614" s="11">
        <f>IF(INT(Q614/20)&gt;INT(Q613/20), "Lần " &amp; INT(Q614/20), "")</f>
        <v/>
      </c>
      <c r="AC614" s="11">
        <f>IF(INT(R614/20)&gt;INT(R613/20), "Lần " &amp; INT(R614/20), "")</f>
        <v/>
      </c>
      <c r="AD614" s="11">
        <f>IF(INT(S614/20)&gt;INT(S613/20), "Lần " &amp; INT(S614/20), "")</f>
        <v/>
      </c>
      <c r="AE614" s="11">
        <f>IF(INT(T614/20)&gt;INT(T613/20), "Lần " &amp; INT(T614/20), "")</f>
        <v/>
      </c>
      <c r="AF614" s="11">
        <f>IF(INT(U614/20)&gt;INT(U613/20), "Lần " &amp; INT(U614/20), "")</f>
        <v/>
      </c>
      <c r="AG614" s="11">
        <f>IF(INT(V614/20)&gt;INT(V613/20), "Lần " &amp; INT(V614/20), "")</f>
        <v/>
      </c>
      <c r="AH614" s="11">
        <f>IF(INT(W614/20)&gt;INT(W613/20), "Lần " &amp; INT(W614/20), "")</f>
        <v/>
      </c>
      <c r="AI614" s="11">
        <f>IF(INT(X614/20)&gt;INT(X613/20), "Lần " &amp; INT(X614/20), "")</f>
        <v/>
      </c>
      <c r="AJ614" s="11">
        <f>IF(INT(Y614/20)&gt;INT(Y613/20), "Lần " &amp; INT(Y614/20), "")</f>
        <v/>
      </c>
      <c r="AK614" s="11">
        <f>IF(INT(Z614/20)&gt;INT(Z613/20), "Lần " &amp; INT(Z614/20), "")</f>
        <v/>
      </c>
      <c r="AL614" s="6" t="inlineStr">
        <is>
          <t>ĐẠT TCVN 1651:2018</t>
        </is>
      </c>
    </row>
    <row r="615" ht="19" customHeight="1">
      <c r="A615" s="6" t="n">
        <v>584</v>
      </c>
      <c r="B615" s="7" t="inlineStr">
        <is>
          <t>Trụ T1 (Thân trụ)</t>
        </is>
      </c>
      <c r="C615" s="7" t="inlineStr">
        <is>
          <t>Thân trụ đặc</t>
        </is>
      </c>
      <c r="D615" s="18" t="inlineStr">
        <is>
          <t>T4c</t>
        </is>
      </c>
      <c r="E615" s="19" t="n">
        <v>16</v>
      </c>
      <c r="F615" s="6" t="inlineStr">
        <is>
          <t>CB400-V</t>
        </is>
      </c>
      <c r="G615" s="7" t="inlineStr">
        <is>
          <t>S06</t>
        </is>
      </c>
      <c r="H615" s="20" t="n">
        <v>6.532</v>
      </c>
      <c r="I615" s="21" t="n">
        <v>9</v>
      </c>
      <c r="J615" s="22" t="n">
        <v>1.58</v>
      </c>
      <c r="K615" s="9">
        <f>ROUND(H615*I615*J615, 2)</f>
        <v/>
      </c>
      <c r="L615" s="23">
        <f>ROUND(K615/1000, 3)</f>
        <v/>
      </c>
      <c r="M615" s="8" t="n"/>
      <c r="N615" s="6" t="n"/>
      <c r="O615" s="24">
        <f>IF(AND(E615&lt;=10, F615&lt;&gt;"ASTM A416", INT(P615/20)&gt;INT(P614/20)), "TN Ø10 (Lần " &amp; INT(P615/20) &amp; ")", IF(AND(E615=12, INT(Q615/20)&gt;INT(Q614/20)), "TN Ø12 (Lần " &amp; INT(Q615/20) &amp; ")", IF(AND(E615=14, INT(R615/20)&gt;INT(R614/20)), "TN Ø14 (Lần " &amp; INT(R615/20) &amp; ")", IF(AND(E615=16, INT(S615/20)&gt;INT(S614/20)), "TN Ø16 (Lần " &amp; INT(S615/20) &amp; ")", IF(AND(E615=18, INT(T615/20)&gt;INT(T614/20)), "TN Ø18 (Lần " &amp; INT(T615/20) &amp; ")", IF(AND(E615=20, INT(U615/20)&gt;INT(U614/20)), "TN Ø20 (Lần " &amp; INT(U615/20) &amp; ")", IF(AND(E615=22, INT(V615/20)&gt;INT(V614/20)), "TN Ø22 (Lần " &amp; INT(V615/20) &amp; ")", IF(AND(E615=25, INT(W615/20)&gt;INT(W614/20)), "TN Ø25 (Lần " &amp; INT(W615/20) &amp; ")", IF(AND(E615=28, INT(X615/20)&gt;INT(X614/20)), "TN Ø28 (Lần " &amp; INT(X615/20) &amp; ")", IF(AND(E615=32, INT(Y615/20)&gt;INT(Y614/20)), "TN Ø32 (Lần " &amp; INT(Y615/20) &amp; ")", IF(AND(F615="ASTM A416", INT(Z615/20)&gt;INT(Z614/20)), "TN Cáp 15.2 (Lần " &amp; INT(Z615/20) &amp; ")", "")))))))))))</f>
        <v/>
      </c>
      <c r="P615" s="20">
        <f>ROUND(P614 + IF(AND(E615&lt;=10, F615&lt;&gt;"ASTM A416"), L615, 0), 3)</f>
        <v/>
      </c>
      <c r="Q615" s="20">
        <f>ROUND(Q614 + IF(AND(E615=12, F615&lt;&gt;"ASTM A416"), L615, 0), 3)</f>
        <v/>
      </c>
      <c r="R615" s="20">
        <f>ROUND(R614 + IF(AND(E615=14, F615&lt;&gt;"ASTM A416"), L615, 0), 3)</f>
        <v/>
      </c>
      <c r="S615" s="20">
        <f>ROUND(S614 + IF(AND(E615=16, F615&lt;&gt;"ASTM A416"), L615, 0), 3)</f>
        <v/>
      </c>
      <c r="T615" s="20">
        <f>ROUND(T614 + IF(AND(E615=18, F615&lt;&gt;"ASTM A416"), L615, 0), 3)</f>
        <v/>
      </c>
      <c r="U615" s="20">
        <f>ROUND(U614 + IF(AND(E615=20, F615&lt;&gt;"ASTM A416"), L615, 0), 3)</f>
        <v/>
      </c>
      <c r="V615" s="20">
        <f>ROUND(V614 + IF(AND(E615=22, F615&lt;&gt;"ASTM A416"), L615, 0), 3)</f>
        <v/>
      </c>
      <c r="W615" s="20">
        <f>ROUND(W614 + IF(AND(E615=25, F615&lt;&gt;"ASTM A416"), L615, 0), 3)</f>
        <v/>
      </c>
      <c r="X615" s="20">
        <f>ROUND(X614 + IF(AND(E615=28, F615&lt;&gt;"ASTM A416"), L615, 0), 3)</f>
        <v/>
      </c>
      <c r="Y615" s="20">
        <f>ROUND(Y614 + IF(AND(E615=32, F615&lt;&gt;"ASTM A416"), L615, 0), 3)</f>
        <v/>
      </c>
      <c r="Z615" s="20">
        <f>ROUND(Z614 + IF(F615="ASTM A416", L615, 0), 3)</f>
        <v/>
      </c>
      <c r="AA615" s="11">
        <f>IF(INT(P615/20)&gt;INT(P614/20), "Lần " &amp; INT(P615/20), "")</f>
        <v/>
      </c>
      <c r="AB615" s="11">
        <f>IF(INT(Q615/20)&gt;INT(Q614/20), "Lần " &amp; INT(Q615/20), "")</f>
        <v/>
      </c>
      <c r="AC615" s="11">
        <f>IF(INT(R615/20)&gt;INT(R614/20), "Lần " &amp; INT(R615/20), "")</f>
        <v/>
      </c>
      <c r="AD615" s="11">
        <f>IF(INT(S615/20)&gt;INT(S614/20), "Lần " &amp; INT(S615/20), "")</f>
        <v/>
      </c>
      <c r="AE615" s="11">
        <f>IF(INT(T615/20)&gt;INT(T614/20), "Lần " &amp; INT(T615/20), "")</f>
        <v/>
      </c>
      <c r="AF615" s="11">
        <f>IF(INT(U615/20)&gt;INT(U614/20), "Lần " &amp; INT(U615/20), "")</f>
        <v/>
      </c>
      <c r="AG615" s="11">
        <f>IF(INT(V615/20)&gt;INT(V614/20), "Lần " &amp; INT(V615/20), "")</f>
        <v/>
      </c>
      <c r="AH615" s="11">
        <f>IF(INT(W615/20)&gt;INT(W614/20), "Lần " &amp; INT(W615/20), "")</f>
        <v/>
      </c>
      <c r="AI615" s="11">
        <f>IF(INT(X615/20)&gt;INT(X614/20), "Lần " &amp; INT(X615/20), "")</f>
        <v/>
      </c>
      <c r="AJ615" s="11">
        <f>IF(INT(Y615/20)&gt;INT(Y614/20), "Lần " &amp; INT(Y615/20), "")</f>
        <v/>
      </c>
      <c r="AK615" s="11">
        <f>IF(INT(Z615/20)&gt;INT(Z614/20), "Lần " &amp; INT(Z615/20), "")</f>
        <v/>
      </c>
      <c r="AL615" s="6" t="inlineStr">
        <is>
          <t>ĐẠT TCVN 1651:2018</t>
        </is>
      </c>
    </row>
    <row r="616" ht="19" customHeight="1">
      <c r="A616" s="6" t="n">
        <v>585</v>
      </c>
      <c r="B616" s="7" t="inlineStr">
        <is>
          <t>Trụ T1 (Thân trụ)</t>
        </is>
      </c>
      <c r="C616" s="7" t="inlineStr">
        <is>
          <t>Thân trụ đặc</t>
        </is>
      </c>
      <c r="D616" s="18" t="inlineStr">
        <is>
          <t>T4c1</t>
        </is>
      </c>
      <c r="E616" s="19" t="n">
        <v>16</v>
      </c>
      <c r="F616" s="6" t="inlineStr">
        <is>
          <t>CB400-V</t>
        </is>
      </c>
      <c r="G616" s="7" t="inlineStr">
        <is>
          <t>S06</t>
        </is>
      </c>
      <c r="H616" s="20" t="n">
        <v>6.202</v>
      </c>
      <c r="I616" s="21" t="n">
        <v>18</v>
      </c>
      <c r="J616" s="22" t="n">
        <v>1.58</v>
      </c>
      <c r="K616" s="9">
        <f>ROUND(H616*I616*J616, 2)</f>
        <v/>
      </c>
      <c r="L616" s="23">
        <f>ROUND(K616/1000, 3)</f>
        <v/>
      </c>
      <c r="M616" s="8" t="n"/>
      <c r="N616" s="6" t="n"/>
      <c r="O616" s="24">
        <f>IF(AND(E616&lt;=10, F616&lt;&gt;"ASTM A416", INT(P616/20)&gt;INT(P615/20)), "TN Ø10 (Lần " &amp; INT(P616/20) &amp; ")", IF(AND(E616=12, INT(Q616/20)&gt;INT(Q615/20)), "TN Ø12 (Lần " &amp; INT(Q616/20) &amp; ")", IF(AND(E616=14, INT(R616/20)&gt;INT(R615/20)), "TN Ø14 (Lần " &amp; INT(R616/20) &amp; ")", IF(AND(E616=16, INT(S616/20)&gt;INT(S615/20)), "TN Ø16 (Lần " &amp; INT(S616/20) &amp; ")", IF(AND(E616=18, INT(T616/20)&gt;INT(T615/20)), "TN Ø18 (Lần " &amp; INT(T616/20) &amp; ")", IF(AND(E616=20, INT(U616/20)&gt;INT(U615/20)), "TN Ø20 (Lần " &amp; INT(U616/20) &amp; ")", IF(AND(E616=22, INT(V616/20)&gt;INT(V615/20)), "TN Ø22 (Lần " &amp; INT(V616/20) &amp; ")", IF(AND(E616=25, INT(W616/20)&gt;INT(W615/20)), "TN Ø25 (Lần " &amp; INT(W616/20) &amp; ")", IF(AND(E616=28, INT(X616/20)&gt;INT(X615/20)), "TN Ø28 (Lần " &amp; INT(X616/20) &amp; ")", IF(AND(E616=32, INT(Y616/20)&gt;INT(Y615/20)), "TN Ø32 (Lần " &amp; INT(Y616/20) &amp; ")", IF(AND(F616="ASTM A416", INT(Z616/20)&gt;INT(Z615/20)), "TN Cáp 15.2 (Lần " &amp; INT(Z616/20) &amp; ")", "")))))))))))</f>
        <v/>
      </c>
      <c r="P616" s="20">
        <f>ROUND(P615 + IF(AND(E616&lt;=10, F616&lt;&gt;"ASTM A416"), L616, 0), 3)</f>
        <v/>
      </c>
      <c r="Q616" s="20">
        <f>ROUND(Q615 + IF(AND(E616=12, F616&lt;&gt;"ASTM A416"), L616, 0), 3)</f>
        <v/>
      </c>
      <c r="R616" s="20">
        <f>ROUND(R615 + IF(AND(E616=14, F616&lt;&gt;"ASTM A416"), L616, 0), 3)</f>
        <v/>
      </c>
      <c r="S616" s="20">
        <f>ROUND(S615 + IF(AND(E616=16, F616&lt;&gt;"ASTM A416"), L616, 0), 3)</f>
        <v/>
      </c>
      <c r="T616" s="20">
        <f>ROUND(T615 + IF(AND(E616=18, F616&lt;&gt;"ASTM A416"), L616, 0), 3)</f>
        <v/>
      </c>
      <c r="U616" s="20">
        <f>ROUND(U615 + IF(AND(E616=20, F616&lt;&gt;"ASTM A416"), L616, 0), 3)</f>
        <v/>
      </c>
      <c r="V616" s="20">
        <f>ROUND(V615 + IF(AND(E616=22, F616&lt;&gt;"ASTM A416"), L616, 0), 3)</f>
        <v/>
      </c>
      <c r="W616" s="20">
        <f>ROUND(W615 + IF(AND(E616=25, F616&lt;&gt;"ASTM A416"), L616, 0), 3)</f>
        <v/>
      </c>
      <c r="X616" s="20">
        <f>ROUND(X615 + IF(AND(E616=28, F616&lt;&gt;"ASTM A416"), L616, 0), 3)</f>
        <v/>
      </c>
      <c r="Y616" s="20">
        <f>ROUND(Y615 + IF(AND(E616=32, F616&lt;&gt;"ASTM A416"), L616, 0), 3)</f>
        <v/>
      </c>
      <c r="Z616" s="20">
        <f>ROUND(Z615 + IF(F616="ASTM A416", L616, 0), 3)</f>
        <v/>
      </c>
      <c r="AA616" s="11">
        <f>IF(INT(P616/20)&gt;INT(P615/20), "Lần " &amp; INT(P616/20), "")</f>
        <v/>
      </c>
      <c r="AB616" s="11">
        <f>IF(INT(Q616/20)&gt;INT(Q615/20), "Lần " &amp; INT(Q616/20), "")</f>
        <v/>
      </c>
      <c r="AC616" s="11">
        <f>IF(INT(R616/20)&gt;INT(R615/20), "Lần " &amp; INT(R616/20), "")</f>
        <v/>
      </c>
      <c r="AD616" s="11">
        <f>IF(INT(S616/20)&gt;INT(S615/20), "Lần " &amp; INT(S616/20), "")</f>
        <v/>
      </c>
      <c r="AE616" s="11">
        <f>IF(INT(T616/20)&gt;INT(T615/20), "Lần " &amp; INT(T616/20), "")</f>
        <v/>
      </c>
      <c r="AF616" s="11">
        <f>IF(INT(U616/20)&gt;INT(U615/20), "Lần " &amp; INT(U616/20), "")</f>
        <v/>
      </c>
      <c r="AG616" s="11">
        <f>IF(INT(V616/20)&gt;INT(V615/20), "Lần " &amp; INT(V616/20), "")</f>
        <v/>
      </c>
      <c r="AH616" s="11">
        <f>IF(INT(W616/20)&gt;INT(W615/20), "Lần " &amp; INT(W616/20), "")</f>
        <v/>
      </c>
      <c r="AI616" s="11">
        <f>IF(INT(X616/20)&gt;INT(X615/20), "Lần " &amp; INT(X616/20), "")</f>
        <v/>
      </c>
      <c r="AJ616" s="11">
        <f>IF(INT(Y616/20)&gt;INT(Y615/20), "Lần " &amp; INT(Y616/20), "")</f>
        <v/>
      </c>
      <c r="AK616" s="11">
        <f>IF(INT(Z616/20)&gt;INT(Z615/20), "Lần " &amp; INT(Z616/20), "")</f>
        <v/>
      </c>
      <c r="AL616" s="6" t="inlineStr">
        <is>
          <t>ĐẠT TCVN 1651:2018</t>
        </is>
      </c>
    </row>
    <row r="617" ht="19" customHeight="1">
      <c r="A617" s="6" t="n">
        <v>586</v>
      </c>
      <c r="B617" s="7" t="inlineStr">
        <is>
          <t>Trụ T2 (Thân trụ)</t>
        </is>
      </c>
      <c r="C617" s="7" t="inlineStr">
        <is>
          <t>th©n trô ®o¹n 1</t>
        </is>
      </c>
      <c r="D617" s="18" t="inlineStr">
        <is>
          <t>T1a</t>
        </is>
      </c>
      <c r="E617" s="19" t="n">
        <v>32</v>
      </c>
      <c r="F617" s="6" t="inlineStr">
        <is>
          <t>CB400-V</t>
        </is>
      </c>
      <c r="G617" s="7" t="inlineStr">
        <is>
          <t>S02</t>
        </is>
      </c>
      <c r="H617" s="20" t="n">
        <v>14.256</v>
      </c>
      <c r="I617" s="21" t="n">
        <v>90</v>
      </c>
      <c r="J617" s="22" t="n">
        <v>6.31</v>
      </c>
      <c r="K617" s="9">
        <f>ROUND(H617*I617*J617, 2)</f>
        <v/>
      </c>
      <c r="L617" s="23">
        <f>ROUND(K617/1000, 3)</f>
        <v/>
      </c>
      <c r="M617" s="8" t="n"/>
      <c r="N617" s="6" t="n"/>
      <c r="O617" s="24">
        <f>IF(AND(E617&lt;=10, F617&lt;&gt;"ASTM A416", INT(P617/20)&gt;INT(P616/20)), "TN Ø10 (Lần " &amp; INT(P617/20) &amp; ")", IF(AND(E617=12, INT(Q617/20)&gt;INT(Q616/20)), "TN Ø12 (Lần " &amp; INT(Q617/20) &amp; ")", IF(AND(E617=14, INT(R617/20)&gt;INT(R616/20)), "TN Ø14 (Lần " &amp; INT(R617/20) &amp; ")", IF(AND(E617=16, INT(S617/20)&gt;INT(S616/20)), "TN Ø16 (Lần " &amp; INT(S617/20) &amp; ")", IF(AND(E617=18, INT(T617/20)&gt;INT(T616/20)), "TN Ø18 (Lần " &amp; INT(T617/20) &amp; ")", IF(AND(E617=20, INT(U617/20)&gt;INT(U616/20)), "TN Ø20 (Lần " &amp; INT(U617/20) &amp; ")", IF(AND(E617=22, INT(V617/20)&gt;INT(V616/20)), "TN Ø22 (Lần " &amp; INT(V617/20) &amp; ")", IF(AND(E617=25, INT(W617/20)&gt;INT(W616/20)), "TN Ø25 (Lần " &amp; INT(W617/20) &amp; ")", IF(AND(E617=28, INT(X617/20)&gt;INT(X616/20)), "TN Ø28 (Lần " &amp; INT(X617/20) &amp; ")", IF(AND(E617=32, INT(Y617/20)&gt;INT(Y616/20)), "TN Ø32 (Lần " &amp; INT(Y617/20) &amp; ")", IF(AND(F617="ASTM A416", INT(Z617/20)&gt;INT(Z616/20)), "TN Cáp 15.2 (Lần " &amp; INT(Z617/20) &amp; ")", "")))))))))))</f>
        <v/>
      </c>
      <c r="P617" s="20">
        <f>ROUND(P616 + IF(AND(E617&lt;=10, F617&lt;&gt;"ASTM A416"), L617, 0), 3)</f>
        <v/>
      </c>
      <c r="Q617" s="20">
        <f>ROUND(Q616 + IF(AND(E617=12, F617&lt;&gt;"ASTM A416"), L617, 0), 3)</f>
        <v/>
      </c>
      <c r="R617" s="20">
        <f>ROUND(R616 + IF(AND(E617=14, F617&lt;&gt;"ASTM A416"), L617, 0), 3)</f>
        <v/>
      </c>
      <c r="S617" s="20">
        <f>ROUND(S616 + IF(AND(E617=16, F617&lt;&gt;"ASTM A416"), L617, 0), 3)</f>
        <v/>
      </c>
      <c r="T617" s="20">
        <f>ROUND(T616 + IF(AND(E617=18, F617&lt;&gt;"ASTM A416"), L617, 0), 3)</f>
        <v/>
      </c>
      <c r="U617" s="20">
        <f>ROUND(U616 + IF(AND(E617=20, F617&lt;&gt;"ASTM A416"), L617, 0), 3)</f>
        <v/>
      </c>
      <c r="V617" s="20">
        <f>ROUND(V616 + IF(AND(E617=22, F617&lt;&gt;"ASTM A416"), L617, 0), 3)</f>
        <v/>
      </c>
      <c r="W617" s="20">
        <f>ROUND(W616 + IF(AND(E617=25, F617&lt;&gt;"ASTM A416"), L617, 0), 3)</f>
        <v/>
      </c>
      <c r="X617" s="20">
        <f>ROUND(X616 + IF(AND(E617=28, F617&lt;&gt;"ASTM A416"), L617, 0), 3)</f>
        <v/>
      </c>
      <c r="Y617" s="20">
        <f>ROUND(Y616 + IF(AND(E617=32, F617&lt;&gt;"ASTM A416"), L617, 0), 3)</f>
        <v/>
      </c>
      <c r="Z617" s="20">
        <f>ROUND(Z616 + IF(F617="ASTM A416", L617, 0), 3)</f>
        <v/>
      </c>
      <c r="AA617" s="11">
        <f>IF(INT(P617/20)&gt;INT(P616/20), "Lần " &amp; INT(P617/20), "")</f>
        <v/>
      </c>
      <c r="AB617" s="11">
        <f>IF(INT(Q617/20)&gt;INT(Q616/20), "Lần " &amp; INT(Q617/20), "")</f>
        <v/>
      </c>
      <c r="AC617" s="11">
        <f>IF(INT(R617/20)&gt;INT(R616/20), "Lần " &amp; INT(R617/20), "")</f>
        <v/>
      </c>
      <c r="AD617" s="11">
        <f>IF(INT(S617/20)&gt;INT(S616/20), "Lần " &amp; INT(S617/20), "")</f>
        <v/>
      </c>
      <c r="AE617" s="11">
        <f>IF(INT(T617/20)&gt;INT(T616/20), "Lần " &amp; INT(T617/20), "")</f>
        <v/>
      </c>
      <c r="AF617" s="11">
        <f>IF(INT(U617/20)&gt;INT(U616/20), "Lần " &amp; INT(U617/20), "")</f>
        <v/>
      </c>
      <c r="AG617" s="11">
        <f>IF(INT(V617/20)&gt;INT(V616/20), "Lần " &amp; INT(V617/20), "")</f>
        <v/>
      </c>
      <c r="AH617" s="11">
        <f>IF(INT(W617/20)&gt;INT(W616/20), "Lần " &amp; INT(W617/20), "")</f>
        <v/>
      </c>
      <c r="AI617" s="11">
        <f>IF(INT(X617/20)&gt;INT(X616/20), "Lần " &amp; INT(X617/20), "")</f>
        <v/>
      </c>
      <c r="AJ617" s="11">
        <f>IF(INT(Y617/20)&gt;INT(Y616/20), "Lần " &amp; INT(Y617/20), "")</f>
        <v/>
      </c>
      <c r="AK617" s="11">
        <f>IF(INT(Z617/20)&gt;INT(Z616/20), "Lần " &amp; INT(Z617/20), "")</f>
        <v/>
      </c>
      <c r="AL617" s="6" t="inlineStr">
        <is>
          <t>ĐẠT TCVN 1651:2018</t>
        </is>
      </c>
    </row>
    <row r="618" ht="19" customHeight="1">
      <c r="A618" s="6" t="n">
        <v>587</v>
      </c>
      <c r="B618" s="7" t="inlineStr">
        <is>
          <t>Trụ T2 (Thân trụ)</t>
        </is>
      </c>
      <c r="C618" s="7" t="inlineStr">
        <is>
          <t>Thân trụ đặc</t>
        </is>
      </c>
      <c r="D618" s="18" t="inlineStr">
        <is>
          <t>T2a</t>
        </is>
      </c>
      <c r="E618" s="19" t="n">
        <v>16</v>
      </c>
      <c r="F618" s="6" t="inlineStr">
        <is>
          <t>CB400-V</t>
        </is>
      </c>
      <c r="G618" s="7" t="inlineStr">
        <is>
          <t>S07</t>
        </is>
      </c>
      <c r="H618" s="20" t="n">
        <v>5.352</v>
      </c>
      <c r="I618" s="21" t="n">
        <v>176</v>
      </c>
      <c r="J618" s="22" t="n">
        <v>1.58</v>
      </c>
      <c r="K618" s="9">
        <f>ROUND(H618*I618*J618, 2)</f>
        <v/>
      </c>
      <c r="L618" s="23">
        <f>ROUND(K618/1000, 3)</f>
        <v/>
      </c>
      <c r="M618" s="8" t="n"/>
      <c r="N618" s="6" t="n"/>
      <c r="O618" s="24">
        <f>IF(AND(E618&lt;=10, F618&lt;&gt;"ASTM A416", INT(P618/20)&gt;INT(P617/20)), "TN Ø10 (Lần " &amp; INT(P618/20) &amp; ")", IF(AND(E618=12, INT(Q618/20)&gt;INT(Q617/20)), "TN Ø12 (Lần " &amp; INT(Q618/20) &amp; ")", IF(AND(E618=14, INT(R618/20)&gt;INT(R617/20)), "TN Ø14 (Lần " &amp; INT(R618/20) &amp; ")", IF(AND(E618=16, INT(S618/20)&gt;INT(S617/20)), "TN Ø16 (Lần " &amp; INT(S618/20) &amp; ")", IF(AND(E618=18, INT(T618/20)&gt;INT(T617/20)), "TN Ø18 (Lần " &amp; INT(T618/20) &amp; ")", IF(AND(E618=20, INT(U618/20)&gt;INT(U617/20)), "TN Ø20 (Lần " &amp; INT(U618/20) &amp; ")", IF(AND(E618=22, INT(V618/20)&gt;INT(V617/20)), "TN Ø22 (Lần " &amp; INT(V618/20) &amp; ")", IF(AND(E618=25, INT(W618/20)&gt;INT(W617/20)), "TN Ø25 (Lần " &amp; INT(W618/20) &amp; ")", IF(AND(E618=28, INT(X618/20)&gt;INT(X617/20)), "TN Ø28 (Lần " &amp; INT(X618/20) &amp; ")", IF(AND(E618=32, INT(Y618/20)&gt;INT(Y617/20)), "TN Ø32 (Lần " &amp; INT(Y618/20) &amp; ")", IF(AND(F618="ASTM A416", INT(Z618/20)&gt;INT(Z617/20)), "TN Cáp 15.2 (Lần " &amp; INT(Z618/20) &amp; ")", "")))))))))))</f>
        <v/>
      </c>
      <c r="P618" s="20">
        <f>ROUND(P617 + IF(AND(E618&lt;=10, F618&lt;&gt;"ASTM A416"), L618, 0), 3)</f>
        <v/>
      </c>
      <c r="Q618" s="20">
        <f>ROUND(Q617 + IF(AND(E618=12, F618&lt;&gt;"ASTM A416"), L618, 0), 3)</f>
        <v/>
      </c>
      <c r="R618" s="20">
        <f>ROUND(R617 + IF(AND(E618=14, F618&lt;&gt;"ASTM A416"), L618, 0), 3)</f>
        <v/>
      </c>
      <c r="S618" s="20">
        <f>ROUND(S617 + IF(AND(E618=16, F618&lt;&gt;"ASTM A416"), L618, 0), 3)</f>
        <v/>
      </c>
      <c r="T618" s="20">
        <f>ROUND(T617 + IF(AND(E618=18, F618&lt;&gt;"ASTM A416"), L618, 0), 3)</f>
        <v/>
      </c>
      <c r="U618" s="20">
        <f>ROUND(U617 + IF(AND(E618=20, F618&lt;&gt;"ASTM A416"), L618, 0), 3)</f>
        <v/>
      </c>
      <c r="V618" s="20">
        <f>ROUND(V617 + IF(AND(E618=22, F618&lt;&gt;"ASTM A416"), L618, 0), 3)</f>
        <v/>
      </c>
      <c r="W618" s="20">
        <f>ROUND(W617 + IF(AND(E618=25, F618&lt;&gt;"ASTM A416"), L618, 0), 3)</f>
        <v/>
      </c>
      <c r="X618" s="20">
        <f>ROUND(X617 + IF(AND(E618=28, F618&lt;&gt;"ASTM A416"), L618, 0), 3)</f>
        <v/>
      </c>
      <c r="Y618" s="20">
        <f>ROUND(Y617 + IF(AND(E618=32, F618&lt;&gt;"ASTM A416"), L618, 0), 3)</f>
        <v/>
      </c>
      <c r="Z618" s="20">
        <f>ROUND(Z617 + IF(F618="ASTM A416", L618, 0), 3)</f>
        <v/>
      </c>
      <c r="AA618" s="11">
        <f>IF(INT(P618/20)&gt;INT(P617/20), "Lần " &amp; INT(P618/20), "")</f>
        <v/>
      </c>
      <c r="AB618" s="11">
        <f>IF(INT(Q618/20)&gt;INT(Q617/20), "Lần " &amp; INT(Q618/20), "")</f>
        <v/>
      </c>
      <c r="AC618" s="11">
        <f>IF(INT(R618/20)&gt;INT(R617/20), "Lần " &amp; INT(R618/20), "")</f>
        <v/>
      </c>
      <c r="AD618" s="11">
        <f>IF(INT(S618/20)&gt;INT(S617/20), "Lần " &amp; INT(S618/20), "")</f>
        <v/>
      </c>
      <c r="AE618" s="11">
        <f>IF(INT(T618/20)&gt;INT(T617/20), "Lần " &amp; INT(T618/20), "")</f>
        <v/>
      </c>
      <c r="AF618" s="11">
        <f>IF(INT(U618/20)&gt;INT(U617/20), "Lần " &amp; INT(U618/20), "")</f>
        <v/>
      </c>
      <c r="AG618" s="11">
        <f>IF(INT(V618/20)&gt;INT(V617/20), "Lần " &amp; INT(V618/20), "")</f>
        <v/>
      </c>
      <c r="AH618" s="11">
        <f>IF(INT(W618/20)&gt;INT(W617/20), "Lần " &amp; INT(W618/20), "")</f>
        <v/>
      </c>
      <c r="AI618" s="11">
        <f>IF(INT(X618/20)&gt;INT(X617/20), "Lần " &amp; INT(X618/20), "")</f>
        <v/>
      </c>
      <c r="AJ618" s="11">
        <f>IF(INT(Y618/20)&gt;INT(Y617/20), "Lần " &amp; INT(Y618/20), "")</f>
        <v/>
      </c>
      <c r="AK618" s="11">
        <f>IF(INT(Z618/20)&gt;INT(Z617/20), "Lần " &amp; INT(Z618/20), "")</f>
        <v/>
      </c>
      <c r="AL618" s="6" t="inlineStr">
        <is>
          <t>ĐẠT TCVN 1651:2018</t>
        </is>
      </c>
    </row>
    <row r="619" ht="19" customHeight="1">
      <c r="A619" s="6" t="n">
        <v>588</v>
      </c>
      <c r="B619" s="7" t="inlineStr">
        <is>
          <t>Trụ T2 (Thân trụ)</t>
        </is>
      </c>
      <c r="C619" s="7" t="inlineStr">
        <is>
          <t>Thân trụ đặc</t>
        </is>
      </c>
      <c r="D619" s="18" t="inlineStr">
        <is>
          <t>T3a</t>
        </is>
      </c>
      <c r="E619" s="19" t="n">
        <v>16</v>
      </c>
      <c r="F619" s="6" t="inlineStr">
        <is>
          <t>CB400-V</t>
        </is>
      </c>
      <c r="G619" s="7" t="inlineStr">
        <is>
          <t>S51</t>
        </is>
      </c>
      <c r="H619" s="20" t="n">
        <v>6.806</v>
      </c>
      <c r="I619" s="21" t="n">
        <v>176</v>
      </c>
      <c r="J619" s="22" t="n">
        <v>1.58</v>
      </c>
      <c r="K619" s="9">
        <f>ROUND(H619*I619*J619, 2)</f>
        <v/>
      </c>
      <c r="L619" s="23">
        <f>ROUND(K619/1000, 3)</f>
        <v/>
      </c>
      <c r="M619" s="8" t="n"/>
      <c r="N619" s="6" t="n"/>
      <c r="O619" s="24">
        <f>IF(AND(E619&lt;=10, F619&lt;&gt;"ASTM A416", INT(P619/20)&gt;INT(P618/20)), "TN Ø10 (Lần " &amp; INT(P619/20) &amp; ")", IF(AND(E619=12, INT(Q619/20)&gt;INT(Q618/20)), "TN Ø12 (Lần " &amp; INT(Q619/20) &amp; ")", IF(AND(E619=14, INT(R619/20)&gt;INT(R618/20)), "TN Ø14 (Lần " &amp; INT(R619/20) &amp; ")", IF(AND(E619=16, INT(S619/20)&gt;INT(S618/20)), "TN Ø16 (Lần " &amp; INT(S619/20) &amp; ")", IF(AND(E619=18, INT(T619/20)&gt;INT(T618/20)), "TN Ø18 (Lần " &amp; INT(T619/20) &amp; ")", IF(AND(E619=20, INT(U619/20)&gt;INT(U618/20)), "TN Ø20 (Lần " &amp; INT(U619/20) &amp; ")", IF(AND(E619=22, INT(V619/20)&gt;INT(V618/20)), "TN Ø22 (Lần " &amp; INT(V619/20) &amp; ")", IF(AND(E619=25, INT(W619/20)&gt;INT(W618/20)), "TN Ø25 (Lần " &amp; INT(W619/20) &amp; ")", IF(AND(E619=28, INT(X619/20)&gt;INT(X618/20)), "TN Ø28 (Lần " &amp; INT(X619/20) &amp; ")", IF(AND(E619=32, INT(Y619/20)&gt;INT(Y618/20)), "TN Ø32 (Lần " &amp; INT(Y619/20) &amp; ")", IF(AND(F619="ASTM A416", INT(Z619/20)&gt;INT(Z618/20)), "TN Cáp 15.2 (Lần " &amp; INT(Z619/20) &amp; ")", "")))))))))))</f>
        <v/>
      </c>
      <c r="P619" s="20">
        <f>ROUND(P618 + IF(AND(E619&lt;=10, F619&lt;&gt;"ASTM A416"), L619, 0), 3)</f>
        <v/>
      </c>
      <c r="Q619" s="20">
        <f>ROUND(Q618 + IF(AND(E619=12, F619&lt;&gt;"ASTM A416"), L619, 0), 3)</f>
        <v/>
      </c>
      <c r="R619" s="20">
        <f>ROUND(R618 + IF(AND(E619=14, F619&lt;&gt;"ASTM A416"), L619, 0), 3)</f>
        <v/>
      </c>
      <c r="S619" s="20">
        <f>ROUND(S618 + IF(AND(E619=16, F619&lt;&gt;"ASTM A416"), L619, 0), 3)</f>
        <v/>
      </c>
      <c r="T619" s="20">
        <f>ROUND(T618 + IF(AND(E619=18, F619&lt;&gt;"ASTM A416"), L619, 0), 3)</f>
        <v/>
      </c>
      <c r="U619" s="20">
        <f>ROUND(U618 + IF(AND(E619=20, F619&lt;&gt;"ASTM A416"), L619, 0), 3)</f>
        <v/>
      </c>
      <c r="V619" s="20">
        <f>ROUND(V618 + IF(AND(E619=22, F619&lt;&gt;"ASTM A416"), L619, 0), 3)</f>
        <v/>
      </c>
      <c r="W619" s="20">
        <f>ROUND(W618 + IF(AND(E619=25, F619&lt;&gt;"ASTM A416"), L619, 0), 3)</f>
        <v/>
      </c>
      <c r="X619" s="20">
        <f>ROUND(X618 + IF(AND(E619=28, F619&lt;&gt;"ASTM A416"), L619, 0), 3)</f>
        <v/>
      </c>
      <c r="Y619" s="20">
        <f>ROUND(Y618 + IF(AND(E619=32, F619&lt;&gt;"ASTM A416"), L619, 0), 3)</f>
        <v/>
      </c>
      <c r="Z619" s="20">
        <f>ROUND(Z618 + IF(F619="ASTM A416", L619, 0), 3)</f>
        <v/>
      </c>
      <c r="AA619" s="11">
        <f>IF(INT(P619/20)&gt;INT(P618/20), "Lần " &amp; INT(P619/20), "")</f>
        <v/>
      </c>
      <c r="AB619" s="11">
        <f>IF(INT(Q619/20)&gt;INT(Q618/20), "Lần " &amp; INT(Q619/20), "")</f>
        <v/>
      </c>
      <c r="AC619" s="11">
        <f>IF(INT(R619/20)&gt;INT(R618/20), "Lần " &amp; INT(R619/20), "")</f>
        <v/>
      </c>
      <c r="AD619" s="11">
        <f>IF(INT(S619/20)&gt;INT(S618/20), "Lần " &amp; INT(S619/20), "")</f>
        <v/>
      </c>
      <c r="AE619" s="11">
        <f>IF(INT(T619/20)&gt;INT(T618/20), "Lần " &amp; INT(T619/20), "")</f>
        <v/>
      </c>
      <c r="AF619" s="11">
        <f>IF(INT(U619/20)&gt;INT(U618/20), "Lần " &amp; INT(U619/20), "")</f>
        <v/>
      </c>
      <c r="AG619" s="11">
        <f>IF(INT(V619/20)&gt;INT(V618/20), "Lần " &amp; INT(V619/20), "")</f>
        <v/>
      </c>
      <c r="AH619" s="11">
        <f>IF(INT(W619/20)&gt;INT(W618/20), "Lần " &amp; INT(W619/20), "")</f>
        <v/>
      </c>
      <c r="AI619" s="11">
        <f>IF(INT(X619/20)&gt;INT(X618/20), "Lần " &amp; INT(X619/20), "")</f>
        <v/>
      </c>
      <c r="AJ619" s="11">
        <f>IF(INT(Y619/20)&gt;INT(Y618/20), "Lần " &amp; INT(Y619/20), "")</f>
        <v/>
      </c>
      <c r="AK619" s="11">
        <f>IF(INT(Z619/20)&gt;INT(Z618/20), "Lần " &amp; INT(Z619/20), "")</f>
        <v/>
      </c>
      <c r="AL619" s="6" t="inlineStr">
        <is>
          <t>ĐẠT TCVN 1651:2018</t>
        </is>
      </c>
    </row>
    <row r="620" ht="19" customHeight="1">
      <c r="A620" s="6" t="n">
        <v>589</v>
      </c>
      <c r="B620" s="7" t="inlineStr">
        <is>
          <t>Trụ T2 (Thân trụ)</t>
        </is>
      </c>
      <c r="C620" s="7" t="inlineStr">
        <is>
          <t>Thân trụ đặc</t>
        </is>
      </c>
      <c r="D620" s="18" t="inlineStr">
        <is>
          <t>T4a</t>
        </is>
      </c>
      <c r="E620" s="19" t="n">
        <v>16</v>
      </c>
      <c r="F620" s="6" t="inlineStr">
        <is>
          <t>CB400-V</t>
        </is>
      </c>
      <c r="G620" s="7" t="inlineStr">
        <is>
          <t>S06</t>
        </is>
      </c>
      <c r="H620" s="20" t="n">
        <v>5.332</v>
      </c>
      <c r="I620" s="21" t="n">
        <v>20</v>
      </c>
      <c r="J620" s="22" t="n">
        <v>1.58</v>
      </c>
      <c r="K620" s="9">
        <f>ROUND(H620*I620*J620, 2)</f>
        <v/>
      </c>
      <c r="L620" s="23">
        <f>ROUND(K620/1000, 3)</f>
        <v/>
      </c>
      <c r="M620" s="8" t="n"/>
      <c r="N620" s="6" t="n"/>
      <c r="O620" s="24">
        <f>IF(AND(E620&lt;=10, F620&lt;&gt;"ASTM A416", INT(P620/20)&gt;INT(P619/20)), "TN Ø10 (Lần " &amp; INT(P620/20) &amp; ")", IF(AND(E620=12, INT(Q620/20)&gt;INT(Q619/20)), "TN Ø12 (Lần " &amp; INT(Q620/20) &amp; ")", IF(AND(E620=14, INT(R620/20)&gt;INT(R619/20)), "TN Ø14 (Lần " &amp; INT(R620/20) &amp; ")", IF(AND(E620=16, INT(S620/20)&gt;INT(S619/20)), "TN Ø16 (Lần " &amp; INT(S620/20) &amp; ")", IF(AND(E620=18, INT(T620/20)&gt;INT(T619/20)), "TN Ø18 (Lần " &amp; INT(T620/20) &amp; ")", IF(AND(E620=20, INT(U620/20)&gt;INT(U619/20)), "TN Ø20 (Lần " &amp; INT(U620/20) &amp; ")", IF(AND(E620=22, INT(V620/20)&gt;INT(V619/20)), "TN Ø22 (Lần " &amp; INT(V620/20) &amp; ")", IF(AND(E620=25, INT(W620/20)&gt;INT(W619/20)), "TN Ø25 (Lần " &amp; INT(W620/20) &amp; ")", IF(AND(E620=28, INT(X620/20)&gt;INT(X619/20)), "TN Ø28 (Lần " &amp; INT(X620/20) &amp; ")", IF(AND(E620=32, INT(Y620/20)&gt;INT(Y619/20)), "TN Ø32 (Lần " &amp; INT(Y620/20) &amp; ")", IF(AND(F620="ASTM A416", INT(Z620/20)&gt;INT(Z619/20)), "TN Cáp 15.2 (Lần " &amp; INT(Z620/20) &amp; ")", "")))))))))))</f>
        <v/>
      </c>
      <c r="P620" s="20">
        <f>ROUND(P619 + IF(AND(E620&lt;=10, F620&lt;&gt;"ASTM A416"), L620, 0), 3)</f>
        <v/>
      </c>
      <c r="Q620" s="20">
        <f>ROUND(Q619 + IF(AND(E620=12, F620&lt;&gt;"ASTM A416"), L620, 0), 3)</f>
        <v/>
      </c>
      <c r="R620" s="20">
        <f>ROUND(R619 + IF(AND(E620=14, F620&lt;&gt;"ASTM A416"), L620, 0), 3)</f>
        <v/>
      </c>
      <c r="S620" s="20">
        <f>ROUND(S619 + IF(AND(E620=16, F620&lt;&gt;"ASTM A416"), L620, 0), 3)</f>
        <v/>
      </c>
      <c r="T620" s="20">
        <f>ROUND(T619 + IF(AND(E620=18, F620&lt;&gt;"ASTM A416"), L620, 0), 3)</f>
        <v/>
      </c>
      <c r="U620" s="20">
        <f>ROUND(U619 + IF(AND(E620=20, F620&lt;&gt;"ASTM A416"), L620, 0), 3)</f>
        <v/>
      </c>
      <c r="V620" s="20">
        <f>ROUND(V619 + IF(AND(E620=22, F620&lt;&gt;"ASTM A416"), L620, 0), 3)</f>
        <v/>
      </c>
      <c r="W620" s="20">
        <f>ROUND(W619 + IF(AND(E620=25, F620&lt;&gt;"ASTM A416"), L620, 0), 3)</f>
        <v/>
      </c>
      <c r="X620" s="20">
        <f>ROUND(X619 + IF(AND(E620=28, F620&lt;&gt;"ASTM A416"), L620, 0), 3)</f>
        <v/>
      </c>
      <c r="Y620" s="20">
        <f>ROUND(Y619 + IF(AND(E620=32, F620&lt;&gt;"ASTM A416"), L620, 0), 3)</f>
        <v/>
      </c>
      <c r="Z620" s="20">
        <f>ROUND(Z619 + IF(F620="ASTM A416", L620, 0), 3)</f>
        <v/>
      </c>
      <c r="AA620" s="11">
        <f>IF(INT(P620/20)&gt;INT(P619/20), "Lần " &amp; INT(P620/20), "")</f>
        <v/>
      </c>
      <c r="AB620" s="11">
        <f>IF(INT(Q620/20)&gt;INT(Q619/20), "Lần " &amp; INT(Q620/20), "")</f>
        <v/>
      </c>
      <c r="AC620" s="11">
        <f>IF(INT(R620/20)&gt;INT(R619/20), "Lần " &amp; INT(R620/20), "")</f>
        <v/>
      </c>
      <c r="AD620" s="11">
        <f>IF(INT(S620/20)&gt;INT(S619/20), "Lần " &amp; INT(S620/20), "")</f>
        <v/>
      </c>
      <c r="AE620" s="11">
        <f>IF(INT(T620/20)&gt;INT(T619/20), "Lần " &amp; INT(T620/20), "")</f>
        <v/>
      </c>
      <c r="AF620" s="11">
        <f>IF(INT(U620/20)&gt;INT(U619/20), "Lần " &amp; INT(U620/20), "")</f>
        <v/>
      </c>
      <c r="AG620" s="11">
        <f>IF(INT(V620/20)&gt;INT(V619/20), "Lần " &amp; INT(V620/20), "")</f>
        <v/>
      </c>
      <c r="AH620" s="11">
        <f>IF(INT(W620/20)&gt;INT(W619/20), "Lần " &amp; INT(W620/20), "")</f>
        <v/>
      </c>
      <c r="AI620" s="11">
        <f>IF(INT(X620/20)&gt;INT(X619/20), "Lần " &amp; INT(X620/20), "")</f>
        <v/>
      </c>
      <c r="AJ620" s="11">
        <f>IF(INT(Y620/20)&gt;INT(Y619/20), "Lần " &amp; INT(Y620/20), "")</f>
        <v/>
      </c>
      <c r="AK620" s="11">
        <f>IF(INT(Z620/20)&gt;INT(Z619/20), "Lần " &amp; INT(Z620/20), "")</f>
        <v/>
      </c>
      <c r="AL620" s="6" t="inlineStr">
        <is>
          <t>ĐẠT TCVN 1651:2018</t>
        </is>
      </c>
    </row>
    <row r="621" ht="19" customHeight="1">
      <c r="A621" s="6" t="n">
        <v>590</v>
      </c>
      <c r="B621" s="7" t="inlineStr">
        <is>
          <t>Trụ T2 (Thân trụ)</t>
        </is>
      </c>
      <c r="C621" s="7" t="inlineStr">
        <is>
          <t>Thân trụ đặc</t>
        </is>
      </c>
      <c r="D621" s="18" t="inlineStr">
        <is>
          <t>T4a1</t>
        </is>
      </c>
      <c r="E621" s="19" t="n">
        <v>16</v>
      </c>
      <c r="F621" s="6" t="inlineStr">
        <is>
          <t>CB400-V</t>
        </is>
      </c>
      <c r="G621" s="7" t="inlineStr">
        <is>
          <t>S06</t>
        </is>
      </c>
      <c r="H621" s="20" t="n">
        <v>5.102</v>
      </c>
      <c r="I621" s="21" t="n">
        <v>40</v>
      </c>
      <c r="J621" s="22" t="n">
        <v>1.58</v>
      </c>
      <c r="K621" s="9">
        <f>ROUND(H621*I621*J621, 2)</f>
        <v/>
      </c>
      <c r="L621" s="23">
        <f>ROUND(K621/1000, 3)</f>
        <v/>
      </c>
      <c r="M621" s="8" t="n"/>
      <c r="N621" s="6" t="n"/>
      <c r="O621" s="24">
        <f>IF(AND(E621&lt;=10, F621&lt;&gt;"ASTM A416", INT(P621/20)&gt;INT(P620/20)), "TN Ø10 (Lần " &amp; INT(P621/20) &amp; ")", IF(AND(E621=12, INT(Q621/20)&gt;INT(Q620/20)), "TN Ø12 (Lần " &amp; INT(Q621/20) &amp; ")", IF(AND(E621=14, INT(R621/20)&gt;INT(R620/20)), "TN Ø14 (Lần " &amp; INT(R621/20) &amp; ")", IF(AND(E621=16, INT(S621/20)&gt;INT(S620/20)), "TN Ø16 (Lần " &amp; INT(S621/20) &amp; ")", IF(AND(E621=18, INT(T621/20)&gt;INT(T620/20)), "TN Ø18 (Lần " &amp; INT(T621/20) &amp; ")", IF(AND(E621=20, INT(U621/20)&gt;INT(U620/20)), "TN Ø20 (Lần " &amp; INT(U621/20) &amp; ")", IF(AND(E621=22, INT(V621/20)&gt;INT(V620/20)), "TN Ø22 (Lần " &amp; INT(V621/20) &amp; ")", IF(AND(E621=25, INT(W621/20)&gt;INT(W620/20)), "TN Ø25 (Lần " &amp; INT(W621/20) &amp; ")", IF(AND(E621=28, INT(X621/20)&gt;INT(X620/20)), "TN Ø28 (Lần " &amp; INT(X621/20) &amp; ")", IF(AND(E621=32, INT(Y621/20)&gt;INT(Y620/20)), "TN Ø32 (Lần " &amp; INT(Y621/20) &amp; ")", IF(AND(F621="ASTM A416", INT(Z621/20)&gt;INT(Z620/20)), "TN Cáp 15.2 (Lần " &amp; INT(Z621/20) &amp; ")", "")))))))))))</f>
        <v/>
      </c>
      <c r="P621" s="20">
        <f>ROUND(P620 + IF(AND(E621&lt;=10, F621&lt;&gt;"ASTM A416"), L621, 0), 3)</f>
        <v/>
      </c>
      <c r="Q621" s="20">
        <f>ROUND(Q620 + IF(AND(E621=12, F621&lt;&gt;"ASTM A416"), L621, 0), 3)</f>
        <v/>
      </c>
      <c r="R621" s="20">
        <f>ROUND(R620 + IF(AND(E621=14, F621&lt;&gt;"ASTM A416"), L621, 0), 3)</f>
        <v/>
      </c>
      <c r="S621" s="20">
        <f>ROUND(S620 + IF(AND(E621=16, F621&lt;&gt;"ASTM A416"), L621, 0), 3)</f>
        <v/>
      </c>
      <c r="T621" s="20">
        <f>ROUND(T620 + IF(AND(E621=18, F621&lt;&gt;"ASTM A416"), L621, 0), 3)</f>
        <v/>
      </c>
      <c r="U621" s="20">
        <f>ROUND(U620 + IF(AND(E621=20, F621&lt;&gt;"ASTM A416"), L621, 0), 3)</f>
        <v/>
      </c>
      <c r="V621" s="20">
        <f>ROUND(V620 + IF(AND(E621=22, F621&lt;&gt;"ASTM A416"), L621, 0), 3)</f>
        <v/>
      </c>
      <c r="W621" s="20">
        <f>ROUND(W620 + IF(AND(E621=25, F621&lt;&gt;"ASTM A416"), L621, 0), 3)</f>
        <v/>
      </c>
      <c r="X621" s="20">
        <f>ROUND(X620 + IF(AND(E621=28, F621&lt;&gt;"ASTM A416"), L621, 0), 3)</f>
        <v/>
      </c>
      <c r="Y621" s="20">
        <f>ROUND(Y620 + IF(AND(E621=32, F621&lt;&gt;"ASTM A416"), L621, 0), 3)</f>
        <v/>
      </c>
      <c r="Z621" s="20">
        <f>ROUND(Z620 + IF(F621="ASTM A416", L621, 0), 3)</f>
        <v/>
      </c>
      <c r="AA621" s="11">
        <f>IF(INT(P621/20)&gt;INT(P620/20), "Lần " &amp; INT(P621/20), "")</f>
        <v/>
      </c>
      <c r="AB621" s="11">
        <f>IF(INT(Q621/20)&gt;INT(Q620/20), "Lần " &amp; INT(Q621/20), "")</f>
        <v/>
      </c>
      <c r="AC621" s="11">
        <f>IF(INT(R621/20)&gt;INT(R620/20), "Lần " &amp; INT(R621/20), "")</f>
        <v/>
      </c>
      <c r="AD621" s="11">
        <f>IF(INT(S621/20)&gt;INT(S620/20), "Lần " &amp; INT(S621/20), "")</f>
        <v/>
      </c>
      <c r="AE621" s="11">
        <f>IF(INT(T621/20)&gt;INT(T620/20), "Lần " &amp; INT(T621/20), "")</f>
        <v/>
      </c>
      <c r="AF621" s="11">
        <f>IF(INT(U621/20)&gt;INT(U620/20), "Lần " &amp; INT(U621/20), "")</f>
        <v/>
      </c>
      <c r="AG621" s="11">
        <f>IF(INT(V621/20)&gt;INT(V620/20), "Lần " &amp; INT(V621/20), "")</f>
        <v/>
      </c>
      <c r="AH621" s="11">
        <f>IF(INT(W621/20)&gt;INT(W620/20), "Lần " &amp; INT(W621/20), "")</f>
        <v/>
      </c>
      <c r="AI621" s="11">
        <f>IF(INT(X621/20)&gt;INT(X620/20), "Lần " &amp; INT(X621/20), "")</f>
        <v/>
      </c>
      <c r="AJ621" s="11">
        <f>IF(INT(Y621/20)&gt;INT(Y620/20), "Lần " &amp; INT(Y621/20), "")</f>
        <v/>
      </c>
      <c r="AK621" s="11">
        <f>IF(INT(Z621/20)&gt;INT(Z620/20), "Lần " &amp; INT(Z621/20), "")</f>
        <v/>
      </c>
      <c r="AL621" s="6" t="inlineStr">
        <is>
          <t>ĐẠT TCVN 1651:2018</t>
        </is>
      </c>
    </row>
    <row r="622" ht="19" customHeight="1">
      <c r="A622" s="6" t="n">
        <v>591</v>
      </c>
      <c r="B622" s="7" t="inlineStr">
        <is>
          <t>Trụ T2 (Thân trụ)</t>
        </is>
      </c>
      <c r="C622" s="7" t="inlineStr">
        <is>
          <t>th©n trô ®o¹n 2</t>
        </is>
      </c>
      <c r="D622" s="18" t="inlineStr">
        <is>
          <t>T1b</t>
        </is>
      </c>
      <c r="E622" s="19" t="n">
        <v>32</v>
      </c>
      <c r="F622" s="6" t="inlineStr">
        <is>
          <t>CB400-V</t>
        </is>
      </c>
      <c r="G622" s="7" t="inlineStr">
        <is>
          <t>S28</t>
        </is>
      </c>
      <c r="H622" s="20" t="n">
        <v>13.616</v>
      </c>
      <c r="I622" s="21" t="n">
        <v>106</v>
      </c>
      <c r="J622" s="22" t="n">
        <v>6.31</v>
      </c>
      <c r="K622" s="9">
        <f>ROUND(H622*I622*J622, 2)</f>
        <v/>
      </c>
      <c r="L622" s="23">
        <f>ROUND(K622/1000, 3)</f>
        <v/>
      </c>
      <c r="M622" s="8" t="n"/>
      <c r="N622" s="6" t="n"/>
      <c r="O622" s="24">
        <f>IF(AND(E622&lt;=10, F622&lt;&gt;"ASTM A416", INT(P622/20)&gt;INT(P621/20)), "TN Ø10 (Lần " &amp; INT(P622/20) &amp; ")", IF(AND(E622=12, INT(Q622/20)&gt;INT(Q621/20)), "TN Ø12 (Lần " &amp; INT(Q622/20) &amp; ")", IF(AND(E622=14, INT(R622/20)&gt;INT(R621/20)), "TN Ø14 (Lần " &amp; INT(R622/20) &amp; ")", IF(AND(E622=16, INT(S622/20)&gt;INT(S621/20)), "TN Ø16 (Lần " &amp; INT(S622/20) &amp; ")", IF(AND(E622=18, INT(T622/20)&gt;INT(T621/20)), "TN Ø18 (Lần " &amp; INT(T622/20) &amp; ")", IF(AND(E622=20, INT(U622/20)&gt;INT(U621/20)), "TN Ø20 (Lần " &amp; INT(U622/20) &amp; ")", IF(AND(E622=22, INT(V622/20)&gt;INT(V621/20)), "TN Ø22 (Lần " &amp; INT(V622/20) &amp; ")", IF(AND(E622=25, INT(W622/20)&gt;INT(W621/20)), "TN Ø25 (Lần " &amp; INT(W622/20) &amp; ")", IF(AND(E622=28, INT(X622/20)&gt;INT(X621/20)), "TN Ø28 (Lần " &amp; INT(X622/20) &amp; ")", IF(AND(E622=32, INT(Y622/20)&gt;INT(Y621/20)), "TN Ø32 (Lần " &amp; INT(Y622/20) &amp; ")", IF(AND(F622="ASTM A416", INT(Z622/20)&gt;INT(Z621/20)), "TN Cáp 15.2 (Lần " &amp; INT(Z622/20) &amp; ")", "")))))))))))</f>
        <v/>
      </c>
      <c r="P622" s="20">
        <f>ROUND(P621 + IF(AND(E622&lt;=10, F622&lt;&gt;"ASTM A416"), L622, 0), 3)</f>
        <v/>
      </c>
      <c r="Q622" s="20">
        <f>ROUND(Q621 + IF(AND(E622=12, F622&lt;&gt;"ASTM A416"), L622, 0), 3)</f>
        <v/>
      </c>
      <c r="R622" s="20">
        <f>ROUND(R621 + IF(AND(E622=14, F622&lt;&gt;"ASTM A416"), L622, 0), 3)</f>
        <v/>
      </c>
      <c r="S622" s="20">
        <f>ROUND(S621 + IF(AND(E622=16, F622&lt;&gt;"ASTM A416"), L622, 0), 3)</f>
        <v/>
      </c>
      <c r="T622" s="20">
        <f>ROUND(T621 + IF(AND(E622=18, F622&lt;&gt;"ASTM A416"), L622, 0), 3)</f>
        <v/>
      </c>
      <c r="U622" s="20">
        <f>ROUND(U621 + IF(AND(E622=20, F622&lt;&gt;"ASTM A416"), L622, 0), 3)</f>
        <v/>
      </c>
      <c r="V622" s="20">
        <f>ROUND(V621 + IF(AND(E622=22, F622&lt;&gt;"ASTM A416"), L622, 0), 3)</f>
        <v/>
      </c>
      <c r="W622" s="20">
        <f>ROUND(W621 + IF(AND(E622=25, F622&lt;&gt;"ASTM A416"), L622, 0), 3)</f>
        <v/>
      </c>
      <c r="X622" s="20">
        <f>ROUND(X621 + IF(AND(E622=28, F622&lt;&gt;"ASTM A416"), L622, 0), 3)</f>
        <v/>
      </c>
      <c r="Y622" s="20">
        <f>ROUND(Y621 + IF(AND(E622=32, F622&lt;&gt;"ASTM A416"), L622, 0), 3)</f>
        <v/>
      </c>
      <c r="Z622" s="20">
        <f>ROUND(Z621 + IF(F622="ASTM A416", L622, 0), 3)</f>
        <v/>
      </c>
      <c r="AA622" s="11">
        <f>IF(INT(P622/20)&gt;INT(P621/20), "Lần " &amp; INT(P622/20), "")</f>
        <v/>
      </c>
      <c r="AB622" s="11">
        <f>IF(INT(Q622/20)&gt;INT(Q621/20), "Lần " &amp; INT(Q622/20), "")</f>
        <v/>
      </c>
      <c r="AC622" s="11">
        <f>IF(INT(R622/20)&gt;INT(R621/20), "Lần " &amp; INT(R622/20), "")</f>
        <v/>
      </c>
      <c r="AD622" s="11">
        <f>IF(INT(S622/20)&gt;INT(S621/20), "Lần " &amp; INT(S622/20), "")</f>
        <v/>
      </c>
      <c r="AE622" s="11">
        <f>IF(INT(T622/20)&gt;INT(T621/20), "Lần " &amp; INT(T622/20), "")</f>
        <v/>
      </c>
      <c r="AF622" s="11">
        <f>IF(INT(U622/20)&gt;INT(U621/20), "Lần " &amp; INT(U622/20), "")</f>
        <v/>
      </c>
      <c r="AG622" s="11">
        <f>IF(INT(V622/20)&gt;INT(V621/20), "Lần " &amp; INT(V622/20), "")</f>
        <v/>
      </c>
      <c r="AH622" s="11">
        <f>IF(INT(W622/20)&gt;INT(W621/20), "Lần " &amp; INT(W622/20), "")</f>
        <v/>
      </c>
      <c r="AI622" s="11">
        <f>IF(INT(X622/20)&gt;INT(X621/20), "Lần " &amp; INT(X622/20), "")</f>
        <v/>
      </c>
      <c r="AJ622" s="11">
        <f>IF(INT(Y622/20)&gt;INT(Y621/20), "Lần " &amp; INT(Y622/20), "")</f>
        <v/>
      </c>
      <c r="AK622" s="11">
        <f>IF(INT(Z622/20)&gt;INT(Z621/20), "Lần " &amp; INT(Z622/20), "")</f>
        <v/>
      </c>
      <c r="AL622" s="6" t="inlineStr">
        <is>
          <t>ĐẠT TCVN 1651:2018</t>
        </is>
      </c>
    </row>
    <row r="623" ht="19" customHeight="1">
      <c r="A623" s="6" t="n">
        <v>592</v>
      </c>
      <c r="B623" s="7" t="inlineStr">
        <is>
          <t>Trụ T2 (Thân trụ)</t>
        </is>
      </c>
      <c r="C623" s="7" t="inlineStr">
        <is>
          <t>Thân trụ đặc</t>
        </is>
      </c>
      <c r="D623" s="18" t="inlineStr">
        <is>
          <t>T2b</t>
        </is>
      </c>
      <c r="E623" s="19" t="n">
        <v>16</v>
      </c>
      <c r="F623" s="6" t="inlineStr">
        <is>
          <t>CB400-V</t>
        </is>
      </c>
      <c r="G623" s="7" t="inlineStr">
        <is>
          <t>S07</t>
        </is>
      </c>
      <c r="H623" s="20" t="n">
        <v>6.894</v>
      </c>
      <c r="I623" s="21" t="n">
        <v>150</v>
      </c>
      <c r="J623" s="22" t="n">
        <v>1.58</v>
      </c>
      <c r="K623" s="9">
        <f>ROUND(H623*I623*J623, 2)</f>
        <v/>
      </c>
      <c r="L623" s="23">
        <f>ROUND(K623/1000, 3)</f>
        <v/>
      </c>
      <c r="M623" s="8" t="n"/>
      <c r="N623" s="6" t="n"/>
      <c r="O623" s="24">
        <f>IF(AND(E623&lt;=10, F623&lt;&gt;"ASTM A416", INT(P623/20)&gt;INT(P622/20)), "TN Ø10 (Lần " &amp; INT(P623/20) &amp; ")", IF(AND(E623=12, INT(Q623/20)&gt;INT(Q622/20)), "TN Ø12 (Lần " &amp; INT(Q623/20) &amp; ")", IF(AND(E623=14, INT(R623/20)&gt;INT(R622/20)), "TN Ø14 (Lần " &amp; INT(R623/20) &amp; ")", IF(AND(E623=16, INT(S623/20)&gt;INT(S622/20)), "TN Ø16 (Lần " &amp; INT(S623/20) &amp; ")", IF(AND(E623=18, INT(T623/20)&gt;INT(T622/20)), "TN Ø18 (Lần " &amp; INT(T623/20) &amp; ")", IF(AND(E623=20, INT(U623/20)&gt;INT(U622/20)), "TN Ø20 (Lần " &amp; INT(U623/20) &amp; ")", IF(AND(E623=22, INT(V623/20)&gt;INT(V622/20)), "TN Ø22 (Lần " &amp; INT(V623/20) &amp; ")", IF(AND(E623=25, INT(W623/20)&gt;INT(W622/20)), "TN Ø25 (Lần " &amp; INT(W623/20) &amp; ")", IF(AND(E623=28, INT(X623/20)&gt;INT(X622/20)), "TN Ø28 (Lần " &amp; INT(X623/20) &amp; ")", IF(AND(E623=32, INT(Y623/20)&gt;INT(Y622/20)), "TN Ø32 (Lần " &amp; INT(Y623/20) &amp; ")", IF(AND(F623="ASTM A416", INT(Z623/20)&gt;INT(Z622/20)), "TN Cáp 15.2 (Lần " &amp; INT(Z623/20) &amp; ")", "")))))))))))</f>
        <v/>
      </c>
      <c r="P623" s="20">
        <f>ROUND(P622 + IF(AND(E623&lt;=10, F623&lt;&gt;"ASTM A416"), L623, 0), 3)</f>
        <v/>
      </c>
      <c r="Q623" s="20">
        <f>ROUND(Q622 + IF(AND(E623=12, F623&lt;&gt;"ASTM A416"), L623, 0), 3)</f>
        <v/>
      </c>
      <c r="R623" s="20">
        <f>ROUND(R622 + IF(AND(E623=14, F623&lt;&gt;"ASTM A416"), L623, 0), 3)</f>
        <v/>
      </c>
      <c r="S623" s="20">
        <f>ROUND(S622 + IF(AND(E623=16, F623&lt;&gt;"ASTM A416"), L623, 0), 3)</f>
        <v/>
      </c>
      <c r="T623" s="20">
        <f>ROUND(T622 + IF(AND(E623=18, F623&lt;&gt;"ASTM A416"), L623, 0), 3)</f>
        <v/>
      </c>
      <c r="U623" s="20">
        <f>ROUND(U622 + IF(AND(E623=20, F623&lt;&gt;"ASTM A416"), L623, 0), 3)</f>
        <v/>
      </c>
      <c r="V623" s="20">
        <f>ROUND(V622 + IF(AND(E623=22, F623&lt;&gt;"ASTM A416"), L623, 0), 3)</f>
        <v/>
      </c>
      <c r="W623" s="20">
        <f>ROUND(W622 + IF(AND(E623=25, F623&lt;&gt;"ASTM A416"), L623, 0), 3)</f>
        <v/>
      </c>
      <c r="X623" s="20">
        <f>ROUND(X622 + IF(AND(E623=28, F623&lt;&gt;"ASTM A416"), L623, 0), 3)</f>
        <v/>
      </c>
      <c r="Y623" s="20">
        <f>ROUND(Y622 + IF(AND(E623=32, F623&lt;&gt;"ASTM A416"), L623, 0), 3)</f>
        <v/>
      </c>
      <c r="Z623" s="20">
        <f>ROUND(Z622 + IF(F623="ASTM A416", L623, 0), 3)</f>
        <v/>
      </c>
      <c r="AA623" s="11">
        <f>IF(INT(P623/20)&gt;INT(P622/20), "Lần " &amp; INT(P623/20), "")</f>
        <v/>
      </c>
      <c r="AB623" s="11">
        <f>IF(INT(Q623/20)&gt;INT(Q622/20), "Lần " &amp; INT(Q623/20), "")</f>
        <v/>
      </c>
      <c r="AC623" s="11">
        <f>IF(INT(R623/20)&gt;INT(R622/20), "Lần " &amp; INT(R623/20), "")</f>
        <v/>
      </c>
      <c r="AD623" s="11">
        <f>IF(INT(S623/20)&gt;INT(S622/20), "Lần " &amp; INT(S623/20), "")</f>
        <v/>
      </c>
      <c r="AE623" s="11">
        <f>IF(INT(T623/20)&gt;INT(T622/20), "Lần " &amp; INT(T623/20), "")</f>
        <v/>
      </c>
      <c r="AF623" s="11">
        <f>IF(INT(U623/20)&gt;INT(U622/20), "Lần " &amp; INT(U623/20), "")</f>
        <v/>
      </c>
      <c r="AG623" s="11">
        <f>IF(INT(V623/20)&gt;INT(V622/20), "Lần " &amp; INT(V623/20), "")</f>
        <v/>
      </c>
      <c r="AH623" s="11">
        <f>IF(INT(W623/20)&gt;INT(W622/20), "Lần " &amp; INT(W623/20), "")</f>
        <v/>
      </c>
      <c r="AI623" s="11">
        <f>IF(INT(X623/20)&gt;INT(X622/20), "Lần " &amp; INT(X623/20), "")</f>
        <v/>
      </c>
      <c r="AJ623" s="11">
        <f>IF(INT(Y623/20)&gt;INT(Y622/20), "Lần " &amp; INT(Y623/20), "")</f>
        <v/>
      </c>
      <c r="AK623" s="11">
        <f>IF(INT(Z623/20)&gt;INT(Z622/20), "Lần " &amp; INT(Z623/20), "")</f>
        <v/>
      </c>
      <c r="AL623" s="6" t="inlineStr">
        <is>
          <t>ĐẠT TCVN 1651:2018</t>
        </is>
      </c>
    </row>
    <row r="624" ht="19" customHeight="1">
      <c r="A624" s="6" t="n">
        <v>593</v>
      </c>
      <c r="B624" s="7" t="inlineStr">
        <is>
          <t>Trụ T2 (Thân trụ)</t>
        </is>
      </c>
      <c r="C624" s="7" t="inlineStr">
        <is>
          <t>Thân trụ đặc</t>
        </is>
      </c>
      <c r="D624" s="18" t="inlineStr">
        <is>
          <t>T3b</t>
        </is>
      </c>
      <c r="E624" s="19" t="n">
        <v>16</v>
      </c>
      <c r="F624" s="6" t="inlineStr">
        <is>
          <t>CB400-V</t>
        </is>
      </c>
      <c r="G624" s="7" t="inlineStr">
        <is>
          <t>S51</t>
        </is>
      </c>
      <c r="H624" s="20" t="n">
        <v>8.006</v>
      </c>
      <c r="I624" s="21" t="n">
        <v>150</v>
      </c>
      <c r="J624" s="22" t="n">
        <v>1.58</v>
      </c>
      <c r="K624" s="9">
        <f>ROUND(H624*I624*J624, 2)</f>
        <v/>
      </c>
      <c r="L624" s="23">
        <f>ROUND(K624/1000, 3)</f>
        <v/>
      </c>
      <c r="M624" s="8" t="n"/>
      <c r="N624" s="6" t="n"/>
      <c r="O624" s="24">
        <f>IF(AND(E624&lt;=10, F624&lt;&gt;"ASTM A416", INT(P624/20)&gt;INT(P623/20)), "TN Ø10 (Lần " &amp; INT(P624/20) &amp; ")", IF(AND(E624=12, INT(Q624/20)&gt;INT(Q623/20)), "TN Ø12 (Lần " &amp; INT(Q624/20) &amp; ")", IF(AND(E624=14, INT(R624/20)&gt;INT(R623/20)), "TN Ø14 (Lần " &amp; INT(R624/20) &amp; ")", IF(AND(E624=16, INT(S624/20)&gt;INT(S623/20)), "TN Ø16 (Lần " &amp; INT(S624/20) &amp; ")", IF(AND(E624=18, INT(T624/20)&gt;INT(T623/20)), "TN Ø18 (Lần " &amp; INT(T624/20) &amp; ")", IF(AND(E624=20, INT(U624/20)&gt;INT(U623/20)), "TN Ø20 (Lần " &amp; INT(U624/20) &amp; ")", IF(AND(E624=22, INT(V624/20)&gt;INT(V623/20)), "TN Ø22 (Lần " &amp; INT(V624/20) &amp; ")", IF(AND(E624=25, INT(W624/20)&gt;INT(W623/20)), "TN Ø25 (Lần " &amp; INT(W624/20) &amp; ")", IF(AND(E624=28, INT(X624/20)&gt;INT(X623/20)), "TN Ø28 (Lần " &amp; INT(X624/20) &amp; ")", IF(AND(E624=32, INT(Y624/20)&gt;INT(Y623/20)), "TN Ø32 (Lần " &amp; INT(Y624/20) &amp; ")", IF(AND(F624="ASTM A416", INT(Z624/20)&gt;INT(Z623/20)), "TN Cáp 15.2 (Lần " &amp; INT(Z624/20) &amp; ")", "")))))))))))</f>
        <v/>
      </c>
      <c r="P624" s="20">
        <f>ROUND(P623 + IF(AND(E624&lt;=10, F624&lt;&gt;"ASTM A416"), L624, 0), 3)</f>
        <v/>
      </c>
      <c r="Q624" s="20">
        <f>ROUND(Q623 + IF(AND(E624=12, F624&lt;&gt;"ASTM A416"), L624, 0), 3)</f>
        <v/>
      </c>
      <c r="R624" s="20">
        <f>ROUND(R623 + IF(AND(E624=14, F624&lt;&gt;"ASTM A416"), L624, 0), 3)</f>
        <v/>
      </c>
      <c r="S624" s="20">
        <f>ROUND(S623 + IF(AND(E624=16, F624&lt;&gt;"ASTM A416"), L624, 0), 3)</f>
        <v/>
      </c>
      <c r="T624" s="20">
        <f>ROUND(T623 + IF(AND(E624=18, F624&lt;&gt;"ASTM A416"), L624, 0), 3)</f>
        <v/>
      </c>
      <c r="U624" s="20">
        <f>ROUND(U623 + IF(AND(E624=20, F624&lt;&gt;"ASTM A416"), L624, 0), 3)</f>
        <v/>
      </c>
      <c r="V624" s="20">
        <f>ROUND(V623 + IF(AND(E624=22, F624&lt;&gt;"ASTM A416"), L624, 0), 3)</f>
        <v/>
      </c>
      <c r="W624" s="20">
        <f>ROUND(W623 + IF(AND(E624=25, F624&lt;&gt;"ASTM A416"), L624, 0), 3)</f>
        <v/>
      </c>
      <c r="X624" s="20">
        <f>ROUND(X623 + IF(AND(E624=28, F624&lt;&gt;"ASTM A416"), L624, 0), 3)</f>
        <v/>
      </c>
      <c r="Y624" s="20">
        <f>ROUND(Y623 + IF(AND(E624=32, F624&lt;&gt;"ASTM A416"), L624, 0), 3)</f>
        <v/>
      </c>
      <c r="Z624" s="20">
        <f>ROUND(Z623 + IF(F624="ASTM A416", L624, 0), 3)</f>
        <v/>
      </c>
      <c r="AA624" s="11">
        <f>IF(INT(P624/20)&gt;INT(P623/20), "Lần " &amp; INT(P624/20), "")</f>
        <v/>
      </c>
      <c r="AB624" s="11">
        <f>IF(INT(Q624/20)&gt;INT(Q623/20), "Lần " &amp; INT(Q624/20), "")</f>
        <v/>
      </c>
      <c r="AC624" s="11">
        <f>IF(INT(R624/20)&gt;INT(R623/20), "Lần " &amp; INT(R624/20), "")</f>
        <v/>
      </c>
      <c r="AD624" s="11">
        <f>IF(INT(S624/20)&gt;INT(S623/20), "Lần " &amp; INT(S624/20), "")</f>
        <v/>
      </c>
      <c r="AE624" s="11">
        <f>IF(INT(T624/20)&gt;INT(T623/20), "Lần " &amp; INT(T624/20), "")</f>
        <v/>
      </c>
      <c r="AF624" s="11">
        <f>IF(INT(U624/20)&gt;INT(U623/20), "Lần " &amp; INT(U624/20), "")</f>
        <v/>
      </c>
      <c r="AG624" s="11">
        <f>IF(INT(V624/20)&gt;INT(V623/20), "Lần " &amp; INT(V624/20), "")</f>
        <v/>
      </c>
      <c r="AH624" s="11">
        <f>IF(INT(W624/20)&gt;INT(W623/20), "Lần " &amp; INT(W624/20), "")</f>
        <v/>
      </c>
      <c r="AI624" s="11">
        <f>IF(INT(X624/20)&gt;INT(X623/20), "Lần " &amp; INT(X624/20), "")</f>
        <v/>
      </c>
      <c r="AJ624" s="11">
        <f>IF(INT(Y624/20)&gt;INT(Y623/20), "Lần " &amp; INT(Y624/20), "")</f>
        <v/>
      </c>
      <c r="AK624" s="11">
        <f>IF(INT(Z624/20)&gt;INT(Z623/20), "Lần " &amp; INT(Z624/20), "")</f>
        <v/>
      </c>
      <c r="AL624" s="6" t="inlineStr">
        <is>
          <t>ĐẠT TCVN 1651:2018</t>
        </is>
      </c>
    </row>
    <row r="625" ht="19" customHeight="1">
      <c r="A625" s="6" t="n">
        <v>594</v>
      </c>
      <c r="B625" s="7" t="inlineStr">
        <is>
          <t>Trụ T2 (Thân trụ)</t>
        </is>
      </c>
      <c r="C625" s="7" t="inlineStr">
        <is>
          <t>Thân trụ đặc</t>
        </is>
      </c>
      <c r="D625" s="18" t="inlineStr">
        <is>
          <t>T4b</t>
        </is>
      </c>
      <c r="E625" s="19" t="n">
        <v>16</v>
      </c>
      <c r="F625" s="6" t="inlineStr">
        <is>
          <t>CB400-V</t>
        </is>
      </c>
      <c r="G625" s="7" t="inlineStr">
        <is>
          <t>S06</t>
        </is>
      </c>
      <c r="H625" s="20" t="n">
        <v>5.932</v>
      </c>
      <c r="I625" s="21" t="n">
        <v>19</v>
      </c>
      <c r="J625" s="22" t="n">
        <v>1.58</v>
      </c>
      <c r="K625" s="9">
        <f>ROUND(H625*I625*J625, 2)</f>
        <v/>
      </c>
      <c r="L625" s="23">
        <f>ROUND(K625/1000, 3)</f>
        <v/>
      </c>
      <c r="M625" s="8" t="n"/>
      <c r="N625" s="6" t="n"/>
      <c r="O625" s="24">
        <f>IF(AND(E625&lt;=10, F625&lt;&gt;"ASTM A416", INT(P625/20)&gt;INT(P624/20)), "TN Ø10 (Lần " &amp; INT(P625/20) &amp; ")", IF(AND(E625=12, INT(Q625/20)&gt;INT(Q624/20)), "TN Ø12 (Lần " &amp; INT(Q625/20) &amp; ")", IF(AND(E625=14, INT(R625/20)&gt;INT(R624/20)), "TN Ø14 (Lần " &amp; INT(R625/20) &amp; ")", IF(AND(E625=16, INT(S625/20)&gt;INT(S624/20)), "TN Ø16 (Lần " &amp; INT(S625/20) &amp; ")", IF(AND(E625=18, INT(T625/20)&gt;INT(T624/20)), "TN Ø18 (Lần " &amp; INT(T625/20) &amp; ")", IF(AND(E625=20, INT(U625/20)&gt;INT(U624/20)), "TN Ø20 (Lần " &amp; INT(U625/20) &amp; ")", IF(AND(E625=22, INT(V625/20)&gt;INT(V624/20)), "TN Ø22 (Lần " &amp; INT(V625/20) &amp; ")", IF(AND(E625=25, INT(W625/20)&gt;INT(W624/20)), "TN Ø25 (Lần " &amp; INT(W625/20) &amp; ")", IF(AND(E625=28, INT(X625/20)&gt;INT(X624/20)), "TN Ø28 (Lần " &amp; INT(X625/20) &amp; ")", IF(AND(E625=32, INT(Y625/20)&gt;INT(Y624/20)), "TN Ø32 (Lần " &amp; INT(Y625/20) &amp; ")", IF(AND(F625="ASTM A416", INT(Z625/20)&gt;INT(Z624/20)), "TN Cáp 15.2 (Lần " &amp; INT(Z625/20) &amp; ")", "")))))))))))</f>
        <v/>
      </c>
      <c r="P625" s="20">
        <f>ROUND(P624 + IF(AND(E625&lt;=10, F625&lt;&gt;"ASTM A416"), L625, 0), 3)</f>
        <v/>
      </c>
      <c r="Q625" s="20">
        <f>ROUND(Q624 + IF(AND(E625=12, F625&lt;&gt;"ASTM A416"), L625, 0), 3)</f>
        <v/>
      </c>
      <c r="R625" s="20">
        <f>ROUND(R624 + IF(AND(E625=14, F625&lt;&gt;"ASTM A416"), L625, 0), 3)</f>
        <v/>
      </c>
      <c r="S625" s="20">
        <f>ROUND(S624 + IF(AND(E625=16, F625&lt;&gt;"ASTM A416"), L625, 0), 3)</f>
        <v/>
      </c>
      <c r="T625" s="20">
        <f>ROUND(T624 + IF(AND(E625=18, F625&lt;&gt;"ASTM A416"), L625, 0), 3)</f>
        <v/>
      </c>
      <c r="U625" s="20">
        <f>ROUND(U624 + IF(AND(E625=20, F625&lt;&gt;"ASTM A416"), L625, 0), 3)</f>
        <v/>
      </c>
      <c r="V625" s="20">
        <f>ROUND(V624 + IF(AND(E625=22, F625&lt;&gt;"ASTM A416"), L625, 0), 3)</f>
        <v/>
      </c>
      <c r="W625" s="20">
        <f>ROUND(W624 + IF(AND(E625=25, F625&lt;&gt;"ASTM A416"), L625, 0), 3)</f>
        <v/>
      </c>
      <c r="X625" s="20">
        <f>ROUND(X624 + IF(AND(E625=28, F625&lt;&gt;"ASTM A416"), L625, 0), 3)</f>
        <v/>
      </c>
      <c r="Y625" s="20">
        <f>ROUND(Y624 + IF(AND(E625=32, F625&lt;&gt;"ASTM A416"), L625, 0), 3)</f>
        <v/>
      </c>
      <c r="Z625" s="20">
        <f>ROUND(Z624 + IF(F625="ASTM A416", L625, 0), 3)</f>
        <v/>
      </c>
      <c r="AA625" s="11">
        <f>IF(INT(P625/20)&gt;INT(P624/20), "Lần " &amp; INT(P625/20), "")</f>
        <v/>
      </c>
      <c r="AB625" s="11">
        <f>IF(INT(Q625/20)&gt;INT(Q624/20), "Lần " &amp; INT(Q625/20), "")</f>
        <v/>
      </c>
      <c r="AC625" s="11">
        <f>IF(INT(R625/20)&gt;INT(R624/20), "Lần " &amp; INT(R625/20), "")</f>
        <v/>
      </c>
      <c r="AD625" s="11">
        <f>IF(INT(S625/20)&gt;INT(S624/20), "Lần " &amp; INT(S625/20), "")</f>
        <v/>
      </c>
      <c r="AE625" s="11">
        <f>IF(INT(T625/20)&gt;INT(T624/20), "Lần " &amp; INT(T625/20), "")</f>
        <v/>
      </c>
      <c r="AF625" s="11">
        <f>IF(INT(U625/20)&gt;INT(U624/20), "Lần " &amp; INT(U625/20), "")</f>
        <v/>
      </c>
      <c r="AG625" s="11">
        <f>IF(INT(V625/20)&gt;INT(V624/20), "Lần " &amp; INT(V625/20), "")</f>
        <v/>
      </c>
      <c r="AH625" s="11">
        <f>IF(INT(W625/20)&gt;INT(W624/20), "Lần " &amp; INT(W625/20), "")</f>
        <v/>
      </c>
      <c r="AI625" s="11">
        <f>IF(INT(X625/20)&gt;INT(X624/20), "Lần " &amp; INT(X625/20), "")</f>
        <v/>
      </c>
      <c r="AJ625" s="11">
        <f>IF(INT(Y625/20)&gt;INT(Y624/20), "Lần " &amp; INT(Y625/20), "")</f>
        <v/>
      </c>
      <c r="AK625" s="11">
        <f>IF(INT(Z625/20)&gt;INT(Z624/20), "Lần " &amp; INT(Z625/20), "")</f>
        <v/>
      </c>
      <c r="AL625" s="6" t="inlineStr">
        <is>
          <t>ĐẠT TCVN 1651:2018</t>
        </is>
      </c>
    </row>
    <row r="626" ht="19" customHeight="1">
      <c r="A626" s="6" t="n">
        <v>595</v>
      </c>
      <c r="B626" s="7" t="inlineStr">
        <is>
          <t>Trụ T2 (Thân trụ)</t>
        </is>
      </c>
      <c r="C626" s="7" t="inlineStr">
        <is>
          <t>Thân trụ đặc</t>
        </is>
      </c>
      <c r="D626" s="18" t="inlineStr">
        <is>
          <t>T4b1</t>
        </is>
      </c>
      <c r="E626" s="19" t="n">
        <v>16</v>
      </c>
      <c r="F626" s="6" t="inlineStr">
        <is>
          <t>CB400-V</t>
        </is>
      </c>
      <c r="G626" s="7" t="inlineStr">
        <is>
          <t>S06</t>
        </is>
      </c>
      <c r="H626" s="20" t="n">
        <v>5.652</v>
      </c>
      <c r="I626" s="21" t="n">
        <v>38</v>
      </c>
      <c r="J626" s="22" t="n">
        <v>1.58</v>
      </c>
      <c r="K626" s="9">
        <f>ROUND(H626*I626*J626, 2)</f>
        <v/>
      </c>
      <c r="L626" s="23">
        <f>ROUND(K626/1000, 3)</f>
        <v/>
      </c>
      <c r="M626" s="8" t="n"/>
      <c r="N626" s="6" t="n"/>
      <c r="O626" s="24">
        <f>IF(AND(E626&lt;=10, F626&lt;&gt;"ASTM A416", INT(P626/20)&gt;INT(P625/20)), "TN Ø10 (Lần " &amp; INT(P626/20) &amp; ")", IF(AND(E626=12, INT(Q626/20)&gt;INT(Q625/20)), "TN Ø12 (Lần " &amp; INT(Q626/20) &amp; ")", IF(AND(E626=14, INT(R626/20)&gt;INT(R625/20)), "TN Ø14 (Lần " &amp; INT(R626/20) &amp; ")", IF(AND(E626=16, INT(S626/20)&gt;INT(S625/20)), "TN Ø16 (Lần " &amp; INT(S626/20) &amp; ")", IF(AND(E626=18, INT(T626/20)&gt;INT(T625/20)), "TN Ø18 (Lần " &amp; INT(T626/20) &amp; ")", IF(AND(E626=20, INT(U626/20)&gt;INT(U625/20)), "TN Ø20 (Lần " &amp; INT(U626/20) &amp; ")", IF(AND(E626=22, INT(V626/20)&gt;INT(V625/20)), "TN Ø22 (Lần " &amp; INT(V626/20) &amp; ")", IF(AND(E626=25, INT(W626/20)&gt;INT(W625/20)), "TN Ø25 (Lần " &amp; INT(W626/20) &amp; ")", IF(AND(E626=28, INT(X626/20)&gt;INT(X625/20)), "TN Ø28 (Lần " &amp; INT(X626/20) &amp; ")", IF(AND(E626=32, INT(Y626/20)&gt;INT(Y625/20)), "TN Ø32 (Lần " &amp; INT(Y626/20) &amp; ")", IF(AND(F626="ASTM A416", INT(Z626/20)&gt;INT(Z625/20)), "TN Cáp 15.2 (Lần " &amp; INT(Z626/20) &amp; ")", "")))))))))))</f>
        <v/>
      </c>
      <c r="P626" s="20">
        <f>ROUND(P625 + IF(AND(E626&lt;=10, F626&lt;&gt;"ASTM A416"), L626, 0), 3)</f>
        <v/>
      </c>
      <c r="Q626" s="20">
        <f>ROUND(Q625 + IF(AND(E626=12, F626&lt;&gt;"ASTM A416"), L626, 0), 3)</f>
        <v/>
      </c>
      <c r="R626" s="20">
        <f>ROUND(R625 + IF(AND(E626=14, F626&lt;&gt;"ASTM A416"), L626, 0), 3)</f>
        <v/>
      </c>
      <c r="S626" s="20">
        <f>ROUND(S625 + IF(AND(E626=16, F626&lt;&gt;"ASTM A416"), L626, 0), 3)</f>
        <v/>
      </c>
      <c r="T626" s="20">
        <f>ROUND(T625 + IF(AND(E626=18, F626&lt;&gt;"ASTM A416"), L626, 0), 3)</f>
        <v/>
      </c>
      <c r="U626" s="20">
        <f>ROUND(U625 + IF(AND(E626=20, F626&lt;&gt;"ASTM A416"), L626, 0), 3)</f>
        <v/>
      </c>
      <c r="V626" s="20">
        <f>ROUND(V625 + IF(AND(E626=22, F626&lt;&gt;"ASTM A416"), L626, 0), 3)</f>
        <v/>
      </c>
      <c r="W626" s="20">
        <f>ROUND(W625 + IF(AND(E626=25, F626&lt;&gt;"ASTM A416"), L626, 0), 3)</f>
        <v/>
      </c>
      <c r="X626" s="20">
        <f>ROUND(X625 + IF(AND(E626=28, F626&lt;&gt;"ASTM A416"), L626, 0), 3)</f>
        <v/>
      </c>
      <c r="Y626" s="20">
        <f>ROUND(Y625 + IF(AND(E626=32, F626&lt;&gt;"ASTM A416"), L626, 0), 3)</f>
        <v/>
      </c>
      <c r="Z626" s="20">
        <f>ROUND(Z625 + IF(F626="ASTM A416", L626, 0), 3)</f>
        <v/>
      </c>
      <c r="AA626" s="11">
        <f>IF(INT(P626/20)&gt;INT(P625/20), "Lần " &amp; INT(P626/20), "")</f>
        <v/>
      </c>
      <c r="AB626" s="11">
        <f>IF(INT(Q626/20)&gt;INT(Q625/20), "Lần " &amp; INT(Q626/20), "")</f>
        <v/>
      </c>
      <c r="AC626" s="11">
        <f>IF(INT(R626/20)&gt;INT(R625/20), "Lần " &amp; INT(R626/20), "")</f>
        <v/>
      </c>
      <c r="AD626" s="11">
        <f>IF(INT(S626/20)&gt;INT(S625/20), "Lần " &amp; INT(S626/20), "")</f>
        <v/>
      </c>
      <c r="AE626" s="11">
        <f>IF(INT(T626/20)&gt;INT(T625/20), "Lần " &amp; INT(T626/20), "")</f>
        <v/>
      </c>
      <c r="AF626" s="11">
        <f>IF(INT(U626/20)&gt;INT(U625/20), "Lần " &amp; INT(U626/20), "")</f>
        <v/>
      </c>
      <c r="AG626" s="11">
        <f>IF(INT(V626/20)&gt;INT(V625/20), "Lần " &amp; INT(V626/20), "")</f>
        <v/>
      </c>
      <c r="AH626" s="11">
        <f>IF(INT(W626/20)&gt;INT(W625/20), "Lần " &amp; INT(W626/20), "")</f>
        <v/>
      </c>
      <c r="AI626" s="11">
        <f>IF(INT(X626/20)&gt;INT(X625/20), "Lần " &amp; INT(X626/20), "")</f>
        <v/>
      </c>
      <c r="AJ626" s="11">
        <f>IF(INT(Y626/20)&gt;INT(Y625/20), "Lần " &amp; INT(Y626/20), "")</f>
        <v/>
      </c>
      <c r="AK626" s="11">
        <f>IF(INT(Z626/20)&gt;INT(Z625/20), "Lần " &amp; INT(Z626/20), "")</f>
        <v/>
      </c>
      <c r="AL626" s="6" t="inlineStr">
        <is>
          <t>ĐẠT TCVN 1651:2018</t>
        </is>
      </c>
    </row>
    <row r="627" ht="19" customHeight="1">
      <c r="A627" s="6" t="n">
        <v>596</v>
      </c>
      <c r="B627" s="7" t="inlineStr">
        <is>
          <t>Trụ T2 (Thân trụ)</t>
        </is>
      </c>
      <c r="C627" s="7" t="inlineStr">
        <is>
          <t>th©n trô ®o¹n 3</t>
        </is>
      </c>
      <c r="D627" s="18" t="inlineStr">
        <is>
          <t>T1c</t>
        </is>
      </c>
      <c r="E627" s="19" t="n">
        <v>32</v>
      </c>
      <c r="F627" s="6" t="inlineStr">
        <is>
          <t>CB400-V</t>
        </is>
      </c>
      <c r="G627" s="7" t="inlineStr">
        <is>
          <t>S28</t>
        </is>
      </c>
      <c r="H627" s="20" t="n">
        <v>8.656000000000001</v>
      </c>
      <c r="I627" s="21" t="n">
        <v>122</v>
      </c>
      <c r="J627" s="22" t="n">
        <v>6.31</v>
      </c>
      <c r="K627" s="9">
        <f>ROUND(H627*I627*J627, 2)</f>
        <v/>
      </c>
      <c r="L627" s="23">
        <f>ROUND(K627/1000, 3)</f>
        <v/>
      </c>
      <c r="M627" s="8" t="n"/>
      <c r="N627" s="6" t="n"/>
      <c r="O627" s="24">
        <f>IF(AND(E627&lt;=10, F627&lt;&gt;"ASTM A416", INT(P627/20)&gt;INT(P626/20)), "TN Ø10 (Lần " &amp; INT(P627/20) &amp; ")", IF(AND(E627=12, INT(Q627/20)&gt;INT(Q626/20)), "TN Ø12 (Lần " &amp; INT(Q627/20) &amp; ")", IF(AND(E627=14, INT(R627/20)&gt;INT(R626/20)), "TN Ø14 (Lần " &amp; INT(R627/20) &amp; ")", IF(AND(E627=16, INT(S627/20)&gt;INT(S626/20)), "TN Ø16 (Lần " &amp; INT(S627/20) &amp; ")", IF(AND(E627=18, INT(T627/20)&gt;INT(T626/20)), "TN Ø18 (Lần " &amp; INT(T627/20) &amp; ")", IF(AND(E627=20, INT(U627/20)&gt;INT(U626/20)), "TN Ø20 (Lần " &amp; INT(U627/20) &amp; ")", IF(AND(E627=22, INT(V627/20)&gt;INT(V626/20)), "TN Ø22 (Lần " &amp; INT(V627/20) &amp; ")", IF(AND(E627=25, INT(W627/20)&gt;INT(W626/20)), "TN Ø25 (Lần " &amp; INT(W627/20) &amp; ")", IF(AND(E627=28, INT(X627/20)&gt;INT(X626/20)), "TN Ø28 (Lần " &amp; INT(X627/20) &amp; ")", IF(AND(E627=32, INT(Y627/20)&gt;INT(Y626/20)), "TN Ø32 (Lần " &amp; INT(Y627/20) &amp; ")", IF(AND(F627="ASTM A416", INT(Z627/20)&gt;INT(Z626/20)), "TN Cáp 15.2 (Lần " &amp; INT(Z627/20) &amp; ")", "")))))))))))</f>
        <v/>
      </c>
      <c r="P627" s="20">
        <f>ROUND(P626 + IF(AND(E627&lt;=10, F627&lt;&gt;"ASTM A416"), L627, 0), 3)</f>
        <v/>
      </c>
      <c r="Q627" s="20">
        <f>ROUND(Q626 + IF(AND(E627=12, F627&lt;&gt;"ASTM A416"), L627, 0), 3)</f>
        <v/>
      </c>
      <c r="R627" s="20">
        <f>ROUND(R626 + IF(AND(E627=14, F627&lt;&gt;"ASTM A416"), L627, 0), 3)</f>
        <v/>
      </c>
      <c r="S627" s="20">
        <f>ROUND(S626 + IF(AND(E627=16, F627&lt;&gt;"ASTM A416"), L627, 0), 3)</f>
        <v/>
      </c>
      <c r="T627" s="20">
        <f>ROUND(T626 + IF(AND(E627=18, F627&lt;&gt;"ASTM A416"), L627, 0), 3)</f>
        <v/>
      </c>
      <c r="U627" s="20">
        <f>ROUND(U626 + IF(AND(E627=20, F627&lt;&gt;"ASTM A416"), L627, 0), 3)</f>
        <v/>
      </c>
      <c r="V627" s="20">
        <f>ROUND(V626 + IF(AND(E627=22, F627&lt;&gt;"ASTM A416"), L627, 0), 3)</f>
        <v/>
      </c>
      <c r="W627" s="20">
        <f>ROUND(W626 + IF(AND(E627=25, F627&lt;&gt;"ASTM A416"), L627, 0), 3)</f>
        <v/>
      </c>
      <c r="X627" s="20">
        <f>ROUND(X626 + IF(AND(E627=28, F627&lt;&gt;"ASTM A416"), L627, 0), 3)</f>
        <v/>
      </c>
      <c r="Y627" s="20">
        <f>ROUND(Y626 + IF(AND(E627=32, F627&lt;&gt;"ASTM A416"), L627, 0), 3)</f>
        <v/>
      </c>
      <c r="Z627" s="20">
        <f>ROUND(Z626 + IF(F627="ASTM A416", L627, 0), 3)</f>
        <v/>
      </c>
      <c r="AA627" s="11">
        <f>IF(INT(P627/20)&gt;INT(P626/20), "Lần " &amp; INT(P627/20), "")</f>
        <v/>
      </c>
      <c r="AB627" s="11">
        <f>IF(INT(Q627/20)&gt;INT(Q626/20), "Lần " &amp; INT(Q627/20), "")</f>
        <v/>
      </c>
      <c r="AC627" s="11">
        <f>IF(INT(R627/20)&gt;INT(R626/20), "Lần " &amp; INT(R627/20), "")</f>
        <v/>
      </c>
      <c r="AD627" s="11">
        <f>IF(INT(S627/20)&gt;INT(S626/20), "Lần " &amp; INT(S627/20), "")</f>
        <v/>
      </c>
      <c r="AE627" s="11">
        <f>IF(INT(T627/20)&gt;INT(T626/20), "Lần " &amp; INT(T627/20), "")</f>
        <v/>
      </c>
      <c r="AF627" s="11">
        <f>IF(INT(U627/20)&gt;INT(U626/20), "Lần " &amp; INT(U627/20), "")</f>
        <v/>
      </c>
      <c r="AG627" s="11">
        <f>IF(INT(V627/20)&gt;INT(V626/20), "Lần " &amp; INT(V627/20), "")</f>
        <v/>
      </c>
      <c r="AH627" s="11">
        <f>IF(INT(W627/20)&gt;INT(W626/20), "Lần " &amp; INT(W627/20), "")</f>
        <v/>
      </c>
      <c r="AI627" s="11">
        <f>IF(INT(X627/20)&gt;INT(X626/20), "Lần " &amp; INT(X627/20), "")</f>
        <v/>
      </c>
      <c r="AJ627" s="11">
        <f>IF(INT(Y627/20)&gt;INT(Y626/20), "Lần " &amp; INT(Y627/20), "")</f>
        <v/>
      </c>
      <c r="AK627" s="11">
        <f>IF(INT(Z627/20)&gt;INT(Z626/20), "Lần " &amp; INT(Z627/20), "")</f>
        <v/>
      </c>
      <c r="AL627" s="6" t="inlineStr">
        <is>
          <t>ĐẠT TCVN 1651:2018</t>
        </is>
      </c>
    </row>
    <row r="628" ht="19" customHeight="1">
      <c r="A628" s="6" t="n">
        <v>597</v>
      </c>
      <c r="B628" s="7" t="inlineStr">
        <is>
          <t>Trụ T2 (Thân trụ)</t>
        </is>
      </c>
      <c r="C628" s="7" t="inlineStr">
        <is>
          <t>Thân trụ đặc</t>
        </is>
      </c>
      <c r="D628" s="18" t="inlineStr">
        <is>
          <t>T2c</t>
        </is>
      </c>
      <c r="E628" s="19" t="n">
        <v>16</v>
      </c>
      <c r="F628" s="6" t="inlineStr">
        <is>
          <t>CB400-V</t>
        </is>
      </c>
      <c r="G628" s="7" t="inlineStr">
        <is>
          <t>S07</t>
        </is>
      </c>
      <c r="H628" s="20" t="n">
        <v>8.436999999999999</v>
      </c>
      <c r="I628" s="21" t="n">
        <v>108</v>
      </c>
      <c r="J628" s="22" t="n">
        <v>1.58</v>
      </c>
      <c r="K628" s="9">
        <f>ROUND(H628*I628*J628, 2)</f>
        <v/>
      </c>
      <c r="L628" s="23">
        <f>ROUND(K628/1000, 3)</f>
        <v/>
      </c>
      <c r="M628" s="8" t="n"/>
      <c r="N628" s="6" t="n"/>
      <c r="O628" s="24">
        <f>IF(AND(E628&lt;=10, F628&lt;&gt;"ASTM A416", INT(P628/20)&gt;INT(P627/20)), "TN Ø10 (Lần " &amp; INT(P628/20) &amp; ")", IF(AND(E628=12, INT(Q628/20)&gt;INT(Q627/20)), "TN Ø12 (Lần " &amp; INT(Q628/20) &amp; ")", IF(AND(E628=14, INT(R628/20)&gt;INT(R627/20)), "TN Ø14 (Lần " &amp; INT(R628/20) &amp; ")", IF(AND(E628=16, INT(S628/20)&gt;INT(S627/20)), "TN Ø16 (Lần " &amp; INT(S628/20) &amp; ")", IF(AND(E628=18, INT(T628/20)&gt;INT(T627/20)), "TN Ø18 (Lần " &amp; INT(T628/20) &amp; ")", IF(AND(E628=20, INT(U628/20)&gt;INT(U627/20)), "TN Ø20 (Lần " &amp; INT(U628/20) &amp; ")", IF(AND(E628=22, INT(V628/20)&gt;INT(V627/20)), "TN Ø22 (Lần " &amp; INT(V628/20) &amp; ")", IF(AND(E628=25, INT(W628/20)&gt;INT(W627/20)), "TN Ø25 (Lần " &amp; INT(W628/20) &amp; ")", IF(AND(E628=28, INT(X628/20)&gt;INT(X627/20)), "TN Ø28 (Lần " &amp; INT(X628/20) &amp; ")", IF(AND(E628=32, INT(Y628/20)&gt;INT(Y627/20)), "TN Ø32 (Lần " &amp; INT(Y628/20) &amp; ")", IF(AND(F628="ASTM A416", INT(Z628/20)&gt;INT(Z627/20)), "TN Cáp 15.2 (Lần " &amp; INT(Z628/20) &amp; ")", "")))))))))))</f>
        <v/>
      </c>
      <c r="P628" s="20">
        <f>ROUND(P627 + IF(AND(E628&lt;=10, F628&lt;&gt;"ASTM A416"), L628, 0), 3)</f>
        <v/>
      </c>
      <c r="Q628" s="20">
        <f>ROUND(Q627 + IF(AND(E628=12, F628&lt;&gt;"ASTM A416"), L628, 0), 3)</f>
        <v/>
      </c>
      <c r="R628" s="20">
        <f>ROUND(R627 + IF(AND(E628=14, F628&lt;&gt;"ASTM A416"), L628, 0), 3)</f>
        <v/>
      </c>
      <c r="S628" s="20">
        <f>ROUND(S627 + IF(AND(E628=16, F628&lt;&gt;"ASTM A416"), L628, 0), 3)</f>
        <v/>
      </c>
      <c r="T628" s="20">
        <f>ROUND(T627 + IF(AND(E628=18, F628&lt;&gt;"ASTM A416"), L628, 0), 3)</f>
        <v/>
      </c>
      <c r="U628" s="20">
        <f>ROUND(U627 + IF(AND(E628=20, F628&lt;&gt;"ASTM A416"), L628, 0), 3)</f>
        <v/>
      </c>
      <c r="V628" s="20">
        <f>ROUND(V627 + IF(AND(E628=22, F628&lt;&gt;"ASTM A416"), L628, 0), 3)</f>
        <v/>
      </c>
      <c r="W628" s="20">
        <f>ROUND(W627 + IF(AND(E628=25, F628&lt;&gt;"ASTM A416"), L628, 0), 3)</f>
        <v/>
      </c>
      <c r="X628" s="20">
        <f>ROUND(X627 + IF(AND(E628=28, F628&lt;&gt;"ASTM A416"), L628, 0), 3)</f>
        <v/>
      </c>
      <c r="Y628" s="20">
        <f>ROUND(Y627 + IF(AND(E628=32, F628&lt;&gt;"ASTM A416"), L628, 0), 3)</f>
        <v/>
      </c>
      <c r="Z628" s="20">
        <f>ROUND(Z627 + IF(F628="ASTM A416", L628, 0), 3)</f>
        <v/>
      </c>
      <c r="AA628" s="11">
        <f>IF(INT(P628/20)&gt;INT(P627/20), "Lần " &amp; INT(P628/20), "")</f>
        <v/>
      </c>
      <c r="AB628" s="11">
        <f>IF(INT(Q628/20)&gt;INT(Q627/20), "Lần " &amp; INT(Q628/20), "")</f>
        <v/>
      </c>
      <c r="AC628" s="11">
        <f>IF(INT(R628/20)&gt;INT(R627/20), "Lần " &amp; INT(R628/20), "")</f>
        <v/>
      </c>
      <c r="AD628" s="11">
        <f>IF(INT(S628/20)&gt;INT(S627/20), "Lần " &amp; INT(S628/20), "")</f>
        <v/>
      </c>
      <c r="AE628" s="11">
        <f>IF(INT(T628/20)&gt;INT(T627/20), "Lần " &amp; INT(T628/20), "")</f>
        <v/>
      </c>
      <c r="AF628" s="11">
        <f>IF(INT(U628/20)&gt;INT(U627/20), "Lần " &amp; INT(U628/20), "")</f>
        <v/>
      </c>
      <c r="AG628" s="11">
        <f>IF(INT(V628/20)&gt;INT(V627/20), "Lần " &amp; INT(V628/20), "")</f>
        <v/>
      </c>
      <c r="AH628" s="11">
        <f>IF(INT(W628/20)&gt;INT(W627/20), "Lần " &amp; INT(W628/20), "")</f>
        <v/>
      </c>
      <c r="AI628" s="11">
        <f>IF(INT(X628/20)&gt;INT(X627/20), "Lần " &amp; INT(X628/20), "")</f>
        <v/>
      </c>
      <c r="AJ628" s="11">
        <f>IF(INT(Y628/20)&gt;INT(Y627/20), "Lần " &amp; INT(Y628/20), "")</f>
        <v/>
      </c>
      <c r="AK628" s="11">
        <f>IF(INT(Z628/20)&gt;INT(Z627/20), "Lần " &amp; INT(Z628/20), "")</f>
        <v/>
      </c>
      <c r="AL628" s="6" t="inlineStr">
        <is>
          <t>ĐẠT TCVN 1651:2018</t>
        </is>
      </c>
    </row>
    <row r="629" ht="19" customHeight="1">
      <c r="A629" s="6" t="n">
        <v>598</v>
      </c>
      <c r="B629" s="7" t="inlineStr">
        <is>
          <t>Trụ T2 (Thân trụ)</t>
        </is>
      </c>
      <c r="C629" s="7" t="inlineStr">
        <is>
          <t>Thân trụ đặc</t>
        </is>
      </c>
      <c r="D629" s="18" t="inlineStr">
        <is>
          <t>T3c</t>
        </is>
      </c>
      <c r="E629" s="19" t="n">
        <v>16</v>
      </c>
      <c r="F629" s="6" t="inlineStr">
        <is>
          <t>CB400-V</t>
        </is>
      </c>
      <c r="G629" s="7" t="inlineStr">
        <is>
          <t>S51</t>
        </is>
      </c>
      <c r="H629" s="20" t="n">
        <v>9.206</v>
      </c>
      <c r="I629" s="21" t="n">
        <v>108</v>
      </c>
      <c r="J629" s="22" t="n">
        <v>1.58</v>
      </c>
      <c r="K629" s="9">
        <f>ROUND(H629*I629*J629, 2)</f>
        <v/>
      </c>
      <c r="L629" s="23">
        <f>ROUND(K629/1000, 3)</f>
        <v/>
      </c>
      <c r="M629" s="8" t="n"/>
      <c r="N629" s="6" t="n"/>
      <c r="O629" s="24">
        <f>IF(AND(E629&lt;=10, F629&lt;&gt;"ASTM A416", INT(P629/20)&gt;INT(P628/20)), "TN Ø10 (Lần " &amp; INT(P629/20) &amp; ")", IF(AND(E629=12, INT(Q629/20)&gt;INT(Q628/20)), "TN Ø12 (Lần " &amp; INT(Q629/20) &amp; ")", IF(AND(E629=14, INT(R629/20)&gt;INT(R628/20)), "TN Ø14 (Lần " &amp; INT(R629/20) &amp; ")", IF(AND(E629=16, INT(S629/20)&gt;INT(S628/20)), "TN Ø16 (Lần " &amp; INT(S629/20) &amp; ")", IF(AND(E629=18, INT(T629/20)&gt;INT(T628/20)), "TN Ø18 (Lần " &amp; INT(T629/20) &amp; ")", IF(AND(E629=20, INT(U629/20)&gt;INT(U628/20)), "TN Ø20 (Lần " &amp; INT(U629/20) &amp; ")", IF(AND(E629=22, INT(V629/20)&gt;INT(V628/20)), "TN Ø22 (Lần " &amp; INT(V629/20) &amp; ")", IF(AND(E629=25, INT(W629/20)&gt;INT(W628/20)), "TN Ø25 (Lần " &amp; INT(W629/20) &amp; ")", IF(AND(E629=28, INT(X629/20)&gt;INT(X628/20)), "TN Ø28 (Lần " &amp; INT(X629/20) &amp; ")", IF(AND(E629=32, INT(Y629/20)&gt;INT(Y628/20)), "TN Ø32 (Lần " &amp; INT(Y629/20) &amp; ")", IF(AND(F629="ASTM A416", INT(Z629/20)&gt;INT(Z628/20)), "TN Cáp 15.2 (Lần " &amp; INT(Z629/20) &amp; ")", "")))))))))))</f>
        <v/>
      </c>
      <c r="P629" s="20">
        <f>ROUND(P628 + IF(AND(E629&lt;=10, F629&lt;&gt;"ASTM A416"), L629, 0), 3)</f>
        <v/>
      </c>
      <c r="Q629" s="20">
        <f>ROUND(Q628 + IF(AND(E629=12, F629&lt;&gt;"ASTM A416"), L629, 0), 3)</f>
        <v/>
      </c>
      <c r="R629" s="20">
        <f>ROUND(R628 + IF(AND(E629=14, F629&lt;&gt;"ASTM A416"), L629, 0), 3)</f>
        <v/>
      </c>
      <c r="S629" s="20">
        <f>ROUND(S628 + IF(AND(E629=16, F629&lt;&gt;"ASTM A416"), L629, 0), 3)</f>
        <v/>
      </c>
      <c r="T629" s="20">
        <f>ROUND(T628 + IF(AND(E629=18, F629&lt;&gt;"ASTM A416"), L629, 0), 3)</f>
        <v/>
      </c>
      <c r="U629" s="20">
        <f>ROUND(U628 + IF(AND(E629=20, F629&lt;&gt;"ASTM A416"), L629, 0), 3)</f>
        <v/>
      </c>
      <c r="V629" s="20">
        <f>ROUND(V628 + IF(AND(E629=22, F629&lt;&gt;"ASTM A416"), L629, 0), 3)</f>
        <v/>
      </c>
      <c r="W629" s="20">
        <f>ROUND(W628 + IF(AND(E629=25, F629&lt;&gt;"ASTM A416"), L629, 0), 3)</f>
        <v/>
      </c>
      <c r="X629" s="20">
        <f>ROUND(X628 + IF(AND(E629=28, F629&lt;&gt;"ASTM A416"), L629, 0), 3)</f>
        <v/>
      </c>
      <c r="Y629" s="20">
        <f>ROUND(Y628 + IF(AND(E629=32, F629&lt;&gt;"ASTM A416"), L629, 0), 3)</f>
        <v/>
      </c>
      <c r="Z629" s="20">
        <f>ROUND(Z628 + IF(F629="ASTM A416", L629, 0), 3)</f>
        <v/>
      </c>
      <c r="AA629" s="11">
        <f>IF(INT(P629/20)&gt;INT(P628/20), "Lần " &amp; INT(P629/20), "")</f>
        <v/>
      </c>
      <c r="AB629" s="11">
        <f>IF(INT(Q629/20)&gt;INT(Q628/20), "Lần " &amp; INT(Q629/20), "")</f>
        <v/>
      </c>
      <c r="AC629" s="11">
        <f>IF(INT(R629/20)&gt;INT(R628/20), "Lần " &amp; INT(R629/20), "")</f>
        <v/>
      </c>
      <c r="AD629" s="11">
        <f>IF(INT(S629/20)&gt;INT(S628/20), "Lần " &amp; INT(S629/20), "")</f>
        <v/>
      </c>
      <c r="AE629" s="11">
        <f>IF(INT(T629/20)&gt;INT(T628/20), "Lần " &amp; INT(T629/20), "")</f>
        <v/>
      </c>
      <c r="AF629" s="11">
        <f>IF(INT(U629/20)&gt;INT(U628/20), "Lần " &amp; INT(U629/20), "")</f>
        <v/>
      </c>
      <c r="AG629" s="11">
        <f>IF(INT(V629/20)&gt;INT(V628/20), "Lần " &amp; INT(V629/20), "")</f>
        <v/>
      </c>
      <c r="AH629" s="11">
        <f>IF(INT(W629/20)&gt;INT(W628/20), "Lần " &amp; INT(W629/20), "")</f>
        <v/>
      </c>
      <c r="AI629" s="11">
        <f>IF(INT(X629/20)&gt;INT(X628/20), "Lần " &amp; INT(X629/20), "")</f>
        <v/>
      </c>
      <c r="AJ629" s="11">
        <f>IF(INT(Y629/20)&gt;INT(Y628/20), "Lần " &amp; INT(Y629/20), "")</f>
        <v/>
      </c>
      <c r="AK629" s="11">
        <f>IF(INT(Z629/20)&gt;INT(Z628/20), "Lần " &amp; INT(Z629/20), "")</f>
        <v/>
      </c>
      <c r="AL629" s="6" t="inlineStr">
        <is>
          <t>ĐẠT TCVN 1651:2018</t>
        </is>
      </c>
    </row>
    <row r="630" ht="19" customHeight="1">
      <c r="A630" s="6" t="n">
        <v>599</v>
      </c>
      <c r="B630" s="7" t="inlineStr">
        <is>
          <t>Trụ T2 (Thân trụ)</t>
        </is>
      </c>
      <c r="C630" s="7" t="inlineStr">
        <is>
          <t>Thân trụ đặc</t>
        </is>
      </c>
      <c r="D630" s="18" t="inlineStr">
        <is>
          <t>T4c</t>
        </is>
      </c>
      <c r="E630" s="19" t="n">
        <v>16</v>
      </c>
      <c r="F630" s="6" t="inlineStr">
        <is>
          <t>CB400-V</t>
        </is>
      </c>
      <c r="G630" s="7" t="inlineStr">
        <is>
          <t>S06</t>
        </is>
      </c>
      <c r="H630" s="20" t="n">
        <v>6.532</v>
      </c>
      <c r="I630" s="21" t="n">
        <v>13</v>
      </c>
      <c r="J630" s="22" t="n">
        <v>1.58</v>
      </c>
      <c r="K630" s="9">
        <f>ROUND(H630*I630*J630, 2)</f>
        <v/>
      </c>
      <c r="L630" s="23">
        <f>ROUND(K630/1000, 3)</f>
        <v/>
      </c>
      <c r="M630" s="8" t="n"/>
      <c r="N630" s="6" t="n"/>
      <c r="O630" s="24">
        <f>IF(AND(E630&lt;=10, F630&lt;&gt;"ASTM A416", INT(P630/20)&gt;INT(P629/20)), "TN Ø10 (Lần " &amp; INT(P630/20) &amp; ")", IF(AND(E630=12, INT(Q630/20)&gt;INT(Q629/20)), "TN Ø12 (Lần " &amp; INT(Q630/20) &amp; ")", IF(AND(E630=14, INT(R630/20)&gt;INT(R629/20)), "TN Ø14 (Lần " &amp; INT(R630/20) &amp; ")", IF(AND(E630=16, INT(S630/20)&gt;INT(S629/20)), "TN Ø16 (Lần " &amp; INT(S630/20) &amp; ")", IF(AND(E630=18, INT(T630/20)&gt;INT(T629/20)), "TN Ø18 (Lần " &amp; INT(T630/20) &amp; ")", IF(AND(E630=20, INT(U630/20)&gt;INT(U629/20)), "TN Ø20 (Lần " &amp; INT(U630/20) &amp; ")", IF(AND(E630=22, INT(V630/20)&gt;INT(V629/20)), "TN Ø22 (Lần " &amp; INT(V630/20) &amp; ")", IF(AND(E630=25, INT(W630/20)&gt;INT(W629/20)), "TN Ø25 (Lần " &amp; INT(W630/20) &amp; ")", IF(AND(E630=28, INT(X630/20)&gt;INT(X629/20)), "TN Ø28 (Lần " &amp; INT(X630/20) &amp; ")", IF(AND(E630=32, INT(Y630/20)&gt;INT(Y629/20)), "TN Ø32 (Lần " &amp; INT(Y630/20) &amp; ")", IF(AND(F630="ASTM A416", INT(Z630/20)&gt;INT(Z629/20)), "TN Cáp 15.2 (Lần " &amp; INT(Z630/20) &amp; ")", "")))))))))))</f>
        <v/>
      </c>
      <c r="P630" s="20">
        <f>ROUND(P629 + IF(AND(E630&lt;=10, F630&lt;&gt;"ASTM A416"), L630, 0), 3)</f>
        <v/>
      </c>
      <c r="Q630" s="20">
        <f>ROUND(Q629 + IF(AND(E630=12, F630&lt;&gt;"ASTM A416"), L630, 0), 3)</f>
        <v/>
      </c>
      <c r="R630" s="20">
        <f>ROUND(R629 + IF(AND(E630=14, F630&lt;&gt;"ASTM A416"), L630, 0), 3)</f>
        <v/>
      </c>
      <c r="S630" s="20">
        <f>ROUND(S629 + IF(AND(E630=16, F630&lt;&gt;"ASTM A416"), L630, 0), 3)</f>
        <v/>
      </c>
      <c r="T630" s="20">
        <f>ROUND(T629 + IF(AND(E630=18, F630&lt;&gt;"ASTM A416"), L630, 0), 3)</f>
        <v/>
      </c>
      <c r="U630" s="20">
        <f>ROUND(U629 + IF(AND(E630=20, F630&lt;&gt;"ASTM A416"), L630, 0), 3)</f>
        <v/>
      </c>
      <c r="V630" s="20">
        <f>ROUND(V629 + IF(AND(E630=22, F630&lt;&gt;"ASTM A416"), L630, 0), 3)</f>
        <v/>
      </c>
      <c r="W630" s="20">
        <f>ROUND(W629 + IF(AND(E630=25, F630&lt;&gt;"ASTM A416"), L630, 0), 3)</f>
        <v/>
      </c>
      <c r="X630" s="20">
        <f>ROUND(X629 + IF(AND(E630=28, F630&lt;&gt;"ASTM A416"), L630, 0), 3)</f>
        <v/>
      </c>
      <c r="Y630" s="20">
        <f>ROUND(Y629 + IF(AND(E630=32, F630&lt;&gt;"ASTM A416"), L630, 0), 3)</f>
        <v/>
      </c>
      <c r="Z630" s="20">
        <f>ROUND(Z629 + IF(F630="ASTM A416", L630, 0), 3)</f>
        <v/>
      </c>
      <c r="AA630" s="11">
        <f>IF(INT(P630/20)&gt;INT(P629/20), "Lần " &amp; INT(P630/20), "")</f>
        <v/>
      </c>
      <c r="AB630" s="11">
        <f>IF(INT(Q630/20)&gt;INT(Q629/20), "Lần " &amp; INT(Q630/20), "")</f>
        <v/>
      </c>
      <c r="AC630" s="11">
        <f>IF(INT(R630/20)&gt;INT(R629/20), "Lần " &amp; INT(R630/20), "")</f>
        <v/>
      </c>
      <c r="AD630" s="11">
        <f>IF(INT(S630/20)&gt;INT(S629/20), "Lần " &amp; INT(S630/20), "")</f>
        <v/>
      </c>
      <c r="AE630" s="11">
        <f>IF(INT(T630/20)&gt;INT(T629/20), "Lần " &amp; INT(T630/20), "")</f>
        <v/>
      </c>
      <c r="AF630" s="11">
        <f>IF(INT(U630/20)&gt;INT(U629/20), "Lần " &amp; INT(U630/20), "")</f>
        <v/>
      </c>
      <c r="AG630" s="11">
        <f>IF(INT(V630/20)&gt;INT(V629/20), "Lần " &amp; INT(V630/20), "")</f>
        <v/>
      </c>
      <c r="AH630" s="11">
        <f>IF(INT(W630/20)&gt;INT(W629/20), "Lần " &amp; INT(W630/20), "")</f>
        <v/>
      </c>
      <c r="AI630" s="11">
        <f>IF(INT(X630/20)&gt;INT(X629/20), "Lần " &amp; INT(X630/20), "")</f>
        <v/>
      </c>
      <c r="AJ630" s="11">
        <f>IF(INT(Y630/20)&gt;INT(Y629/20), "Lần " &amp; INT(Y630/20), "")</f>
        <v/>
      </c>
      <c r="AK630" s="11">
        <f>IF(INT(Z630/20)&gt;INT(Z629/20), "Lần " &amp; INT(Z630/20), "")</f>
        <v/>
      </c>
      <c r="AL630" s="6" t="inlineStr">
        <is>
          <t>ĐẠT TCVN 1651:2018</t>
        </is>
      </c>
    </row>
    <row r="631" ht="19" customHeight="1">
      <c r="A631" s="6" t="n">
        <v>600</v>
      </c>
      <c r="B631" s="7" t="inlineStr">
        <is>
          <t>Trụ T2 (Thân trụ)</t>
        </is>
      </c>
      <c r="C631" s="7" t="inlineStr">
        <is>
          <t>Thân trụ đặc</t>
        </is>
      </c>
      <c r="D631" s="18" t="inlineStr">
        <is>
          <t>T4c1</t>
        </is>
      </c>
      <c r="E631" s="19" t="n">
        <v>16</v>
      </c>
      <c r="F631" s="6" t="inlineStr">
        <is>
          <t>CB400-V</t>
        </is>
      </c>
      <c r="G631" s="7" t="inlineStr">
        <is>
          <t>S06</t>
        </is>
      </c>
      <c r="H631" s="20" t="n">
        <v>6.202</v>
      </c>
      <c r="I631" s="21" t="n">
        <v>26</v>
      </c>
      <c r="J631" s="22" t="n">
        <v>1.58</v>
      </c>
      <c r="K631" s="9">
        <f>ROUND(H631*I631*J631, 2)</f>
        <v/>
      </c>
      <c r="L631" s="23">
        <f>ROUND(K631/1000, 3)</f>
        <v/>
      </c>
      <c r="M631" s="8" t="n"/>
      <c r="N631" s="6" t="n"/>
      <c r="O631" s="24">
        <f>IF(AND(E631&lt;=10, F631&lt;&gt;"ASTM A416", INT(P631/20)&gt;INT(P630/20)), "TN Ø10 (Lần " &amp; INT(P631/20) &amp; ")", IF(AND(E631=12, INT(Q631/20)&gt;INT(Q630/20)), "TN Ø12 (Lần " &amp; INT(Q631/20) &amp; ")", IF(AND(E631=14, INT(R631/20)&gt;INT(R630/20)), "TN Ø14 (Lần " &amp; INT(R631/20) &amp; ")", IF(AND(E631=16, INT(S631/20)&gt;INT(S630/20)), "TN Ø16 (Lần " &amp; INT(S631/20) &amp; ")", IF(AND(E631=18, INT(T631/20)&gt;INT(T630/20)), "TN Ø18 (Lần " &amp; INT(T631/20) &amp; ")", IF(AND(E631=20, INT(U631/20)&gt;INT(U630/20)), "TN Ø20 (Lần " &amp; INT(U631/20) &amp; ")", IF(AND(E631=22, INT(V631/20)&gt;INT(V630/20)), "TN Ø22 (Lần " &amp; INT(V631/20) &amp; ")", IF(AND(E631=25, INT(W631/20)&gt;INT(W630/20)), "TN Ø25 (Lần " &amp; INT(W631/20) &amp; ")", IF(AND(E631=28, INT(X631/20)&gt;INT(X630/20)), "TN Ø28 (Lần " &amp; INT(X631/20) &amp; ")", IF(AND(E631=32, INT(Y631/20)&gt;INT(Y630/20)), "TN Ø32 (Lần " &amp; INT(Y631/20) &amp; ")", IF(AND(F631="ASTM A416", INT(Z631/20)&gt;INT(Z630/20)), "TN Cáp 15.2 (Lần " &amp; INT(Z631/20) &amp; ")", "")))))))))))</f>
        <v/>
      </c>
      <c r="P631" s="20">
        <f>ROUND(P630 + IF(AND(E631&lt;=10, F631&lt;&gt;"ASTM A416"), L631, 0), 3)</f>
        <v/>
      </c>
      <c r="Q631" s="20">
        <f>ROUND(Q630 + IF(AND(E631=12, F631&lt;&gt;"ASTM A416"), L631, 0), 3)</f>
        <v/>
      </c>
      <c r="R631" s="20">
        <f>ROUND(R630 + IF(AND(E631=14, F631&lt;&gt;"ASTM A416"), L631, 0), 3)</f>
        <v/>
      </c>
      <c r="S631" s="20">
        <f>ROUND(S630 + IF(AND(E631=16, F631&lt;&gt;"ASTM A416"), L631, 0), 3)</f>
        <v/>
      </c>
      <c r="T631" s="20">
        <f>ROUND(T630 + IF(AND(E631=18, F631&lt;&gt;"ASTM A416"), L631, 0), 3)</f>
        <v/>
      </c>
      <c r="U631" s="20">
        <f>ROUND(U630 + IF(AND(E631=20, F631&lt;&gt;"ASTM A416"), L631, 0), 3)</f>
        <v/>
      </c>
      <c r="V631" s="20">
        <f>ROUND(V630 + IF(AND(E631=22, F631&lt;&gt;"ASTM A416"), L631, 0), 3)</f>
        <v/>
      </c>
      <c r="W631" s="20">
        <f>ROUND(W630 + IF(AND(E631=25, F631&lt;&gt;"ASTM A416"), L631, 0), 3)</f>
        <v/>
      </c>
      <c r="X631" s="20">
        <f>ROUND(X630 + IF(AND(E631=28, F631&lt;&gt;"ASTM A416"), L631, 0), 3)</f>
        <v/>
      </c>
      <c r="Y631" s="20">
        <f>ROUND(Y630 + IF(AND(E631=32, F631&lt;&gt;"ASTM A416"), L631, 0), 3)</f>
        <v/>
      </c>
      <c r="Z631" s="20">
        <f>ROUND(Z630 + IF(F631="ASTM A416", L631, 0), 3)</f>
        <v/>
      </c>
      <c r="AA631" s="11">
        <f>IF(INT(P631/20)&gt;INT(P630/20), "Lần " &amp; INT(P631/20), "")</f>
        <v/>
      </c>
      <c r="AB631" s="11">
        <f>IF(INT(Q631/20)&gt;INT(Q630/20), "Lần " &amp; INT(Q631/20), "")</f>
        <v/>
      </c>
      <c r="AC631" s="11">
        <f>IF(INT(R631/20)&gt;INT(R630/20), "Lần " &amp; INT(R631/20), "")</f>
        <v/>
      </c>
      <c r="AD631" s="11">
        <f>IF(INT(S631/20)&gt;INT(S630/20), "Lần " &amp; INT(S631/20), "")</f>
        <v/>
      </c>
      <c r="AE631" s="11">
        <f>IF(INT(T631/20)&gt;INT(T630/20), "Lần " &amp; INT(T631/20), "")</f>
        <v/>
      </c>
      <c r="AF631" s="11">
        <f>IF(INT(U631/20)&gt;INT(U630/20), "Lần " &amp; INT(U631/20), "")</f>
        <v/>
      </c>
      <c r="AG631" s="11">
        <f>IF(INT(V631/20)&gt;INT(V630/20), "Lần " &amp; INT(V631/20), "")</f>
        <v/>
      </c>
      <c r="AH631" s="11">
        <f>IF(INT(W631/20)&gt;INT(W630/20), "Lần " &amp; INT(W631/20), "")</f>
        <v/>
      </c>
      <c r="AI631" s="11">
        <f>IF(INT(X631/20)&gt;INT(X630/20), "Lần " &amp; INT(X631/20), "")</f>
        <v/>
      </c>
      <c r="AJ631" s="11">
        <f>IF(INT(Y631/20)&gt;INT(Y630/20), "Lần " &amp; INT(Y631/20), "")</f>
        <v/>
      </c>
      <c r="AK631" s="11">
        <f>IF(INT(Z631/20)&gt;INT(Z630/20), "Lần " &amp; INT(Z631/20), "")</f>
        <v/>
      </c>
      <c r="AL631" s="6" t="inlineStr">
        <is>
          <t>ĐẠT TCVN 1651:2018</t>
        </is>
      </c>
    </row>
    <row r="632" ht="19" customHeight="1">
      <c r="A632" s="6" t="n">
        <v>601</v>
      </c>
      <c r="B632" s="7" t="inlineStr">
        <is>
          <t>Trụ T1, T2 (Xà mũ trụ)</t>
        </is>
      </c>
      <c r="C632" s="7" t="inlineStr">
        <is>
          <t>xµ mò</t>
        </is>
      </c>
      <c r="D632" s="18" t="inlineStr">
        <is>
          <t>X1</t>
        </is>
      </c>
      <c r="E632" s="19" t="n">
        <v>32</v>
      </c>
      <c r="F632" s="6" t="inlineStr">
        <is>
          <t>CB400-V</t>
        </is>
      </c>
      <c r="G632" s="7" t="inlineStr">
        <is>
          <t>S06</t>
        </is>
      </c>
      <c r="H632" s="20" t="n">
        <v>13.962</v>
      </c>
      <c r="I632" s="21" t="n">
        <v>110</v>
      </c>
      <c r="J632" s="22" t="n">
        <v>6.31</v>
      </c>
      <c r="K632" s="9">
        <f>ROUND(H632*I632*J632, 2)</f>
        <v/>
      </c>
      <c r="L632" s="23">
        <f>ROUND(K632/1000, 3)</f>
        <v/>
      </c>
      <c r="M632" s="8" t="n"/>
      <c r="N632" s="6" t="n"/>
      <c r="O632" s="24">
        <f>IF(AND(E632&lt;=10, F632&lt;&gt;"ASTM A416", INT(P632/20)&gt;INT(P631/20)), "TN Ø10 (Lần " &amp; INT(P632/20) &amp; ")", IF(AND(E632=12, INT(Q632/20)&gt;INT(Q631/20)), "TN Ø12 (Lần " &amp; INT(Q632/20) &amp; ")", IF(AND(E632=14, INT(R632/20)&gt;INT(R631/20)), "TN Ø14 (Lần " &amp; INT(R632/20) &amp; ")", IF(AND(E632=16, INT(S632/20)&gt;INT(S631/20)), "TN Ø16 (Lần " &amp; INT(S632/20) &amp; ")", IF(AND(E632=18, INT(T632/20)&gt;INT(T631/20)), "TN Ø18 (Lần " &amp; INT(T632/20) &amp; ")", IF(AND(E632=20, INT(U632/20)&gt;INT(U631/20)), "TN Ø20 (Lần " &amp; INT(U632/20) &amp; ")", IF(AND(E632=22, INT(V632/20)&gt;INT(V631/20)), "TN Ø22 (Lần " &amp; INT(V632/20) &amp; ")", IF(AND(E632=25, INT(W632/20)&gt;INT(W631/20)), "TN Ø25 (Lần " &amp; INT(W632/20) &amp; ")", IF(AND(E632=28, INT(X632/20)&gt;INT(X631/20)), "TN Ø28 (Lần " &amp; INT(X632/20) &amp; ")", IF(AND(E632=32, INT(Y632/20)&gt;INT(Y631/20)), "TN Ø32 (Lần " &amp; INT(Y632/20) &amp; ")", IF(AND(F632="ASTM A416", INT(Z632/20)&gt;INT(Z631/20)), "TN Cáp 15.2 (Lần " &amp; INT(Z632/20) &amp; ")", "")))))))))))</f>
        <v/>
      </c>
      <c r="P632" s="20">
        <f>ROUND(P631 + IF(AND(E632&lt;=10, F632&lt;&gt;"ASTM A416"), L632, 0), 3)</f>
        <v/>
      </c>
      <c r="Q632" s="20">
        <f>ROUND(Q631 + IF(AND(E632=12, F632&lt;&gt;"ASTM A416"), L632, 0), 3)</f>
        <v/>
      </c>
      <c r="R632" s="20">
        <f>ROUND(R631 + IF(AND(E632=14, F632&lt;&gt;"ASTM A416"), L632, 0), 3)</f>
        <v/>
      </c>
      <c r="S632" s="20">
        <f>ROUND(S631 + IF(AND(E632=16, F632&lt;&gt;"ASTM A416"), L632, 0), 3)</f>
        <v/>
      </c>
      <c r="T632" s="20">
        <f>ROUND(T631 + IF(AND(E632=18, F632&lt;&gt;"ASTM A416"), L632, 0), 3)</f>
        <v/>
      </c>
      <c r="U632" s="20">
        <f>ROUND(U631 + IF(AND(E632=20, F632&lt;&gt;"ASTM A416"), L632, 0), 3)</f>
        <v/>
      </c>
      <c r="V632" s="20">
        <f>ROUND(V631 + IF(AND(E632=22, F632&lt;&gt;"ASTM A416"), L632, 0), 3)</f>
        <v/>
      </c>
      <c r="W632" s="20">
        <f>ROUND(W631 + IF(AND(E632=25, F632&lt;&gt;"ASTM A416"), L632, 0), 3)</f>
        <v/>
      </c>
      <c r="X632" s="20">
        <f>ROUND(X631 + IF(AND(E632=28, F632&lt;&gt;"ASTM A416"), L632, 0), 3)</f>
        <v/>
      </c>
      <c r="Y632" s="20">
        <f>ROUND(Y631 + IF(AND(E632=32, F632&lt;&gt;"ASTM A416"), L632, 0), 3)</f>
        <v/>
      </c>
      <c r="Z632" s="20">
        <f>ROUND(Z631 + IF(F632="ASTM A416", L632, 0), 3)</f>
        <v/>
      </c>
      <c r="AA632" s="11">
        <f>IF(INT(P632/20)&gt;INT(P631/20), "Lần " &amp; INT(P632/20), "")</f>
        <v/>
      </c>
      <c r="AB632" s="11">
        <f>IF(INT(Q632/20)&gt;INT(Q631/20), "Lần " &amp; INT(Q632/20), "")</f>
        <v/>
      </c>
      <c r="AC632" s="11">
        <f>IF(INT(R632/20)&gt;INT(R631/20), "Lần " &amp; INT(R632/20), "")</f>
        <v/>
      </c>
      <c r="AD632" s="11">
        <f>IF(INT(S632/20)&gt;INT(S631/20), "Lần " &amp; INT(S632/20), "")</f>
        <v/>
      </c>
      <c r="AE632" s="11">
        <f>IF(INT(T632/20)&gt;INT(T631/20), "Lần " &amp; INT(T632/20), "")</f>
        <v/>
      </c>
      <c r="AF632" s="11">
        <f>IF(INT(U632/20)&gt;INT(U631/20), "Lần " &amp; INT(U632/20), "")</f>
        <v/>
      </c>
      <c r="AG632" s="11">
        <f>IF(INT(V632/20)&gt;INT(V631/20), "Lần " &amp; INT(V632/20), "")</f>
        <v/>
      </c>
      <c r="AH632" s="11">
        <f>IF(INT(W632/20)&gt;INT(W631/20), "Lần " &amp; INT(W632/20), "")</f>
        <v/>
      </c>
      <c r="AI632" s="11">
        <f>IF(INT(X632/20)&gt;INT(X631/20), "Lần " &amp; INT(X632/20), "")</f>
        <v/>
      </c>
      <c r="AJ632" s="11">
        <f>IF(INT(Y632/20)&gt;INT(Y631/20), "Lần " &amp; INT(Y632/20), "")</f>
        <v/>
      </c>
      <c r="AK632" s="11">
        <f>IF(INT(Z632/20)&gt;INT(Z631/20), "Lần " &amp; INT(Z632/20), "")</f>
        <v/>
      </c>
      <c r="AL632" s="6" t="inlineStr">
        <is>
          <t>ĐẠT TCVN 1651:2018</t>
        </is>
      </c>
    </row>
    <row r="633" ht="19" customHeight="1">
      <c r="A633" s="6" t="n">
        <v>602</v>
      </c>
      <c r="B633" s="7" t="inlineStr">
        <is>
          <t>Trụ T1, T2 (Xà mũ trụ)</t>
        </is>
      </c>
      <c r="C633" s="7" t="inlineStr">
        <is>
          <t>Xà mũ trụ</t>
        </is>
      </c>
      <c r="D633" s="18" t="inlineStr">
        <is>
          <t>X1B</t>
        </is>
      </c>
      <c r="E633" s="19" t="n">
        <v>28</v>
      </c>
      <c r="F633" s="6" t="inlineStr">
        <is>
          <t>CB400-V</t>
        </is>
      </c>
      <c r="G633" s="7" t="inlineStr">
        <is>
          <t>S06</t>
        </is>
      </c>
      <c r="H633" s="20" t="n">
        <v>13.698</v>
      </c>
      <c r="I633" s="21" t="n">
        <v>110</v>
      </c>
      <c r="J633" s="22" t="n">
        <v>4.83</v>
      </c>
      <c r="K633" s="9">
        <f>ROUND(H633*I633*J633, 2)</f>
        <v/>
      </c>
      <c r="L633" s="23">
        <f>ROUND(K633/1000, 3)</f>
        <v/>
      </c>
      <c r="M633" s="8" t="n"/>
      <c r="N633" s="6" t="n"/>
      <c r="O633" s="24">
        <f>IF(AND(E633&lt;=10, F633&lt;&gt;"ASTM A416", INT(P633/20)&gt;INT(P632/20)), "TN Ø10 (Lần " &amp; INT(P633/20) &amp; ")", IF(AND(E633=12, INT(Q633/20)&gt;INT(Q632/20)), "TN Ø12 (Lần " &amp; INT(Q633/20) &amp; ")", IF(AND(E633=14, INT(R633/20)&gt;INT(R632/20)), "TN Ø14 (Lần " &amp; INT(R633/20) &amp; ")", IF(AND(E633=16, INT(S633/20)&gt;INT(S632/20)), "TN Ø16 (Lần " &amp; INT(S633/20) &amp; ")", IF(AND(E633=18, INT(T633/20)&gt;INT(T632/20)), "TN Ø18 (Lần " &amp; INT(T633/20) &amp; ")", IF(AND(E633=20, INT(U633/20)&gt;INT(U632/20)), "TN Ø20 (Lần " &amp; INT(U633/20) &amp; ")", IF(AND(E633=22, INT(V633/20)&gt;INT(V632/20)), "TN Ø22 (Lần " &amp; INT(V633/20) &amp; ")", IF(AND(E633=25, INT(W633/20)&gt;INT(W632/20)), "TN Ø25 (Lần " &amp; INT(W633/20) &amp; ")", IF(AND(E633=28, INT(X633/20)&gt;INT(X632/20)), "TN Ø28 (Lần " &amp; INT(X633/20) &amp; ")", IF(AND(E633=32, INT(Y633/20)&gt;INT(Y632/20)), "TN Ø32 (Lần " &amp; INT(Y633/20) &amp; ")", IF(AND(F633="ASTM A416", INT(Z633/20)&gt;INT(Z632/20)), "TN Cáp 15.2 (Lần " &amp; INT(Z633/20) &amp; ")", "")))))))))))</f>
        <v/>
      </c>
      <c r="P633" s="20">
        <f>ROUND(P632 + IF(AND(E633&lt;=10, F633&lt;&gt;"ASTM A416"), L633, 0), 3)</f>
        <v/>
      </c>
      <c r="Q633" s="20">
        <f>ROUND(Q632 + IF(AND(E633=12, F633&lt;&gt;"ASTM A416"), L633, 0), 3)</f>
        <v/>
      </c>
      <c r="R633" s="20">
        <f>ROUND(R632 + IF(AND(E633=14, F633&lt;&gt;"ASTM A416"), L633, 0), 3)</f>
        <v/>
      </c>
      <c r="S633" s="20">
        <f>ROUND(S632 + IF(AND(E633=16, F633&lt;&gt;"ASTM A416"), L633, 0), 3)</f>
        <v/>
      </c>
      <c r="T633" s="20">
        <f>ROUND(T632 + IF(AND(E633=18, F633&lt;&gt;"ASTM A416"), L633, 0), 3)</f>
        <v/>
      </c>
      <c r="U633" s="20">
        <f>ROUND(U632 + IF(AND(E633=20, F633&lt;&gt;"ASTM A416"), L633, 0), 3)</f>
        <v/>
      </c>
      <c r="V633" s="20">
        <f>ROUND(V632 + IF(AND(E633=22, F633&lt;&gt;"ASTM A416"), L633, 0), 3)</f>
        <v/>
      </c>
      <c r="W633" s="20">
        <f>ROUND(W632 + IF(AND(E633=25, F633&lt;&gt;"ASTM A416"), L633, 0), 3)</f>
        <v/>
      </c>
      <c r="X633" s="20">
        <f>ROUND(X632 + IF(AND(E633=28, F633&lt;&gt;"ASTM A416"), L633, 0), 3)</f>
        <v/>
      </c>
      <c r="Y633" s="20">
        <f>ROUND(Y632 + IF(AND(E633=32, F633&lt;&gt;"ASTM A416"), L633, 0), 3)</f>
        <v/>
      </c>
      <c r="Z633" s="20">
        <f>ROUND(Z632 + IF(F633="ASTM A416", L633, 0), 3)</f>
        <v/>
      </c>
      <c r="AA633" s="11">
        <f>IF(INT(P633/20)&gt;INT(P632/20), "Lần " &amp; INT(P633/20), "")</f>
        <v/>
      </c>
      <c r="AB633" s="11">
        <f>IF(INT(Q633/20)&gt;INT(Q632/20), "Lần " &amp; INT(Q633/20), "")</f>
        <v/>
      </c>
      <c r="AC633" s="11">
        <f>IF(INT(R633/20)&gt;INT(R632/20), "Lần " &amp; INT(R633/20), "")</f>
        <v/>
      </c>
      <c r="AD633" s="11">
        <f>IF(INT(S633/20)&gt;INT(S632/20), "Lần " &amp; INT(S633/20), "")</f>
        <v/>
      </c>
      <c r="AE633" s="11">
        <f>IF(INT(T633/20)&gt;INT(T632/20), "Lần " &amp; INT(T633/20), "")</f>
        <v/>
      </c>
      <c r="AF633" s="11">
        <f>IF(INT(U633/20)&gt;INT(U632/20), "Lần " &amp; INT(U633/20), "")</f>
        <v/>
      </c>
      <c r="AG633" s="11">
        <f>IF(INT(V633/20)&gt;INT(V632/20), "Lần " &amp; INT(V633/20), "")</f>
        <v/>
      </c>
      <c r="AH633" s="11">
        <f>IF(INT(W633/20)&gt;INT(W632/20), "Lần " &amp; INT(W633/20), "")</f>
        <v/>
      </c>
      <c r="AI633" s="11">
        <f>IF(INT(X633/20)&gt;INT(X632/20), "Lần " &amp; INT(X633/20), "")</f>
        <v/>
      </c>
      <c r="AJ633" s="11">
        <f>IF(INT(Y633/20)&gt;INT(Y632/20), "Lần " &amp; INT(Y633/20), "")</f>
        <v/>
      </c>
      <c r="AK633" s="11">
        <f>IF(INT(Z633/20)&gt;INT(Z632/20), "Lần " &amp; INT(Z633/20), "")</f>
        <v/>
      </c>
      <c r="AL633" s="6" t="inlineStr">
        <is>
          <t>ĐẠT TCVN 1651:2018</t>
        </is>
      </c>
    </row>
    <row r="634" ht="19" customHeight="1">
      <c r="A634" s="6" t="n">
        <v>603</v>
      </c>
      <c r="B634" s="7" t="inlineStr">
        <is>
          <t>Trụ T1, T2 (Xà mũ trụ)</t>
        </is>
      </c>
      <c r="C634" s="7" t="inlineStr">
        <is>
          <t>Xà mũ trụ</t>
        </is>
      </c>
      <c r="D634" s="18" t="inlineStr">
        <is>
          <t>X2</t>
        </is>
      </c>
      <c r="E634" s="19" t="n">
        <v>16</v>
      </c>
      <c r="F634" s="6" t="inlineStr">
        <is>
          <t>CB400-V</t>
        </is>
      </c>
      <c r="G634" s="7" t="inlineStr">
        <is>
          <t>S06</t>
        </is>
      </c>
      <c r="H634" s="20" t="n">
        <v>17.296</v>
      </c>
      <c r="I634" s="21" t="n">
        <v>106</v>
      </c>
      <c r="J634" s="22" t="n">
        <v>1.58</v>
      </c>
      <c r="K634" s="9">
        <f>ROUND(H634*I634*J634, 2)</f>
        <v/>
      </c>
      <c r="L634" s="23">
        <f>ROUND(K634/1000, 3)</f>
        <v/>
      </c>
      <c r="M634" s="8" t="n"/>
      <c r="N634" s="6" t="n"/>
      <c r="O634" s="24">
        <f>IF(AND(E634&lt;=10, F634&lt;&gt;"ASTM A416", INT(P634/20)&gt;INT(P633/20)), "TN Ø10 (Lần " &amp; INT(P634/20) &amp; ")", IF(AND(E634=12, INT(Q634/20)&gt;INT(Q633/20)), "TN Ø12 (Lần " &amp; INT(Q634/20) &amp; ")", IF(AND(E634=14, INT(R634/20)&gt;INT(R633/20)), "TN Ø14 (Lần " &amp; INT(R634/20) &amp; ")", IF(AND(E634=16, INT(S634/20)&gt;INT(S633/20)), "TN Ø16 (Lần " &amp; INT(S634/20) &amp; ")", IF(AND(E634=18, INT(T634/20)&gt;INT(T633/20)), "TN Ø18 (Lần " &amp; INT(T634/20) &amp; ")", IF(AND(E634=20, INT(U634/20)&gt;INT(U633/20)), "TN Ø20 (Lần " &amp; INT(U634/20) &amp; ")", IF(AND(E634=22, INT(V634/20)&gt;INT(V633/20)), "TN Ø22 (Lần " &amp; INT(V634/20) &amp; ")", IF(AND(E634=25, INT(W634/20)&gt;INT(W633/20)), "TN Ø25 (Lần " &amp; INT(W634/20) &amp; ")", IF(AND(E634=28, INT(X634/20)&gt;INT(X633/20)), "TN Ø28 (Lần " &amp; INT(X634/20) &amp; ")", IF(AND(E634=32, INT(Y634/20)&gt;INT(Y633/20)), "TN Ø32 (Lần " &amp; INT(Y634/20) &amp; ")", IF(AND(F634="ASTM A416", INT(Z634/20)&gt;INT(Z633/20)), "TN Cáp 15.2 (Lần " &amp; INT(Z634/20) &amp; ")", "")))))))))))</f>
        <v/>
      </c>
      <c r="P634" s="20">
        <f>ROUND(P633 + IF(AND(E634&lt;=10, F634&lt;&gt;"ASTM A416"), L634, 0), 3)</f>
        <v/>
      </c>
      <c r="Q634" s="20">
        <f>ROUND(Q633 + IF(AND(E634=12, F634&lt;&gt;"ASTM A416"), L634, 0), 3)</f>
        <v/>
      </c>
      <c r="R634" s="20">
        <f>ROUND(R633 + IF(AND(E634=14, F634&lt;&gt;"ASTM A416"), L634, 0), 3)</f>
        <v/>
      </c>
      <c r="S634" s="20">
        <f>ROUND(S633 + IF(AND(E634=16, F634&lt;&gt;"ASTM A416"), L634, 0), 3)</f>
        <v/>
      </c>
      <c r="T634" s="20">
        <f>ROUND(T633 + IF(AND(E634=18, F634&lt;&gt;"ASTM A416"), L634, 0), 3)</f>
        <v/>
      </c>
      <c r="U634" s="20">
        <f>ROUND(U633 + IF(AND(E634=20, F634&lt;&gt;"ASTM A416"), L634, 0), 3)</f>
        <v/>
      </c>
      <c r="V634" s="20">
        <f>ROUND(V633 + IF(AND(E634=22, F634&lt;&gt;"ASTM A416"), L634, 0), 3)</f>
        <v/>
      </c>
      <c r="W634" s="20">
        <f>ROUND(W633 + IF(AND(E634=25, F634&lt;&gt;"ASTM A416"), L634, 0), 3)</f>
        <v/>
      </c>
      <c r="X634" s="20">
        <f>ROUND(X633 + IF(AND(E634=28, F634&lt;&gt;"ASTM A416"), L634, 0), 3)</f>
        <v/>
      </c>
      <c r="Y634" s="20">
        <f>ROUND(Y633 + IF(AND(E634=32, F634&lt;&gt;"ASTM A416"), L634, 0), 3)</f>
        <v/>
      </c>
      <c r="Z634" s="20">
        <f>ROUND(Z633 + IF(F634="ASTM A416", L634, 0), 3)</f>
        <v/>
      </c>
      <c r="AA634" s="11">
        <f>IF(INT(P634/20)&gt;INT(P633/20), "Lần " &amp; INT(P634/20), "")</f>
        <v/>
      </c>
      <c r="AB634" s="11">
        <f>IF(INT(Q634/20)&gt;INT(Q633/20), "Lần " &amp; INT(Q634/20), "")</f>
        <v/>
      </c>
      <c r="AC634" s="11">
        <f>IF(INT(R634/20)&gt;INT(R633/20), "Lần " &amp; INT(R634/20), "")</f>
        <v/>
      </c>
      <c r="AD634" s="11">
        <f>IF(INT(S634/20)&gt;INT(S633/20), "Lần " &amp; INT(S634/20), "")</f>
        <v/>
      </c>
      <c r="AE634" s="11">
        <f>IF(INT(T634/20)&gt;INT(T633/20), "Lần " &amp; INT(T634/20), "")</f>
        <v/>
      </c>
      <c r="AF634" s="11">
        <f>IF(INT(U634/20)&gt;INT(U633/20), "Lần " &amp; INT(U634/20), "")</f>
        <v/>
      </c>
      <c r="AG634" s="11">
        <f>IF(INT(V634/20)&gt;INT(V633/20), "Lần " &amp; INT(V634/20), "")</f>
        <v/>
      </c>
      <c r="AH634" s="11">
        <f>IF(INT(W634/20)&gt;INT(W633/20), "Lần " &amp; INT(W634/20), "")</f>
        <v/>
      </c>
      <c r="AI634" s="11">
        <f>IF(INT(X634/20)&gt;INT(X633/20), "Lần " &amp; INT(X634/20), "")</f>
        <v/>
      </c>
      <c r="AJ634" s="11">
        <f>IF(INT(Y634/20)&gt;INT(Y633/20), "Lần " &amp; INT(Y634/20), "")</f>
        <v/>
      </c>
      <c r="AK634" s="11">
        <f>IF(INT(Z634/20)&gt;INT(Z633/20), "Lần " &amp; INT(Z634/20), "")</f>
        <v/>
      </c>
      <c r="AL634" s="6" t="inlineStr">
        <is>
          <t>ĐẠT TCVN 1651:2018</t>
        </is>
      </c>
    </row>
    <row r="635" ht="19" customHeight="1">
      <c r="A635" s="6" t="n">
        <v>604</v>
      </c>
      <c r="B635" s="7" t="inlineStr">
        <is>
          <t>Trụ T1, T2 (Xà mũ trụ)</t>
        </is>
      </c>
      <c r="C635" s="7" t="inlineStr">
        <is>
          <t>Xà mũ trụ</t>
        </is>
      </c>
      <c r="D635" s="18" t="inlineStr">
        <is>
          <t>x2a</t>
        </is>
      </c>
      <c r="E635" s="19" t="n">
        <v>16</v>
      </c>
      <c r="F635" s="6" t="inlineStr">
        <is>
          <t>CB400-V</t>
        </is>
      </c>
      <c r="G635" s="7" t="inlineStr">
        <is>
          <t>S06</t>
        </is>
      </c>
      <c r="H635" s="20" t="n">
        <v>16.916</v>
      </c>
      <c r="I635" s="21" t="n">
        <v>32</v>
      </c>
      <c r="J635" s="22" t="n">
        <v>1.58</v>
      </c>
      <c r="K635" s="9">
        <f>ROUND(H635*I635*J635, 2)</f>
        <v/>
      </c>
      <c r="L635" s="23">
        <f>ROUND(K635/1000, 3)</f>
        <v/>
      </c>
      <c r="M635" s="8" t="n"/>
      <c r="N635" s="6" t="n"/>
      <c r="O635" s="24">
        <f>IF(AND(E635&lt;=10, F635&lt;&gt;"ASTM A416", INT(P635/20)&gt;INT(P634/20)), "TN Ø10 (Lần " &amp; INT(P635/20) &amp; ")", IF(AND(E635=12, INT(Q635/20)&gt;INT(Q634/20)), "TN Ø12 (Lần " &amp; INT(Q635/20) &amp; ")", IF(AND(E635=14, INT(R635/20)&gt;INT(R634/20)), "TN Ø14 (Lần " &amp; INT(R635/20) &amp; ")", IF(AND(E635=16, INT(S635/20)&gt;INT(S634/20)), "TN Ø16 (Lần " &amp; INT(S635/20) &amp; ")", IF(AND(E635=18, INT(T635/20)&gt;INT(T634/20)), "TN Ø18 (Lần " &amp; INT(T635/20) &amp; ")", IF(AND(E635=20, INT(U635/20)&gt;INT(U634/20)), "TN Ø20 (Lần " &amp; INT(U635/20) &amp; ")", IF(AND(E635=22, INT(V635/20)&gt;INT(V634/20)), "TN Ø22 (Lần " &amp; INT(V635/20) &amp; ")", IF(AND(E635=25, INT(W635/20)&gt;INT(W634/20)), "TN Ø25 (Lần " &amp; INT(W635/20) &amp; ")", IF(AND(E635=28, INT(X635/20)&gt;INT(X634/20)), "TN Ø28 (Lần " &amp; INT(X635/20) &amp; ")", IF(AND(E635=32, INT(Y635/20)&gt;INT(Y634/20)), "TN Ø32 (Lần " &amp; INT(Y635/20) &amp; ")", IF(AND(F635="ASTM A416", INT(Z635/20)&gt;INT(Z634/20)), "TN Cáp 15.2 (Lần " &amp; INT(Z635/20) &amp; ")", "")))))))))))</f>
        <v/>
      </c>
      <c r="P635" s="20">
        <f>ROUND(P634 + IF(AND(E635&lt;=10, F635&lt;&gt;"ASTM A416"), L635, 0), 3)</f>
        <v/>
      </c>
      <c r="Q635" s="20">
        <f>ROUND(Q634 + IF(AND(E635=12, F635&lt;&gt;"ASTM A416"), L635, 0), 3)</f>
        <v/>
      </c>
      <c r="R635" s="20">
        <f>ROUND(R634 + IF(AND(E635=14, F635&lt;&gt;"ASTM A416"), L635, 0), 3)</f>
        <v/>
      </c>
      <c r="S635" s="20">
        <f>ROUND(S634 + IF(AND(E635=16, F635&lt;&gt;"ASTM A416"), L635, 0), 3)</f>
        <v/>
      </c>
      <c r="T635" s="20">
        <f>ROUND(T634 + IF(AND(E635=18, F635&lt;&gt;"ASTM A416"), L635, 0), 3)</f>
        <v/>
      </c>
      <c r="U635" s="20">
        <f>ROUND(U634 + IF(AND(E635=20, F635&lt;&gt;"ASTM A416"), L635, 0), 3)</f>
        <v/>
      </c>
      <c r="V635" s="20">
        <f>ROUND(V634 + IF(AND(E635=22, F635&lt;&gt;"ASTM A416"), L635, 0), 3)</f>
        <v/>
      </c>
      <c r="W635" s="20">
        <f>ROUND(W634 + IF(AND(E635=25, F635&lt;&gt;"ASTM A416"), L635, 0), 3)</f>
        <v/>
      </c>
      <c r="X635" s="20">
        <f>ROUND(X634 + IF(AND(E635=28, F635&lt;&gt;"ASTM A416"), L635, 0), 3)</f>
        <v/>
      </c>
      <c r="Y635" s="20">
        <f>ROUND(Y634 + IF(AND(E635=32, F635&lt;&gt;"ASTM A416"), L635, 0), 3)</f>
        <v/>
      </c>
      <c r="Z635" s="20">
        <f>ROUND(Z634 + IF(F635="ASTM A416", L635, 0), 3)</f>
        <v/>
      </c>
      <c r="AA635" s="11">
        <f>IF(INT(P635/20)&gt;INT(P634/20), "Lần " &amp; INT(P635/20), "")</f>
        <v/>
      </c>
      <c r="AB635" s="11">
        <f>IF(INT(Q635/20)&gt;INT(Q634/20), "Lần " &amp; INT(Q635/20), "")</f>
        <v/>
      </c>
      <c r="AC635" s="11">
        <f>IF(INT(R635/20)&gt;INT(R634/20), "Lần " &amp; INT(R635/20), "")</f>
        <v/>
      </c>
      <c r="AD635" s="11">
        <f>IF(INT(S635/20)&gt;INT(S634/20), "Lần " &amp; INT(S635/20), "")</f>
        <v/>
      </c>
      <c r="AE635" s="11">
        <f>IF(INT(T635/20)&gt;INT(T634/20), "Lần " &amp; INT(T635/20), "")</f>
        <v/>
      </c>
      <c r="AF635" s="11">
        <f>IF(INT(U635/20)&gt;INT(U634/20), "Lần " &amp; INT(U635/20), "")</f>
        <v/>
      </c>
      <c r="AG635" s="11">
        <f>IF(INT(V635/20)&gt;INT(V634/20), "Lần " &amp; INT(V635/20), "")</f>
        <v/>
      </c>
      <c r="AH635" s="11">
        <f>IF(INT(W635/20)&gt;INT(W634/20), "Lần " &amp; INT(W635/20), "")</f>
        <v/>
      </c>
      <c r="AI635" s="11">
        <f>IF(INT(X635/20)&gt;INT(X634/20), "Lần " &amp; INT(X635/20), "")</f>
        <v/>
      </c>
      <c r="AJ635" s="11">
        <f>IF(INT(Y635/20)&gt;INT(Y634/20), "Lần " &amp; INT(Y635/20), "")</f>
        <v/>
      </c>
      <c r="AK635" s="11">
        <f>IF(INT(Z635/20)&gt;INT(Z634/20), "Lần " &amp; INT(Z635/20), "")</f>
        <v/>
      </c>
      <c r="AL635" s="6" t="inlineStr">
        <is>
          <t>ĐẠT TCVN 1651:2018</t>
        </is>
      </c>
    </row>
    <row r="636" ht="19" customHeight="1">
      <c r="A636" s="6" t="n">
        <v>605</v>
      </c>
      <c r="B636" s="7" t="inlineStr">
        <is>
          <t>Trụ T1, T2 (Xà mũ trụ)</t>
        </is>
      </c>
      <c r="C636" s="7" t="inlineStr">
        <is>
          <t>Xà mũ trụ</t>
        </is>
      </c>
      <c r="D636" s="18" t="inlineStr">
        <is>
          <t>X3</t>
        </is>
      </c>
      <c r="E636" s="19" t="n">
        <v>16</v>
      </c>
      <c r="F636" s="6" t="inlineStr">
        <is>
          <t>CB400-V</t>
        </is>
      </c>
      <c r="G636" s="7" t="inlineStr">
        <is>
          <t>S01</t>
        </is>
      </c>
      <c r="H636" s="20" t="n">
        <v>12.54</v>
      </c>
      <c r="I636" s="21" t="n">
        <v>64</v>
      </c>
      <c r="J636" s="22" t="n">
        <v>1.58</v>
      </c>
      <c r="K636" s="9">
        <f>ROUND(H636*I636*J636, 2)</f>
        <v/>
      </c>
      <c r="L636" s="23">
        <f>ROUND(K636/1000, 3)</f>
        <v/>
      </c>
      <c r="M636" s="8" t="n"/>
      <c r="N636" s="6" t="n"/>
      <c r="O636" s="24">
        <f>IF(AND(E636&lt;=10, F636&lt;&gt;"ASTM A416", INT(P636/20)&gt;INT(P635/20)), "TN Ø10 (Lần " &amp; INT(P636/20) &amp; ")", IF(AND(E636=12, INT(Q636/20)&gt;INT(Q635/20)), "TN Ø12 (Lần " &amp; INT(Q636/20) &amp; ")", IF(AND(E636=14, INT(R636/20)&gt;INT(R635/20)), "TN Ø14 (Lần " &amp; INT(R636/20) &amp; ")", IF(AND(E636=16, INT(S636/20)&gt;INT(S635/20)), "TN Ø16 (Lần " &amp; INT(S636/20) &amp; ")", IF(AND(E636=18, INT(T636/20)&gt;INT(T635/20)), "TN Ø18 (Lần " &amp; INT(T636/20) &amp; ")", IF(AND(E636=20, INT(U636/20)&gt;INT(U635/20)), "TN Ø20 (Lần " &amp; INT(U636/20) &amp; ")", IF(AND(E636=22, INT(V636/20)&gt;INT(V635/20)), "TN Ø22 (Lần " &amp; INT(V636/20) &amp; ")", IF(AND(E636=25, INT(W636/20)&gt;INT(W635/20)), "TN Ø25 (Lần " &amp; INT(W636/20) &amp; ")", IF(AND(E636=28, INT(X636/20)&gt;INT(X635/20)), "TN Ø28 (Lần " &amp; INT(X636/20) &amp; ")", IF(AND(E636=32, INT(Y636/20)&gt;INT(Y635/20)), "TN Ø32 (Lần " &amp; INT(Y636/20) &amp; ")", IF(AND(F636="ASTM A416", INT(Z636/20)&gt;INT(Z635/20)), "TN Cáp 15.2 (Lần " &amp; INT(Z636/20) &amp; ")", "")))))))))))</f>
        <v/>
      </c>
      <c r="P636" s="20">
        <f>ROUND(P635 + IF(AND(E636&lt;=10, F636&lt;&gt;"ASTM A416"), L636, 0), 3)</f>
        <v/>
      </c>
      <c r="Q636" s="20">
        <f>ROUND(Q635 + IF(AND(E636=12, F636&lt;&gt;"ASTM A416"), L636, 0), 3)</f>
        <v/>
      </c>
      <c r="R636" s="20">
        <f>ROUND(R635 + IF(AND(E636=14, F636&lt;&gt;"ASTM A416"), L636, 0), 3)</f>
        <v/>
      </c>
      <c r="S636" s="20">
        <f>ROUND(S635 + IF(AND(E636=16, F636&lt;&gt;"ASTM A416"), L636, 0), 3)</f>
        <v/>
      </c>
      <c r="T636" s="20">
        <f>ROUND(T635 + IF(AND(E636=18, F636&lt;&gt;"ASTM A416"), L636, 0), 3)</f>
        <v/>
      </c>
      <c r="U636" s="20">
        <f>ROUND(U635 + IF(AND(E636=20, F636&lt;&gt;"ASTM A416"), L636, 0), 3)</f>
        <v/>
      </c>
      <c r="V636" s="20">
        <f>ROUND(V635 + IF(AND(E636=22, F636&lt;&gt;"ASTM A416"), L636, 0), 3)</f>
        <v/>
      </c>
      <c r="W636" s="20">
        <f>ROUND(W635 + IF(AND(E636=25, F636&lt;&gt;"ASTM A416"), L636, 0), 3)</f>
        <v/>
      </c>
      <c r="X636" s="20">
        <f>ROUND(X635 + IF(AND(E636=28, F636&lt;&gt;"ASTM A416"), L636, 0), 3)</f>
        <v/>
      </c>
      <c r="Y636" s="20">
        <f>ROUND(Y635 + IF(AND(E636=32, F636&lt;&gt;"ASTM A416"), L636, 0), 3)</f>
        <v/>
      </c>
      <c r="Z636" s="20">
        <f>ROUND(Z635 + IF(F636="ASTM A416", L636, 0), 3)</f>
        <v/>
      </c>
      <c r="AA636" s="11">
        <f>IF(INT(P636/20)&gt;INT(P635/20), "Lần " &amp; INT(P636/20), "")</f>
        <v/>
      </c>
      <c r="AB636" s="11">
        <f>IF(INT(Q636/20)&gt;INT(Q635/20), "Lần " &amp; INT(Q636/20), "")</f>
        <v/>
      </c>
      <c r="AC636" s="11">
        <f>IF(INT(R636/20)&gt;INT(R635/20), "Lần " &amp; INT(R636/20), "")</f>
        <v/>
      </c>
      <c r="AD636" s="11">
        <f>IF(INT(S636/20)&gt;INT(S635/20), "Lần " &amp; INT(S636/20), "")</f>
        <v/>
      </c>
      <c r="AE636" s="11">
        <f>IF(INT(T636/20)&gt;INT(T635/20), "Lần " &amp; INT(T636/20), "")</f>
        <v/>
      </c>
      <c r="AF636" s="11">
        <f>IF(INT(U636/20)&gt;INT(U635/20), "Lần " &amp; INT(U636/20), "")</f>
        <v/>
      </c>
      <c r="AG636" s="11">
        <f>IF(INT(V636/20)&gt;INT(V635/20), "Lần " &amp; INT(V636/20), "")</f>
        <v/>
      </c>
      <c r="AH636" s="11">
        <f>IF(INT(W636/20)&gt;INT(W635/20), "Lần " &amp; INT(W636/20), "")</f>
        <v/>
      </c>
      <c r="AI636" s="11">
        <f>IF(INT(X636/20)&gt;INT(X635/20), "Lần " &amp; INT(X636/20), "")</f>
        <v/>
      </c>
      <c r="AJ636" s="11">
        <f>IF(INT(Y636/20)&gt;INT(Y635/20), "Lần " &amp; INT(Y636/20), "")</f>
        <v/>
      </c>
      <c r="AK636" s="11">
        <f>IF(INT(Z636/20)&gt;INT(Z635/20), "Lần " &amp; INT(Z636/20), "")</f>
        <v/>
      </c>
      <c r="AL636" s="6" t="inlineStr">
        <is>
          <t>ĐẠT TCVN 1651:2018</t>
        </is>
      </c>
    </row>
    <row r="637" ht="19" customHeight="1">
      <c r="A637" s="6" t="n">
        <v>606</v>
      </c>
      <c r="B637" s="7" t="inlineStr">
        <is>
          <t>Trụ T1, T2 (Xà mũ trụ)</t>
        </is>
      </c>
      <c r="C637" s="7" t="inlineStr">
        <is>
          <t>Xà mũ trụ</t>
        </is>
      </c>
      <c r="D637" s="18" t="inlineStr">
        <is>
          <t>x3a</t>
        </is>
      </c>
      <c r="E637" s="19" t="n">
        <v>16</v>
      </c>
      <c r="F637" s="6" t="inlineStr">
        <is>
          <t>CB400-V</t>
        </is>
      </c>
      <c r="G637" s="7" t="inlineStr">
        <is>
          <t>S01</t>
        </is>
      </c>
      <c r="H637" s="20" t="n">
        <v>12.433</v>
      </c>
      <c r="I637" s="21" t="n">
        <v>12</v>
      </c>
      <c r="J637" s="22" t="n">
        <v>1.58</v>
      </c>
      <c r="K637" s="9">
        <f>ROUND(H637*I637*J637, 2)</f>
        <v/>
      </c>
      <c r="L637" s="23">
        <f>ROUND(K637/1000, 3)</f>
        <v/>
      </c>
      <c r="M637" s="8" t="n"/>
      <c r="N637" s="6" t="n"/>
      <c r="O637" s="24">
        <f>IF(AND(E637&lt;=10, F637&lt;&gt;"ASTM A416", INT(P637/20)&gt;INT(P636/20)), "TN Ø10 (Lần " &amp; INT(P637/20) &amp; ")", IF(AND(E637=12, INT(Q637/20)&gt;INT(Q636/20)), "TN Ø12 (Lần " &amp; INT(Q637/20) &amp; ")", IF(AND(E637=14, INT(R637/20)&gt;INT(R636/20)), "TN Ø14 (Lần " &amp; INT(R637/20) &amp; ")", IF(AND(E637=16, INT(S637/20)&gt;INT(S636/20)), "TN Ø16 (Lần " &amp; INT(S637/20) &amp; ")", IF(AND(E637=18, INT(T637/20)&gt;INT(T636/20)), "TN Ø18 (Lần " &amp; INT(T637/20) &amp; ")", IF(AND(E637=20, INT(U637/20)&gt;INT(U636/20)), "TN Ø20 (Lần " &amp; INT(U637/20) &amp; ")", IF(AND(E637=22, INT(V637/20)&gt;INT(V636/20)), "TN Ø22 (Lần " &amp; INT(V637/20) &amp; ")", IF(AND(E637=25, INT(W637/20)&gt;INT(W636/20)), "TN Ø25 (Lần " &amp; INT(W637/20) &amp; ")", IF(AND(E637=28, INT(X637/20)&gt;INT(X636/20)), "TN Ø28 (Lần " &amp; INT(X637/20) &amp; ")", IF(AND(E637=32, INT(Y637/20)&gt;INT(Y636/20)), "TN Ø32 (Lần " &amp; INT(Y637/20) &amp; ")", IF(AND(F637="ASTM A416", INT(Z637/20)&gt;INT(Z636/20)), "TN Cáp 15.2 (Lần " &amp; INT(Z637/20) &amp; ")", "")))))))))))</f>
        <v/>
      </c>
      <c r="P637" s="20">
        <f>ROUND(P636 + IF(AND(E637&lt;=10, F637&lt;&gt;"ASTM A416"), L637, 0), 3)</f>
        <v/>
      </c>
      <c r="Q637" s="20">
        <f>ROUND(Q636 + IF(AND(E637=12, F637&lt;&gt;"ASTM A416"), L637, 0), 3)</f>
        <v/>
      </c>
      <c r="R637" s="20">
        <f>ROUND(R636 + IF(AND(E637=14, F637&lt;&gt;"ASTM A416"), L637, 0), 3)</f>
        <v/>
      </c>
      <c r="S637" s="20">
        <f>ROUND(S636 + IF(AND(E637=16, F637&lt;&gt;"ASTM A416"), L637, 0), 3)</f>
        <v/>
      </c>
      <c r="T637" s="20">
        <f>ROUND(T636 + IF(AND(E637=18, F637&lt;&gt;"ASTM A416"), L637, 0), 3)</f>
        <v/>
      </c>
      <c r="U637" s="20">
        <f>ROUND(U636 + IF(AND(E637=20, F637&lt;&gt;"ASTM A416"), L637, 0), 3)</f>
        <v/>
      </c>
      <c r="V637" s="20">
        <f>ROUND(V636 + IF(AND(E637=22, F637&lt;&gt;"ASTM A416"), L637, 0), 3)</f>
        <v/>
      </c>
      <c r="W637" s="20">
        <f>ROUND(W636 + IF(AND(E637=25, F637&lt;&gt;"ASTM A416"), L637, 0), 3)</f>
        <v/>
      </c>
      <c r="X637" s="20">
        <f>ROUND(X636 + IF(AND(E637=28, F637&lt;&gt;"ASTM A416"), L637, 0), 3)</f>
        <v/>
      </c>
      <c r="Y637" s="20">
        <f>ROUND(Y636 + IF(AND(E637=32, F637&lt;&gt;"ASTM A416"), L637, 0), 3)</f>
        <v/>
      </c>
      <c r="Z637" s="20">
        <f>ROUND(Z636 + IF(F637="ASTM A416", L637, 0), 3)</f>
        <v/>
      </c>
      <c r="AA637" s="11">
        <f>IF(INT(P637/20)&gt;INT(P636/20), "Lần " &amp; INT(P637/20), "")</f>
        <v/>
      </c>
      <c r="AB637" s="11">
        <f>IF(INT(Q637/20)&gt;INT(Q636/20), "Lần " &amp; INT(Q637/20), "")</f>
        <v/>
      </c>
      <c r="AC637" s="11">
        <f>IF(INT(R637/20)&gt;INT(R636/20), "Lần " &amp; INT(R637/20), "")</f>
        <v/>
      </c>
      <c r="AD637" s="11">
        <f>IF(INT(S637/20)&gt;INT(S636/20), "Lần " &amp; INT(S637/20), "")</f>
        <v/>
      </c>
      <c r="AE637" s="11">
        <f>IF(INT(T637/20)&gt;INT(T636/20), "Lần " &amp; INT(T637/20), "")</f>
        <v/>
      </c>
      <c r="AF637" s="11">
        <f>IF(INT(U637/20)&gt;INT(U636/20), "Lần " &amp; INT(U637/20), "")</f>
        <v/>
      </c>
      <c r="AG637" s="11">
        <f>IF(INT(V637/20)&gt;INT(V636/20), "Lần " &amp; INT(V637/20), "")</f>
        <v/>
      </c>
      <c r="AH637" s="11">
        <f>IF(INT(W637/20)&gt;INT(W636/20), "Lần " &amp; INT(W637/20), "")</f>
        <v/>
      </c>
      <c r="AI637" s="11">
        <f>IF(INT(X637/20)&gt;INT(X636/20), "Lần " &amp; INT(X637/20), "")</f>
        <v/>
      </c>
      <c r="AJ637" s="11">
        <f>IF(INT(Y637/20)&gt;INT(Y636/20), "Lần " &amp; INT(Y637/20), "")</f>
        <v/>
      </c>
      <c r="AK637" s="11">
        <f>IF(INT(Z637/20)&gt;INT(Z636/20), "Lần " &amp; INT(Z637/20), "")</f>
        <v/>
      </c>
      <c r="AL637" s="6" t="inlineStr">
        <is>
          <t>ĐẠT TCVN 1651:2018</t>
        </is>
      </c>
    </row>
    <row r="638" ht="19" customHeight="1">
      <c r="A638" s="6" t="n">
        <v>607</v>
      </c>
      <c r="B638" s="7" t="inlineStr">
        <is>
          <t>Trụ T1, T2 (Xà mũ trụ)</t>
        </is>
      </c>
      <c r="C638" s="7" t="inlineStr">
        <is>
          <t>Xà mũ trụ</t>
        </is>
      </c>
      <c r="D638" s="18" t="inlineStr">
        <is>
          <t>x4</t>
        </is>
      </c>
      <c r="E638" s="19" t="n">
        <v>28</v>
      </c>
      <c r="F638" s="6" t="inlineStr">
        <is>
          <t>CB400-V</t>
        </is>
      </c>
      <c r="G638" s="7" t="inlineStr">
        <is>
          <t>S41</t>
        </is>
      </c>
      <c r="H638" s="20" t="n">
        <v>13.68</v>
      </c>
      <c r="I638" s="21" t="n">
        <v>150</v>
      </c>
      <c r="J638" s="22" t="n">
        <v>4.83</v>
      </c>
      <c r="K638" s="9">
        <f>ROUND(H638*I638*J638, 2)</f>
        <v/>
      </c>
      <c r="L638" s="23">
        <f>ROUND(K638/1000, 3)</f>
        <v/>
      </c>
      <c r="M638" s="8" t="n"/>
      <c r="N638" s="6" t="n"/>
      <c r="O638" s="24">
        <f>IF(AND(E638&lt;=10, F638&lt;&gt;"ASTM A416", INT(P638/20)&gt;INT(P637/20)), "TN Ø10 (Lần " &amp; INT(P638/20) &amp; ")", IF(AND(E638=12, INT(Q638/20)&gt;INT(Q637/20)), "TN Ø12 (Lần " &amp; INT(Q638/20) &amp; ")", IF(AND(E638=14, INT(R638/20)&gt;INT(R637/20)), "TN Ø14 (Lần " &amp; INT(R638/20) &amp; ")", IF(AND(E638=16, INT(S638/20)&gt;INT(S637/20)), "TN Ø16 (Lần " &amp; INT(S638/20) &amp; ")", IF(AND(E638=18, INT(T638/20)&gt;INT(T637/20)), "TN Ø18 (Lần " &amp; INT(T638/20) &amp; ")", IF(AND(E638=20, INT(U638/20)&gt;INT(U637/20)), "TN Ø20 (Lần " &amp; INT(U638/20) &amp; ")", IF(AND(E638=22, INT(V638/20)&gt;INT(V637/20)), "TN Ø22 (Lần " &amp; INT(V638/20) &amp; ")", IF(AND(E638=25, INT(W638/20)&gt;INT(W637/20)), "TN Ø25 (Lần " &amp; INT(W638/20) &amp; ")", IF(AND(E638=28, INT(X638/20)&gt;INT(X637/20)), "TN Ø28 (Lần " &amp; INT(X638/20) &amp; ")", IF(AND(E638=32, INT(Y638/20)&gt;INT(Y637/20)), "TN Ø32 (Lần " &amp; INT(Y638/20) &amp; ")", IF(AND(F638="ASTM A416", INT(Z638/20)&gt;INT(Z637/20)), "TN Cáp 15.2 (Lần " &amp; INT(Z638/20) &amp; ")", "")))))))))))</f>
        <v/>
      </c>
      <c r="P638" s="20">
        <f>ROUND(P637 + IF(AND(E638&lt;=10, F638&lt;&gt;"ASTM A416"), L638, 0), 3)</f>
        <v/>
      </c>
      <c r="Q638" s="20">
        <f>ROUND(Q637 + IF(AND(E638=12, F638&lt;&gt;"ASTM A416"), L638, 0), 3)</f>
        <v/>
      </c>
      <c r="R638" s="20">
        <f>ROUND(R637 + IF(AND(E638=14, F638&lt;&gt;"ASTM A416"), L638, 0), 3)</f>
        <v/>
      </c>
      <c r="S638" s="20">
        <f>ROUND(S637 + IF(AND(E638=16, F638&lt;&gt;"ASTM A416"), L638, 0), 3)</f>
        <v/>
      </c>
      <c r="T638" s="20">
        <f>ROUND(T637 + IF(AND(E638=18, F638&lt;&gt;"ASTM A416"), L638, 0), 3)</f>
        <v/>
      </c>
      <c r="U638" s="20">
        <f>ROUND(U637 + IF(AND(E638=20, F638&lt;&gt;"ASTM A416"), L638, 0), 3)</f>
        <v/>
      </c>
      <c r="V638" s="20">
        <f>ROUND(V637 + IF(AND(E638=22, F638&lt;&gt;"ASTM A416"), L638, 0), 3)</f>
        <v/>
      </c>
      <c r="W638" s="20">
        <f>ROUND(W637 + IF(AND(E638=25, F638&lt;&gt;"ASTM A416"), L638, 0), 3)</f>
        <v/>
      </c>
      <c r="X638" s="20">
        <f>ROUND(X637 + IF(AND(E638=28, F638&lt;&gt;"ASTM A416"), L638, 0), 3)</f>
        <v/>
      </c>
      <c r="Y638" s="20">
        <f>ROUND(Y637 + IF(AND(E638=32, F638&lt;&gt;"ASTM A416"), L638, 0), 3)</f>
        <v/>
      </c>
      <c r="Z638" s="20">
        <f>ROUND(Z637 + IF(F638="ASTM A416", L638, 0), 3)</f>
        <v/>
      </c>
      <c r="AA638" s="11">
        <f>IF(INT(P638/20)&gt;INT(P637/20), "Lần " &amp; INT(P638/20), "")</f>
        <v/>
      </c>
      <c r="AB638" s="11">
        <f>IF(INT(Q638/20)&gt;INT(Q637/20), "Lần " &amp; INT(Q638/20), "")</f>
        <v/>
      </c>
      <c r="AC638" s="11">
        <f>IF(INT(R638/20)&gt;INT(R637/20), "Lần " &amp; INT(R638/20), "")</f>
        <v/>
      </c>
      <c r="AD638" s="11">
        <f>IF(INT(S638/20)&gt;INT(S637/20), "Lần " &amp; INT(S638/20), "")</f>
        <v/>
      </c>
      <c r="AE638" s="11">
        <f>IF(INT(T638/20)&gt;INT(T637/20), "Lần " &amp; INT(T638/20), "")</f>
        <v/>
      </c>
      <c r="AF638" s="11">
        <f>IF(INT(U638/20)&gt;INT(U637/20), "Lần " &amp; INT(U638/20), "")</f>
        <v/>
      </c>
      <c r="AG638" s="11">
        <f>IF(INT(V638/20)&gt;INT(V637/20), "Lần " &amp; INT(V638/20), "")</f>
        <v/>
      </c>
      <c r="AH638" s="11">
        <f>IF(INT(W638/20)&gt;INT(W637/20), "Lần " &amp; INT(W638/20), "")</f>
        <v/>
      </c>
      <c r="AI638" s="11">
        <f>IF(INT(X638/20)&gt;INT(X637/20), "Lần " &amp; INT(X638/20), "")</f>
        <v/>
      </c>
      <c r="AJ638" s="11">
        <f>IF(INT(Y638/20)&gt;INT(Y637/20), "Lần " &amp; INT(Y638/20), "")</f>
        <v/>
      </c>
      <c r="AK638" s="11">
        <f>IF(INT(Z638/20)&gt;INT(Z637/20), "Lần " &amp; INT(Z638/20), "")</f>
        <v/>
      </c>
      <c r="AL638" s="6" t="inlineStr">
        <is>
          <t>ĐẠT TCVN 1651:2018</t>
        </is>
      </c>
    </row>
    <row r="639" ht="19" customHeight="1">
      <c r="A639" s="6" t="n">
        <v>608</v>
      </c>
      <c r="B639" s="7" t="inlineStr">
        <is>
          <t>Trụ T1, T2 (Xà mũ trụ)</t>
        </is>
      </c>
      <c r="C639" s="7" t="inlineStr">
        <is>
          <t>Xà mũ trụ</t>
        </is>
      </c>
      <c r="D639" s="18" t="inlineStr">
        <is>
          <t>x4A</t>
        </is>
      </c>
      <c r="E639" s="19" t="n">
        <v>28</v>
      </c>
      <c r="F639" s="6" t="inlineStr">
        <is>
          <t>CB400-V</t>
        </is>
      </c>
      <c r="G639" s="7" t="inlineStr">
        <is>
          <t>S06</t>
        </is>
      </c>
      <c r="H639" s="20" t="n">
        <v>7.428</v>
      </c>
      <c r="I639" s="21" t="n">
        <v>316</v>
      </c>
      <c r="J639" s="22" t="n">
        <v>4.83</v>
      </c>
      <c r="K639" s="9">
        <f>ROUND(H639*I639*J639, 2)</f>
        <v/>
      </c>
      <c r="L639" s="23">
        <f>ROUND(K639/1000, 3)</f>
        <v/>
      </c>
      <c r="M639" s="8" t="n"/>
      <c r="N639" s="6" t="n"/>
      <c r="O639" s="24">
        <f>IF(AND(E639&lt;=10, F639&lt;&gt;"ASTM A416", INT(P639/20)&gt;INT(P638/20)), "TN Ø10 (Lần " &amp; INT(P639/20) &amp; ")", IF(AND(E639=12, INT(Q639/20)&gt;INT(Q638/20)), "TN Ø12 (Lần " &amp; INT(Q639/20) &amp; ")", IF(AND(E639=14, INT(R639/20)&gt;INT(R638/20)), "TN Ø14 (Lần " &amp; INT(R639/20) &amp; ")", IF(AND(E639=16, INT(S639/20)&gt;INT(S638/20)), "TN Ø16 (Lần " &amp; INT(S639/20) &amp; ")", IF(AND(E639=18, INT(T639/20)&gt;INT(T638/20)), "TN Ø18 (Lần " &amp; INT(T639/20) &amp; ")", IF(AND(E639=20, INT(U639/20)&gt;INT(U638/20)), "TN Ø20 (Lần " &amp; INT(U639/20) &amp; ")", IF(AND(E639=22, INT(V639/20)&gt;INT(V638/20)), "TN Ø22 (Lần " &amp; INT(V639/20) &amp; ")", IF(AND(E639=25, INT(W639/20)&gt;INT(W638/20)), "TN Ø25 (Lần " &amp; INT(W639/20) &amp; ")", IF(AND(E639=28, INT(X639/20)&gt;INT(X638/20)), "TN Ø28 (Lần " &amp; INT(X639/20) &amp; ")", IF(AND(E639=32, INT(Y639/20)&gt;INT(Y638/20)), "TN Ø32 (Lần " &amp; INT(Y639/20) &amp; ")", IF(AND(F639="ASTM A416", INT(Z639/20)&gt;INT(Z638/20)), "TN Cáp 15.2 (Lần " &amp; INT(Z639/20) &amp; ")", "")))))))))))</f>
        <v/>
      </c>
      <c r="P639" s="20">
        <f>ROUND(P638 + IF(AND(E639&lt;=10, F639&lt;&gt;"ASTM A416"), L639, 0), 3)</f>
        <v/>
      </c>
      <c r="Q639" s="20">
        <f>ROUND(Q638 + IF(AND(E639=12, F639&lt;&gt;"ASTM A416"), L639, 0), 3)</f>
        <v/>
      </c>
      <c r="R639" s="20">
        <f>ROUND(R638 + IF(AND(E639=14, F639&lt;&gt;"ASTM A416"), L639, 0), 3)</f>
        <v/>
      </c>
      <c r="S639" s="20">
        <f>ROUND(S638 + IF(AND(E639=16, F639&lt;&gt;"ASTM A416"), L639, 0), 3)</f>
        <v/>
      </c>
      <c r="T639" s="20">
        <f>ROUND(T638 + IF(AND(E639=18, F639&lt;&gt;"ASTM A416"), L639, 0), 3)</f>
        <v/>
      </c>
      <c r="U639" s="20">
        <f>ROUND(U638 + IF(AND(E639=20, F639&lt;&gt;"ASTM A416"), L639, 0), 3)</f>
        <v/>
      </c>
      <c r="V639" s="20">
        <f>ROUND(V638 + IF(AND(E639=22, F639&lt;&gt;"ASTM A416"), L639, 0), 3)</f>
        <v/>
      </c>
      <c r="W639" s="20">
        <f>ROUND(W638 + IF(AND(E639=25, F639&lt;&gt;"ASTM A416"), L639, 0), 3)</f>
        <v/>
      </c>
      <c r="X639" s="20">
        <f>ROUND(X638 + IF(AND(E639=28, F639&lt;&gt;"ASTM A416"), L639, 0), 3)</f>
        <v/>
      </c>
      <c r="Y639" s="20">
        <f>ROUND(Y638 + IF(AND(E639=32, F639&lt;&gt;"ASTM A416"), L639, 0), 3)</f>
        <v/>
      </c>
      <c r="Z639" s="20">
        <f>ROUND(Z638 + IF(F639="ASTM A416", L639, 0), 3)</f>
        <v/>
      </c>
      <c r="AA639" s="11">
        <f>IF(INT(P639/20)&gt;INT(P638/20), "Lần " &amp; INT(P639/20), "")</f>
        <v/>
      </c>
      <c r="AB639" s="11">
        <f>IF(INT(Q639/20)&gt;INT(Q638/20), "Lần " &amp; INT(Q639/20), "")</f>
        <v/>
      </c>
      <c r="AC639" s="11">
        <f>IF(INT(R639/20)&gt;INT(R638/20), "Lần " &amp; INT(R639/20), "")</f>
        <v/>
      </c>
      <c r="AD639" s="11">
        <f>IF(INT(S639/20)&gt;INT(S638/20), "Lần " &amp; INT(S639/20), "")</f>
        <v/>
      </c>
      <c r="AE639" s="11">
        <f>IF(INT(T639/20)&gt;INT(T638/20), "Lần " &amp; INT(T639/20), "")</f>
        <v/>
      </c>
      <c r="AF639" s="11">
        <f>IF(INT(U639/20)&gt;INT(U638/20), "Lần " &amp; INT(U639/20), "")</f>
        <v/>
      </c>
      <c r="AG639" s="11">
        <f>IF(INT(V639/20)&gt;INT(V638/20), "Lần " &amp; INT(V639/20), "")</f>
        <v/>
      </c>
      <c r="AH639" s="11">
        <f>IF(INT(W639/20)&gt;INT(W638/20), "Lần " &amp; INT(W639/20), "")</f>
        <v/>
      </c>
      <c r="AI639" s="11">
        <f>IF(INT(X639/20)&gt;INT(X638/20), "Lần " &amp; INT(X639/20), "")</f>
        <v/>
      </c>
      <c r="AJ639" s="11">
        <f>IF(INT(Y639/20)&gt;INT(Y638/20), "Lần " &amp; INT(Y639/20), "")</f>
        <v/>
      </c>
      <c r="AK639" s="11">
        <f>IF(INT(Z639/20)&gt;INT(Z638/20), "Lần " &amp; INT(Z639/20), "")</f>
        <v/>
      </c>
      <c r="AL639" s="6" t="inlineStr">
        <is>
          <t>ĐẠT TCVN 1651:2018</t>
        </is>
      </c>
    </row>
    <row r="640" ht="19" customHeight="1">
      <c r="A640" s="6" t="n">
        <v>609</v>
      </c>
      <c r="B640" s="7" t="inlineStr">
        <is>
          <t>Trụ T1, T2 (Xà mũ trụ)</t>
        </is>
      </c>
      <c r="C640" s="7" t="inlineStr">
        <is>
          <t>Xà mũ trụ</t>
        </is>
      </c>
      <c r="D640" s="18" t="inlineStr">
        <is>
          <t>x4b</t>
        </is>
      </c>
      <c r="E640" s="19" t="n">
        <v>28</v>
      </c>
      <c r="F640" s="6" t="inlineStr">
        <is>
          <t>CB400-V</t>
        </is>
      </c>
      <c r="G640" s="7" t="inlineStr">
        <is>
          <t>S41</t>
        </is>
      </c>
      <c r="H640" s="20" t="n">
        <v>13.451</v>
      </c>
      <c r="I640" s="21" t="n">
        <v>8</v>
      </c>
      <c r="J640" s="22" t="n">
        <v>4.83</v>
      </c>
      <c r="K640" s="9">
        <f>ROUND(H640*I640*J640, 2)</f>
        <v/>
      </c>
      <c r="L640" s="23">
        <f>ROUND(K640/1000, 3)</f>
        <v/>
      </c>
      <c r="M640" s="8" t="n"/>
      <c r="N640" s="6" t="n"/>
      <c r="O640" s="24">
        <f>IF(AND(E640&lt;=10, F640&lt;&gt;"ASTM A416", INT(P640/20)&gt;INT(P639/20)), "TN Ø10 (Lần " &amp; INT(P640/20) &amp; ")", IF(AND(E640=12, INT(Q640/20)&gt;INT(Q639/20)), "TN Ø12 (Lần " &amp; INT(Q640/20) &amp; ")", IF(AND(E640=14, INT(R640/20)&gt;INT(R639/20)), "TN Ø14 (Lần " &amp; INT(R640/20) &amp; ")", IF(AND(E640=16, INT(S640/20)&gt;INT(S639/20)), "TN Ø16 (Lần " &amp; INT(S640/20) &amp; ")", IF(AND(E640=18, INT(T640/20)&gt;INT(T639/20)), "TN Ø18 (Lần " &amp; INT(T640/20) &amp; ")", IF(AND(E640=20, INT(U640/20)&gt;INT(U639/20)), "TN Ø20 (Lần " &amp; INT(U640/20) &amp; ")", IF(AND(E640=22, INT(V640/20)&gt;INT(V639/20)), "TN Ø22 (Lần " &amp; INT(V640/20) &amp; ")", IF(AND(E640=25, INT(W640/20)&gt;INT(W639/20)), "TN Ø25 (Lần " &amp; INT(W640/20) &amp; ")", IF(AND(E640=28, INT(X640/20)&gt;INT(X639/20)), "TN Ø28 (Lần " &amp; INT(X640/20) &amp; ")", IF(AND(E640=32, INT(Y640/20)&gt;INT(Y639/20)), "TN Ø32 (Lần " &amp; INT(Y640/20) &amp; ")", IF(AND(F640="ASTM A416", INT(Z640/20)&gt;INT(Z639/20)), "TN Cáp 15.2 (Lần " &amp; INT(Z640/20) &amp; ")", "")))))))))))</f>
        <v/>
      </c>
      <c r="P640" s="20">
        <f>ROUND(P639 + IF(AND(E640&lt;=10, F640&lt;&gt;"ASTM A416"), L640, 0), 3)</f>
        <v/>
      </c>
      <c r="Q640" s="20">
        <f>ROUND(Q639 + IF(AND(E640=12, F640&lt;&gt;"ASTM A416"), L640, 0), 3)</f>
        <v/>
      </c>
      <c r="R640" s="20">
        <f>ROUND(R639 + IF(AND(E640=14, F640&lt;&gt;"ASTM A416"), L640, 0), 3)</f>
        <v/>
      </c>
      <c r="S640" s="20">
        <f>ROUND(S639 + IF(AND(E640=16, F640&lt;&gt;"ASTM A416"), L640, 0), 3)</f>
        <v/>
      </c>
      <c r="T640" s="20">
        <f>ROUND(T639 + IF(AND(E640=18, F640&lt;&gt;"ASTM A416"), L640, 0), 3)</f>
        <v/>
      </c>
      <c r="U640" s="20">
        <f>ROUND(U639 + IF(AND(E640=20, F640&lt;&gt;"ASTM A416"), L640, 0), 3)</f>
        <v/>
      </c>
      <c r="V640" s="20">
        <f>ROUND(V639 + IF(AND(E640=22, F640&lt;&gt;"ASTM A416"), L640, 0), 3)</f>
        <v/>
      </c>
      <c r="W640" s="20">
        <f>ROUND(W639 + IF(AND(E640=25, F640&lt;&gt;"ASTM A416"), L640, 0), 3)</f>
        <v/>
      </c>
      <c r="X640" s="20">
        <f>ROUND(X639 + IF(AND(E640=28, F640&lt;&gt;"ASTM A416"), L640, 0), 3)</f>
        <v/>
      </c>
      <c r="Y640" s="20">
        <f>ROUND(Y639 + IF(AND(E640=32, F640&lt;&gt;"ASTM A416"), L640, 0), 3)</f>
        <v/>
      </c>
      <c r="Z640" s="20">
        <f>ROUND(Z639 + IF(F640="ASTM A416", L640, 0), 3)</f>
        <v/>
      </c>
      <c r="AA640" s="11">
        <f>IF(INT(P640/20)&gt;INT(P639/20), "Lần " &amp; INT(P640/20), "")</f>
        <v/>
      </c>
      <c r="AB640" s="11">
        <f>IF(INT(Q640/20)&gt;INT(Q639/20), "Lần " &amp; INT(Q640/20), "")</f>
        <v/>
      </c>
      <c r="AC640" s="11">
        <f>IF(INT(R640/20)&gt;INT(R639/20), "Lần " &amp; INT(R640/20), "")</f>
        <v/>
      </c>
      <c r="AD640" s="11">
        <f>IF(INT(S640/20)&gt;INT(S639/20), "Lần " &amp; INT(S640/20), "")</f>
        <v/>
      </c>
      <c r="AE640" s="11">
        <f>IF(INT(T640/20)&gt;INT(T639/20), "Lần " &amp; INT(T640/20), "")</f>
        <v/>
      </c>
      <c r="AF640" s="11">
        <f>IF(INT(U640/20)&gt;INT(U639/20), "Lần " &amp; INT(U640/20), "")</f>
        <v/>
      </c>
      <c r="AG640" s="11">
        <f>IF(INT(V640/20)&gt;INT(V639/20), "Lần " &amp; INT(V640/20), "")</f>
        <v/>
      </c>
      <c r="AH640" s="11">
        <f>IF(INT(W640/20)&gt;INT(W639/20), "Lần " &amp; INT(W640/20), "")</f>
        <v/>
      </c>
      <c r="AI640" s="11">
        <f>IF(INT(X640/20)&gt;INT(X639/20), "Lần " &amp; INT(X640/20), "")</f>
        <v/>
      </c>
      <c r="AJ640" s="11">
        <f>IF(INT(Y640/20)&gt;INT(Y639/20), "Lần " &amp; INT(Y640/20), "")</f>
        <v/>
      </c>
      <c r="AK640" s="11">
        <f>IF(INT(Z640/20)&gt;INT(Z639/20), "Lần " &amp; INT(Z640/20), "")</f>
        <v/>
      </c>
      <c r="AL640" s="6" t="inlineStr">
        <is>
          <t>ĐẠT TCVN 1651:2018</t>
        </is>
      </c>
    </row>
    <row r="641" ht="19" customHeight="1">
      <c r="A641" s="6" t="n">
        <v>610</v>
      </c>
      <c r="B641" s="7" t="inlineStr">
        <is>
          <t>Trụ T1, T2 (Xà mũ trụ)</t>
        </is>
      </c>
      <c r="C641" s="7" t="inlineStr">
        <is>
          <t>Xà mũ trụ</t>
        </is>
      </c>
      <c r="D641" s="18" t="inlineStr">
        <is>
          <t>x5</t>
        </is>
      </c>
      <c r="E641" s="19" t="n">
        <v>25</v>
      </c>
      <c r="F641" s="6" t="inlineStr">
        <is>
          <t>CB400-V</t>
        </is>
      </c>
      <c r="G641" s="7" t="inlineStr">
        <is>
          <t>S06</t>
        </is>
      </c>
      <c r="H641" s="20" t="n">
        <v>9.975</v>
      </c>
      <c r="I641" s="21" t="n">
        <v>150</v>
      </c>
      <c r="J641" s="22" t="n">
        <v>3.85</v>
      </c>
      <c r="K641" s="9">
        <f>ROUND(H641*I641*J641, 2)</f>
        <v/>
      </c>
      <c r="L641" s="23">
        <f>ROUND(K641/1000, 3)</f>
        <v/>
      </c>
      <c r="M641" s="8" t="n"/>
      <c r="N641" s="6" t="n"/>
      <c r="O641" s="24">
        <f>IF(AND(E641&lt;=10, F641&lt;&gt;"ASTM A416", INT(P641/20)&gt;INT(P640/20)), "TN Ø10 (Lần " &amp; INT(P641/20) &amp; ")", IF(AND(E641=12, INT(Q641/20)&gt;INT(Q640/20)), "TN Ø12 (Lần " &amp; INT(Q641/20) &amp; ")", IF(AND(E641=14, INT(R641/20)&gt;INT(R640/20)), "TN Ø14 (Lần " &amp; INT(R641/20) &amp; ")", IF(AND(E641=16, INT(S641/20)&gt;INT(S640/20)), "TN Ø16 (Lần " &amp; INT(S641/20) &amp; ")", IF(AND(E641=18, INT(T641/20)&gt;INT(T640/20)), "TN Ø18 (Lần " &amp; INT(T641/20) &amp; ")", IF(AND(E641=20, INT(U641/20)&gt;INT(U640/20)), "TN Ø20 (Lần " &amp; INT(U641/20) &amp; ")", IF(AND(E641=22, INT(V641/20)&gt;INT(V640/20)), "TN Ø22 (Lần " &amp; INT(V641/20) &amp; ")", IF(AND(E641=25, INT(W641/20)&gt;INT(W640/20)), "TN Ø25 (Lần " &amp; INT(W641/20) &amp; ")", IF(AND(E641=28, INT(X641/20)&gt;INT(X640/20)), "TN Ø28 (Lần " &amp; INT(X641/20) &amp; ")", IF(AND(E641=32, INT(Y641/20)&gt;INT(Y640/20)), "TN Ø32 (Lần " &amp; INT(Y641/20) &amp; ")", IF(AND(F641="ASTM A416", INT(Z641/20)&gt;INT(Z640/20)), "TN Cáp 15.2 (Lần " &amp; INT(Z641/20) &amp; ")", "")))))))))))</f>
        <v/>
      </c>
      <c r="P641" s="20">
        <f>ROUND(P640 + IF(AND(E641&lt;=10, F641&lt;&gt;"ASTM A416"), L641, 0), 3)</f>
        <v/>
      </c>
      <c r="Q641" s="20">
        <f>ROUND(Q640 + IF(AND(E641=12, F641&lt;&gt;"ASTM A416"), L641, 0), 3)</f>
        <v/>
      </c>
      <c r="R641" s="20">
        <f>ROUND(R640 + IF(AND(E641=14, F641&lt;&gt;"ASTM A416"), L641, 0), 3)</f>
        <v/>
      </c>
      <c r="S641" s="20">
        <f>ROUND(S640 + IF(AND(E641=16, F641&lt;&gt;"ASTM A416"), L641, 0), 3)</f>
        <v/>
      </c>
      <c r="T641" s="20">
        <f>ROUND(T640 + IF(AND(E641=18, F641&lt;&gt;"ASTM A416"), L641, 0), 3)</f>
        <v/>
      </c>
      <c r="U641" s="20">
        <f>ROUND(U640 + IF(AND(E641=20, F641&lt;&gt;"ASTM A416"), L641, 0), 3)</f>
        <v/>
      </c>
      <c r="V641" s="20">
        <f>ROUND(V640 + IF(AND(E641=22, F641&lt;&gt;"ASTM A416"), L641, 0), 3)</f>
        <v/>
      </c>
      <c r="W641" s="20">
        <f>ROUND(W640 + IF(AND(E641=25, F641&lt;&gt;"ASTM A416"), L641, 0), 3)</f>
        <v/>
      </c>
      <c r="X641" s="20">
        <f>ROUND(X640 + IF(AND(E641=28, F641&lt;&gt;"ASTM A416"), L641, 0), 3)</f>
        <v/>
      </c>
      <c r="Y641" s="20">
        <f>ROUND(Y640 + IF(AND(E641=32, F641&lt;&gt;"ASTM A416"), L641, 0), 3)</f>
        <v/>
      </c>
      <c r="Z641" s="20">
        <f>ROUND(Z640 + IF(F641="ASTM A416", L641, 0), 3)</f>
        <v/>
      </c>
      <c r="AA641" s="11">
        <f>IF(INT(P641/20)&gt;INT(P640/20), "Lần " &amp; INT(P641/20), "")</f>
        <v/>
      </c>
      <c r="AB641" s="11">
        <f>IF(INT(Q641/20)&gt;INT(Q640/20), "Lần " &amp; INT(Q641/20), "")</f>
        <v/>
      </c>
      <c r="AC641" s="11">
        <f>IF(INT(R641/20)&gt;INT(R640/20), "Lần " &amp; INT(R641/20), "")</f>
        <v/>
      </c>
      <c r="AD641" s="11">
        <f>IF(INT(S641/20)&gt;INT(S640/20), "Lần " &amp; INT(S641/20), "")</f>
        <v/>
      </c>
      <c r="AE641" s="11">
        <f>IF(INT(T641/20)&gt;INT(T640/20), "Lần " &amp; INT(T641/20), "")</f>
        <v/>
      </c>
      <c r="AF641" s="11">
        <f>IF(INT(U641/20)&gt;INT(U640/20), "Lần " &amp; INT(U641/20), "")</f>
        <v/>
      </c>
      <c r="AG641" s="11">
        <f>IF(INT(V641/20)&gt;INT(V640/20), "Lần " &amp; INT(V641/20), "")</f>
        <v/>
      </c>
      <c r="AH641" s="11">
        <f>IF(INT(W641/20)&gt;INT(W640/20), "Lần " &amp; INT(W641/20), "")</f>
        <v/>
      </c>
      <c r="AI641" s="11">
        <f>IF(INT(X641/20)&gt;INT(X640/20), "Lần " &amp; INT(X641/20), "")</f>
        <v/>
      </c>
      <c r="AJ641" s="11">
        <f>IF(INT(Y641/20)&gt;INT(Y640/20), "Lần " &amp; INT(Y641/20), "")</f>
        <v/>
      </c>
      <c r="AK641" s="11">
        <f>IF(INT(Z641/20)&gt;INT(Z640/20), "Lần " &amp; INT(Z641/20), "")</f>
        <v/>
      </c>
      <c r="AL641" s="6" t="inlineStr">
        <is>
          <t>ĐẠT TCVN 1651:2018</t>
        </is>
      </c>
    </row>
    <row r="642" ht="19" customHeight="1">
      <c r="A642" s="6" t="n">
        <v>611</v>
      </c>
      <c r="B642" s="7" t="inlineStr">
        <is>
          <t>Trụ T1, T2 (Xà mũ trụ)</t>
        </is>
      </c>
      <c r="C642" s="7" t="inlineStr">
        <is>
          <t>Xà mũ trụ</t>
        </is>
      </c>
      <c r="D642" s="18" t="inlineStr">
        <is>
          <t>x5a</t>
        </is>
      </c>
      <c r="E642" s="19" t="n">
        <v>25</v>
      </c>
      <c r="F642" s="6" t="inlineStr">
        <is>
          <t>CB400-V</t>
        </is>
      </c>
      <c r="G642" s="7" t="inlineStr">
        <is>
          <t>S06</t>
        </is>
      </c>
      <c r="H642" s="20" t="n">
        <v>9.689</v>
      </c>
      <c r="I642" s="21" t="n">
        <v>8</v>
      </c>
      <c r="J642" s="22" t="n">
        <v>3.85</v>
      </c>
      <c r="K642" s="9">
        <f>ROUND(H642*I642*J642, 2)</f>
        <v/>
      </c>
      <c r="L642" s="23">
        <f>ROUND(K642/1000, 3)</f>
        <v/>
      </c>
      <c r="M642" s="8" t="n"/>
      <c r="N642" s="6" t="n"/>
      <c r="O642" s="24">
        <f>IF(AND(E642&lt;=10, F642&lt;&gt;"ASTM A416", INT(P642/20)&gt;INT(P641/20)), "TN Ø10 (Lần " &amp; INT(P642/20) &amp; ")", IF(AND(E642=12, INT(Q642/20)&gt;INT(Q641/20)), "TN Ø12 (Lần " &amp; INT(Q642/20) &amp; ")", IF(AND(E642=14, INT(R642/20)&gt;INT(R641/20)), "TN Ø14 (Lần " &amp; INT(R642/20) &amp; ")", IF(AND(E642=16, INT(S642/20)&gt;INT(S641/20)), "TN Ø16 (Lần " &amp; INT(S642/20) &amp; ")", IF(AND(E642=18, INT(T642/20)&gt;INT(T641/20)), "TN Ø18 (Lần " &amp; INT(T642/20) &amp; ")", IF(AND(E642=20, INT(U642/20)&gt;INT(U641/20)), "TN Ø20 (Lần " &amp; INT(U642/20) &amp; ")", IF(AND(E642=22, INT(V642/20)&gt;INT(V641/20)), "TN Ø22 (Lần " &amp; INT(V642/20) &amp; ")", IF(AND(E642=25, INT(W642/20)&gt;INT(W641/20)), "TN Ø25 (Lần " &amp; INT(W642/20) &amp; ")", IF(AND(E642=28, INT(X642/20)&gt;INT(X641/20)), "TN Ø28 (Lần " &amp; INT(X642/20) &amp; ")", IF(AND(E642=32, INT(Y642/20)&gt;INT(Y641/20)), "TN Ø32 (Lần " &amp; INT(Y642/20) &amp; ")", IF(AND(F642="ASTM A416", INT(Z642/20)&gt;INT(Z641/20)), "TN Cáp 15.2 (Lần " &amp; INT(Z642/20) &amp; ")", "")))))))))))</f>
        <v/>
      </c>
      <c r="P642" s="20">
        <f>ROUND(P641 + IF(AND(E642&lt;=10, F642&lt;&gt;"ASTM A416"), L642, 0), 3)</f>
        <v/>
      </c>
      <c r="Q642" s="20">
        <f>ROUND(Q641 + IF(AND(E642=12, F642&lt;&gt;"ASTM A416"), L642, 0), 3)</f>
        <v/>
      </c>
      <c r="R642" s="20">
        <f>ROUND(R641 + IF(AND(E642=14, F642&lt;&gt;"ASTM A416"), L642, 0), 3)</f>
        <v/>
      </c>
      <c r="S642" s="20">
        <f>ROUND(S641 + IF(AND(E642=16, F642&lt;&gt;"ASTM A416"), L642, 0), 3)</f>
        <v/>
      </c>
      <c r="T642" s="20">
        <f>ROUND(T641 + IF(AND(E642=18, F642&lt;&gt;"ASTM A416"), L642, 0), 3)</f>
        <v/>
      </c>
      <c r="U642" s="20">
        <f>ROUND(U641 + IF(AND(E642=20, F642&lt;&gt;"ASTM A416"), L642, 0), 3)</f>
        <v/>
      </c>
      <c r="V642" s="20">
        <f>ROUND(V641 + IF(AND(E642=22, F642&lt;&gt;"ASTM A416"), L642, 0), 3)</f>
        <v/>
      </c>
      <c r="W642" s="20">
        <f>ROUND(W641 + IF(AND(E642=25, F642&lt;&gt;"ASTM A416"), L642, 0), 3)</f>
        <v/>
      </c>
      <c r="X642" s="20">
        <f>ROUND(X641 + IF(AND(E642=28, F642&lt;&gt;"ASTM A416"), L642, 0), 3)</f>
        <v/>
      </c>
      <c r="Y642" s="20">
        <f>ROUND(Y641 + IF(AND(E642=32, F642&lt;&gt;"ASTM A416"), L642, 0), 3)</f>
        <v/>
      </c>
      <c r="Z642" s="20">
        <f>ROUND(Z641 + IF(F642="ASTM A416", L642, 0), 3)</f>
        <v/>
      </c>
      <c r="AA642" s="11">
        <f>IF(INT(P642/20)&gt;INT(P641/20), "Lần " &amp; INT(P642/20), "")</f>
        <v/>
      </c>
      <c r="AB642" s="11">
        <f>IF(INT(Q642/20)&gt;INT(Q641/20), "Lần " &amp; INT(Q642/20), "")</f>
        <v/>
      </c>
      <c r="AC642" s="11">
        <f>IF(INT(R642/20)&gt;INT(R641/20), "Lần " &amp; INT(R642/20), "")</f>
        <v/>
      </c>
      <c r="AD642" s="11">
        <f>IF(INT(S642/20)&gt;INT(S641/20), "Lần " &amp; INT(S642/20), "")</f>
        <v/>
      </c>
      <c r="AE642" s="11">
        <f>IF(INT(T642/20)&gt;INT(T641/20), "Lần " &amp; INT(T642/20), "")</f>
        <v/>
      </c>
      <c r="AF642" s="11">
        <f>IF(INT(U642/20)&gt;INT(U641/20), "Lần " &amp; INT(U642/20), "")</f>
        <v/>
      </c>
      <c r="AG642" s="11">
        <f>IF(INT(V642/20)&gt;INT(V641/20), "Lần " &amp; INT(V642/20), "")</f>
        <v/>
      </c>
      <c r="AH642" s="11">
        <f>IF(INT(W642/20)&gt;INT(W641/20), "Lần " &amp; INT(W642/20), "")</f>
        <v/>
      </c>
      <c r="AI642" s="11">
        <f>IF(INT(X642/20)&gt;INT(X641/20), "Lần " &amp; INT(X642/20), "")</f>
        <v/>
      </c>
      <c r="AJ642" s="11">
        <f>IF(INT(Y642/20)&gt;INT(Y641/20), "Lần " &amp; INT(Y642/20), "")</f>
        <v/>
      </c>
      <c r="AK642" s="11">
        <f>IF(INT(Z642/20)&gt;INT(Z641/20), "Lần " &amp; INT(Z642/20), "")</f>
        <v/>
      </c>
      <c r="AL642" s="6" t="inlineStr">
        <is>
          <t>ĐẠT TCVN 1651:2018</t>
        </is>
      </c>
    </row>
    <row r="643" ht="19" customHeight="1">
      <c r="A643" s="6" t="n">
        <v>612</v>
      </c>
      <c r="B643" s="7" t="inlineStr">
        <is>
          <t>Trụ T1, T2 (Xà mũ trụ)</t>
        </is>
      </c>
      <c r="C643" s="7" t="inlineStr">
        <is>
          <t>Xà mũ trụ</t>
        </is>
      </c>
      <c r="D643" s="18" t="inlineStr">
        <is>
          <t>x6</t>
        </is>
      </c>
      <c r="E643" s="19" t="n">
        <v>20</v>
      </c>
      <c r="F643" s="6" t="inlineStr">
        <is>
          <t>CB400-V</t>
        </is>
      </c>
      <c r="G643" s="7" t="inlineStr">
        <is>
          <t>S51</t>
        </is>
      </c>
      <c r="H643" s="20" t="n">
        <v>6.9</v>
      </c>
      <c r="I643" s="21" t="n">
        <v>790</v>
      </c>
      <c r="J643" s="22" t="n">
        <v>2.47</v>
      </c>
      <c r="K643" s="9">
        <f>ROUND(H643*I643*J643, 2)</f>
        <v/>
      </c>
      <c r="L643" s="23">
        <f>ROUND(K643/1000, 3)</f>
        <v/>
      </c>
      <c r="M643" s="8" t="n"/>
      <c r="N643" s="6" t="n"/>
      <c r="O643" s="24">
        <f>IF(AND(E643&lt;=10, F643&lt;&gt;"ASTM A416", INT(P643/20)&gt;INT(P642/20)), "TN Ø10 (Lần " &amp; INT(P643/20) &amp; ")", IF(AND(E643=12, INT(Q643/20)&gt;INT(Q642/20)), "TN Ø12 (Lần " &amp; INT(Q643/20) &amp; ")", IF(AND(E643=14, INT(R643/20)&gt;INT(R642/20)), "TN Ø14 (Lần " &amp; INT(R643/20) &amp; ")", IF(AND(E643=16, INT(S643/20)&gt;INT(S642/20)), "TN Ø16 (Lần " &amp; INT(S643/20) &amp; ")", IF(AND(E643=18, INT(T643/20)&gt;INT(T642/20)), "TN Ø18 (Lần " &amp; INT(T643/20) &amp; ")", IF(AND(E643=20, INT(U643/20)&gt;INT(U642/20)), "TN Ø20 (Lần " &amp; INT(U643/20) &amp; ")", IF(AND(E643=22, INT(V643/20)&gt;INT(V642/20)), "TN Ø22 (Lần " &amp; INT(V643/20) &amp; ")", IF(AND(E643=25, INT(W643/20)&gt;INT(W642/20)), "TN Ø25 (Lần " &amp; INT(W643/20) &amp; ")", IF(AND(E643=28, INT(X643/20)&gt;INT(X642/20)), "TN Ø28 (Lần " &amp; INT(X643/20) &amp; ")", IF(AND(E643=32, INT(Y643/20)&gt;INT(Y642/20)), "TN Ø32 (Lần " &amp; INT(Y643/20) &amp; ")", IF(AND(F643="ASTM A416", INT(Z643/20)&gt;INT(Z642/20)), "TN Cáp 15.2 (Lần " &amp; INT(Z643/20) &amp; ")", "")))))))))))</f>
        <v/>
      </c>
      <c r="P643" s="20">
        <f>ROUND(P642 + IF(AND(E643&lt;=10, F643&lt;&gt;"ASTM A416"), L643, 0), 3)</f>
        <v/>
      </c>
      <c r="Q643" s="20">
        <f>ROUND(Q642 + IF(AND(E643=12, F643&lt;&gt;"ASTM A416"), L643, 0), 3)</f>
        <v/>
      </c>
      <c r="R643" s="20">
        <f>ROUND(R642 + IF(AND(E643=14, F643&lt;&gt;"ASTM A416"), L643, 0), 3)</f>
        <v/>
      </c>
      <c r="S643" s="20">
        <f>ROUND(S642 + IF(AND(E643=16, F643&lt;&gt;"ASTM A416"), L643, 0), 3)</f>
        <v/>
      </c>
      <c r="T643" s="20">
        <f>ROUND(T642 + IF(AND(E643=18, F643&lt;&gt;"ASTM A416"), L643, 0), 3)</f>
        <v/>
      </c>
      <c r="U643" s="20">
        <f>ROUND(U642 + IF(AND(E643=20, F643&lt;&gt;"ASTM A416"), L643, 0), 3)</f>
        <v/>
      </c>
      <c r="V643" s="20">
        <f>ROUND(V642 + IF(AND(E643=22, F643&lt;&gt;"ASTM A416"), L643, 0), 3)</f>
        <v/>
      </c>
      <c r="W643" s="20">
        <f>ROUND(W642 + IF(AND(E643=25, F643&lt;&gt;"ASTM A416"), L643, 0), 3)</f>
        <v/>
      </c>
      <c r="X643" s="20">
        <f>ROUND(X642 + IF(AND(E643=28, F643&lt;&gt;"ASTM A416"), L643, 0), 3)</f>
        <v/>
      </c>
      <c r="Y643" s="20">
        <f>ROUND(Y642 + IF(AND(E643=32, F643&lt;&gt;"ASTM A416"), L643, 0), 3)</f>
        <v/>
      </c>
      <c r="Z643" s="20">
        <f>ROUND(Z642 + IF(F643="ASTM A416", L643, 0), 3)</f>
        <v/>
      </c>
      <c r="AA643" s="11">
        <f>IF(INT(P643/20)&gt;INT(P642/20), "Lần " &amp; INT(P643/20), "")</f>
        <v/>
      </c>
      <c r="AB643" s="11">
        <f>IF(INT(Q643/20)&gt;INT(Q642/20), "Lần " &amp; INT(Q643/20), "")</f>
        <v/>
      </c>
      <c r="AC643" s="11">
        <f>IF(INT(R643/20)&gt;INT(R642/20), "Lần " &amp; INT(R643/20), "")</f>
        <v/>
      </c>
      <c r="AD643" s="11">
        <f>IF(INT(S643/20)&gt;INT(S642/20), "Lần " &amp; INT(S643/20), "")</f>
        <v/>
      </c>
      <c r="AE643" s="11">
        <f>IF(INT(T643/20)&gt;INT(T642/20), "Lần " &amp; INT(T643/20), "")</f>
        <v/>
      </c>
      <c r="AF643" s="11">
        <f>IF(INT(U643/20)&gt;INT(U642/20), "Lần " &amp; INT(U643/20), "")</f>
        <v/>
      </c>
      <c r="AG643" s="11">
        <f>IF(INT(V643/20)&gt;INT(V642/20), "Lần " &amp; INT(V643/20), "")</f>
        <v/>
      </c>
      <c r="AH643" s="11">
        <f>IF(INT(W643/20)&gt;INT(W642/20), "Lần " &amp; INT(W643/20), "")</f>
        <v/>
      </c>
      <c r="AI643" s="11">
        <f>IF(INT(X643/20)&gt;INT(X642/20), "Lần " &amp; INT(X643/20), "")</f>
        <v/>
      </c>
      <c r="AJ643" s="11">
        <f>IF(INT(Y643/20)&gt;INT(Y642/20), "Lần " &amp; INT(Y643/20), "")</f>
        <v/>
      </c>
      <c r="AK643" s="11">
        <f>IF(INT(Z643/20)&gt;INT(Z642/20), "Lần " &amp; INT(Z643/20), "")</f>
        <v/>
      </c>
      <c r="AL643" s="6" t="inlineStr">
        <is>
          <t>ĐẠT TCVN 1651:2018</t>
        </is>
      </c>
    </row>
    <row r="644" ht="19" customHeight="1">
      <c r="A644" s="6" t="n">
        <v>613</v>
      </c>
      <c r="B644" s="7" t="inlineStr">
        <is>
          <t>Trụ T1, T2 (Xà mũ trụ)</t>
        </is>
      </c>
      <c r="C644" s="7" t="inlineStr">
        <is>
          <t>Xà mũ trụ</t>
        </is>
      </c>
      <c r="D644" s="18" t="inlineStr">
        <is>
          <t>x6a</t>
        </is>
      </c>
      <c r="E644" s="19" t="n">
        <v>20</v>
      </c>
      <c r="F644" s="6" t="inlineStr">
        <is>
          <t>CB400-V</t>
        </is>
      </c>
      <c r="G644" s="7" t="inlineStr">
        <is>
          <t>S51</t>
        </is>
      </c>
      <c r="H644" s="20" t="n">
        <v>3.2</v>
      </c>
      <c r="I644" s="21" t="n">
        <v>316</v>
      </c>
      <c r="J644" s="22" t="n">
        <v>2.47</v>
      </c>
      <c r="K644" s="9">
        <f>ROUND(H644*I644*J644, 2)</f>
        <v/>
      </c>
      <c r="L644" s="23">
        <f>ROUND(K644/1000, 3)</f>
        <v/>
      </c>
      <c r="M644" s="8" t="n"/>
      <c r="N644" s="6" t="n"/>
      <c r="O644" s="24">
        <f>IF(AND(E644&lt;=10, F644&lt;&gt;"ASTM A416", INT(P644/20)&gt;INT(P643/20)), "TN Ø10 (Lần " &amp; INT(P644/20) &amp; ")", IF(AND(E644=12, INT(Q644/20)&gt;INT(Q643/20)), "TN Ø12 (Lần " &amp; INT(Q644/20) &amp; ")", IF(AND(E644=14, INT(R644/20)&gt;INT(R643/20)), "TN Ø14 (Lần " &amp; INT(R644/20) &amp; ")", IF(AND(E644=16, INT(S644/20)&gt;INT(S643/20)), "TN Ø16 (Lần " &amp; INT(S644/20) &amp; ")", IF(AND(E644=18, INT(T644/20)&gt;INT(T643/20)), "TN Ø18 (Lần " &amp; INT(T644/20) &amp; ")", IF(AND(E644=20, INT(U644/20)&gt;INT(U643/20)), "TN Ø20 (Lần " &amp; INT(U644/20) &amp; ")", IF(AND(E644=22, INT(V644/20)&gt;INT(V643/20)), "TN Ø22 (Lần " &amp; INT(V644/20) &amp; ")", IF(AND(E644=25, INT(W644/20)&gt;INT(W643/20)), "TN Ø25 (Lần " &amp; INT(W644/20) &amp; ")", IF(AND(E644=28, INT(X644/20)&gt;INT(X643/20)), "TN Ø28 (Lần " &amp; INT(X644/20) &amp; ")", IF(AND(E644=32, INT(Y644/20)&gt;INT(Y643/20)), "TN Ø32 (Lần " &amp; INT(Y644/20) &amp; ")", IF(AND(F644="ASTM A416", INT(Z644/20)&gt;INT(Z643/20)), "TN Cáp 15.2 (Lần " &amp; INT(Z644/20) &amp; ")", "")))))))))))</f>
        <v/>
      </c>
      <c r="P644" s="20">
        <f>ROUND(P643 + IF(AND(E644&lt;=10, F644&lt;&gt;"ASTM A416"), L644, 0), 3)</f>
        <v/>
      </c>
      <c r="Q644" s="20">
        <f>ROUND(Q643 + IF(AND(E644=12, F644&lt;&gt;"ASTM A416"), L644, 0), 3)</f>
        <v/>
      </c>
      <c r="R644" s="20">
        <f>ROUND(R643 + IF(AND(E644=14, F644&lt;&gt;"ASTM A416"), L644, 0), 3)</f>
        <v/>
      </c>
      <c r="S644" s="20">
        <f>ROUND(S643 + IF(AND(E644=16, F644&lt;&gt;"ASTM A416"), L644, 0), 3)</f>
        <v/>
      </c>
      <c r="T644" s="20">
        <f>ROUND(T643 + IF(AND(E644=18, F644&lt;&gt;"ASTM A416"), L644, 0), 3)</f>
        <v/>
      </c>
      <c r="U644" s="20">
        <f>ROUND(U643 + IF(AND(E644=20, F644&lt;&gt;"ASTM A416"), L644, 0), 3)</f>
        <v/>
      </c>
      <c r="V644" s="20">
        <f>ROUND(V643 + IF(AND(E644=22, F644&lt;&gt;"ASTM A416"), L644, 0), 3)</f>
        <v/>
      </c>
      <c r="W644" s="20">
        <f>ROUND(W643 + IF(AND(E644=25, F644&lt;&gt;"ASTM A416"), L644, 0), 3)</f>
        <v/>
      </c>
      <c r="X644" s="20">
        <f>ROUND(X643 + IF(AND(E644=28, F644&lt;&gt;"ASTM A416"), L644, 0), 3)</f>
        <v/>
      </c>
      <c r="Y644" s="20">
        <f>ROUND(Y643 + IF(AND(E644=32, F644&lt;&gt;"ASTM A416"), L644, 0), 3)</f>
        <v/>
      </c>
      <c r="Z644" s="20">
        <f>ROUND(Z643 + IF(F644="ASTM A416", L644, 0), 3)</f>
        <v/>
      </c>
      <c r="AA644" s="11">
        <f>IF(INT(P644/20)&gt;INT(P643/20), "Lần " &amp; INT(P644/20), "")</f>
        <v/>
      </c>
      <c r="AB644" s="11">
        <f>IF(INT(Q644/20)&gt;INT(Q643/20), "Lần " &amp; INT(Q644/20), "")</f>
        <v/>
      </c>
      <c r="AC644" s="11">
        <f>IF(INT(R644/20)&gt;INT(R643/20), "Lần " &amp; INT(R644/20), "")</f>
        <v/>
      </c>
      <c r="AD644" s="11">
        <f>IF(INT(S644/20)&gt;INT(S643/20), "Lần " &amp; INT(S644/20), "")</f>
        <v/>
      </c>
      <c r="AE644" s="11">
        <f>IF(INT(T644/20)&gt;INT(T643/20), "Lần " &amp; INT(T644/20), "")</f>
        <v/>
      </c>
      <c r="AF644" s="11">
        <f>IF(INT(U644/20)&gt;INT(U643/20), "Lần " &amp; INT(U644/20), "")</f>
        <v/>
      </c>
      <c r="AG644" s="11">
        <f>IF(INT(V644/20)&gt;INT(V643/20), "Lần " &amp; INT(V644/20), "")</f>
        <v/>
      </c>
      <c r="AH644" s="11">
        <f>IF(INT(W644/20)&gt;INT(W643/20), "Lần " &amp; INT(W644/20), "")</f>
        <v/>
      </c>
      <c r="AI644" s="11">
        <f>IF(INT(X644/20)&gt;INT(X643/20), "Lần " &amp; INT(X644/20), "")</f>
        <v/>
      </c>
      <c r="AJ644" s="11">
        <f>IF(INT(Y644/20)&gt;INT(Y643/20), "Lần " &amp; INT(Y644/20), "")</f>
        <v/>
      </c>
      <c r="AK644" s="11">
        <f>IF(INT(Z644/20)&gt;INT(Z643/20), "Lần " &amp; INT(Z644/20), "")</f>
        <v/>
      </c>
      <c r="AL644" s="6" t="inlineStr">
        <is>
          <t>ĐẠT TCVN 1651:2018</t>
        </is>
      </c>
    </row>
    <row r="645" ht="19" customHeight="1">
      <c r="A645" s="6" t="n">
        <v>614</v>
      </c>
      <c r="B645" s="7" t="inlineStr">
        <is>
          <t>Trụ T1, T2 (Xà mũ trụ)</t>
        </is>
      </c>
      <c r="C645" s="7" t="inlineStr">
        <is>
          <t>Xà mũ trụ</t>
        </is>
      </c>
      <c r="D645" s="18" t="inlineStr">
        <is>
          <t>x7</t>
        </is>
      </c>
      <c r="E645" s="19" t="n">
        <v>28</v>
      </c>
      <c r="F645" s="6" t="inlineStr">
        <is>
          <t>CB400-V</t>
        </is>
      </c>
      <c r="G645" s="7" t="inlineStr">
        <is>
          <t>S06</t>
        </is>
      </c>
      <c r="H645" s="20" t="n">
        <v>2.748</v>
      </c>
      <c r="I645" s="21" t="n">
        <v>316</v>
      </c>
      <c r="J645" s="22" t="n">
        <v>4.83</v>
      </c>
      <c r="K645" s="9">
        <f>ROUND(H645*I645*J645, 2)</f>
        <v/>
      </c>
      <c r="L645" s="23">
        <f>ROUND(K645/1000, 3)</f>
        <v/>
      </c>
      <c r="M645" s="8" t="n"/>
      <c r="N645" s="6" t="n"/>
      <c r="O645" s="24">
        <f>IF(AND(E645&lt;=10, F645&lt;&gt;"ASTM A416", INT(P645/20)&gt;INT(P644/20)), "TN Ø10 (Lần " &amp; INT(P645/20) &amp; ")", IF(AND(E645=12, INT(Q645/20)&gt;INT(Q644/20)), "TN Ø12 (Lần " &amp; INT(Q645/20) &amp; ")", IF(AND(E645=14, INT(R645/20)&gt;INT(R644/20)), "TN Ø14 (Lần " &amp; INT(R645/20) &amp; ")", IF(AND(E645=16, INT(S645/20)&gt;INT(S644/20)), "TN Ø16 (Lần " &amp; INT(S645/20) &amp; ")", IF(AND(E645=18, INT(T645/20)&gt;INT(T644/20)), "TN Ø18 (Lần " &amp; INT(T645/20) &amp; ")", IF(AND(E645=20, INT(U645/20)&gt;INT(U644/20)), "TN Ø20 (Lần " &amp; INT(U645/20) &amp; ")", IF(AND(E645=22, INT(V645/20)&gt;INT(V644/20)), "TN Ø22 (Lần " &amp; INT(V645/20) &amp; ")", IF(AND(E645=25, INT(W645/20)&gt;INT(W644/20)), "TN Ø25 (Lần " &amp; INT(W645/20) &amp; ")", IF(AND(E645=28, INT(X645/20)&gt;INT(X644/20)), "TN Ø28 (Lần " &amp; INT(X645/20) &amp; ")", IF(AND(E645=32, INT(Y645/20)&gt;INT(Y644/20)), "TN Ø32 (Lần " &amp; INT(Y645/20) &amp; ")", IF(AND(F645="ASTM A416", INT(Z645/20)&gt;INT(Z644/20)), "TN Cáp 15.2 (Lần " &amp; INT(Z645/20) &amp; ")", "")))))))))))</f>
        <v/>
      </c>
      <c r="P645" s="20">
        <f>ROUND(P644 + IF(AND(E645&lt;=10, F645&lt;&gt;"ASTM A416"), L645, 0), 3)</f>
        <v/>
      </c>
      <c r="Q645" s="20">
        <f>ROUND(Q644 + IF(AND(E645=12, F645&lt;&gt;"ASTM A416"), L645, 0), 3)</f>
        <v/>
      </c>
      <c r="R645" s="20">
        <f>ROUND(R644 + IF(AND(E645=14, F645&lt;&gt;"ASTM A416"), L645, 0), 3)</f>
        <v/>
      </c>
      <c r="S645" s="20">
        <f>ROUND(S644 + IF(AND(E645=16, F645&lt;&gt;"ASTM A416"), L645, 0), 3)</f>
        <v/>
      </c>
      <c r="T645" s="20">
        <f>ROUND(T644 + IF(AND(E645=18, F645&lt;&gt;"ASTM A416"), L645, 0), 3)</f>
        <v/>
      </c>
      <c r="U645" s="20">
        <f>ROUND(U644 + IF(AND(E645=20, F645&lt;&gt;"ASTM A416"), L645, 0), 3)</f>
        <v/>
      </c>
      <c r="V645" s="20">
        <f>ROUND(V644 + IF(AND(E645=22, F645&lt;&gt;"ASTM A416"), L645, 0), 3)</f>
        <v/>
      </c>
      <c r="W645" s="20">
        <f>ROUND(W644 + IF(AND(E645=25, F645&lt;&gt;"ASTM A416"), L645, 0), 3)</f>
        <v/>
      </c>
      <c r="X645" s="20">
        <f>ROUND(X644 + IF(AND(E645=28, F645&lt;&gt;"ASTM A416"), L645, 0), 3)</f>
        <v/>
      </c>
      <c r="Y645" s="20">
        <f>ROUND(Y644 + IF(AND(E645=32, F645&lt;&gt;"ASTM A416"), L645, 0), 3)</f>
        <v/>
      </c>
      <c r="Z645" s="20">
        <f>ROUND(Z644 + IF(F645="ASTM A416", L645, 0), 3)</f>
        <v/>
      </c>
      <c r="AA645" s="11">
        <f>IF(INT(P645/20)&gt;INT(P644/20), "Lần " &amp; INT(P645/20), "")</f>
        <v/>
      </c>
      <c r="AB645" s="11">
        <f>IF(INT(Q645/20)&gt;INT(Q644/20), "Lần " &amp; INT(Q645/20), "")</f>
        <v/>
      </c>
      <c r="AC645" s="11">
        <f>IF(INT(R645/20)&gt;INT(R644/20), "Lần " &amp; INT(R645/20), "")</f>
        <v/>
      </c>
      <c r="AD645" s="11">
        <f>IF(INT(S645/20)&gt;INT(S644/20), "Lần " &amp; INT(S645/20), "")</f>
        <v/>
      </c>
      <c r="AE645" s="11">
        <f>IF(INT(T645/20)&gt;INT(T644/20), "Lần " &amp; INT(T645/20), "")</f>
        <v/>
      </c>
      <c r="AF645" s="11">
        <f>IF(INT(U645/20)&gt;INT(U644/20), "Lần " &amp; INT(U645/20), "")</f>
        <v/>
      </c>
      <c r="AG645" s="11">
        <f>IF(INT(V645/20)&gt;INT(V644/20), "Lần " &amp; INT(V645/20), "")</f>
        <v/>
      </c>
      <c r="AH645" s="11">
        <f>IF(INT(W645/20)&gt;INT(W644/20), "Lần " &amp; INT(W645/20), "")</f>
        <v/>
      </c>
      <c r="AI645" s="11">
        <f>IF(INT(X645/20)&gt;INT(X644/20), "Lần " &amp; INT(X645/20), "")</f>
        <v/>
      </c>
      <c r="AJ645" s="11">
        <f>IF(INT(Y645/20)&gt;INT(Y644/20), "Lần " &amp; INT(Y645/20), "")</f>
        <v/>
      </c>
      <c r="AK645" s="11">
        <f>IF(INT(Z645/20)&gt;INT(Z644/20), "Lần " &amp; INT(Z645/20), "")</f>
        <v/>
      </c>
      <c r="AL645" s="6" t="inlineStr">
        <is>
          <t>ĐẠT TCVN 1651:2018</t>
        </is>
      </c>
    </row>
    <row r="646" ht="19" customHeight="1">
      <c r="A646" s="6" t="n">
        <v>615</v>
      </c>
      <c r="B646" s="7" t="inlineStr">
        <is>
          <t>Trụ T1, T2 (Xà mũ trụ)</t>
        </is>
      </c>
      <c r="C646" s="7" t="inlineStr">
        <is>
          <t>Xà mũ trụ</t>
        </is>
      </c>
      <c r="D646" s="18" t="inlineStr">
        <is>
          <t>x7a</t>
        </is>
      </c>
      <c r="E646" s="19" t="n">
        <v>28</v>
      </c>
      <c r="F646" s="6" t="inlineStr">
        <is>
          <t>CB400-V</t>
        </is>
      </c>
      <c r="G646" s="7" t="inlineStr">
        <is>
          <t>S01</t>
        </is>
      </c>
      <c r="H646" s="20" t="n">
        <v>2.02</v>
      </c>
      <c r="I646" s="21" t="n">
        <v>316</v>
      </c>
      <c r="J646" s="22" t="n">
        <v>4.83</v>
      </c>
      <c r="K646" s="9">
        <f>ROUND(H646*I646*J646, 2)</f>
        <v/>
      </c>
      <c r="L646" s="23">
        <f>ROUND(K646/1000, 3)</f>
        <v/>
      </c>
      <c r="M646" s="8" t="n"/>
      <c r="N646" s="6" t="n"/>
      <c r="O646" s="24">
        <f>IF(AND(E646&lt;=10, F646&lt;&gt;"ASTM A416", INT(P646/20)&gt;INT(P645/20)), "TN Ø10 (Lần " &amp; INT(P646/20) &amp; ")", IF(AND(E646=12, INT(Q646/20)&gt;INT(Q645/20)), "TN Ø12 (Lần " &amp; INT(Q646/20) &amp; ")", IF(AND(E646=14, INT(R646/20)&gt;INT(R645/20)), "TN Ø14 (Lần " &amp; INT(R646/20) &amp; ")", IF(AND(E646=16, INT(S646/20)&gt;INT(S645/20)), "TN Ø16 (Lần " &amp; INT(S646/20) &amp; ")", IF(AND(E646=18, INT(T646/20)&gt;INT(T645/20)), "TN Ø18 (Lần " &amp; INT(T646/20) &amp; ")", IF(AND(E646=20, INT(U646/20)&gt;INT(U645/20)), "TN Ø20 (Lần " &amp; INT(U646/20) &amp; ")", IF(AND(E646=22, INT(V646/20)&gt;INT(V645/20)), "TN Ø22 (Lần " &amp; INT(V646/20) &amp; ")", IF(AND(E646=25, INT(W646/20)&gt;INT(W645/20)), "TN Ø25 (Lần " &amp; INT(W646/20) &amp; ")", IF(AND(E646=28, INT(X646/20)&gt;INT(X645/20)), "TN Ø28 (Lần " &amp; INT(X646/20) &amp; ")", IF(AND(E646=32, INT(Y646/20)&gt;INT(Y645/20)), "TN Ø32 (Lần " &amp; INT(Y646/20) &amp; ")", IF(AND(F646="ASTM A416", INT(Z646/20)&gt;INT(Z645/20)), "TN Cáp 15.2 (Lần " &amp; INT(Z646/20) &amp; ")", "")))))))))))</f>
        <v/>
      </c>
      <c r="P646" s="20">
        <f>ROUND(P645 + IF(AND(E646&lt;=10, F646&lt;&gt;"ASTM A416"), L646, 0), 3)</f>
        <v/>
      </c>
      <c r="Q646" s="20">
        <f>ROUND(Q645 + IF(AND(E646=12, F646&lt;&gt;"ASTM A416"), L646, 0), 3)</f>
        <v/>
      </c>
      <c r="R646" s="20">
        <f>ROUND(R645 + IF(AND(E646=14, F646&lt;&gt;"ASTM A416"), L646, 0), 3)</f>
        <v/>
      </c>
      <c r="S646" s="20">
        <f>ROUND(S645 + IF(AND(E646=16, F646&lt;&gt;"ASTM A416"), L646, 0), 3)</f>
        <v/>
      </c>
      <c r="T646" s="20">
        <f>ROUND(T645 + IF(AND(E646=18, F646&lt;&gt;"ASTM A416"), L646, 0), 3)</f>
        <v/>
      </c>
      <c r="U646" s="20">
        <f>ROUND(U645 + IF(AND(E646=20, F646&lt;&gt;"ASTM A416"), L646, 0), 3)</f>
        <v/>
      </c>
      <c r="V646" s="20">
        <f>ROUND(V645 + IF(AND(E646=22, F646&lt;&gt;"ASTM A416"), L646, 0), 3)</f>
        <v/>
      </c>
      <c r="W646" s="20">
        <f>ROUND(W645 + IF(AND(E646=25, F646&lt;&gt;"ASTM A416"), L646, 0), 3)</f>
        <v/>
      </c>
      <c r="X646" s="20">
        <f>ROUND(X645 + IF(AND(E646=28, F646&lt;&gt;"ASTM A416"), L646, 0), 3)</f>
        <v/>
      </c>
      <c r="Y646" s="20">
        <f>ROUND(Y645 + IF(AND(E646=32, F646&lt;&gt;"ASTM A416"), L646, 0), 3)</f>
        <v/>
      </c>
      <c r="Z646" s="20">
        <f>ROUND(Z645 + IF(F646="ASTM A416", L646, 0), 3)</f>
        <v/>
      </c>
      <c r="AA646" s="11">
        <f>IF(INT(P646/20)&gt;INT(P645/20), "Lần " &amp; INT(P646/20), "")</f>
        <v/>
      </c>
      <c r="AB646" s="11">
        <f>IF(INT(Q646/20)&gt;INT(Q645/20), "Lần " &amp; INT(Q646/20), "")</f>
        <v/>
      </c>
      <c r="AC646" s="11">
        <f>IF(INT(R646/20)&gt;INT(R645/20), "Lần " &amp; INT(R646/20), "")</f>
        <v/>
      </c>
      <c r="AD646" s="11">
        <f>IF(INT(S646/20)&gt;INT(S645/20), "Lần " &amp; INT(S646/20), "")</f>
        <v/>
      </c>
      <c r="AE646" s="11">
        <f>IF(INT(T646/20)&gt;INT(T645/20), "Lần " &amp; INT(T646/20), "")</f>
        <v/>
      </c>
      <c r="AF646" s="11">
        <f>IF(INT(U646/20)&gt;INT(U645/20), "Lần " &amp; INT(U646/20), "")</f>
        <v/>
      </c>
      <c r="AG646" s="11">
        <f>IF(INT(V646/20)&gt;INT(V645/20), "Lần " &amp; INT(V646/20), "")</f>
        <v/>
      </c>
      <c r="AH646" s="11">
        <f>IF(INT(W646/20)&gt;INT(W645/20), "Lần " &amp; INT(W646/20), "")</f>
        <v/>
      </c>
      <c r="AI646" s="11">
        <f>IF(INT(X646/20)&gt;INT(X645/20), "Lần " &amp; INT(X646/20), "")</f>
        <v/>
      </c>
      <c r="AJ646" s="11">
        <f>IF(INT(Y646/20)&gt;INT(Y645/20), "Lần " &amp; INT(Y646/20), "")</f>
        <v/>
      </c>
      <c r="AK646" s="11">
        <f>IF(INT(Z646/20)&gt;INT(Z645/20), "Lần " &amp; INT(Z646/20), "")</f>
        <v/>
      </c>
      <c r="AL646" s="6" t="inlineStr">
        <is>
          <t>ĐẠT TCVN 1651:2018</t>
        </is>
      </c>
    </row>
    <row r="647" ht="19" customHeight="1">
      <c r="A647" s="6" t="n">
        <v>616</v>
      </c>
      <c r="B647" s="7" t="inlineStr">
        <is>
          <t>Trụ T1, T2 (Xà mũ trụ)</t>
        </is>
      </c>
      <c r="C647" s="7" t="inlineStr">
        <is>
          <t>Xà mũ trụ</t>
        </is>
      </c>
      <c r="D647" s="18" t="inlineStr">
        <is>
          <t>x8a</t>
        </is>
      </c>
      <c r="E647" s="19" t="n">
        <v>25</v>
      </c>
      <c r="F647" s="6" t="inlineStr">
        <is>
          <t>CB400-V</t>
        </is>
      </c>
      <c r="G647" s="7" t="inlineStr">
        <is>
          <t>S06</t>
        </is>
      </c>
      <c r="H647" s="20" t="n">
        <v>13.575</v>
      </c>
      <c r="I647" s="21" t="n">
        <v>28</v>
      </c>
      <c r="J647" s="22" t="n">
        <v>3.85</v>
      </c>
      <c r="K647" s="9">
        <f>ROUND(H647*I647*J647, 2)</f>
        <v/>
      </c>
      <c r="L647" s="23">
        <f>ROUND(K647/1000, 3)</f>
        <v/>
      </c>
      <c r="M647" s="8" t="n"/>
      <c r="N647" s="6" t="n"/>
      <c r="O647" s="24">
        <f>IF(AND(E647&lt;=10, F647&lt;&gt;"ASTM A416", INT(P647/20)&gt;INT(P646/20)), "TN Ø10 (Lần " &amp; INT(P647/20) &amp; ")", IF(AND(E647=12, INT(Q647/20)&gt;INT(Q646/20)), "TN Ø12 (Lần " &amp; INT(Q647/20) &amp; ")", IF(AND(E647=14, INT(R647/20)&gt;INT(R646/20)), "TN Ø14 (Lần " &amp; INT(R647/20) &amp; ")", IF(AND(E647=16, INT(S647/20)&gt;INT(S646/20)), "TN Ø16 (Lần " &amp; INT(S647/20) &amp; ")", IF(AND(E647=18, INT(T647/20)&gt;INT(T646/20)), "TN Ø18 (Lần " &amp; INT(T647/20) &amp; ")", IF(AND(E647=20, INT(U647/20)&gt;INT(U646/20)), "TN Ø20 (Lần " &amp; INT(U647/20) &amp; ")", IF(AND(E647=22, INT(V647/20)&gt;INT(V646/20)), "TN Ø22 (Lần " &amp; INT(V647/20) &amp; ")", IF(AND(E647=25, INT(W647/20)&gt;INT(W646/20)), "TN Ø25 (Lần " &amp; INT(W647/20) &amp; ")", IF(AND(E647=28, INT(X647/20)&gt;INT(X646/20)), "TN Ø28 (Lần " &amp; INT(X647/20) &amp; ")", IF(AND(E647=32, INT(Y647/20)&gt;INT(Y646/20)), "TN Ø32 (Lần " &amp; INT(Y647/20) &amp; ")", IF(AND(F647="ASTM A416", INT(Z647/20)&gt;INT(Z646/20)), "TN Cáp 15.2 (Lần " &amp; INT(Z647/20) &amp; ")", "")))))))))))</f>
        <v/>
      </c>
      <c r="P647" s="20">
        <f>ROUND(P646 + IF(AND(E647&lt;=10, F647&lt;&gt;"ASTM A416"), L647, 0), 3)</f>
        <v/>
      </c>
      <c r="Q647" s="20">
        <f>ROUND(Q646 + IF(AND(E647=12, F647&lt;&gt;"ASTM A416"), L647, 0), 3)</f>
        <v/>
      </c>
      <c r="R647" s="20">
        <f>ROUND(R646 + IF(AND(E647=14, F647&lt;&gt;"ASTM A416"), L647, 0), 3)</f>
        <v/>
      </c>
      <c r="S647" s="20">
        <f>ROUND(S646 + IF(AND(E647=16, F647&lt;&gt;"ASTM A416"), L647, 0), 3)</f>
        <v/>
      </c>
      <c r="T647" s="20">
        <f>ROUND(T646 + IF(AND(E647=18, F647&lt;&gt;"ASTM A416"), L647, 0), 3)</f>
        <v/>
      </c>
      <c r="U647" s="20">
        <f>ROUND(U646 + IF(AND(E647=20, F647&lt;&gt;"ASTM A416"), L647, 0), 3)</f>
        <v/>
      </c>
      <c r="V647" s="20">
        <f>ROUND(V646 + IF(AND(E647=22, F647&lt;&gt;"ASTM A416"), L647, 0), 3)</f>
        <v/>
      </c>
      <c r="W647" s="20">
        <f>ROUND(W646 + IF(AND(E647=25, F647&lt;&gt;"ASTM A416"), L647, 0), 3)</f>
        <v/>
      </c>
      <c r="X647" s="20">
        <f>ROUND(X646 + IF(AND(E647=28, F647&lt;&gt;"ASTM A416"), L647, 0), 3)</f>
        <v/>
      </c>
      <c r="Y647" s="20">
        <f>ROUND(Y646 + IF(AND(E647=32, F647&lt;&gt;"ASTM A416"), L647, 0), 3)</f>
        <v/>
      </c>
      <c r="Z647" s="20">
        <f>ROUND(Z646 + IF(F647="ASTM A416", L647, 0), 3)</f>
        <v/>
      </c>
      <c r="AA647" s="11">
        <f>IF(INT(P647/20)&gt;INT(P646/20), "Lần " &amp; INT(P647/20), "")</f>
        <v/>
      </c>
      <c r="AB647" s="11">
        <f>IF(INT(Q647/20)&gt;INT(Q646/20), "Lần " &amp; INT(Q647/20), "")</f>
        <v/>
      </c>
      <c r="AC647" s="11">
        <f>IF(INT(R647/20)&gt;INT(R646/20), "Lần " &amp; INT(R647/20), "")</f>
        <v/>
      </c>
      <c r="AD647" s="11">
        <f>IF(INT(S647/20)&gt;INT(S646/20), "Lần " &amp; INT(S647/20), "")</f>
        <v/>
      </c>
      <c r="AE647" s="11">
        <f>IF(INT(T647/20)&gt;INT(T646/20), "Lần " &amp; INT(T647/20), "")</f>
        <v/>
      </c>
      <c r="AF647" s="11">
        <f>IF(INT(U647/20)&gt;INT(U646/20), "Lần " &amp; INT(U647/20), "")</f>
        <v/>
      </c>
      <c r="AG647" s="11">
        <f>IF(INT(V647/20)&gt;INT(V646/20), "Lần " &amp; INT(V647/20), "")</f>
        <v/>
      </c>
      <c r="AH647" s="11">
        <f>IF(INT(W647/20)&gt;INT(W646/20), "Lần " &amp; INT(W647/20), "")</f>
        <v/>
      </c>
      <c r="AI647" s="11">
        <f>IF(INT(X647/20)&gt;INT(X646/20), "Lần " &amp; INT(X647/20), "")</f>
        <v/>
      </c>
      <c r="AJ647" s="11">
        <f>IF(INT(Y647/20)&gt;INT(Y646/20), "Lần " &amp; INT(Y647/20), "")</f>
        <v/>
      </c>
      <c r="AK647" s="11">
        <f>IF(INT(Z647/20)&gt;INT(Z646/20), "Lần " &amp; INT(Z647/20), "")</f>
        <v/>
      </c>
      <c r="AL647" s="6" t="inlineStr">
        <is>
          <t>ĐẠT TCVN 1651:2018</t>
        </is>
      </c>
    </row>
    <row r="648" ht="19" customHeight="1">
      <c r="A648" s="6" t="n">
        <v>617</v>
      </c>
      <c r="B648" s="7" t="inlineStr">
        <is>
          <t>Trụ T1, T2 (Xà mũ trụ)</t>
        </is>
      </c>
      <c r="C648" s="7" t="inlineStr">
        <is>
          <t>Xà mũ trụ</t>
        </is>
      </c>
      <c r="D648" s="18" t="inlineStr">
        <is>
          <t>x8b</t>
        </is>
      </c>
      <c r="E648" s="19" t="n">
        <v>25</v>
      </c>
      <c r="F648" s="6" t="inlineStr">
        <is>
          <t>CB400-V</t>
        </is>
      </c>
      <c r="G648" s="7" t="inlineStr">
        <is>
          <t>S01</t>
        </is>
      </c>
      <c r="H648" s="20" t="n">
        <v>12.9</v>
      </c>
      <c r="I648" s="21" t="n">
        <v>28</v>
      </c>
      <c r="J648" s="22" t="n">
        <v>3.85</v>
      </c>
      <c r="K648" s="9">
        <f>ROUND(H648*I648*J648, 2)</f>
        <v/>
      </c>
      <c r="L648" s="23">
        <f>ROUND(K648/1000, 3)</f>
        <v/>
      </c>
      <c r="M648" s="8" t="n"/>
      <c r="N648" s="6" t="n"/>
      <c r="O648" s="24">
        <f>IF(AND(E648&lt;=10, F648&lt;&gt;"ASTM A416", INT(P648/20)&gt;INT(P647/20)), "TN Ø10 (Lần " &amp; INT(P648/20) &amp; ")", IF(AND(E648=12, INT(Q648/20)&gt;INT(Q647/20)), "TN Ø12 (Lần " &amp; INT(Q648/20) &amp; ")", IF(AND(E648=14, INT(R648/20)&gt;INT(R647/20)), "TN Ø14 (Lần " &amp; INT(R648/20) &amp; ")", IF(AND(E648=16, INT(S648/20)&gt;INT(S647/20)), "TN Ø16 (Lần " &amp; INT(S648/20) &amp; ")", IF(AND(E648=18, INT(T648/20)&gt;INT(T647/20)), "TN Ø18 (Lần " &amp; INT(T648/20) &amp; ")", IF(AND(E648=20, INT(U648/20)&gt;INT(U647/20)), "TN Ø20 (Lần " &amp; INT(U648/20) &amp; ")", IF(AND(E648=22, INT(V648/20)&gt;INT(V647/20)), "TN Ø22 (Lần " &amp; INT(V648/20) &amp; ")", IF(AND(E648=25, INT(W648/20)&gt;INT(W647/20)), "TN Ø25 (Lần " &amp; INT(W648/20) &amp; ")", IF(AND(E648=28, INT(X648/20)&gt;INT(X647/20)), "TN Ø28 (Lần " &amp; INT(X648/20) &amp; ")", IF(AND(E648=32, INT(Y648/20)&gt;INT(Y647/20)), "TN Ø32 (Lần " &amp; INT(Y648/20) &amp; ")", IF(AND(F648="ASTM A416", INT(Z648/20)&gt;INT(Z647/20)), "TN Cáp 15.2 (Lần " &amp; INT(Z648/20) &amp; ")", "")))))))))))</f>
        <v/>
      </c>
      <c r="P648" s="20">
        <f>ROUND(P647 + IF(AND(E648&lt;=10, F648&lt;&gt;"ASTM A416"), L648, 0), 3)</f>
        <v/>
      </c>
      <c r="Q648" s="20">
        <f>ROUND(Q647 + IF(AND(E648=12, F648&lt;&gt;"ASTM A416"), L648, 0), 3)</f>
        <v/>
      </c>
      <c r="R648" s="20">
        <f>ROUND(R647 + IF(AND(E648=14, F648&lt;&gt;"ASTM A416"), L648, 0), 3)</f>
        <v/>
      </c>
      <c r="S648" s="20">
        <f>ROUND(S647 + IF(AND(E648=16, F648&lt;&gt;"ASTM A416"), L648, 0), 3)</f>
        <v/>
      </c>
      <c r="T648" s="20">
        <f>ROUND(T647 + IF(AND(E648=18, F648&lt;&gt;"ASTM A416"), L648, 0), 3)</f>
        <v/>
      </c>
      <c r="U648" s="20">
        <f>ROUND(U647 + IF(AND(E648=20, F648&lt;&gt;"ASTM A416"), L648, 0), 3)</f>
        <v/>
      </c>
      <c r="V648" s="20">
        <f>ROUND(V647 + IF(AND(E648=22, F648&lt;&gt;"ASTM A416"), L648, 0), 3)</f>
        <v/>
      </c>
      <c r="W648" s="20">
        <f>ROUND(W647 + IF(AND(E648=25, F648&lt;&gt;"ASTM A416"), L648, 0), 3)</f>
        <v/>
      </c>
      <c r="X648" s="20">
        <f>ROUND(X647 + IF(AND(E648=28, F648&lt;&gt;"ASTM A416"), L648, 0), 3)</f>
        <v/>
      </c>
      <c r="Y648" s="20">
        <f>ROUND(Y647 + IF(AND(E648=32, F648&lt;&gt;"ASTM A416"), L648, 0), 3)</f>
        <v/>
      </c>
      <c r="Z648" s="20">
        <f>ROUND(Z647 + IF(F648="ASTM A416", L648, 0), 3)</f>
        <v/>
      </c>
      <c r="AA648" s="11">
        <f>IF(INT(P648/20)&gt;INT(P647/20), "Lần " &amp; INT(P648/20), "")</f>
        <v/>
      </c>
      <c r="AB648" s="11">
        <f>IF(INT(Q648/20)&gt;INT(Q647/20), "Lần " &amp; INT(Q648/20), "")</f>
        <v/>
      </c>
      <c r="AC648" s="11">
        <f>IF(INT(R648/20)&gt;INT(R647/20), "Lần " &amp; INT(R648/20), "")</f>
        <v/>
      </c>
      <c r="AD648" s="11">
        <f>IF(INT(S648/20)&gt;INT(S647/20), "Lần " &amp; INT(S648/20), "")</f>
        <v/>
      </c>
      <c r="AE648" s="11">
        <f>IF(INT(T648/20)&gt;INT(T647/20), "Lần " &amp; INT(T648/20), "")</f>
        <v/>
      </c>
      <c r="AF648" s="11">
        <f>IF(INT(U648/20)&gt;INT(U647/20), "Lần " &amp; INT(U648/20), "")</f>
        <v/>
      </c>
      <c r="AG648" s="11">
        <f>IF(INT(V648/20)&gt;INT(V647/20), "Lần " &amp; INT(V648/20), "")</f>
        <v/>
      </c>
      <c r="AH648" s="11">
        <f>IF(INT(W648/20)&gt;INT(W647/20), "Lần " &amp; INT(W648/20), "")</f>
        <v/>
      </c>
      <c r="AI648" s="11">
        <f>IF(INT(X648/20)&gt;INT(X647/20), "Lần " &amp; INT(X648/20), "")</f>
        <v/>
      </c>
      <c r="AJ648" s="11">
        <f>IF(INT(Y648/20)&gt;INT(Y647/20), "Lần " &amp; INT(Y648/20), "")</f>
        <v/>
      </c>
      <c r="AK648" s="11">
        <f>IF(INT(Z648/20)&gt;INT(Z647/20), "Lần " &amp; INT(Z648/20), "")</f>
        <v/>
      </c>
      <c r="AL648" s="6" t="inlineStr">
        <is>
          <t>ĐẠT TCVN 1651:2018</t>
        </is>
      </c>
    </row>
    <row r="649" ht="19" customHeight="1">
      <c r="A649" s="6" t="n">
        <v>618</v>
      </c>
      <c r="B649" s="7" t="inlineStr">
        <is>
          <t>Trụ T1, T2 (Xà mũ trụ)</t>
        </is>
      </c>
      <c r="C649" s="7" t="inlineStr">
        <is>
          <t>Xà mũ trụ</t>
        </is>
      </c>
      <c r="D649" s="18" t="inlineStr">
        <is>
          <t>x9</t>
        </is>
      </c>
      <c r="E649" s="19" t="n">
        <v>32</v>
      </c>
      <c r="F649" s="6" t="inlineStr">
        <is>
          <t>CB400-V</t>
        </is>
      </c>
      <c r="G649" s="7" t="inlineStr">
        <is>
          <t>S25</t>
        </is>
      </c>
      <c r="H649" s="20" t="n">
        <v>4.687</v>
      </c>
      <c r="I649" s="21" t="n">
        <v>316</v>
      </c>
      <c r="J649" s="22" t="n">
        <v>6.31</v>
      </c>
      <c r="K649" s="9">
        <f>ROUND(H649*I649*J649, 2)</f>
        <v/>
      </c>
      <c r="L649" s="23">
        <f>ROUND(K649/1000, 3)</f>
        <v/>
      </c>
      <c r="M649" s="8" t="n"/>
      <c r="N649" s="6" t="n"/>
      <c r="O649" s="24">
        <f>IF(AND(E649&lt;=10, F649&lt;&gt;"ASTM A416", INT(P649/20)&gt;INT(P648/20)), "TN Ø10 (Lần " &amp; INT(P649/20) &amp; ")", IF(AND(E649=12, INT(Q649/20)&gt;INT(Q648/20)), "TN Ø12 (Lần " &amp; INT(Q649/20) &amp; ")", IF(AND(E649=14, INT(R649/20)&gt;INT(R648/20)), "TN Ø14 (Lần " &amp; INT(R649/20) &amp; ")", IF(AND(E649=16, INT(S649/20)&gt;INT(S648/20)), "TN Ø16 (Lần " &amp; INT(S649/20) &amp; ")", IF(AND(E649=18, INT(T649/20)&gt;INT(T648/20)), "TN Ø18 (Lần " &amp; INT(T649/20) &amp; ")", IF(AND(E649=20, INT(U649/20)&gt;INT(U648/20)), "TN Ø20 (Lần " &amp; INT(U649/20) &amp; ")", IF(AND(E649=22, INT(V649/20)&gt;INT(V648/20)), "TN Ø22 (Lần " &amp; INT(V649/20) &amp; ")", IF(AND(E649=25, INT(W649/20)&gt;INT(W648/20)), "TN Ø25 (Lần " &amp; INT(W649/20) &amp; ")", IF(AND(E649=28, INT(X649/20)&gt;INT(X648/20)), "TN Ø28 (Lần " &amp; INT(X649/20) &amp; ")", IF(AND(E649=32, INT(Y649/20)&gt;INT(Y648/20)), "TN Ø32 (Lần " &amp; INT(Y649/20) &amp; ")", IF(AND(F649="ASTM A416", INT(Z649/20)&gt;INT(Z648/20)), "TN Cáp 15.2 (Lần " &amp; INT(Z649/20) &amp; ")", "")))))))))))</f>
        <v/>
      </c>
      <c r="P649" s="20">
        <f>ROUND(P648 + IF(AND(E649&lt;=10, F649&lt;&gt;"ASTM A416"), L649, 0), 3)</f>
        <v/>
      </c>
      <c r="Q649" s="20">
        <f>ROUND(Q648 + IF(AND(E649=12, F649&lt;&gt;"ASTM A416"), L649, 0), 3)</f>
        <v/>
      </c>
      <c r="R649" s="20">
        <f>ROUND(R648 + IF(AND(E649=14, F649&lt;&gt;"ASTM A416"), L649, 0), 3)</f>
        <v/>
      </c>
      <c r="S649" s="20">
        <f>ROUND(S648 + IF(AND(E649=16, F649&lt;&gt;"ASTM A416"), L649, 0), 3)</f>
        <v/>
      </c>
      <c r="T649" s="20">
        <f>ROUND(T648 + IF(AND(E649=18, F649&lt;&gt;"ASTM A416"), L649, 0), 3)</f>
        <v/>
      </c>
      <c r="U649" s="20">
        <f>ROUND(U648 + IF(AND(E649=20, F649&lt;&gt;"ASTM A416"), L649, 0), 3)</f>
        <v/>
      </c>
      <c r="V649" s="20">
        <f>ROUND(V648 + IF(AND(E649=22, F649&lt;&gt;"ASTM A416"), L649, 0), 3)</f>
        <v/>
      </c>
      <c r="W649" s="20">
        <f>ROUND(W648 + IF(AND(E649=25, F649&lt;&gt;"ASTM A416"), L649, 0), 3)</f>
        <v/>
      </c>
      <c r="X649" s="20">
        <f>ROUND(X648 + IF(AND(E649=28, F649&lt;&gt;"ASTM A416"), L649, 0), 3)</f>
        <v/>
      </c>
      <c r="Y649" s="20">
        <f>ROUND(Y648 + IF(AND(E649=32, F649&lt;&gt;"ASTM A416"), L649, 0), 3)</f>
        <v/>
      </c>
      <c r="Z649" s="20">
        <f>ROUND(Z648 + IF(F649="ASTM A416", L649, 0), 3)</f>
        <v/>
      </c>
      <c r="AA649" s="11">
        <f>IF(INT(P649/20)&gt;INT(P648/20), "Lần " &amp; INT(P649/20), "")</f>
        <v/>
      </c>
      <c r="AB649" s="11">
        <f>IF(INT(Q649/20)&gt;INT(Q648/20), "Lần " &amp; INT(Q649/20), "")</f>
        <v/>
      </c>
      <c r="AC649" s="11">
        <f>IF(INT(R649/20)&gt;INT(R648/20), "Lần " &amp; INT(R649/20), "")</f>
        <v/>
      </c>
      <c r="AD649" s="11">
        <f>IF(INT(S649/20)&gt;INT(S648/20), "Lần " &amp; INT(S649/20), "")</f>
        <v/>
      </c>
      <c r="AE649" s="11">
        <f>IF(INT(T649/20)&gt;INT(T648/20), "Lần " &amp; INT(T649/20), "")</f>
        <v/>
      </c>
      <c r="AF649" s="11">
        <f>IF(INT(U649/20)&gt;INT(U648/20), "Lần " &amp; INT(U649/20), "")</f>
        <v/>
      </c>
      <c r="AG649" s="11">
        <f>IF(INT(V649/20)&gt;INT(V648/20), "Lần " &amp; INT(V649/20), "")</f>
        <v/>
      </c>
      <c r="AH649" s="11">
        <f>IF(INT(W649/20)&gt;INT(W648/20), "Lần " &amp; INT(W649/20), "")</f>
        <v/>
      </c>
      <c r="AI649" s="11">
        <f>IF(INT(X649/20)&gt;INT(X648/20), "Lần " &amp; INT(X649/20), "")</f>
        <v/>
      </c>
      <c r="AJ649" s="11">
        <f>IF(INT(Y649/20)&gt;INT(Y648/20), "Lần " &amp; INT(Y649/20), "")</f>
        <v/>
      </c>
      <c r="AK649" s="11">
        <f>IF(INT(Z649/20)&gt;INT(Z648/20), "Lần " &amp; INT(Z649/20), "")</f>
        <v/>
      </c>
      <c r="AL649" s="6" t="inlineStr">
        <is>
          <t>ĐẠT TCVN 1651:2018</t>
        </is>
      </c>
    </row>
    <row r="650" ht="19" customHeight="1">
      <c r="A650" s="6" t="n">
        <v>619</v>
      </c>
      <c r="B650" s="7" t="inlineStr">
        <is>
          <t>Trụ T1, T2 (Xà mũ trụ)</t>
        </is>
      </c>
      <c r="C650" s="7" t="inlineStr">
        <is>
          <t>Xà mũ trụ</t>
        </is>
      </c>
      <c r="D650" s="18" t="inlineStr">
        <is>
          <t>x10</t>
        </is>
      </c>
      <c r="E650" s="19" t="n">
        <v>16</v>
      </c>
      <c r="F650" s="6" t="inlineStr">
        <is>
          <t>CB400-V</t>
        </is>
      </c>
      <c r="G650" s="7" t="inlineStr">
        <is>
          <t>S06</t>
        </is>
      </c>
      <c r="H650" s="20" t="n">
        <v>8.932</v>
      </c>
      <c r="I650" s="21" t="n">
        <v>56</v>
      </c>
      <c r="J650" s="22" t="n">
        <v>1.58</v>
      </c>
      <c r="K650" s="9">
        <f>ROUND(H650*I650*J650, 2)</f>
        <v/>
      </c>
      <c r="L650" s="23">
        <f>ROUND(K650/1000, 3)</f>
        <v/>
      </c>
      <c r="M650" s="8" t="n"/>
      <c r="N650" s="6" t="n"/>
      <c r="O650" s="24">
        <f>IF(AND(E650&lt;=10, F650&lt;&gt;"ASTM A416", INT(P650/20)&gt;INT(P649/20)), "TN Ø10 (Lần " &amp; INT(P650/20) &amp; ")", IF(AND(E650=12, INT(Q650/20)&gt;INT(Q649/20)), "TN Ø12 (Lần " &amp; INT(Q650/20) &amp; ")", IF(AND(E650=14, INT(R650/20)&gt;INT(R649/20)), "TN Ø14 (Lần " &amp; INT(R650/20) &amp; ")", IF(AND(E650=16, INT(S650/20)&gt;INT(S649/20)), "TN Ø16 (Lần " &amp; INT(S650/20) &amp; ")", IF(AND(E650=18, INT(T650/20)&gt;INT(T649/20)), "TN Ø18 (Lần " &amp; INT(T650/20) &amp; ")", IF(AND(E650=20, INT(U650/20)&gt;INT(U649/20)), "TN Ø20 (Lần " &amp; INT(U650/20) &amp; ")", IF(AND(E650=22, INT(V650/20)&gt;INT(V649/20)), "TN Ø22 (Lần " &amp; INT(V650/20) &amp; ")", IF(AND(E650=25, INT(W650/20)&gt;INT(W649/20)), "TN Ø25 (Lần " &amp; INT(W650/20) &amp; ")", IF(AND(E650=28, INT(X650/20)&gt;INT(X649/20)), "TN Ø28 (Lần " &amp; INT(X650/20) &amp; ")", IF(AND(E650=32, INT(Y650/20)&gt;INT(Y649/20)), "TN Ø32 (Lần " &amp; INT(Y650/20) &amp; ")", IF(AND(F650="ASTM A416", INT(Z650/20)&gt;INT(Z649/20)), "TN Cáp 15.2 (Lần " &amp; INT(Z650/20) &amp; ")", "")))))))))))</f>
        <v/>
      </c>
      <c r="P650" s="20">
        <f>ROUND(P649 + IF(AND(E650&lt;=10, F650&lt;&gt;"ASTM A416"), L650, 0), 3)</f>
        <v/>
      </c>
      <c r="Q650" s="20">
        <f>ROUND(Q649 + IF(AND(E650=12, F650&lt;&gt;"ASTM A416"), L650, 0), 3)</f>
        <v/>
      </c>
      <c r="R650" s="20">
        <f>ROUND(R649 + IF(AND(E650=14, F650&lt;&gt;"ASTM A416"), L650, 0), 3)</f>
        <v/>
      </c>
      <c r="S650" s="20">
        <f>ROUND(S649 + IF(AND(E650=16, F650&lt;&gt;"ASTM A416"), L650, 0), 3)</f>
        <v/>
      </c>
      <c r="T650" s="20">
        <f>ROUND(T649 + IF(AND(E650=18, F650&lt;&gt;"ASTM A416"), L650, 0), 3)</f>
        <v/>
      </c>
      <c r="U650" s="20">
        <f>ROUND(U649 + IF(AND(E650=20, F650&lt;&gt;"ASTM A416"), L650, 0), 3)</f>
        <v/>
      </c>
      <c r="V650" s="20">
        <f>ROUND(V649 + IF(AND(E650=22, F650&lt;&gt;"ASTM A416"), L650, 0), 3)</f>
        <v/>
      </c>
      <c r="W650" s="20">
        <f>ROUND(W649 + IF(AND(E650=25, F650&lt;&gt;"ASTM A416"), L650, 0), 3)</f>
        <v/>
      </c>
      <c r="X650" s="20">
        <f>ROUND(X649 + IF(AND(E650=28, F650&lt;&gt;"ASTM A416"), L650, 0), 3)</f>
        <v/>
      </c>
      <c r="Y650" s="20">
        <f>ROUND(Y649 + IF(AND(E650=32, F650&lt;&gt;"ASTM A416"), L650, 0), 3)</f>
        <v/>
      </c>
      <c r="Z650" s="20">
        <f>ROUND(Z649 + IF(F650="ASTM A416", L650, 0), 3)</f>
        <v/>
      </c>
      <c r="AA650" s="11">
        <f>IF(INT(P650/20)&gt;INT(P649/20), "Lần " &amp; INT(P650/20), "")</f>
        <v/>
      </c>
      <c r="AB650" s="11">
        <f>IF(INT(Q650/20)&gt;INT(Q649/20), "Lần " &amp; INT(Q650/20), "")</f>
        <v/>
      </c>
      <c r="AC650" s="11">
        <f>IF(INT(R650/20)&gt;INT(R649/20), "Lần " &amp; INT(R650/20), "")</f>
        <v/>
      </c>
      <c r="AD650" s="11">
        <f>IF(INT(S650/20)&gt;INT(S649/20), "Lần " &amp; INT(S650/20), "")</f>
        <v/>
      </c>
      <c r="AE650" s="11">
        <f>IF(INT(T650/20)&gt;INT(T649/20), "Lần " &amp; INT(T650/20), "")</f>
        <v/>
      </c>
      <c r="AF650" s="11">
        <f>IF(INT(U650/20)&gt;INT(U649/20), "Lần " &amp; INT(U650/20), "")</f>
        <v/>
      </c>
      <c r="AG650" s="11">
        <f>IF(INT(V650/20)&gt;INT(V649/20), "Lần " &amp; INT(V650/20), "")</f>
        <v/>
      </c>
      <c r="AH650" s="11">
        <f>IF(INT(W650/20)&gt;INT(W649/20), "Lần " &amp; INT(W650/20), "")</f>
        <v/>
      </c>
      <c r="AI650" s="11">
        <f>IF(INT(X650/20)&gt;INT(X649/20), "Lần " &amp; INT(X650/20), "")</f>
        <v/>
      </c>
      <c r="AJ650" s="11">
        <f>IF(INT(Y650/20)&gt;INT(Y649/20), "Lần " &amp; INT(Y650/20), "")</f>
        <v/>
      </c>
      <c r="AK650" s="11">
        <f>IF(INT(Z650/20)&gt;INT(Z649/20), "Lần " &amp; INT(Z650/20), "")</f>
        <v/>
      </c>
      <c r="AL650" s="6" t="inlineStr">
        <is>
          <t>ĐẠT TCVN 1651:2018</t>
        </is>
      </c>
    </row>
    <row r="651" ht="19" customHeight="1">
      <c r="A651" s="6" t="n">
        <v>620</v>
      </c>
      <c r="B651" s="7" t="inlineStr">
        <is>
          <t>Trụ T1, T2 (Xà mũ trụ)</t>
        </is>
      </c>
      <c r="C651" s="7" t="inlineStr">
        <is>
          <t>Xà mũ trụ</t>
        </is>
      </c>
      <c r="D651" s="18" t="inlineStr">
        <is>
          <t>x10a</t>
        </is>
      </c>
      <c r="E651" s="19" t="n">
        <v>16</v>
      </c>
      <c r="F651" s="6" t="inlineStr">
        <is>
          <t>CB400-V</t>
        </is>
      </c>
      <c r="G651" s="7" t="inlineStr">
        <is>
          <t>S06</t>
        </is>
      </c>
      <c r="H651" s="20" t="n">
        <v>7.132</v>
      </c>
      <c r="I651" s="21" t="n">
        <v>4</v>
      </c>
      <c r="J651" s="22" t="n">
        <v>1.58</v>
      </c>
      <c r="K651" s="9">
        <f>ROUND(H651*I651*J651, 2)</f>
        <v/>
      </c>
      <c r="L651" s="23">
        <f>ROUND(K651/1000, 3)</f>
        <v/>
      </c>
      <c r="M651" s="8" t="n"/>
      <c r="N651" s="6" t="n"/>
      <c r="O651" s="24">
        <f>IF(AND(E651&lt;=10, F651&lt;&gt;"ASTM A416", INT(P651/20)&gt;INT(P650/20)), "TN Ø10 (Lần " &amp; INT(P651/20) &amp; ")", IF(AND(E651=12, INT(Q651/20)&gt;INT(Q650/20)), "TN Ø12 (Lần " &amp; INT(Q651/20) &amp; ")", IF(AND(E651=14, INT(R651/20)&gt;INT(R650/20)), "TN Ø14 (Lần " &amp; INT(R651/20) &amp; ")", IF(AND(E651=16, INT(S651/20)&gt;INT(S650/20)), "TN Ø16 (Lần " &amp; INT(S651/20) &amp; ")", IF(AND(E651=18, INT(T651/20)&gt;INT(T650/20)), "TN Ø18 (Lần " &amp; INT(T651/20) &amp; ")", IF(AND(E651=20, INT(U651/20)&gt;INT(U650/20)), "TN Ø20 (Lần " &amp; INT(U651/20) &amp; ")", IF(AND(E651=22, INT(V651/20)&gt;INT(V650/20)), "TN Ø22 (Lần " &amp; INT(V651/20) &amp; ")", IF(AND(E651=25, INT(W651/20)&gt;INT(W650/20)), "TN Ø25 (Lần " &amp; INT(W651/20) &amp; ")", IF(AND(E651=28, INT(X651/20)&gt;INT(X650/20)), "TN Ø28 (Lần " &amp; INT(X651/20) &amp; ")", IF(AND(E651=32, INT(Y651/20)&gt;INT(Y650/20)), "TN Ø32 (Lần " &amp; INT(Y651/20) &amp; ")", IF(AND(F651="ASTM A416", INT(Z651/20)&gt;INT(Z650/20)), "TN Cáp 15.2 (Lần " &amp; INT(Z651/20) &amp; ")", "")))))))))))</f>
        <v/>
      </c>
      <c r="P651" s="20">
        <f>ROUND(P650 + IF(AND(E651&lt;=10, F651&lt;&gt;"ASTM A416"), L651, 0), 3)</f>
        <v/>
      </c>
      <c r="Q651" s="20">
        <f>ROUND(Q650 + IF(AND(E651=12, F651&lt;&gt;"ASTM A416"), L651, 0), 3)</f>
        <v/>
      </c>
      <c r="R651" s="20">
        <f>ROUND(R650 + IF(AND(E651=14, F651&lt;&gt;"ASTM A416"), L651, 0), 3)</f>
        <v/>
      </c>
      <c r="S651" s="20">
        <f>ROUND(S650 + IF(AND(E651=16, F651&lt;&gt;"ASTM A416"), L651, 0), 3)</f>
        <v/>
      </c>
      <c r="T651" s="20">
        <f>ROUND(T650 + IF(AND(E651=18, F651&lt;&gt;"ASTM A416"), L651, 0), 3)</f>
        <v/>
      </c>
      <c r="U651" s="20">
        <f>ROUND(U650 + IF(AND(E651=20, F651&lt;&gt;"ASTM A416"), L651, 0), 3)</f>
        <v/>
      </c>
      <c r="V651" s="20">
        <f>ROUND(V650 + IF(AND(E651=22, F651&lt;&gt;"ASTM A416"), L651, 0), 3)</f>
        <v/>
      </c>
      <c r="W651" s="20">
        <f>ROUND(W650 + IF(AND(E651=25, F651&lt;&gt;"ASTM A416"), L651, 0), 3)</f>
        <v/>
      </c>
      <c r="X651" s="20">
        <f>ROUND(X650 + IF(AND(E651=28, F651&lt;&gt;"ASTM A416"), L651, 0), 3)</f>
        <v/>
      </c>
      <c r="Y651" s="20">
        <f>ROUND(Y650 + IF(AND(E651=32, F651&lt;&gt;"ASTM A416"), L651, 0), 3)</f>
        <v/>
      </c>
      <c r="Z651" s="20">
        <f>ROUND(Z650 + IF(F651="ASTM A416", L651, 0), 3)</f>
        <v/>
      </c>
      <c r="AA651" s="11">
        <f>IF(INT(P651/20)&gt;INT(P650/20), "Lần " &amp; INT(P651/20), "")</f>
        <v/>
      </c>
      <c r="AB651" s="11">
        <f>IF(INT(Q651/20)&gt;INT(Q650/20), "Lần " &amp; INT(Q651/20), "")</f>
        <v/>
      </c>
      <c r="AC651" s="11">
        <f>IF(INT(R651/20)&gt;INT(R650/20), "Lần " &amp; INT(R651/20), "")</f>
        <v/>
      </c>
      <c r="AD651" s="11">
        <f>IF(INT(S651/20)&gt;INT(S650/20), "Lần " &amp; INT(S651/20), "")</f>
        <v/>
      </c>
      <c r="AE651" s="11">
        <f>IF(INT(T651/20)&gt;INT(T650/20), "Lần " &amp; INT(T651/20), "")</f>
        <v/>
      </c>
      <c r="AF651" s="11">
        <f>IF(INT(U651/20)&gt;INT(U650/20), "Lần " &amp; INT(U651/20), "")</f>
        <v/>
      </c>
      <c r="AG651" s="11">
        <f>IF(INT(V651/20)&gt;INT(V650/20), "Lần " &amp; INT(V651/20), "")</f>
        <v/>
      </c>
      <c r="AH651" s="11">
        <f>IF(INT(W651/20)&gt;INT(W650/20), "Lần " &amp; INT(W651/20), "")</f>
        <v/>
      </c>
      <c r="AI651" s="11">
        <f>IF(INT(X651/20)&gt;INT(X650/20), "Lần " &amp; INT(X651/20), "")</f>
        <v/>
      </c>
      <c r="AJ651" s="11">
        <f>IF(INT(Y651/20)&gt;INT(Y650/20), "Lần " &amp; INT(Y651/20), "")</f>
        <v/>
      </c>
      <c r="AK651" s="11">
        <f>IF(INT(Z651/20)&gt;INT(Z650/20), "Lần " &amp; INT(Z651/20), "")</f>
        <v/>
      </c>
      <c r="AL651" s="6" t="inlineStr">
        <is>
          <t>ĐẠT TCVN 1651:2018</t>
        </is>
      </c>
    </row>
    <row r="652" ht="19" customHeight="1">
      <c r="A652" s="6" t="n">
        <v>621</v>
      </c>
      <c r="B652" s="7" t="inlineStr">
        <is>
          <t>Trụ T1, T2 (Xà mũ trụ)</t>
        </is>
      </c>
      <c r="C652" s="7" t="inlineStr">
        <is>
          <t>®¸, v÷a kª gèi</t>
        </is>
      </c>
      <c r="D652" s="18" t="inlineStr">
        <is>
          <t>g1</t>
        </is>
      </c>
      <c r="E652" s="19" t="n">
        <v>16</v>
      </c>
      <c r="F652" s="6" t="inlineStr">
        <is>
          <t>CB400-V</t>
        </is>
      </c>
      <c r="G652" s="7" t="inlineStr">
        <is>
          <t>S06</t>
        </is>
      </c>
      <c r="H652" s="20" t="n">
        <v>1.512</v>
      </c>
      <c r="I652" s="21" t="n">
        <v>120</v>
      </c>
      <c r="J652" s="22" t="n">
        <v>1.58</v>
      </c>
      <c r="K652" s="9">
        <f>ROUND(H652*I652*J652, 2)</f>
        <v/>
      </c>
      <c r="L652" s="23">
        <f>ROUND(K652/1000, 3)</f>
        <v/>
      </c>
      <c r="M652" s="8" t="n"/>
      <c r="N652" s="6" t="n"/>
      <c r="O652" s="24">
        <f>IF(AND(E652&lt;=10, F652&lt;&gt;"ASTM A416", INT(P652/20)&gt;INT(P651/20)), "TN Ø10 (Lần " &amp; INT(P652/20) &amp; ")", IF(AND(E652=12, INT(Q652/20)&gt;INT(Q651/20)), "TN Ø12 (Lần " &amp; INT(Q652/20) &amp; ")", IF(AND(E652=14, INT(R652/20)&gt;INT(R651/20)), "TN Ø14 (Lần " &amp; INT(R652/20) &amp; ")", IF(AND(E652=16, INT(S652/20)&gt;INT(S651/20)), "TN Ø16 (Lần " &amp; INT(S652/20) &amp; ")", IF(AND(E652=18, INT(T652/20)&gt;INT(T651/20)), "TN Ø18 (Lần " &amp; INT(T652/20) &amp; ")", IF(AND(E652=20, INT(U652/20)&gt;INT(U651/20)), "TN Ø20 (Lần " &amp; INT(U652/20) &amp; ")", IF(AND(E652=22, INT(V652/20)&gt;INT(V651/20)), "TN Ø22 (Lần " &amp; INT(V652/20) &amp; ")", IF(AND(E652=25, INT(W652/20)&gt;INT(W651/20)), "TN Ø25 (Lần " &amp; INT(W652/20) &amp; ")", IF(AND(E652=28, INT(X652/20)&gt;INT(X651/20)), "TN Ø28 (Lần " &amp; INT(X652/20) &amp; ")", IF(AND(E652=32, INT(Y652/20)&gt;INT(Y651/20)), "TN Ø32 (Lần " &amp; INT(Y652/20) &amp; ")", IF(AND(F652="ASTM A416", INT(Z652/20)&gt;INT(Z651/20)), "TN Cáp 15.2 (Lần " &amp; INT(Z652/20) &amp; ")", "")))))))))))</f>
        <v/>
      </c>
      <c r="P652" s="20">
        <f>ROUND(P651 + IF(AND(E652&lt;=10, F652&lt;&gt;"ASTM A416"), L652, 0), 3)</f>
        <v/>
      </c>
      <c r="Q652" s="20">
        <f>ROUND(Q651 + IF(AND(E652=12, F652&lt;&gt;"ASTM A416"), L652, 0), 3)</f>
        <v/>
      </c>
      <c r="R652" s="20">
        <f>ROUND(R651 + IF(AND(E652=14, F652&lt;&gt;"ASTM A416"), L652, 0), 3)</f>
        <v/>
      </c>
      <c r="S652" s="20">
        <f>ROUND(S651 + IF(AND(E652=16, F652&lt;&gt;"ASTM A416"), L652, 0), 3)</f>
        <v/>
      </c>
      <c r="T652" s="20">
        <f>ROUND(T651 + IF(AND(E652=18, F652&lt;&gt;"ASTM A416"), L652, 0), 3)</f>
        <v/>
      </c>
      <c r="U652" s="20">
        <f>ROUND(U651 + IF(AND(E652=20, F652&lt;&gt;"ASTM A416"), L652, 0), 3)</f>
        <v/>
      </c>
      <c r="V652" s="20">
        <f>ROUND(V651 + IF(AND(E652=22, F652&lt;&gt;"ASTM A416"), L652, 0), 3)</f>
        <v/>
      </c>
      <c r="W652" s="20">
        <f>ROUND(W651 + IF(AND(E652=25, F652&lt;&gt;"ASTM A416"), L652, 0), 3)</f>
        <v/>
      </c>
      <c r="X652" s="20">
        <f>ROUND(X651 + IF(AND(E652=28, F652&lt;&gt;"ASTM A416"), L652, 0), 3)</f>
        <v/>
      </c>
      <c r="Y652" s="20">
        <f>ROUND(Y651 + IF(AND(E652=32, F652&lt;&gt;"ASTM A416"), L652, 0), 3)</f>
        <v/>
      </c>
      <c r="Z652" s="20">
        <f>ROUND(Z651 + IF(F652="ASTM A416", L652, 0), 3)</f>
        <v/>
      </c>
      <c r="AA652" s="11">
        <f>IF(INT(P652/20)&gt;INT(P651/20), "Lần " &amp; INT(P652/20), "")</f>
        <v/>
      </c>
      <c r="AB652" s="11">
        <f>IF(INT(Q652/20)&gt;INT(Q651/20), "Lần " &amp; INT(Q652/20), "")</f>
        <v/>
      </c>
      <c r="AC652" s="11">
        <f>IF(INT(R652/20)&gt;INT(R651/20), "Lần " &amp; INT(R652/20), "")</f>
        <v/>
      </c>
      <c r="AD652" s="11">
        <f>IF(INT(S652/20)&gt;INT(S651/20), "Lần " &amp; INT(S652/20), "")</f>
        <v/>
      </c>
      <c r="AE652" s="11">
        <f>IF(INT(T652/20)&gt;INT(T651/20), "Lần " &amp; INT(T652/20), "")</f>
        <v/>
      </c>
      <c r="AF652" s="11">
        <f>IF(INT(U652/20)&gt;INT(U651/20), "Lần " &amp; INT(U652/20), "")</f>
        <v/>
      </c>
      <c r="AG652" s="11">
        <f>IF(INT(V652/20)&gt;INT(V651/20), "Lần " &amp; INT(V652/20), "")</f>
        <v/>
      </c>
      <c r="AH652" s="11">
        <f>IF(INT(W652/20)&gt;INT(W651/20), "Lần " &amp; INT(W652/20), "")</f>
        <v/>
      </c>
      <c r="AI652" s="11">
        <f>IF(INT(X652/20)&gt;INT(X651/20), "Lần " &amp; INT(X652/20), "")</f>
        <v/>
      </c>
      <c r="AJ652" s="11">
        <f>IF(INT(Y652/20)&gt;INT(Y651/20), "Lần " &amp; INT(Y652/20), "")</f>
        <v/>
      </c>
      <c r="AK652" s="11">
        <f>IF(INT(Z652/20)&gt;INT(Z651/20), "Lần " &amp; INT(Z652/20), "")</f>
        <v/>
      </c>
      <c r="AL652" s="6" t="inlineStr">
        <is>
          <t>ĐẠT TCVN 1651:2018</t>
        </is>
      </c>
    </row>
    <row r="653" ht="19" customHeight="1">
      <c r="A653" s="6" t="n">
        <v>622</v>
      </c>
      <c r="B653" s="7" t="inlineStr">
        <is>
          <t>Trụ T1, T2 (Xà mũ trụ)</t>
        </is>
      </c>
      <c r="C653" s="7" t="inlineStr">
        <is>
          <t>Xà mũ trụ</t>
        </is>
      </c>
      <c r="D653" s="18" t="inlineStr">
        <is>
          <t>g2</t>
        </is>
      </c>
      <c r="E653" s="19" t="n">
        <v>16</v>
      </c>
      <c r="F653" s="6" t="inlineStr">
        <is>
          <t>CB400-V</t>
        </is>
      </c>
      <c r="G653" s="7" t="inlineStr">
        <is>
          <t>S06</t>
        </is>
      </c>
      <c r="H653" s="20" t="n">
        <v>1.312</v>
      </c>
      <c r="I653" s="21" t="n">
        <v>160</v>
      </c>
      <c r="J653" s="22" t="n">
        <v>1.58</v>
      </c>
      <c r="K653" s="9">
        <f>ROUND(H653*I653*J653, 2)</f>
        <v/>
      </c>
      <c r="L653" s="23">
        <f>ROUND(K653/1000, 3)</f>
        <v/>
      </c>
      <c r="M653" s="8" t="n"/>
      <c r="N653" s="6" t="n"/>
      <c r="O653" s="24">
        <f>IF(AND(E653&lt;=10, F653&lt;&gt;"ASTM A416", INT(P653/20)&gt;INT(P652/20)), "TN Ø10 (Lần " &amp; INT(P653/20) &amp; ")", IF(AND(E653=12, INT(Q653/20)&gt;INT(Q652/20)), "TN Ø12 (Lần " &amp; INT(Q653/20) &amp; ")", IF(AND(E653=14, INT(R653/20)&gt;INT(R652/20)), "TN Ø14 (Lần " &amp; INT(R653/20) &amp; ")", IF(AND(E653=16, INT(S653/20)&gt;INT(S652/20)), "TN Ø16 (Lần " &amp; INT(S653/20) &amp; ")", IF(AND(E653=18, INT(T653/20)&gt;INT(T652/20)), "TN Ø18 (Lần " &amp; INT(T653/20) &amp; ")", IF(AND(E653=20, INT(U653/20)&gt;INT(U652/20)), "TN Ø20 (Lần " &amp; INT(U653/20) &amp; ")", IF(AND(E653=22, INT(V653/20)&gt;INT(V652/20)), "TN Ø22 (Lần " &amp; INT(V653/20) &amp; ")", IF(AND(E653=25, INT(W653/20)&gt;INT(W652/20)), "TN Ø25 (Lần " &amp; INT(W653/20) &amp; ")", IF(AND(E653=28, INT(X653/20)&gt;INT(X652/20)), "TN Ø28 (Lần " &amp; INT(X653/20) &amp; ")", IF(AND(E653=32, INT(Y653/20)&gt;INT(Y652/20)), "TN Ø32 (Lần " &amp; INT(Y653/20) &amp; ")", IF(AND(F653="ASTM A416", INT(Z653/20)&gt;INT(Z652/20)), "TN Cáp 15.2 (Lần " &amp; INT(Z653/20) &amp; ")", "")))))))))))</f>
        <v/>
      </c>
      <c r="P653" s="20">
        <f>ROUND(P652 + IF(AND(E653&lt;=10, F653&lt;&gt;"ASTM A416"), L653, 0), 3)</f>
        <v/>
      </c>
      <c r="Q653" s="20">
        <f>ROUND(Q652 + IF(AND(E653=12, F653&lt;&gt;"ASTM A416"), L653, 0), 3)</f>
        <v/>
      </c>
      <c r="R653" s="20">
        <f>ROUND(R652 + IF(AND(E653=14, F653&lt;&gt;"ASTM A416"), L653, 0), 3)</f>
        <v/>
      </c>
      <c r="S653" s="20">
        <f>ROUND(S652 + IF(AND(E653=16, F653&lt;&gt;"ASTM A416"), L653, 0), 3)</f>
        <v/>
      </c>
      <c r="T653" s="20">
        <f>ROUND(T652 + IF(AND(E653=18, F653&lt;&gt;"ASTM A416"), L653, 0), 3)</f>
        <v/>
      </c>
      <c r="U653" s="20">
        <f>ROUND(U652 + IF(AND(E653=20, F653&lt;&gt;"ASTM A416"), L653, 0), 3)</f>
        <v/>
      </c>
      <c r="V653" s="20">
        <f>ROUND(V652 + IF(AND(E653=22, F653&lt;&gt;"ASTM A416"), L653, 0), 3)</f>
        <v/>
      </c>
      <c r="W653" s="20">
        <f>ROUND(W652 + IF(AND(E653=25, F653&lt;&gt;"ASTM A416"), L653, 0), 3)</f>
        <v/>
      </c>
      <c r="X653" s="20">
        <f>ROUND(X652 + IF(AND(E653=28, F653&lt;&gt;"ASTM A416"), L653, 0), 3)</f>
        <v/>
      </c>
      <c r="Y653" s="20">
        <f>ROUND(Y652 + IF(AND(E653=32, F653&lt;&gt;"ASTM A416"), L653, 0), 3)</f>
        <v/>
      </c>
      <c r="Z653" s="20">
        <f>ROUND(Z652 + IF(F653="ASTM A416", L653, 0), 3)</f>
        <v/>
      </c>
      <c r="AA653" s="11">
        <f>IF(INT(P653/20)&gt;INT(P652/20), "Lần " &amp; INT(P653/20), "")</f>
        <v/>
      </c>
      <c r="AB653" s="11">
        <f>IF(INT(Q653/20)&gt;INT(Q652/20), "Lần " &amp; INT(Q653/20), "")</f>
        <v/>
      </c>
      <c r="AC653" s="11">
        <f>IF(INT(R653/20)&gt;INT(R652/20), "Lần " &amp; INT(R653/20), "")</f>
        <v/>
      </c>
      <c r="AD653" s="11">
        <f>IF(INT(S653/20)&gt;INT(S652/20), "Lần " &amp; INT(S653/20), "")</f>
        <v/>
      </c>
      <c r="AE653" s="11">
        <f>IF(INT(T653/20)&gt;INT(T652/20), "Lần " &amp; INT(T653/20), "")</f>
        <v/>
      </c>
      <c r="AF653" s="11">
        <f>IF(INT(U653/20)&gt;INT(U652/20), "Lần " &amp; INT(U653/20), "")</f>
        <v/>
      </c>
      <c r="AG653" s="11">
        <f>IF(INT(V653/20)&gt;INT(V652/20), "Lần " &amp; INT(V653/20), "")</f>
        <v/>
      </c>
      <c r="AH653" s="11">
        <f>IF(INT(W653/20)&gt;INT(W652/20), "Lần " &amp; INT(W653/20), "")</f>
        <v/>
      </c>
      <c r="AI653" s="11">
        <f>IF(INT(X653/20)&gt;INT(X652/20), "Lần " &amp; INT(X653/20), "")</f>
        <v/>
      </c>
      <c r="AJ653" s="11">
        <f>IF(INT(Y653/20)&gt;INT(Y652/20), "Lần " &amp; INT(Y653/20), "")</f>
        <v/>
      </c>
      <c r="AK653" s="11">
        <f>IF(INT(Z653/20)&gt;INT(Z652/20), "Lần " &amp; INT(Z653/20), "")</f>
        <v/>
      </c>
      <c r="AL653" s="6" t="inlineStr">
        <is>
          <t>ĐẠT TCVN 1651:2018</t>
        </is>
      </c>
    </row>
    <row r="654" ht="19" customHeight="1">
      <c r="A654" s="6" t="n">
        <v>623</v>
      </c>
      <c r="B654" s="7" t="inlineStr">
        <is>
          <t>Trụ T1, T2 (Xà mũ trụ)</t>
        </is>
      </c>
      <c r="C654" s="7" t="inlineStr">
        <is>
          <t>Xà mũ trụ</t>
        </is>
      </c>
      <c r="D654" s="18" t="inlineStr">
        <is>
          <t>g3</t>
        </is>
      </c>
      <c r="E654" s="19" t="n">
        <v>16</v>
      </c>
      <c r="F654" s="6" t="inlineStr">
        <is>
          <t>CB400-V</t>
        </is>
      </c>
      <c r="G654" s="7" t="inlineStr">
        <is>
          <t>S51</t>
        </is>
      </c>
      <c r="H654" s="20" t="n">
        <v>2.856</v>
      </c>
      <c r="I654" s="21" t="n">
        <v>80</v>
      </c>
      <c r="J654" s="22" t="n">
        <v>1.58</v>
      </c>
      <c r="K654" s="9">
        <f>ROUND(H654*I654*J654, 2)</f>
        <v/>
      </c>
      <c r="L654" s="23">
        <f>ROUND(K654/1000, 3)</f>
        <v/>
      </c>
      <c r="M654" s="8" t="n"/>
      <c r="N654" s="6" t="n"/>
      <c r="O654" s="24">
        <f>IF(AND(E654&lt;=10, F654&lt;&gt;"ASTM A416", INT(P654/20)&gt;INT(P653/20)), "TN Ø10 (Lần " &amp; INT(P654/20) &amp; ")", IF(AND(E654=12, INT(Q654/20)&gt;INT(Q653/20)), "TN Ø12 (Lần " &amp; INT(Q654/20) &amp; ")", IF(AND(E654=14, INT(R654/20)&gt;INT(R653/20)), "TN Ø14 (Lần " &amp; INT(R654/20) &amp; ")", IF(AND(E654=16, INT(S654/20)&gt;INT(S653/20)), "TN Ø16 (Lần " &amp; INT(S654/20) &amp; ")", IF(AND(E654=18, INT(T654/20)&gt;INT(T653/20)), "TN Ø18 (Lần " &amp; INT(T654/20) &amp; ")", IF(AND(E654=20, INT(U654/20)&gt;INT(U653/20)), "TN Ø20 (Lần " &amp; INT(U654/20) &amp; ")", IF(AND(E654=22, INT(V654/20)&gt;INT(V653/20)), "TN Ø22 (Lần " &amp; INT(V654/20) &amp; ")", IF(AND(E654=25, INT(W654/20)&gt;INT(W653/20)), "TN Ø25 (Lần " &amp; INT(W654/20) &amp; ")", IF(AND(E654=28, INT(X654/20)&gt;INT(X653/20)), "TN Ø28 (Lần " &amp; INT(X654/20) &amp; ")", IF(AND(E654=32, INT(Y654/20)&gt;INT(Y653/20)), "TN Ø32 (Lần " &amp; INT(Y654/20) &amp; ")", IF(AND(F654="ASTM A416", INT(Z654/20)&gt;INT(Z653/20)), "TN Cáp 15.2 (Lần " &amp; INT(Z654/20) &amp; ")", "")))))))))))</f>
        <v/>
      </c>
      <c r="P654" s="20">
        <f>ROUND(P653 + IF(AND(E654&lt;=10, F654&lt;&gt;"ASTM A416"), L654, 0), 3)</f>
        <v/>
      </c>
      <c r="Q654" s="20">
        <f>ROUND(Q653 + IF(AND(E654=12, F654&lt;&gt;"ASTM A416"), L654, 0), 3)</f>
        <v/>
      </c>
      <c r="R654" s="20">
        <f>ROUND(R653 + IF(AND(E654=14, F654&lt;&gt;"ASTM A416"), L654, 0), 3)</f>
        <v/>
      </c>
      <c r="S654" s="20">
        <f>ROUND(S653 + IF(AND(E654=16, F654&lt;&gt;"ASTM A416"), L654, 0), 3)</f>
        <v/>
      </c>
      <c r="T654" s="20">
        <f>ROUND(T653 + IF(AND(E654=18, F654&lt;&gt;"ASTM A416"), L654, 0), 3)</f>
        <v/>
      </c>
      <c r="U654" s="20">
        <f>ROUND(U653 + IF(AND(E654=20, F654&lt;&gt;"ASTM A416"), L654, 0), 3)</f>
        <v/>
      </c>
      <c r="V654" s="20">
        <f>ROUND(V653 + IF(AND(E654=22, F654&lt;&gt;"ASTM A416"), L654, 0), 3)</f>
        <v/>
      </c>
      <c r="W654" s="20">
        <f>ROUND(W653 + IF(AND(E654=25, F654&lt;&gt;"ASTM A416"), L654, 0), 3)</f>
        <v/>
      </c>
      <c r="X654" s="20">
        <f>ROUND(X653 + IF(AND(E654=28, F654&lt;&gt;"ASTM A416"), L654, 0), 3)</f>
        <v/>
      </c>
      <c r="Y654" s="20">
        <f>ROUND(Y653 + IF(AND(E654=32, F654&lt;&gt;"ASTM A416"), L654, 0), 3)</f>
        <v/>
      </c>
      <c r="Z654" s="20">
        <f>ROUND(Z653 + IF(F654="ASTM A416", L654, 0), 3)</f>
        <v/>
      </c>
      <c r="AA654" s="11">
        <f>IF(INT(P654/20)&gt;INT(P653/20), "Lần " &amp; INT(P654/20), "")</f>
        <v/>
      </c>
      <c r="AB654" s="11">
        <f>IF(INT(Q654/20)&gt;INT(Q653/20), "Lần " &amp; INT(Q654/20), "")</f>
        <v/>
      </c>
      <c r="AC654" s="11">
        <f>IF(INT(R654/20)&gt;INT(R653/20), "Lần " &amp; INT(R654/20), "")</f>
        <v/>
      </c>
      <c r="AD654" s="11">
        <f>IF(INT(S654/20)&gt;INT(S653/20), "Lần " &amp; INT(S654/20), "")</f>
        <v/>
      </c>
      <c r="AE654" s="11">
        <f>IF(INT(T654/20)&gt;INT(T653/20), "Lần " &amp; INT(T654/20), "")</f>
        <v/>
      </c>
      <c r="AF654" s="11">
        <f>IF(INT(U654/20)&gt;INT(U653/20), "Lần " &amp; INT(U654/20), "")</f>
        <v/>
      </c>
      <c r="AG654" s="11">
        <f>IF(INT(V654/20)&gt;INT(V653/20), "Lần " &amp; INT(V654/20), "")</f>
        <v/>
      </c>
      <c r="AH654" s="11">
        <f>IF(INT(W654/20)&gt;INT(W653/20), "Lần " &amp; INT(W654/20), "")</f>
        <v/>
      </c>
      <c r="AI654" s="11">
        <f>IF(INT(X654/20)&gt;INT(X653/20), "Lần " &amp; INT(X654/20), "")</f>
        <v/>
      </c>
      <c r="AJ654" s="11">
        <f>IF(INT(Y654/20)&gt;INT(Y653/20), "Lần " &amp; INT(Y654/20), "")</f>
        <v/>
      </c>
      <c r="AK654" s="11">
        <f>IF(INT(Z654/20)&gt;INT(Z653/20), "Lần " &amp; INT(Z654/20), "")</f>
        <v/>
      </c>
      <c r="AL654" s="6" t="inlineStr">
        <is>
          <t>ĐẠT TCVN 1651:2018</t>
        </is>
      </c>
    </row>
    <row r="655" ht="19" customHeight="1">
      <c r="A655" s="6" t="n">
        <v>624</v>
      </c>
      <c r="B655" s="7" t="inlineStr">
        <is>
          <t>Trụ T1, T2 (Xà mũ trụ)</t>
        </is>
      </c>
      <c r="C655" s="7" t="inlineStr">
        <is>
          <t>Xà mũ trụ</t>
        </is>
      </c>
      <c r="D655" s="18" t="inlineStr">
        <is>
          <t>g4</t>
        </is>
      </c>
      <c r="E655" s="19" t="n">
        <v>8</v>
      </c>
      <c r="F655" s="6" t="inlineStr">
        <is>
          <t>CB240-T</t>
        </is>
      </c>
      <c r="G655" s="7" t="inlineStr">
        <is>
          <t>S01</t>
        </is>
      </c>
      <c r="H655" s="20" t="n">
        <v>0.49</v>
      </c>
      <c r="I655" s="21" t="n">
        <v>280</v>
      </c>
      <c r="J655" s="22" t="n">
        <v>0.395</v>
      </c>
      <c r="K655" s="9">
        <f>ROUND(H655*I655*J655, 2)</f>
        <v/>
      </c>
      <c r="L655" s="23">
        <f>ROUND(K655/1000, 3)</f>
        <v/>
      </c>
      <c r="M655" s="8" t="n"/>
      <c r="N655" s="6" t="n"/>
      <c r="O655" s="24">
        <f>IF(AND(E655&lt;=10, F655&lt;&gt;"ASTM A416", INT(P655/20)&gt;INT(P654/20)), "TN Ø10 (Lần " &amp; INT(P655/20) &amp; ")", IF(AND(E655=12, INT(Q655/20)&gt;INT(Q654/20)), "TN Ø12 (Lần " &amp; INT(Q655/20) &amp; ")", IF(AND(E655=14, INT(R655/20)&gt;INT(R654/20)), "TN Ø14 (Lần " &amp; INT(R655/20) &amp; ")", IF(AND(E655=16, INT(S655/20)&gt;INT(S654/20)), "TN Ø16 (Lần " &amp; INT(S655/20) &amp; ")", IF(AND(E655=18, INT(T655/20)&gt;INT(T654/20)), "TN Ø18 (Lần " &amp; INT(T655/20) &amp; ")", IF(AND(E655=20, INT(U655/20)&gt;INT(U654/20)), "TN Ø20 (Lần " &amp; INT(U655/20) &amp; ")", IF(AND(E655=22, INT(V655/20)&gt;INT(V654/20)), "TN Ø22 (Lần " &amp; INT(V655/20) &amp; ")", IF(AND(E655=25, INT(W655/20)&gt;INT(W654/20)), "TN Ø25 (Lần " &amp; INT(W655/20) &amp; ")", IF(AND(E655=28, INT(X655/20)&gt;INT(X654/20)), "TN Ø28 (Lần " &amp; INT(X655/20) &amp; ")", IF(AND(E655=32, INT(Y655/20)&gt;INT(Y654/20)), "TN Ø32 (Lần " &amp; INT(Y655/20) &amp; ")", IF(AND(F655="ASTM A416", INT(Z655/20)&gt;INT(Z654/20)), "TN Cáp 15.2 (Lần " &amp; INT(Z655/20) &amp; ")", "")))))))))))</f>
        <v/>
      </c>
      <c r="P655" s="20">
        <f>ROUND(P654 + IF(AND(E655&lt;=10, F655&lt;&gt;"ASTM A416"), L655, 0), 3)</f>
        <v/>
      </c>
      <c r="Q655" s="20">
        <f>ROUND(Q654 + IF(AND(E655=12, F655&lt;&gt;"ASTM A416"), L655, 0), 3)</f>
        <v/>
      </c>
      <c r="R655" s="20">
        <f>ROUND(R654 + IF(AND(E655=14, F655&lt;&gt;"ASTM A416"), L655, 0), 3)</f>
        <v/>
      </c>
      <c r="S655" s="20">
        <f>ROUND(S654 + IF(AND(E655=16, F655&lt;&gt;"ASTM A416"), L655, 0), 3)</f>
        <v/>
      </c>
      <c r="T655" s="20">
        <f>ROUND(T654 + IF(AND(E655=18, F655&lt;&gt;"ASTM A416"), L655, 0), 3)</f>
        <v/>
      </c>
      <c r="U655" s="20">
        <f>ROUND(U654 + IF(AND(E655=20, F655&lt;&gt;"ASTM A416"), L655, 0), 3)</f>
        <v/>
      </c>
      <c r="V655" s="20">
        <f>ROUND(V654 + IF(AND(E655=22, F655&lt;&gt;"ASTM A416"), L655, 0), 3)</f>
        <v/>
      </c>
      <c r="W655" s="20">
        <f>ROUND(W654 + IF(AND(E655=25, F655&lt;&gt;"ASTM A416"), L655, 0), 3)</f>
        <v/>
      </c>
      <c r="X655" s="20">
        <f>ROUND(X654 + IF(AND(E655=28, F655&lt;&gt;"ASTM A416"), L655, 0), 3)</f>
        <v/>
      </c>
      <c r="Y655" s="20">
        <f>ROUND(Y654 + IF(AND(E655=32, F655&lt;&gt;"ASTM A416"), L655, 0), 3)</f>
        <v/>
      </c>
      <c r="Z655" s="20">
        <f>ROUND(Z654 + IF(F655="ASTM A416", L655, 0), 3)</f>
        <v/>
      </c>
      <c r="AA655" s="11">
        <f>IF(INT(P655/20)&gt;INT(P654/20), "Lần " &amp; INT(P655/20), "")</f>
        <v/>
      </c>
      <c r="AB655" s="11">
        <f>IF(INT(Q655/20)&gt;INT(Q654/20), "Lần " &amp; INT(Q655/20), "")</f>
        <v/>
      </c>
      <c r="AC655" s="11">
        <f>IF(INT(R655/20)&gt;INT(R654/20), "Lần " &amp; INT(R655/20), "")</f>
        <v/>
      </c>
      <c r="AD655" s="11">
        <f>IF(INT(S655/20)&gt;INT(S654/20), "Lần " &amp; INT(S655/20), "")</f>
        <v/>
      </c>
      <c r="AE655" s="11">
        <f>IF(INT(T655/20)&gt;INT(T654/20), "Lần " &amp; INT(T655/20), "")</f>
        <v/>
      </c>
      <c r="AF655" s="11">
        <f>IF(INT(U655/20)&gt;INT(U654/20), "Lần " &amp; INT(U655/20), "")</f>
        <v/>
      </c>
      <c r="AG655" s="11">
        <f>IF(INT(V655/20)&gt;INT(V654/20), "Lần " &amp; INT(V655/20), "")</f>
        <v/>
      </c>
      <c r="AH655" s="11">
        <f>IF(INT(W655/20)&gt;INT(W654/20), "Lần " &amp; INT(W655/20), "")</f>
        <v/>
      </c>
      <c r="AI655" s="11">
        <f>IF(INT(X655/20)&gt;INT(X654/20), "Lần " &amp; INT(X655/20), "")</f>
        <v/>
      </c>
      <c r="AJ655" s="11">
        <f>IF(INT(Y655/20)&gt;INT(Y654/20), "Lần " &amp; INT(Y655/20), "")</f>
        <v/>
      </c>
      <c r="AK655" s="11">
        <f>IF(INT(Z655/20)&gt;INT(Z654/20), "Lần " &amp; INT(Z655/20), "")</f>
        <v/>
      </c>
      <c r="AL655" s="6" t="inlineStr">
        <is>
          <t>ĐẠT TCVN 1651:2018</t>
        </is>
      </c>
    </row>
    <row r="656" ht="19" customHeight="1">
      <c r="A656" s="6" t="n">
        <v>625</v>
      </c>
      <c r="B656" s="7" t="inlineStr">
        <is>
          <t>Trụ T1, T2 (Xà mũ trụ)</t>
        </is>
      </c>
      <c r="C656" s="7" t="inlineStr">
        <is>
          <t>Xà mũ trụ</t>
        </is>
      </c>
      <c r="D656" s="18" t="inlineStr">
        <is>
          <t>g5</t>
        </is>
      </c>
      <c r="E656" s="19" t="n">
        <v>8</v>
      </c>
      <c r="F656" s="6" t="inlineStr">
        <is>
          <t>CB240-T</t>
        </is>
      </c>
      <c r="G656" s="7" t="inlineStr">
        <is>
          <t>S01</t>
        </is>
      </c>
      <c r="H656" s="20" t="n">
        <v>0.6899999999999999</v>
      </c>
      <c r="I656" s="21" t="n">
        <v>200</v>
      </c>
      <c r="J656" s="22" t="n">
        <v>0.395</v>
      </c>
      <c r="K656" s="9">
        <f>ROUND(H656*I656*J656, 2)</f>
        <v/>
      </c>
      <c r="L656" s="23">
        <f>ROUND(K656/1000, 3)</f>
        <v/>
      </c>
      <c r="M656" s="8" t="n"/>
      <c r="N656" s="6" t="n"/>
      <c r="O656" s="24">
        <f>IF(AND(E656&lt;=10, F656&lt;&gt;"ASTM A416", INT(P656/20)&gt;INT(P655/20)), "TN Ø10 (Lần " &amp; INT(P656/20) &amp; ")", IF(AND(E656=12, INT(Q656/20)&gt;INT(Q655/20)), "TN Ø12 (Lần " &amp; INT(Q656/20) &amp; ")", IF(AND(E656=14, INT(R656/20)&gt;INT(R655/20)), "TN Ø14 (Lần " &amp; INT(R656/20) &amp; ")", IF(AND(E656=16, INT(S656/20)&gt;INT(S655/20)), "TN Ø16 (Lần " &amp; INT(S656/20) &amp; ")", IF(AND(E656=18, INT(T656/20)&gt;INT(T655/20)), "TN Ø18 (Lần " &amp; INT(T656/20) &amp; ")", IF(AND(E656=20, INT(U656/20)&gt;INT(U655/20)), "TN Ø20 (Lần " &amp; INT(U656/20) &amp; ")", IF(AND(E656=22, INT(V656/20)&gt;INT(V655/20)), "TN Ø22 (Lần " &amp; INT(V656/20) &amp; ")", IF(AND(E656=25, INT(W656/20)&gt;INT(W655/20)), "TN Ø25 (Lần " &amp; INT(W656/20) &amp; ")", IF(AND(E656=28, INT(X656/20)&gt;INT(X655/20)), "TN Ø28 (Lần " &amp; INT(X656/20) &amp; ")", IF(AND(E656=32, INT(Y656/20)&gt;INT(Y655/20)), "TN Ø32 (Lần " &amp; INT(Y656/20) &amp; ")", IF(AND(F656="ASTM A416", INT(Z656/20)&gt;INT(Z655/20)), "TN Cáp 15.2 (Lần " &amp; INT(Z656/20) &amp; ")", "")))))))))))</f>
        <v/>
      </c>
      <c r="P656" s="20">
        <f>ROUND(P655 + IF(AND(E656&lt;=10, F656&lt;&gt;"ASTM A416"), L656, 0), 3)</f>
        <v/>
      </c>
      <c r="Q656" s="20">
        <f>ROUND(Q655 + IF(AND(E656=12, F656&lt;&gt;"ASTM A416"), L656, 0), 3)</f>
        <v/>
      </c>
      <c r="R656" s="20">
        <f>ROUND(R655 + IF(AND(E656=14, F656&lt;&gt;"ASTM A416"), L656, 0), 3)</f>
        <v/>
      </c>
      <c r="S656" s="20">
        <f>ROUND(S655 + IF(AND(E656=16, F656&lt;&gt;"ASTM A416"), L656, 0), 3)</f>
        <v/>
      </c>
      <c r="T656" s="20">
        <f>ROUND(T655 + IF(AND(E656=18, F656&lt;&gt;"ASTM A416"), L656, 0), 3)</f>
        <v/>
      </c>
      <c r="U656" s="20">
        <f>ROUND(U655 + IF(AND(E656=20, F656&lt;&gt;"ASTM A416"), L656, 0), 3)</f>
        <v/>
      </c>
      <c r="V656" s="20">
        <f>ROUND(V655 + IF(AND(E656=22, F656&lt;&gt;"ASTM A416"), L656, 0), 3)</f>
        <v/>
      </c>
      <c r="W656" s="20">
        <f>ROUND(W655 + IF(AND(E656=25, F656&lt;&gt;"ASTM A416"), L656, 0), 3)</f>
        <v/>
      </c>
      <c r="X656" s="20">
        <f>ROUND(X655 + IF(AND(E656=28, F656&lt;&gt;"ASTM A416"), L656, 0), 3)</f>
        <v/>
      </c>
      <c r="Y656" s="20">
        <f>ROUND(Y655 + IF(AND(E656=32, F656&lt;&gt;"ASTM A416"), L656, 0), 3)</f>
        <v/>
      </c>
      <c r="Z656" s="20">
        <f>ROUND(Z655 + IF(F656="ASTM A416", L656, 0), 3)</f>
        <v/>
      </c>
      <c r="AA656" s="11">
        <f>IF(INT(P656/20)&gt;INT(P655/20), "Lần " &amp; INT(P656/20), "")</f>
        <v/>
      </c>
      <c r="AB656" s="11">
        <f>IF(INT(Q656/20)&gt;INT(Q655/20), "Lần " &amp; INT(Q656/20), "")</f>
        <v/>
      </c>
      <c r="AC656" s="11">
        <f>IF(INT(R656/20)&gt;INT(R655/20), "Lần " &amp; INT(R656/20), "")</f>
        <v/>
      </c>
      <c r="AD656" s="11">
        <f>IF(INT(S656/20)&gt;INT(S655/20), "Lần " &amp; INT(S656/20), "")</f>
        <v/>
      </c>
      <c r="AE656" s="11">
        <f>IF(INT(T656/20)&gt;INT(T655/20), "Lần " &amp; INT(T656/20), "")</f>
        <v/>
      </c>
      <c r="AF656" s="11">
        <f>IF(INT(U656/20)&gt;INT(U655/20), "Lần " &amp; INT(U656/20), "")</f>
        <v/>
      </c>
      <c r="AG656" s="11">
        <f>IF(INT(V656/20)&gt;INT(V655/20), "Lần " &amp; INT(V656/20), "")</f>
        <v/>
      </c>
      <c r="AH656" s="11">
        <f>IF(INT(W656/20)&gt;INT(W655/20), "Lần " &amp; INT(W656/20), "")</f>
        <v/>
      </c>
      <c r="AI656" s="11">
        <f>IF(INT(X656/20)&gt;INT(X655/20), "Lần " &amp; INT(X656/20), "")</f>
        <v/>
      </c>
      <c r="AJ656" s="11">
        <f>IF(INT(Y656/20)&gt;INT(Y655/20), "Lần " &amp; INT(Y656/20), "")</f>
        <v/>
      </c>
      <c r="AK656" s="11">
        <f>IF(INT(Z656/20)&gt;INT(Z655/20), "Lần " &amp; INT(Z656/20), "")</f>
        <v/>
      </c>
      <c r="AL656" s="6" t="inlineStr">
        <is>
          <t>ĐẠT TCVN 1651:2018</t>
        </is>
      </c>
    </row>
    <row r="657" ht="19" customHeight="1">
      <c r="A657" s="6" t="n">
        <v>626</v>
      </c>
      <c r="B657" s="7" t="inlineStr">
        <is>
          <t>Trụ T1, T2 (Xà mũ trụ)</t>
        </is>
      </c>
      <c r="C657" s="7" t="inlineStr">
        <is>
          <t>ô chèng chuyÓn vÞ</t>
        </is>
      </c>
      <c r="D657" s="18" t="inlineStr">
        <is>
          <t>U1</t>
        </is>
      </c>
      <c r="E657" s="19" t="n">
        <v>16</v>
      </c>
      <c r="F657" s="6" t="inlineStr">
        <is>
          <t>CB400-V</t>
        </is>
      </c>
      <c r="G657" s="7" t="inlineStr">
        <is>
          <t>S06</t>
        </is>
      </c>
      <c r="H657" s="20" t="n">
        <v>3.098</v>
      </c>
      <c r="I657" s="21" t="n">
        <v>56</v>
      </c>
      <c r="J657" s="22" t="n">
        <v>1.58</v>
      </c>
      <c r="K657" s="9">
        <f>ROUND(H657*I657*J657, 2)</f>
        <v/>
      </c>
      <c r="L657" s="23">
        <f>ROUND(K657/1000, 3)</f>
        <v/>
      </c>
      <c r="M657" s="8" t="n"/>
      <c r="N657" s="6" t="n"/>
      <c r="O657" s="24">
        <f>IF(AND(E657&lt;=10, F657&lt;&gt;"ASTM A416", INT(P657/20)&gt;INT(P656/20)), "TN Ø10 (Lần " &amp; INT(P657/20) &amp; ")", IF(AND(E657=12, INT(Q657/20)&gt;INT(Q656/20)), "TN Ø12 (Lần " &amp; INT(Q657/20) &amp; ")", IF(AND(E657=14, INT(R657/20)&gt;INT(R656/20)), "TN Ø14 (Lần " &amp; INT(R657/20) &amp; ")", IF(AND(E657=16, INT(S657/20)&gt;INT(S656/20)), "TN Ø16 (Lần " &amp; INT(S657/20) &amp; ")", IF(AND(E657=18, INT(T657/20)&gt;INT(T656/20)), "TN Ø18 (Lần " &amp; INT(T657/20) &amp; ")", IF(AND(E657=20, INT(U657/20)&gt;INT(U656/20)), "TN Ø20 (Lần " &amp; INT(U657/20) &amp; ")", IF(AND(E657=22, INT(V657/20)&gt;INT(V656/20)), "TN Ø22 (Lần " &amp; INT(V657/20) &amp; ")", IF(AND(E657=25, INT(W657/20)&gt;INT(W656/20)), "TN Ø25 (Lần " &amp; INT(W657/20) &amp; ")", IF(AND(E657=28, INT(X657/20)&gt;INT(X656/20)), "TN Ø28 (Lần " &amp; INT(X657/20) &amp; ")", IF(AND(E657=32, INT(Y657/20)&gt;INT(Y656/20)), "TN Ø32 (Lần " &amp; INT(Y657/20) &amp; ")", IF(AND(F657="ASTM A416", INT(Z657/20)&gt;INT(Z656/20)), "TN Cáp 15.2 (Lần " &amp; INT(Z657/20) &amp; ")", "")))))))))))</f>
        <v/>
      </c>
      <c r="P657" s="20">
        <f>ROUND(P656 + IF(AND(E657&lt;=10, F657&lt;&gt;"ASTM A416"), L657, 0), 3)</f>
        <v/>
      </c>
      <c r="Q657" s="20">
        <f>ROUND(Q656 + IF(AND(E657=12, F657&lt;&gt;"ASTM A416"), L657, 0), 3)</f>
        <v/>
      </c>
      <c r="R657" s="20">
        <f>ROUND(R656 + IF(AND(E657=14, F657&lt;&gt;"ASTM A416"), L657, 0), 3)</f>
        <v/>
      </c>
      <c r="S657" s="20">
        <f>ROUND(S656 + IF(AND(E657=16, F657&lt;&gt;"ASTM A416"), L657, 0), 3)</f>
        <v/>
      </c>
      <c r="T657" s="20">
        <f>ROUND(T656 + IF(AND(E657=18, F657&lt;&gt;"ASTM A416"), L657, 0), 3)</f>
        <v/>
      </c>
      <c r="U657" s="20">
        <f>ROUND(U656 + IF(AND(E657=20, F657&lt;&gt;"ASTM A416"), L657, 0), 3)</f>
        <v/>
      </c>
      <c r="V657" s="20">
        <f>ROUND(V656 + IF(AND(E657=22, F657&lt;&gt;"ASTM A416"), L657, 0), 3)</f>
        <v/>
      </c>
      <c r="W657" s="20">
        <f>ROUND(W656 + IF(AND(E657=25, F657&lt;&gt;"ASTM A416"), L657, 0), 3)</f>
        <v/>
      </c>
      <c r="X657" s="20">
        <f>ROUND(X656 + IF(AND(E657=28, F657&lt;&gt;"ASTM A416"), L657, 0), 3)</f>
        <v/>
      </c>
      <c r="Y657" s="20">
        <f>ROUND(Y656 + IF(AND(E657=32, F657&lt;&gt;"ASTM A416"), L657, 0), 3)</f>
        <v/>
      </c>
      <c r="Z657" s="20">
        <f>ROUND(Z656 + IF(F657="ASTM A416", L657, 0), 3)</f>
        <v/>
      </c>
      <c r="AA657" s="11">
        <f>IF(INT(P657/20)&gt;INT(P656/20), "Lần " &amp; INT(P657/20), "")</f>
        <v/>
      </c>
      <c r="AB657" s="11">
        <f>IF(INT(Q657/20)&gt;INT(Q656/20), "Lần " &amp; INT(Q657/20), "")</f>
        <v/>
      </c>
      <c r="AC657" s="11">
        <f>IF(INT(R657/20)&gt;INT(R656/20), "Lần " &amp; INT(R657/20), "")</f>
        <v/>
      </c>
      <c r="AD657" s="11">
        <f>IF(INT(S657/20)&gt;INT(S656/20), "Lần " &amp; INT(S657/20), "")</f>
        <v/>
      </c>
      <c r="AE657" s="11">
        <f>IF(INT(T657/20)&gt;INT(T656/20), "Lần " &amp; INT(T657/20), "")</f>
        <v/>
      </c>
      <c r="AF657" s="11">
        <f>IF(INT(U657/20)&gt;INT(U656/20), "Lần " &amp; INT(U657/20), "")</f>
        <v/>
      </c>
      <c r="AG657" s="11">
        <f>IF(INT(V657/20)&gt;INT(V656/20), "Lần " &amp; INT(V657/20), "")</f>
        <v/>
      </c>
      <c r="AH657" s="11">
        <f>IF(INT(W657/20)&gt;INT(W656/20), "Lần " &amp; INT(W657/20), "")</f>
        <v/>
      </c>
      <c r="AI657" s="11">
        <f>IF(INT(X657/20)&gt;INT(X656/20), "Lần " &amp; INT(X657/20), "")</f>
        <v/>
      </c>
      <c r="AJ657" s="11">
        <f>IF(INT(Y657/20)&gt;INT(Y656/20), "Lần " &amp; INT(Y657/20), "")</f>
        <v/>
      </c>
      <c r="AK657" s="11">
        <f>IF(INT(Z657/20)&gt;INT(Z656/20), "Lần " &amp; INT(Z657/20), "")</f>
        <v/>
      </c>
      <c r="AL657" s="6" t="inlineStr">
        <is>
          <t>ĐẠT TCVN 1651:2018</t>
        </is>
      </c>
    </row>
    <row r="658" ht="19" customHeight="1">
      <c r="A658" s="6" t="n">
        <v>627</v>
      </c>
      <c r="B658" s="7" t="inlineStr">
        <is>
          <t>Trụ T1, T2 (Xà mũ trụ)</t>
        </is>
      </c>
      <c r="C658" s="7" t="inlineStr">
        <is>
          <t>Xà mũ trụ</t>
        </is>
      </c>
      <c r="D658" s="18" t="inlineStr">
        <is>
          <t>U2</t>
        </is>
      </c>
      <c r="E658" s="19" t="n">
        <v>16</v>
      </c>
      <c r="F658" s="6" t="inlineStr">
        <is>
          <t>CB400-V</t>
        </is>
      </c>
      <c r="G658" s="7" t="inlineStr">
        <is>
          <t>S06</t>
        </is>
      </c>
      <c r="H658" s="20" t="n">
        <v>2.798</v>
      </c>
      <c r="I658" s="21" t="n">
        <v>80</v>
      </c>
      <c r="J658" s="22" t="n">
        <v>1.58</v>
      </c>
      <c r="K658" s="9">
        <f>ROUND(H658*I658*J658, 2)</f>
        <v/>
      </c>
      <c r="L658" s="23">
        <f>ROUND(K658/1000, 3)</f>
        <v/>
      </c>
      <c r="M658" s="8" t="n"/>
      <c r="N658" s="6" t="n"/>
      <c r="O658" s="24">
        <f>IF(AND(E658&lt;=10, F658&lt;&gt;"ASTM A416", INT(P658/20)&gt;INT(P657/20)), "TN Ø10 (Lần " &amp; INT(P658/20) &amp; ")", IF(AND(E658=12, INT(Q658/20)&gt;INT(Q657/20)), "TN Ø12 (Lần " &amp; INT(Q658/20) &amp; ")", IF(AND(E658=14, INT(R658/20)&gt;INT(R657/20)), "TN Ø14 (Lần " &amp; INT(R658/20) &amp; ")", IF(AND(E658=16, INT(S658/20)&gt;INT(S657/20)), "TN Ø16 (Lần " &amp; INT(S658/20) &amp; ")", IF(AND(E658=18, INT(T658/20)&gt;INT(T657/20)), "TN Ø18 (Lần " &amp; INT(T658/20) &amp; ")", IF(AND(E658=20, INT(U658/20)&gt;INT(U657/20)), "TN Ø20 (Lần " &amp; INT(U658/20) &amp; ")", IF(AND(E658=22, INT(V658/20)&gt;INT(V657/20)), "TN Ø22 (Lần " &amp; INT(V658/20) &amp; ")", IF(AND(E658=25, INT(W658/20)&gt;INT(W657/20)), "TN Ø25 (Lần " &amp; INT(W658/20) &amp; ")", IF(AND(E658=28, INT(X658/20)&gt;INT(X657/20)), "TN Ø28 (Lần " &amp; INT(X658/20) &amp; ")", IF(AND(E658=32, INT(Y658/20)&gt;INT(Y657/20)), "TN Ø32 (Lần " &amp; INT(Y658/20) &amp; ")", IF(AND(F658="ASTM A416", INT(Z658/20)&gt;INT(Z657/20)), "TN Cáp 15.2 (Lần " &amp; INT(Z658/20) &amp; ")", "")))))))))))</f>
        <v/>
      </c>
      <c r="P658" s="20">
        <f>ROUND(P657 + IF(AND(E658&lt;=10, F658&lt;&gt;"ASTM A416"), L658, 0), 3)</f>
        <v/>
      </c>
      <c r="Q658" s="20">
        <f>ROUND(Q657 + IF(AND(E658=12, F658&lt;&gt;"ASTM A416"), L658, 0), 3)</f>
        <v/>
      </c>
      <c r="R658" s="20">
        <f>ROUND(R657 + IF(AND(E658=14, F658&lt;&gt;"ASTM A416"), L658, 0), 3)</f>
        <v/>
      </c>
      <c r="S658" s="20">
        <f>ROUND(S657 + IF(AND(E658=16, F658&lt;&gt;"ASTM A416"), L658, 0), 3)</f>
        <v/>
      </c>
      <c r="T658" s="20">
        <f>ROUND(T657 + IF(AND(E658=18, F658&lt;&gt;"ASTM A416"), L658, 0), 3)</f>
        <v/>
      </c>
      <c r="U658" s="20">
        <f>ROUND(U657 + IF(AND(E658=20, F658&lt;&gt;"ASTM A416"), L658, 0), 3)</f>
        <v/>
      </c>
      <c r="V658" s="20">
        <f>ROUND(V657 + IF(AND(E658=22, F658&lt;&gt;"ASTM A416"), L658, 0), 3)</f>
        <v/>
      </c>
      <c r="W658" s="20">
        <f>ROUND(W657 + IF(AND(E658=25, F658&lt;&gt;"ASTM A416"), L658, 0), 3)</f>
        <v/>
      </c>
      <c r="X658" s="20">
        <f>ROUND(X657 + IF(AND(E658=28, F658&lt;&gt;"ASTM A416"), L658, 0), 3)</f>
        <v/>
      </c>
      <c r="Y658" s="20">
        <f>ROUND(Y657 + IF(AND(E658=32, F658&lt;&gt;"ASTM A416"), L658, 0), 3)</f>
        <v/>
      </c>
      <c r="Z658" s="20">
        <f>ROUND(Z657 + IF(F658="ASTM A416", L658, 0), 3)</f>
        <v/>
      </c>
      <c r="AA658" s="11">
        <f>IF(INT(P658/20)&gt;INT(P657/20), "Lần " &amp; INT(P658/20), "")</f>
        <v/>
      </c>
      <c r="AB658" s="11">
        <f>IF(INT(Q658/20)&gt;INT(Q657/20), "Lần " &amp; INT(Q658/20), "")</f>
        <v/>
      </c>
      <c r="AC658" s="11">
        <f>IF(INT(R658/20)&gt;INT(R657/20), "Lần " &amp; INT(R658/20), "")</f>
        <v/>
      </c>
      <c r="AD658" s="11">
        <f>IF(INT(S658/20)&gt;INT(S657/20), "Lần " &amp; INT(S658/20), "")</f>
        <v/>
      </c>
      <c r="AE658" s="11">
        <f>IF(INT(T658/20)&gt;INT(T657/20), "Lần " &amp; INT(T658/20), "")</f>
        <v/>
      </c>
      <c r="AF658" s="11">
        <f>IF(INT(U658/20)&gt;INT(U657/20), "Lần " &amp; INT(U658/20), "")</f>
        <v/>
      </c>
      <c r="AG658" s="11">
        <f>IF(INT(V658/20)&gt;INT(V657/20), "Lần " &amp; INT(V658/20), "")</f>
        <v/>
      </c>
      <c r="AH658" s="11">
        <f>IF(INT(W658/20)&gt;INT(W657/20), "Lần " &amp; INT(W658/20), "")</f>
        <v/>
      </c>
      <c r="AI658" s="11">
        <f>IF(INT(X658/20)&gt;INT(X657/20), "Lần " &amp; INT(X658/20), "")</f>
        <v/>
      </c>
      <c r="AJ658" s="11">
        <f>IF(INT(Y658/20)&gt;INT(Y657/20), "Lần " &amp; INT(Y658/20), "")</f>
        <v/>
      </c>
      <c r="AK658" s="11">
        <f>IF(INT(Z658/20)&gt;INT(Z657/20), "Lần " &amp; INT(Z658/20), "")</f>
        <v/>
      </c>
      <c r="AL658" s="6" t="inlineStr">
        <is>
          <t>ĐẠT TCVN 1651:2018</t>
        </is>
      </c>
    </row>
    <row r="659" ht="19" customHeight="1">
      <c r="A659" s="6" t="n">
        <v>628</v>
      </c>
      <c r="B659" s="7" t="inlineStr">
        <is>
          <t>Trụ T1, T2 (Xà mũ trụ)</t>
        </is>
      </c>
      <c r="C659" s="7" t="inlineStr">
        <is>
          <t>Xà mũ trụ</t>
        </is>
      </c>
      <c r="D659" s="18" t="inlineStr">
        <is>
          <t>U3</t>
        </is>
      </c>
      <c r="E659" s="19" t="n">
        <v>16</v>
      </c>
      <c r="F659" s="6" t="inlineStr">
        <is>
          <t>CB400-V</t>
        </is>
      </c>
      <c r="G659" s="7" t="inlineStr">
        <is>
          <t>S51</t>
        </is>
      </c>
      <c r="H659" s="20" t="n">
        <v>3.256</v>
      </c>
      <c r="I659" s="21" t="n">
        <v>56</v>
      </c>
      <c r="J659" s="22" t="n">
        <v>1.58</v>
      </c>
      <c r="K659" s="9">
        <f>ROUND(H659*I659*J659, 2)</f>
        <v/>
      </c>
      <c r="L659" s="23">
        <f>ROUND(K659/1000, 3)</f>
        <v/>
      </c>
      <c r="M659" s="8" t="n"/>
      <c r="N659" s="6" t="n"/>
      <c r="O659" s="24">
        <f>IF(AND(E659&lt;=10, F659&lt;&gt;"ASTM A416", INT(P659/20)&gt;INT(P658/20)), "TN Ø10 (Lần " &amp; INT(P659/20) &amp; ")", IF(AND(E659=12, INT(Q659/20)&gt;INT(Q658/20)), "TN Ø12 (Lần " &amp; INT(Q659/20) &amp; ")", IF(AND(E659=14, INT(R659/20)&gt;INT(R658/20)), "TN Ø14 (Lần " &amp; INT(R659/20) &amp; ")", IF(AND(E659=16, INT(S659/20)&gt;INT(S658/20)), "TN Ø16 (Lần " &amp; INT(S659/20) &amp; ")", IF(AND(E659=18, INT(T659/20)&gt;INT(T658/20)), "TN Ø18 (Lần " &amp; INT(T659/20) &amp; ")", IF(AND(E659=20, INT(U659/20)&gt;INT(U658/20)), "TN Ø20 (Lần " &amp; INT(U659/20) &amp; ")", IF(AND(E659=22, INT(V659/20)&gt;INT(V658/20)), "TN Ø22 (Lần " &amp; INT(V659/20) &amp; ")", IF(AND(E659=25, INT(W659/20)&gt;INT(W658/20)), "TN Ø25 (Lần " &amp; INT(W659/20) &amp; ")", IF(AND(E659=28, INT(X659/20)&gt;INT(X658/20)), "TN Ø28 (Lần " &amp; INT(X659/20) &amp; ")", IF(AND(E659=32, INT(Y659/20)&gt;INT(Y658/20)), "TN Ø32 (Lần " &amp; INT(Y659/20) &amp; ")", IF(AND(F659="ASTM A416", INT(Z659/20)&gt;INT(Z658/20)), "TN Cáp 15.2 (Lần " &amp; INT(Z659/20) &amp; ")", "")))))))))))</f>
        <v/>
      </c>
      <c r="P659" s="20">
        <f>ROUND(P658 + IF(AND(E659&lt;=10, F659&lt;&gt;"ASTM A416"), L659, 0), 3)</f>
        <v/>
      </c>
      <c r="Q659" s="20">
        <f>ROUND(Q658 + IF(AND(E659=12, F659&lt;&gt;"ASTM A416"), L659, 0), 3)</f>
        <v/>
      </c>
      <c r="R659" s="20">
        <f>ROUND(R658 + IF(AND(E659=14, F659&lt;&gt;"ASTM A416"), L659, 0), 3)</f>
        <v/>
      </c>
      <c r="S659" s="20">
        <f>ROUND(S658 + IF(AND(E659=16, F659&lt;&gt;"ASTM A416"), L659, 0), 3)</f>
        <v/>
      </c>
      <c r="T659" s="20">
        <f>ROUND(T658 + IF(AND(E659=18, F659&lt;&gt;"ASTM A416"), L659, 0), 3)</f>
        <v/>
      </c>
      <c r="U659" s="20">
        <f>ROUND(U658 + IF(AND(E659=20, F659&lt;&gt;"ASTM A416"), L659, 0), 3)</f>
        <v/>
      </c>
      <c r="V659" s="20">
        <f>ROUND(V658 + IF(AND(E659=22, F659&lt;&gt;"ASTM A416"), L659, 0), 3)</f>
        <v/>
      </c>
      <c r="W659" s="20">
        <f>ROUND(W658 + IF(AND(E659=25, F659&lt;&gt;"ASTM A416"), L659, 0), 3)</f>
        <v/>
      </c>
      <c r="X659" s="20">
        <f>ROUND(X658 + IF(AND(E659=28, F659&lt;&gt;"ASTM A416"), L659, 0), 3)</f>
        <v/>
      </c>
      <c r="Y659" s="20">
        <f>ROUND(Y658 + IF(AND(E659=32, F659&lt;&gt;"ASTM A416"), L659, 0), 3)</f>
        <v/>
      </c>
      <c r="Z659" s="20">
        <f>ROUND(Z658 + IF(F659="ASTM A416", L659, 0), 3)</f>
        <v/>
      </c>
      <c r="AA659" s="11">
        <f>IF(INT(P659/20)&gt;INT(P658/20), "Lần " &amp; INT(P659/20), "")</f>
        <v/>
      </c>
      <c r="AB659" s="11">
        <f>IF(INT(Q659/20)&gt;INT(Q658/20), "Lần " &amp; INT(Q659/20), "")</f>
        <v/>
      </c>
      <c r="AC659" s="11">
        <f>IF(INT(R659/20)&gt;INT(R658/20), "Lần " &amp; INT(R659/20), "")</f>
        <v/>
      </c>
      <c r="AD659" s="11">
        <f>IF(INT(S659/20)&gt;INT(S658/20), "Lần " &amp; INT(S659/20), "")</f>
        <v/>
      </c>
      <c r="AE659" s="11">
        <f>IF(INT(T659/20)&gt;INT(T658/20), "Lần " &amp; INT(T659/20), "")</f>
        <v/>
      </c>
      <c r="AF659" s="11">
        <f>IF(INT(U659/20)&gt;INT(U658/20), "Lần " &amp; INT(U659/20), "")</f>
        <v/>
      </c>
      <c r="AG659" s="11">
        <f>IF(INT(V659/20)&gt;INT(V658/20), "Lần " &amp; INT(V659/20), "")</f>
        <v/>
      </c>
      <c r="AH659" s="11">
        <f>IF(INT(W659/20)&gt;INT(W658/20), "Lần " &amp; INT(W659/20), "")</f>
        <v/>
      </c>
      <c r="AI659" s="11">
        <f>IF(INT(X659/20)&gt;INT(X658/20), "Lần " &amp; INT(X659/20), "")</f>
        <v/>
      </c>
      <c r="AJ659" s="11">
        <f>IF(INT(Y659/20)&gt;INT(Y658/20), "Lần " &amp; INT(Y659/20), "")</f>
        <v/>
      </c>
      <c r="AK659" s="11">
        <f>IF(INT(Z659/20)&gt;INT(Z658/20), "Lần " &amp; INT(Z659/20), "")</f>
        <v/>
      </c>
      <c r="AL659" s="6" t="inlineStr">
        <is>
          <t>ĐẠT TCVN 1651:2018</t>
        </is>
      </c>
    </row>
    <row r="660" ht="19" customHeight="1">
      <c r="A660" s="6" t="n">
        <v>629</v>
      </c>
      <c r="B660" s="7" t="inlineStr">
        <is>
          <t>Trụ T1, T2 (Xà mũ trụ)</t>
        </is>
      </c>
      <c r="C660" s="7" t="inlineStr">
        <is>
          <t>Xà mũ trụ</t>
        </is>
      </c>
      <c r="D660" s="18" t="inlineStr">
        <is>
          <t>U4</t>
        </is>
      </c>
      <c r="E660" s="19" t="n">
        <v>8</v>
      </c>
      <c r="F660" s="6" t="inlineStr">
        <is>
          <t>CB240-T</t>
        </is>
      </c>
      <c r="G660" s="7" t="inlineStr">
        <is>
          <t>S32</t>
        </is>
      </c>
      <c r="H660" s="20" t="n">
        <v>1.837</v>
      </c>
      <c r="I660" s="21" t="n">
        <v>24</v>
      </c>
      <c r="J660" s="22" t="n">
        <v>0.395</v>
      </c>
      <c r="K660" s="9">
        <f>ROUND(H660*I660*J660, 2)</f>
        <v/>
      </c>
      <c r="L660" s="23">
        <f>ROUND(K660/1000, 3)</f>
        <v/>
      </c>
      <c r="M660" s="8" t="n"/>
      <c r="N660" s="6" t="n"/>
      <c r="O660" s="24">
        <f>IF(AND(E660&lt;=10, F660&lt;&gt;"ASTM A416", INT(P660/20)&gt;INT(P659/20)), "TN Ø10 (Lần " &amp; INT(P660/20) &amp; ")", IF(AND(E660=12, INT(Q660/20)&gt;INT(Q659/20)), "TN Ø12 (Lần " &amp; INT(Q660/20) &amp; ")", IF(AND(E660=14, INT(R660/20)&gt;INT(R659/20)), "TN Ø14 (Lần " &amp; INT(R660/20) &amp; ")", IF(AND(E660=16, INT(S660/20)&gt;INT(S659/20)), "TN Ø16 (Lần " &amp; INT(S660/20) &amp; ")", IF(AND(E660=18, INT(T660/20)&gt;INT(T659/20)), "TN Ø18 (Lần " &amp; INT(T660/20) &amp; ")", IF(AND(E660=20, INT(U660/20)&gt;INT(U659/20)), "TN Ø20 (Lần " &amp; INT(U660/20) &amp; ")", IF(AND(E660=22, INT(V660/20)&gt;INT(V659/20)), "TN Ø22 (Lần " &amp; INT(V660/20) &amp; ")", IF(AND(E660=25, INT(W660/20)&gt;INT(W659/20)), "TN Ø25 (Lần " &amp; INT(W660/20) &amp; ")", IF(AND(E660=28, INT(X660/20)&gt;INT(X659/20)), "TN Ø28 (Lần " &amp; INT(X660/20) &amp; ")", IF(AND(E660=32, INT(Y660/20)&gt;INT(Y659/20)), "TN Ø32 (Lần " &amp; INT(Y660/20) &amp; ")", IF(AND(F660="ASTM A416", INT(Z660/20)&gt;INT(Z659/20)), "TN Cáp 15.2 (Lần " &amp; INT(Z660/20) &amp; ")", "")))))))))))</f>
        <v/>
      </c>
      <c r="P660" s="20">
        <f>ROUND(P659 + IF(AND(E660&lt;=10, F660&lt;&gt;"ASTM A416"), L660, 0), 3)</f>
        <v/>
      </c>
      <c r="Q660" s="20">
        <f>ROUND(Q659 + IF(AND(E660=12, F660&lt;&gt;"ASTM A416"), L660, 0), 3)</f>
        <v/>
      </c>
      <c r="R660" s="20">
        <f>ROUND(R659 + IF(AND(E660=14, F660&lt;&gt;"ASTM A416"), L660, 0), 3)</f>
        <v/>
      </c>
      <c r="S660" s="20">
        <f>ROUND(S659 + IF(AND(E660=16, F660&lt;&gt;"ASTM A416"), L660, 0), 3)</f>
        <v/>
      </c>
      <c r="T660" s="20">
        <f>ROUND(T659 + IF(AND(E660=18, F660&lt;&gt;"ASTM A416"), L660, 0), 3)</f>
        <v/>
      </c>
      <c r="U660" s="20">
        <f>ROUND(U659 + IF(AND(E660=20, F660&lt;&gt;"ASTM A416"), L660, 0), 3)</f>
        <v/>
      </c>
      <c r="V660" s="20">
        <f>ROUND(V659 + IF(AND(E660=22, F660&lt;&gt;"ASTM A416"), L660, 0), 3)</f>
        <v/>
      </c>
      <c r="W660" s="20">
        <f>ROUND(W659 + IF(AND(E660=25, F660&lt;&gt;"ASTM A416"), L660, 0), 3)</f>
        <v/>
      </c>
      <c r="X660" s="20">
        <f>ROUND(X659 + IF(AND(E660=28, F660&lt;&gt;"ASTM A416"), L660, 0), 3)</f>
        <v/>
      </c>
      <c r="Y660" s="20">
        <f>ROUND(Y659 + IF(AND(E660=32, F660&lt;&gt;"ASTM A416"), L660, 0), 3)</f>
        <v/>
      </c>
      <c r="Z660" s="20">
        <f>ROUND(Z659 + IF(F660="ASTM A416", L660, 0), 3)</f>
        <v/>
      </c>
      <c r="AA660" s="11">
        <f>IF(INT(P660/20)&gt;INT(P659/20), "Lần " &amp; INT(P660/20), "")</f>
        <v/>
      </c>
      <c r="AB660" s="11">
        <f>IF(INT(Q660/20)&gt;INT(Q659/20), "Lần " &amp; INT(Q660/20), "")</f>
        <v/>
      </c>
      <c r="AC660" s="11">
        <f>IF(INT(R660/20)&gt;INT(R659/20), "Lần " &amp; INT(R660/20), "")</f>
        <v/>
      </c>
      <c r="AD660" s="11">
        <f>IF(INT(S660/20)&gt;INT(S659/20), "Lần " &amp; INT(S660/20), "")</f>
        <v/>
      </c>
      <c r="AE660" s="11">
        <f>IF(INT(T660/20)&gt;INT(T659/20), "Lần " &amp; INT(T660/20), "")</f>
        <v/>
      </c>
      <c r="AF660" s="11">
        <f>IF(INT(U660/20)&gt;INT(U659/20), "Lần " &amp; INT(U660/20), "")</f>
        <v/>
      </c>
      <c r="AG660" s="11">
        <f>IF(INT(V660/20)&gt;INT(V659/20), "Lần " &amp; INT(V660/20), "")</f>
        <v/>
      </c>
      <c r="AH660" s="11">
        <f>IF(INT(W660/20)&gt;INT(W659/20), "Lần " &amp; INT(W660/20), "")</f>
        <v/>
      </c>
      <c r="AI660" s="11">
        <f>IF(INT(X660/20)&gt;INT(X659/20), "Lần " &amp; INT(X660/20), "")</f>
        <v/>
      </c>
      <c r="AJ660" s="11">
        <f>IF(INT(Y660/20)&gt;INT(Y659/20), "Lần " &amp; INT(Y660/20), "")</f>
        <v/>
      </c>
      <c r="AK660" s="11">
        <f>IF(INT(Z660/20)&gt;INT(Z659/20), "Lần " &amp; INT(Z660/20), "")</f>
        <v/>
      </c>
      <c r="AL660" s="6" t="inlineStr">
        <is>
          <t>ĐẠT TCVN 1651:2018</t>
        </is>
      </c>
    </row>
    <row r="661" ht="23" customHeight="1">
      <c r="A661" s="16" t="inlineStr">
        <is>
          <t>03. KẾT CẤU PHẦN TRÊN (SUPERSTRUCTURE)</t>
        </is>
      </c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  <c r="AD661" s="5" t="n"/>
      <c r="AE661" s="5" t="n"/>
      <c r="AF661" s="5" t="n"/>
      <c r="AG661" s="5" t="n"/>
      <c r="AH661" s="5" t="n"/>
      <c r="AI661" s="5" t="n"/>
      <c r="AJ661" s="5" t="n"/>
      <c r="AK661" s="5" t="n"/>
      <c r="AL661" s="5" t="n"/>
    </row>
    <row r="662" ht="19" customHeight="1">
      <c r="A662" s="6" t="n">
        <v>630</v>
      </c>
      <c r="B662" s="7" t="inlineStr">
        <is>
          <t>Dầm chủ Super-T (15 phiến L=38.2m)</t>
        </is>
      </c>
      <c r="C662" s="7" t="inlineStr">
        <is>
          <t>Sườn dầm / Cánh dầm</t>
        </is>
      </c>
      <c r="D662" s="18" t="inlineStr">
        <is>
          <t>G1a</t>
        </is>
      </c>
      <c r="E662" s="19" t="n">
        <v>16</v>
      </c>
      <c r="F662" s="6" t="inlineStr">
        <is>
          <t>CB400-V</t>
        </is>
      </c>
      <c r="G662" s="7" t="inlineStr">
        <is>
          <t>S06</t>
        </is>
      </c>
      <c r="H662" s="20" t="n">
        <v>5.056</v>
      </c>
      <c r="I662" s="21" t="n">
        <v>2160</v>
      </c>
      <c r="J662" s="22" t="n">
        <v>1.58</v>
      </c>
      <c r="K662" s="9">
        <f>ROUND(H662*I662*J662, 2)</f>
        <v/>
      </c>
      <c r="L662" s="23">
        <f>ROUND(K662/1000, 3)</f>
        <v/>
      </c>
      <c r="M662" s="8" t="n"/>
      <c r="N662" s="6" t="n"/>
      <c r="O662" s="24">
        <f>IF(AND(E662&lt;=10, F662&lt;&gt;"ASTM A416", INT(P662/20)&gt;INT(P660/20)), "TN Ø10 (Lần " &amp; INT(P662/20) &amp; ")", IF(AND(E662=12, INT(Q662/20)&gt;INT(Q660/20)), "TN Ø12 (Lần " &amp; INT(Q662/20) &amp; ")", IF(AND(E662=14, INT(R662/20)&gt;INT(R660/20)), "TN Ø14 (Lần " &amp; INT(R662/20) &amp; ")", IF(AND(E662=16, INT(S662/20)&gt;INT(S660/20)), "TN Ø16 (Lần " &amp; INT(S662/20) &amp; ")", IF(AND(E662=18, INT(T662/20)&gt;INT(T660/20)), "TN Ø18 (Lần " &amp; INT(T662/20) &amp; ")", IF(AND(E662=20, INT(U662/20)&gt;INT(U660/20)), "TN Ø20 (Lần " &amp; INT(U662/20) &amp; ")", IF(AND(E662=22, INT(V662/20)&gt;INT(V660/20)), "TN Ø22 (Lần " &amp; INT(V662/20) &amp; ")", IF(AND(E662=25, INT(W662/20)&gt;INT(W660/20)), "TN Ø25 (Lần " &amp; INT(W662/20) &amp; ")", IF(AND(E662=28, INT(X662/20)&gt;INT(X660/20)), "TN Ø28 (Lần " &amp; INT(X662/20) &amp; ")", IF(AND(E662=32, INT(Y662/20)&gt;INT(Y660/20)), "TN Ø32 (Lần " &amp; INT(Y662/20) &amp; ")", IF(AND(F662="ASTM A416", INT(Z662/20)&gt;INT(Z660/20)), "TN Cáp 15.2 (Lần " &amp; INT(Z662/20) &amp; ")", "")))))))))))</f>
        <v/>
      </c>
      <c r="P662" s="20">
        <f>ROUND(P660 + IF(AND(E662&lt;=10, F662&lt;&gt;"ASTM A416"), L662, 0), 3)</f>
        <v/>
      </c>
      <c r="Q662" s="20">
        <f>ROUND(Q660 + IF(AND(E662=12, F662&lt;&gt;"ASTM A416"), L662, 0), 3)</f>
        <v/>
      </c>
      <c r="R662" s="20">
        <f>ROUND(R660 + IF(AND(E662=14, F662&lt;&gt;"ASTM A416"), L662, 0), 3)</f>
        <v/>
      </c>
      <c r="S662" s="20">
        <f>ROUND(S660 + IF(AND(E662=16, F662&lt;&gt;"ASTM A416"), L662, 0), 3)</f>
        <v/>
      </c>
      <c r="T662" s="20">
        <f>ROUND(T660 + IF(AND(E662=18, F662&lt;&gt;"ASTM A416"), L662, 0), 3)</f>
        <v/>
      </c>
      <c r="U662" s="20">
        <f>ROUND(U660 + IF(AND(E662=20, F662&lt;&gt;"ASTM A416"), L662, 0), 3)</f>
        <v/>
      </c>
      <c r="V662" s="20">
        <f>ROUND(V660 + IF(AND(E662=22, F662&lt;&gt;"ASTM A416"), L662, 0), 3)</f>
        <v/>
      </c>
      <c r="W662" s="20">
        <f>ROUND(W660 + IF(AND(E662=25, F662&lt;&gt;"ASTM A416"), L662, 0), 3)</f>
        <v/>
      </c>
      <c r="X662" s="20">
        <f>ROUND(X660 + IF(AND(E662=28, F662&lt;&gt;"ASTM A416"), L662, 0), 3)</f>
        <v/>
      </c>
      <c r="Y662" s="20">
        <f>ROUND(Y660 + IF(AND(E662=32, F662&lt;&gt;"ASTM A416"), L662, 0), 3)</f>
        <v/>
      </c>
      <c r="Z662" s="20">
        <f>ROUND(Z660 + IF(F662="ASTM A416", L662, 0), 3)</f>
        <v/>
      </c>
      <c r="AA662" s="11">
        <f>IF(INT(P662/20)&gt;INT(P660/20), "Lần " &amp; INT(P662/20), "")</f>
        <v/>
      </c>
      <c r="AB662" s="11">
        <f>IF(INT(Q662/20)&gt;INT(Q660/20), "Lần " &amp; INT(Q662/20), "")</f>
        <v/>
      </c>
      <c r="AC662" s="11">
        <f>IF(INT(R662/20)&gt;INT(R660/20), "Lần " &amp; INT(R662/20), "")</f>
        <v/>
      </c>
      <c r="AD662" s="11">
        <f>IF(INT(S662/20)&gt;INT(S660/20), "Lần " &amp; INT(S662/20), "")</f>
        <v/>
      </c>
      <c r="AE662" s="11">
        <f>IF(INT(T662/20)&gt;INT(T660/20), "Lần " &amp; INT(T662/20), "")</f>
        <v/>
      </c>
      <c r="AF662" s="11">
        <f>IF(INT(U662/20)&gt;INT(U660/20), "Lần " &amp; INT(U662/20), "")</f>
        <v/>
      </c>
      <c r="AG662" s="11">
        <f>IF(INT(V662/20)&gt;INT(V660/20), "Lần " &amp; INT(V662/20), "")</f>
        <v/>
      </c>
      <c r="AH662" s="11">
        <f>IF(INT(W662/20)&gt;INT(W660/20), "Lần " &amp; INT(W662/20), "")</f>
        <v/>
      </c>
      <c r="AI662" s="11">
        <f>IF(INT(X662/20)&gt;INT(X660/20), "Lần " &amp; INT(X662/20), "")</f>
        <v/>
      </c>
      <c r="AJ662" s="11">
        <f>IF(INT(Y662/20)&gt;INT(Y660/20), "Lần " &amp; INT(Y662/20), "")</f>
        <v/>
      </c>
      <c r="AK662" s="11">
        <f>IF(INT(Z662/20)&gt;INT(Z660/20), "Lần " &amp; INT(Z662/20), "")</f>
        <v/>
      </c>
      <c r="AL662" s="6" t="inlineStr">
        <is>
          <t>ĐẠT TCVN 1651:2018</t>
        </is>
      </c>
    </row>
    <row r="663" ht="19" customHeight="1">
      <c r="A663" s="6" t="n">
        <v>631</v>
      </c>
      <c r="B663" s="7" t="inlineStr">
        <is>
          <t>Dầm chủ Super-T (15 phiến L=38.2m)</t>
        </is>
      </c>
      <c r="C663" s="7" t="inlineStr">
        <is>
          <t>Sườn dầm / Cánh dầm</t>
        </is>
      </c>
      <c r="D663" s="18" t="inlineStr">
        <is>
          <t>G1b</t>
        </is>
      </c>
      <c r="E663" s="19" t="n">
        <v>12</v>
      </c>
      <c r="F663" s="6" t="inlineStr">
        <is>
          <t>CB400-V</t>
        </is>
      </c>
      <c r="G663" s="7" t="inlineStr">
        <is>
          <t>S06</t>
        </is>
      </c>
      <c r="H663" s="20" t="n">
        <v>5.075</v>
      </c>
      <c r="I663" s="21" t="n">
        <v>1875</v>
      </c>
      <c r="J663" s="22" t="n">
        <v>0.888</v>
      </c>
      <c r="K663" s="9">
        <f>ROUND(H663*I663*J663, 2)</f>
        <v/>
      </c>
      <c r="L663" s="23">
        <f>ROUND(K663/1000, 3)</f>
        <v/>
      </c>
      <c r="M663" s="8" t="n"/>
      <c r="N663" s="6" t="n"/>
      <c r="O663" s="24">
        <f>IF(AND(E663&lt;=10, F663&lt;&gt;"ASTM A416", INT(P663/20)&gt;INT(P662/20)), "TN Ø10 (Lần " &amp; INT(P663/20) &amp; ")", IF(AND(E663=12, INT(Q663/20)&gt;INT(Q662/20)), "TN Ø12 (Lần " &amp; INT(Q663/20) &amp; ")", IF(AND(E663=14, INT(R663/20)&gt;INT(R662/20)), "TN Ø14 (Lần " &amp; INT(R663/20) &amp; ")", IF(AND(E663=16, INT(S663/20)&gt;INT(S662/20)), "TN Ø16 (Lần " &amp; INT(S663/20) &amp; ")", IF(AND(E663=18, INT(T663/20)&gt;INT(T662/20)), "TN Ø18 (Lần " &amp; INT(T663/20) &amp; ")", IF(AND(E663=20, INT(U663/20)&gt;INT(U662/20)), "TN Ø20 (Lần " &amp; INT(U663/20) &amp; ")", IF(AND(E663=22, INT(V663/20)&gt;INT(V662/20)), "TN Ø22 (Lần " &amp; INT(V663/20) &amp; ")", IF(AND(E663=25, INT(W663/20)&gt;INT(W662/20)), "TN Ø25 (Lần " &amp; INT(W663/20) &amp; ")", IF(AND(E663=28, INT(X663/20)&gt;INT(X662/20)), "TN Ø28 (Lần " &amp; INT(X663/20) &amp; ")", IF(AND(E663=32, INT(Y663/20)&gt;INT(Y662/20)), "TN Ø32 (Lần " &amp; INT(Y663/20) &amp; ")", IF(AND(F663="ASTM A416", INT(Z663/20)&gt;INT(Z662/20)), "TN Cáp 15.2 (Lần " &amp; INT(Z663/20) &amp; ")", "")))))))))))</f>
        <v/>
      </c>
      <c r="P663" s="20">
        <f>ROUND(P662 + IF(AND(E663&lt;=10, F663&lt;&gt;"ASTM A416"), L663, 0), 3)</f>
        <v/>
      </c>
      <c r="Q663" s="20">
        <f>ROUND(Q662 + IF(AND(E663=12, F663&lt;&gt;"ASTM A416"), L663, 0), 3)</f>
        <v/>
      </c>
      <c r="R663" s="20">
        <f>ROUND(R662 + IF(AND(E663=14, F663&lt;&gt;"ASTM A416"), L663, 0), 3)</f>
        <v/>
      </c>
      <c r="S663" s="20">
        <f>ROUND(S662 + IF(AND(E663=16, F663&lt;&gt;"ASTM A416"), L663, 0), 3)</f>
        <v/>
      </c>
      <c r="T663" s="20">
        <f>ROUND(T662 + IF(AND(E663=18, F663&lt;&gt;"ASTM A416"), L663, 0), 3)</f>
        <v/>
      </c>
      <c r="U663" s="20">
        <f>ROUND(U662 + IF(AND(E663=20, F663&lt;&gt;"ASTM A416"), L663, 0), 3)</f>
        <v/>
      </c>
      <c r="V663" s="20">
        <f>ROUND(V662 + IF(AND(E663=22, F663&lt;&gt;"ASTM A416"), L663, 0), 3)</f>
        <v/>
      </c>
      <c r="W663" s="20">
        <f>ROUND(W662 + IF(AND(E663=25, F663&lt;&gt;"ASTM A416"), L663, 0), 3)</f>
        <v/>
      </c>
      <c r="X663" s="20">
        <f>ROUND(X662 + IF(AND(E663=28, F663&lt;&gt;"ASTM A416"), L663, 0), 3)</f>
        <v/>
      </c>
      <c r="Y663" s="20">
        <f>ROUND(Y662 + IF(AND(E663=32, F663&lt;&gt;"ASTM A416"), L663, 0), 3)</f>
        <v/>
      </c>
      <c r="Z663" s="20">
        <f>ROUND(Z662 + IF(F663="ASTM A416", L663, 0), 3)</f>
        <v/>
      </c>
      <c r="AA663" s="11">
        <f>IF(INT(P663/20)&gt;INT(P662/20), "Lần " &amp; INT(P663/20), "")</f>
        <v/>
      </c>
      <c r="AB663" s="11">
        <f>IF(INT(Q663/20)&gt;INT(Q662/20), "Lần " &amp; INT(Q663/20), "")</f>
        <v/>
      </c>
      <c r="AC663" s="11">
        <f>IF(INT(R663/20)&gt;INT(R662/20), "Lần " &amp; INT(R663/20), "")</f>
        <v/>
      </c>
      <c r="AD663" s="11">
        <f>IF(INT(S663/20)&gt;INT(S662/20), "Lần " &amp; INT(S663/20), "")</f>
        <v/>
      </c>
      <c r="AE663" s="11">
        <f>IF(INT(T663/20)&gt;INT(T662/20), "Lần " &amp; INT(T663/20), "")</f>
        <v/>
      </c>
      <c r="AF663" s="11">
        <f>IF(INT(U663/20)&gt;INT(U662/20), "Lần " &amp; INT(U663/20), "")</f>
        <v/>
      </c>
      <c r="AG663" s="11">
        <f>IF(INT(V663/20)&gt;INT(V662/20), "Lần " &amp; INT(V663/20), "")</f>
        <v/>
      </c>
      <c r="AH663" s="11">
        <f>IF(INT(W663/20)&gt;INT(W662/20), "Lần " &amp; INT(W663/20), "")</f>
        <v/>
      </c>
      <c r="AI663" s="11">
        <f>IF(INT(X663/20)&gt;INT(X662/20), "Lần " &amp; INT(X663/20), "")</f>
        <v/>
      </c>
      <c r="AJ663" s="11">
        <f>IF(INT(Y663/20)&gt;INT(Y662/20), "Lần " &amp; INT(Y663/20), "")</f>
        <v/>
      </c>
      <c r="AK663" s="11">
        <f>IF(INT(Z663/20)&gt;INT(Z662/20), "Lần " &amp; INT(Z663/20), "")</f>
        <v/>
      </c>
      <c r="AL663" s="6" t="inlineStr">
        <is>
          <t>ĐẠT TCVN 1651:2018</t>
        </is>
      </c>
    </row>
    <row r="664" ht="19" customHeight="1">
      <c r="A664" s="6" t="n">
        <v>632</v>
      </c>
      <c r="B664" s="7" t="inlineStr">
        <is>
          <t>Dầm chủ Super-T (15 phiến L=38.2m)</t>
        </is>
      </c>
      <c r="C664" s="7" t="inlineStr">
        <is>
          <t>Sườn dầm / Cánh dầm</t>
        </is>
      </c>
      <c r="D664" s="18" t="inlineStr">
        <is>
          <t>G2</t>
        </is>
      </c>
      <c r="E664" s="19" t="n">
        <v>12</v>
      </c>
      <c r="F664" s="6" t="inlineStr">
        <is>
          <t>CB400-V</t>
        </is>
      </c>
      <c r="G664" s="7" t="inlineStr">
        <is>
          <t>S06</t>
        </is>
      </c>
      <c r="H664" s="20" t="n">
        <v>1.184</v>
      </c>
      <c r="I664" s="21" t="n">
        <v>3825</v>
      </c>
      <c r="J664" s="22" t="n">
        <v>0.888</v>
      </c>
      <c r="K664" s="9">
        <f>ROUND(H664*I664*J664, 2)</f>
        <v/>
      </c>
      <c r="L664" s="23">
        <f>ROUND(K664/1000, 3)</f>
        <v/>
      </c>
      <c r="M664" s="8" t="n"/>
      <c r="N664" s="6" t="n"/>
      <c r="O664" s="24">
        <f>IF(AND(E664&lt;=10, F664&lt;&gt;"ASTM A416", INT(P664/20)&gt;INT(P663/20)), "TN Ø10 (Lần " &amp; INT(P664/20) &amp; ")", IF(AND(E664=12, INT(Q664/20)&gt;INT(Q663/20)), "TN Ø12 (Lần " &amp; INT(Q664/20) &amp; ")", IF(AND(E664=14, INT(R664/20)&gt;INT(R663/20)), "TN Ø14 (Lần " &amp; INT(R664/20) &amp; ")", IF(AND(E664=16, INT(S664/20)&gt;INT(S663/20)), "TN Ø16 (Lần " &amp; INT(S664/20) &amp; ")", IF(AND(E664=18, INT(T664/20)&gt;INT(T663/20)), "TN Ø18 (Lần " &amp; INT(T664/20) &amp; ")", IF(AND(E664=20, INT(U664/20)&gt;INT(U663/20)), "TN Ø20 (Lần " &amp; INT(U664/20) &amp; ")", IF(AND(E664=22, INT(V664/20)&gt;INT(V663/20)), "TN Ø22 (Lần " &amp; INT(V664/20) &amp; ")", IF(AND(E664=25, INT(W664/20)&gt;INT(W663/20)), "TN Ø25 (Lần " &amp; INT(W664/20) &amp; ")", IF(AND(E664=28, INT(X664/20)&gt;INT(X663/20)), "TN Ø28 (Lần " &amp; INT(X664/20) &amp; ")", IF(AND(E664=32, INT(Y664/20)&gt;INT(Y663/20)), "TN Ø32 (Lần " &amp; INT(Y664/20) &amp; ")", IF(AND(F664="ASTM A416", INT(Z664/20)&gt;INT(Z663/20)), "TN Cáp 15.2 (Lần " &amp; INT(Z664/20) &amp; ")", "")))))))))))</f>
        <v/>
      </c>
      <c r="P664" s="20">
        <f>ROUND(P663 + IF(AND(E664&lt;=10, F664&lt;&gt;"ASTM A416"), L664, 0), 3)</f>
        <v/>
      </c>
      <c r="Q664" s="20">
        <f>ROUND(Q663 + IF(AND(E664=12, F664&lt;&gt;"ASTM A416"), L664, 0), 3)</f>
        <v/>
      </c>
      <c r="R664" s="20">
        <f>ROUND(R663 + IF(AND(E664=14, F664&lt;&gt;"ASTM A416"), L664, 0), 3)</f>
        <v/>
      </c>
      <c r="S664" s="20">
        <f>ROUND(S663 + IF(AND(E664=16, F664&lt;&gt;"ASTM A416"), L664, 0), 3)</f>
        <v/>
      </c>
      <c r="T664" s="20">
        <f>ROUND(T663 + IF(AND(E664=18, F664&lt;&gt;"ASTM A416"), L664, 0), 3)</f>
        <v/>
      </c>
      <c r="U664" s="20">
        <f>ROUND(U663 + IF(AND(E664=20, F664&lt;&gt;"ASTM A416"), L664, 0), 3)</f>
        <v/>
      </c>
      <c r="V664" s="20">
        <f>ROUND(V663 + IF(AND(E664=22, F664&lt;&gt;"ASTM A416"), L664, 0), 3)</f>
        <v/>
      </c>
      <c r="W664" s="20">
        <f>ROUND(W663 + IF(AND(E664=25, F664&lt;&gt;"ASTM A416"), L664, 0), 3)</f>
        <v/>
      </c>
      <c r="X664" s="20">
        <f>ROUND(X663 + IF(AND(E664=28, F664&lt;&gt;"ASTM A416"), L664, 0), 3)</f>
        <v/>
      </c>
      <c r="Y664" s="20">
        <f>ROUND(Y663 + IF(AND(E664=32, F664&lt;&gt;"ASTM A416"), L664, 0), 3)</f>
        <v/>
      </c>
      <c r="Z664" s="20">
        <f>ROUND(Z663 + IF(F664="ASTM A416", L664, 0), 3)</f>
        <v/>
      </c>
      <c r="AA664" s="11">
        <f>IF(INT(P664/20)&gt;INT(P663/20), "Lần " &amp; INT(P664/20), "")</f>
        <v/>
      </c>
      <c r="AB664" s="11">
        <f>IF(INT(Q664/20)&gt;INT(Q663/20), "Lần " &amp; INT(Q664/20), "")</f>
        <v/>
      </c>
      <c r="AC664" s="11">
        <f>IF(INT(R664/20)&gt;INT(R663/20), "Lần " &amp; INT(R664/20), "")</f>
        <v/>
      </c>
      <c r="AD664" s="11">
        <f>IF(INT(S664/20)&gt;INT(S663/20), "Lần " &amp; INT(S664/20), "")</f>
        <v/>
      </c>
      <c r="AE664" s="11">
        <f>IF(INT(T664/20)&gt;INT(T663/20), "Lần " &amp; INT(T664/20), "")</f>
        <v/>
      </c>
      <c r="AF664" s="11">
        <f>IF(INT(U664/20)&gt;INT(U663/20), "Lần " &amp; INT(U664/20), "")</f>
        <v/>
      </c>
      <c r="AG664" s="11">
        <f>IF(INT(V664/20)&gt;INT(V663/20), "Lần " &amp; INT(V664/20), "")</f>
        <v/>
      </c>
      <c r="AH664" s="11">
        <f>IF(INT(W664/20)&gt;INT(W663/20), "Lần " &amp; INT(W664/20), "")</f>
        <v/>
      </c>
      <c r="AI664" s="11">
        <f>IF(INT(X664/20)&gt;INT(X663/20), "Lần " &amp; INT(X664/20), "")</f>
        <v/>
      </c>
      <c r="AJ664" s="11">
        <f>IF(INT(Y664/20)&gt;INT(Y663/20), "Lần " &amp; INT(Y664/20), "")</f>
        <v/>
      </c>
      <c r="AK664" s="11">
        <f>IF(INT(Z664/20)&gt;INT(Z663/20), "Lần " &amp; INT(Z664/20), "")</f>
        <v/>
      </c>
      <c r="AL664" s="6" t="inlineStr">
        <is>
          <t>ĐẠT TCVN 1651:2018</t>
        </is>
      </c>
    </row>
    <row r="665" ht="19" customHeight="1">
      <c r="A665" s="6" t="n">
        <v>633</v>
      </c>
      <c r="B665" s="7" t="inlineStr">
        <is>
          <t>Dầm chủ Super-T (15 phiến L=38.2m)</t>
        </is>
      </c>
      <c r="C665" s="7" t="inlineStr">
        <is>
          <t>Sườn dầm / Cánh dầm</t>
        </is>
      </c>
      <c r="D665" s="18" t="inlineStr">
        <is>
          <t>G2a</t>
        </is>
      </c>
      <c r="E665" s="19" t="n">
        <v>12</v>
      </c>
      <c r="F665" s="6" t="inlineStr">
        <is>
          <t>CB400-V</t>
        </is>
      </c>
      <c r="G665" s="7" t="inlineStr">
        <is>
          <t>S06</t>
        </is>
      </c>
      <c r="H665" s="20" t="n">
        <v>1.309</v>
      </c>
      <c r="I665" s="21" t="n">
        <v>4035</v>
      </c>
      <c r="J665" s="22" t="n">
        <v>0.888</v>
      </c>
      <c r="K665" s="9">
        <f>ROUND(H665*I665*J665, 2)</f>
        <v/>
      </c>
      <c r="L665" s="23">
        <f>ROUND(K665/1000, 3)</f>
        <v/>
      </c>
      <c r="M665" s="8" t="n"/>
      <c r="N665" s="6" t="n"/>
      <c r="O665" s="24">
        <f>IF(AND(E665&lt;=10, F665&lt;&gt;"ASTM A416", INT(P665/20)&gt;INT(P664/20)), "TN Ø10 (Lần " &amp; INT(P665/20) &amp; ")", IF(AND(E665=12, INT(Q665/20)&gt;INT(Q664/20)), "TN Ø12 (Lần " &amp; INT(Q665/20) &amp; ")", IF(AND(E665=14, INT(R665/20)&gt;INT(R664/20)), "TN Ø14 (Lần " &amp; INT(R665/20) &amp; ")", IF(AND(E665=16, INT(S665/20)&gt;INT(S664/20)), "TN Ø16 (Lần " &amp; INT(S665/20) &amp; ")", IF(AND(E665=18, INT(T665/20)&gt;INT(T664/20)), "TN Ø18 (Lần " &amp; INT(T665/20) &amp; ")", IF(AND(E665=20, INT(U665/20)&gt;INT(U664/20)), "TN Ø20 (Lần " &amp; INT(U665/20) &amp; ")", IF(AND(E665=22, INT(V665/20)&gt;INT(V664/20)), "TN Ø22 (Lần " &amp; INT(V665/20) &amp; ")", IF(AND(E665=25, INT(W665/20)&gt;INT(W664/20)), "TN Ø25 (Lần " &amp; INT(W665/20) &amp; ")", IF(AND(E665=28, INT(X665/20)&gt;INT(X664/20)), "TN Ø28 (Lần " &amp; INT(X665/20) &amp; ")", IF(AND(E665=32, INT(Y665/20)&gt;INT(Y664/20)), "TN Ø32 (Lần " &amp; INT(Y665/20) &amp; ")", IF(AND(F665="ASTM A416", INT(Z665/20)&gt;INT(Z664/20)), "TN Cáp 15.2 (Lần " &amp; INT(Z665/20) &amp; ")", "")))))))))))</f>
        <v/>
      </c>
      <c r="P665" s="20">
        <f>ROUND(P664 + IF(AND(E665&lt;=10, F665&lt;&gt;"ASTM A416"), L665, 0), 3)</f>
        <v/>
      </c>
      <c r="Q665" s="20">
        <f>ROUND(Q664 + IF(AND(E665=12, F665&lt;&gt;"ASTM A416"), L665, 0), 3)</f>
        <v/>
      </c>
      <c r="R665" s="20">
        <f>ROUND(R664 + IF(AND(E665=14, F665&lt;&gt;"ASTM A416"), L665, 0), 3)</f>
        <v/>
      </c>
      <c r="S665" s="20">
        <f>ROUND(S664 + IF(AND(E665=16, F665&lt;&gt;"ASTM A416"), L665, 0), 3)</f>
        <v/>
      </c>
      <c r="T665" s="20">
        <f>ROUND(T664 + IF(AND(E665=18, F665&lt;&gt;"ASTM A416"), L665, 0), 3)</f>
        <v/>
      </c>
      <c r="U665" s="20">
        <f>ROUND(U664 + IF(AND(E665=20, F665&lt;&gt;"ASTM A416"), L665, 0), 3)</f>
        <v/>
      </c>
      <c r="V665" s="20">
        <f>ROUND(V664 + IF(AND(E665=22, F665&lt;&gt;"ASTM A416"), L665, 0), 3)</f>
        <v/>
      </c>
      <c r="W665" s="20">
        <f>ROUND(W664 + IF(AND(E665=25, F665&lt;&gt;"ASTM A416"), L665, 0), 3)</f>
        <v/>
      </c>
      <c r="X665" s="20">
        <f>ROUND(X664 + IF(AND(E665=28, F665&lt;&gt;"ASTM A416"), L665, 0), 3)</f>
        <v/>
      </c>
      <c r="Y665" s="20">
        <f>ROUND(Y664 + IF(AND(E665=32, F665&lt;&gt;"ASTM A416"), L665, 0), 3)</f>
        <v/>
      </c>
      <c r="Z665" s="20">
        <f>ROUND(Z664 + IF(F665="ASTM A416", L665, 0), 3)</f>
        <v/>
      </c>
      <c r="AA665" s="11">
        <f>IF(INT(P665/20)&gt;INT(P664/20), "Lần " &amp; INT(P665/20), "")</f>
        <v/>
      </c>
      <c r="AB665" s="11">
        <f>IF(INT(Q665/20)&gt;INT(Q664/20), "Lần " &amp; INT(Q665/20), "")</f>
        <v/>
      </c>
      <c r="AC665" s="11">
        <f>IF(INT(R665/20)&gt;INT(R664/20), "Lần " &amp; INT(R665/20), "")</f>
        <v/>
      </c>
      <c r="AD665" s="11">
        <f>IF(INT(S665/20)&gt;INT(S664/20), "Lần " &amp; INT(S665/20), "")</f>
        <v/>
      </c>
      <c r="AE665" s="11">
        <f>IF(INT(T665/20)&gt;INT(T664/20), "Lần " &amp; INT(T665/20), "")</f>
        <v/>
      </c>
      <c r="AF665" s="11">
        <f>IF(INT(U665/20)&gt;INT(U664/20), "Lần " &amp; INT(U665/20), "")</f>
        <v/>
      </c>
      <c r="AG665" s="11">
        <f>IF(INT(V665/20)&gt;INT(V664/20), "Lần " &amp; INT(V665/20), "")</f>
        <v/>
      </c>
      <c r="AH665" s="11">
        <f>IF(INT(W665/20)&gt;INT(W664/20), "Lần " &amp; INT(W665/20), "")</f>
        <v/>
      </c>
      <c r="AI665" s="11">
        <f>IF(INT(X665/20)&gt;INT(X664/20), "Lần " &amp; INT(X665/20), "")</f>
        <v/>
      </c>
      <c r="AJ665" s="11">
        <f>IF(INT(Y665/20)&gt;INT(Y664/20), "Lần " &amp; INT(Y665/20), "")</f>
        <v/>
      </c>
      <c r="AK665" s="11">
        <f>IF(INT(Z665/20)&gt;INT(Z664/20), "Lần " &amp; INT(Z665/20), "")</f>
        <v/>
      </c>
      <c r="AL665" s="6" t="inlineStr">
        <is>
          <t>ĐẠT TCVN 1651:2018</t>
        </is>
      </c>
    </row>
    <row r="666" ht="19" customHeight="1">
      <c r="A666" s="6" t="n">
        <v>634</v>
      </c>
      <c r="B666" s="7" t="inlineStr">
        <is>
          <t>Dầm chủ Super-T (15 phiến L=38.2m)</t>
        </is>
      </c>
      <c r="C666" s="7" t="inlineStr">
        <is>
          <t>Sườn dầm / Cánh dầm</t>
        </is>
      </c>
      <c r="D666" s="18" t="inlineStr">
        <is>
          <t>G3</t>
        </is>
      </c>
      <c r="E666" s="19" t="n">
        <v>12</v>
      </c>
      <c r="F666" s="6" t="inlineStr">
        <is>
          <t>CB400-V</t>
        </is>
      </c>
      <c r="G666" s="7" t="inlineStr">
        <is>
          <t>S06</t>
        </is>
      </c>
      <c r="H666" s="20" t="n">
        <v>1.259</v>
      </c>
      <c r="I666" s="21" t="n">
        <v>4035</v>
      </c>
      <c r="J666" s="22" t="n">
        <v>0.888</v>
      </c>
      <c r="K666" s="9">
        <f>ROUND(H666*I666*J666, 2)</f>
        <v/>
      </c>
      <c r="L666" s="23">
        <f>ROUND(K666/1000, 3)</f>
        <v/>
      </c>
      <c r="M666" s="8" t="n"/>
      <c r="N666" s="6" t="n"/>
      <c r="O666" s="24">
        <f>IF(AND(E666&lt;=10, F666&lt;&gt;"ASTM A416", INT(P666/20)&gt;INT(P665/20)), "TN Ø10 (Lần " &amp; INT(P666/20) &amp; ")", IF(AND(E666=12, INT(Q666/20)&gt;INT(Q665/20)), "TN Ø12 (Lần " &amp; INT(Q666/20) &amp; ")", IF(AND(E666=14, INT(R666/20)&gt;INT(R665/20)), "TN Ø14 (Lần " &amp; INT(R666/20) &amp; ")", IF(AND(E666=16, INT(S666/20)&gt;INT(S665/20)), "TN Ø16 (Lần " &amp; INT(S666/20) &amp; ")", IF(AND(E666=18, INT(T666/20)&gt;INT(T665/20)), "TN Ø18 (Lần " &amp; INT(T666/20) &amp; ")", IF(AND(E666=20, INT(U666/20)&gt;INT(U665/20)), "TN Ø20 (Lần " &amp; INT(U666/20) &amp; ")", IF(AND(E666=22, INT(V666/20)&gt;INT(V665/20)), "TN Ø22 (Lần " &amp; INT(V666/20) &amp; ")", IF(AND(E666=25, INT(W666/20)&gt;INT(W665/20)), "TN Ø25 (Lần " &amp; INT(W666/20) &amp; ")", IF(AND(E666=28, INT(X666/20)&gt;INT(X665/20)), "TN Ø28 (Lần " &amp; INT(X666/20) &amp; ")", IF(AND(E666=32, INT(Y666/20)&gt;INT(Y665/20)), "TN Ø32 (Lần " &amp; INT(Y666/20) &amp; ")", IF(AND(F666="ASTM A416", INT(Z666/20)&gt;INT(Z665/20)), "TN Cáp 15.2 (Lần " &amp; INT(Z666/20) &amp; ")", "")))))))))))</f>
        <v/>
      </c>
      <c r="P666" s="20">
        <f>ROUND(P665 + IF(AND(E666&lt;=10, F666&lt;&gt;"ASTM A416"), L666, 0), 3)</f>
        <v/>
      </c>
      <c r="Q666" s="20">
        <f>ROUND(Q665 + IF(AND(E666=12, F666&lt;&gt;"ASTM A416"), L666, 0), 3)</f>
        <v/>
      </c>
      <c r="R666" s="20">
        <f>ROUND(R665 + IF(AND(E666=14, F666&lt;&gt;"ASTM A416"), L666, 0), 3)</f>
        <v/>
      </c>
      <c r="S666" s="20">
        <f>ROUND(S665 + IF(AND(E666=16, F666&lt;&gt;"ASTM A416"), L666, 0), 3)</f>
        <v/>
      </c>
      <c r="T666" s="20">
        <f>ROUND(T665 + IF(AND(E666=18, F666&lt;&gt;"ASTM A416"), L666, 0), 3)</f>
        <v/>
      </c>
      <c r="U666" s="20">
        <f>ROUND(U665 + IF(AND(E666=20, F666&lt;&gt;"ASTM A416"), L666, 0), 3)</f>
        <v/>
      </c>
      <c r="V666" s="20">
        <f>ROUND(V665 + IF(AND(E666=22, F666&lt;&gt;"ASTM A416"), L666, 0), 3)</f>
        <v/>
      </c>
      <c r="W666" s="20">
        <f>ROUND(W665 + IF(AND(E666=25, F666&lt;&gt;"ASTM A416"), L666, 0), 3)</f>
        <v/>
      </c>
      <c r="X666" s="20">
        <f>ROUND(X665 + IF(AND(E666=28, F666&lt;&gt;"ASTM A416"), L666, 0), 3)</f>
        <v/>
      </c>
      <c r="Y666" s="20">
        <f>ROUND(Y665 + IF(AND(E666=32, F666&lt;&gt;"ASTM A416"), L666, 0), 3)</f>
        <v/>
      </c>
      <c r="Z666" s="20">
        <f>ROUND(Z665 + IF(F666="ASTM A416", L666, 0), 3)</f>
        <v/>
      </c>
      <c r="AA666" s="11">
        <f>IF(INT(P666/20)&gt;INT(P665/20), "Lần " &amp; INT(P666/20), "")</f>
        <v/>
      </c>
      <c r="AB666" s="11">
        <f>IF(INT(Q666/20)&gt;INT(Q665/20), "Lần " &amp; INT(Q666/20), "")</f>
        <v/>
      </c>
      <c r="AC666" s="11">
        <f>IF(INT(R666/20)&gt;INT(R665/20), "Lần " &amp; INT(R666/20), "")</f>
        <v/>
      </c>
      <c r="AD666" s="11">
        <f>IF(INT(S666/20)&gt;INT(S665/20), "Lần " &amp; INT(S666/20), "")</f>
        <v/>
      </c>
      <c r="AE666" s="11">
        <f>IF(INT(T666/20)&gt;INT(T665/20), "Lần " &amp; INT(T666/20), "")</f>
        <v/>
      </c>
      <c r="AF666" s="11">
        <f>IF(INT(U666/20)&gt;INT(U665/20), "Lần " &amp; INT(U666/20), "")</f>
        <v/>
      </c>
      <c r="AG666" s="11">
        <f>IF(INT(V666/20)&gt;INT(V665/20), "Lần " &amp; INT(V666/20), "")</f>
        <v/>
      </c>
      <c r="AH666" s="11">
        <f>IF(INT(W666/20)&gt;INT(W665/20), "Lần " &amp; INT(W666/20), "")</f>
        <v/>
      </c>
      <c r="AI666" s="11">
        <f>IF(INT(X666/20)&gt;INT(X665/20), "Lần " &amp; INT(X666/20), "")</f>
        <v/>
      </c>
      <c r="AJ666" s="11">
        <f>IF(INT(Y666/20)&gt;INT(Y665/20), "Lần " &amp; INT(Y666/20), "")</f>
        <v/>
      </c>
      <c r="AK666" s="11">
        <f>IF(INT(Z666/20)&gt;INT(Z665/20), "Lần " &amp; INT(Z666/20), "")</f>
        <v/>
      </c>
      <c r="AL666" s="6" t="inlineStr">
        <is>
          <t>ĐẠT TCVN 1651:2018</t>
        </is>
      </c>
    </row>
    <row r="667" ht="19" customHeight="1">
      <c r="A667" s="6" t="n">
        <v>635</v>
      </c>
      <c r="B667" s="7" t="inlineStr">
        <is>
          <t>Dầm chủ Super-T (15 phiến L=38.2m)</t>
        </is>
      </c>
      <c r="C667" s="7" t="inlineStr">
        <is>
          <t>Sườn dầm / Cánh dầm</t>
        </is>
      </c>
      <c r="D667" s="18" t="inlineStr">
        <is>
          <t>G4a1</t>
        </is>
      </c>
      <c r="E667" s="19" t="n">
        <v>12</v>
      </c>
      <c r="F667" s="6" t="inlineStr">
        <is>
          <t>CB400-V</t>
        </is>
      </c>
      <c r="G667" s="7" t="inlineStr">
        <is>
          <t>S01</t>
        </is>
      </c>
      <c r="H667" s="20" t="n">
        <v>11.7</v>
      </c>
      <c r="I667" s="21" t="n">
        <v>315</v>
      </c>
      <c r="J667" s="22" t="n">
        <v>0.888</v>
      </c>
      <c r="K667" s="9">
        <f>ROUND(H667*I667*J667, 2)</f>
        <v/>
      </c>
      <c r="L667" s="23">
        <f>ROUND(K667/1000, 3)</f>
        <v/>
      </c>
      <c r="M667" s="8" t="n"/>
      <c r="N667" s="6" t="n"/>
      <c r="O667" s="24">
        <f>IF(AND(E667&lt;=10, F667&lt;&gt;"ASTM A416", INT(P667/20)&gt;INT(P666/20)), "TN Ø10 (Lần " &amp; INT(P667/20) &amp; ")", IF(AND(E667=12, INT(Q667/20)&gt;INT(Q666/20)), "TN Ø12 (Lần " &amp; INT(Q667/20) &amp; ")", IF(AND(E667=14, INT(R667/20)&gt;INT(R666/20)), "TN Ø14 (Lần " &amp; INT(R667/20) &amp; ")", IF(AND(E667=16, INT(S667/20)&gt;INT(S666/20)), "TN Ø16 (Lần " &amp; INT(S667/20) &amp; ")", IF(AND(E667=18, INT(T667/20)&gt;INT(T666/20)), "TN Ø18 (Lần " &amp; INT(T667/20) &amp; ")", IF(AND(E667=20, INT(U667/20)&gt;INT(U666/20)), "TN Ø20 (Lần " &amp; INT(U667/20) &amp; ")", IF(AND(E667=22, INT(V667/20)&gt;INT(V666/20)), "TN Ø22 (Lần " &amp; INT(V667/20) &amp; ")", IF(AND(E667=25, INT(W667/20)&gt;INT(W666/20)), "TN Ø25 (Lần " &amp; INT(W667/20) &amp; ")", IF(AND(E667=28, INT(X667/20)&gt;INT(X666/20)), "TN Ø28 (Lần " &amp; INT(X667/20) &amp; ")", IF(AND(E667=32, INT(Y667/20)&gt;INT(Y666/20)), "TN Ø32 (Lần " &amp; INT(Y667/20) &amp; ")", IF(AND(F667="ASTM A416", INT(Z667/20)&gt;INT(Z666/20)), "TN Cáp 15.2 (Lần " &amp; INT(Z667/20) &amp; ")", "")))))))))))</f>
        <v/>
      </c>
      <c r="P667" s="20">
        <f>ROUND(P666 + IF(AND(E667&lt;=10, F667&lt;&gt;"ASTM A416"), L667, 0), 3)</f>
        <v/>
      </c>
      <c r="Q667" s="20">
        <f>ROUND(Q666 + IF(AND(E667=12, F667&lt;&gt;"ASTM A416"), L667, 0), 3)</f>
        <v/>
      </c>
      <c r="R667" s="20">
        <f>ROUND(R666 + IF(AND(E667=14, F667&lt;&gt;"ASTM A416"), L667, 0), 3)</f>
        <v/>
      </c>
      <c r="S667" s="20">
        <f>ROUND(S666 + IF(AND(E667=16, F667&lt;&gt;"ASTM A416"), L667, 0), 3)</f>
        <v/>
      </c>
      <c r="T667" s="20">
        <f>ROUND(T666 + IF(AND(E667=18, F667&lt;&gt;"ASTM A416"), L667, 0), 3)</f>
        <v/>
      </c>
      <c r="U667" s="20">
        <f>ROUND(U666 + IF(AND(E667=20, F667&lt;&gt;"ASTM A416"), L667, 0), 3)</f>
        <v/>
      </c>
      <c r="V667" s="20">
        <f>ROUND(V666 + IF(AND(E667=22, F667&lt;&gt;"ASTM A416"), L667, 0), 3)</f>
        <v/>
      </c>
      <c r="W667" s="20">
        <f>ROUND(W666 + IF(AND(E667=25, F667&lt;&gt;"ASTM A416"), L667, 0), 3)</f>
        <v/>
      </c>
      <c r="X667" s="20">
        <f>ROUND(X666 + IF(AND(E667=28, F667&lt;&gt;"ASTM A416"), L667, 0), 3)</f>
        <v/>
      </c>
      <c r="Y667" s="20">
        <f>ROUND(Y666 + IF(AND(E667=32, F667&lt;&gt;"ASTM A416"), L667, 0), 3)</f>
        <v/>
      </c>
      <c r="Z667" s="20">
        <f>ROUND(Z666 + IF(F667="ASTM A416", L667, 0), 3)</f>
        <v/>
      </c>
      <c r="AA667" s="11">
        <f>IF(INT(P667/20)&gt;INT(P666/20), "Lần " &amp; INT(P667/20), "")</f>
        <v/>
      </c>
      <c r="AB667" s="11">
        <f>IF(INT(Q667/20)&gt;INT(Q666/20), "Lần " &amp; INT(Q667/20), "")</f>
        <v/>
      </c>
      <c r="AC667" s="11">
        <f>IF(INT(R667/20)&gt;INT(R666/20), "Lần " &amp; INT(R667/20), "")</f>
        <v/>
      </c>
      <c r="AD667" s="11">
        <f>IF(INT(S667/20)&gt;INT(S666/20), "Lần " &amp; INT(S667/20), "")</f>
        <v/>
      </c>
      <c r="AE667" s="11">
        <f>IF(INT(T667/20)&gt;INT(T666/20), "Lần " &amp; INT(T667/20), "")</f>
        <v/>
      </c>
      <c r="AF667" s="11">
        <f>IF(INT(U667/20)&gt;INT(U666/20), "Lần " &amp; INT(U667/20), "")</f>
        <v/>
      </c>
      <c r="AG667" s="11">
        <f>IF(INT(V667/20)&gt;INT(V666/20), "Lần " &amp; INT(V667/20), "")</f>
        <v/>
      </c>
      <c r="AH667" s="11">
        <f>IF(INT(W667/20)&gt;INT(W666/20), "Lần " &amp; INT(W667/20), "")</f>
        <v/>
      </c>
      <c r="AI667" s="11">
        <f>IF(INT(X667/20)&gt;INT(X666/20), "Lần " &amp; INT(X667/20), "")</f>
        <v/>
      </c>
      <c r="AJ667" s="11">
        <f>IF(INT(Y667/20)&gt;INT(Y666/20), "Lần " &amp; INT(Y667/20), "")</f>
        <v/>
      </c>
      <c r="AK667" s="11">
        <f>IF(INT(Z667/20)&gt;INT(Z666/20), "Lần " &amp; INT(Z667/20), "")</f>
        <v/>
      </c>
      <c r="AL667" s="6" t="inlineStr">
        <is>
          <t>ĐẠT TCVN 1651:2018</t>
        </is>
      </c>
    </row>
    <row r="668" ht="19" customHeight="1">
      <c r="A668" s="6" t="n">
        <v>636</v>
      </c>
      <c r="B668" s="7" t="inlineStr">
        <is>
          <t>Dầm chủ Super-T (15 phiến L=38.2m)</t>
        </is>
      </c>
      <c r="C668" s="7" t="inlineStr">
        <is>
          <t>Sườn dầm / Cánh dầm</t>
        </is>
      </c>
      <c r="D668" s="18" t="inlineStr">
        <is>
          <t>G4a2</t>
        </is>
      </c>
      <c r="E668" s="19" t="n">
        <v>12</v>
      </c>
      <c r="F668" s="6" t="inlineStr">
        <is>
          <t>CB400-V</t>
        </is>
      </c>
      <c r="G668" s="7" t="inlineStr">
        <is>
          <t>S06</t>
        </is>
      </c>
      <c r="H668" s="20" t="n">
        <v>4.46</v>
      </c>
      <c r="I668" s="21" t="n">
        <v>105</v>
      </c>
      <c r="J668" s="22" t="n">
        <v>0.888</v>
      </c>
      <c r="K668" s="9">
        <f>ROUND(H668*I668*J668, 2)</f>
        <v/>
      </c>
      <c r="L668" s="23">
        <f>ROUND(K668/1000, 3)</f>
        <v/>
      </c>
      <c r="M668" s="8" t="n"/>
      <c r="N668" s="6" t="n"/>
      <c r="O668" s="24">
        <f>IF(AND(E668&lt;=10, F668&lt;&gt;"ASTM A416", INT(P668/20)&gt;INT(P667/20)), "TN Ø10 (Lần " &amp; INT(P668/20) &amp; ")", IF(AND(E668=12, INT(Q668/20)&gt;INT(Q667/20)), "TN Ø12 (Lần " &amp; INT(Q668/20) &amp; ")", IF(AND(E668=14, INT(R668/20)&gt;INT(R667/20)), "TN Ø14 (Lần " &amp; INT(R668/20) &amp; ")", IF(AND(E668=16, INT(S668/20)&gt;INT(S667/20)), "TN Ø16 (Lần " &amp; INT(S668/20) &amp; ")", IF(AND(E668=18, INT(T668/20)&gt;INT(T667/20)), "TN Ø18 (Lần " &amp; INT(T668/20) &amp; ")", IF(AND(E668=20, INT(U668/20)&gt;INT(U667/20)), "TN Ø20 (Lần " &amp; INT(U668/20) &amp; ")", IF(AND(E668=22, INT(V668/20)&gt;INT(V667/20)), "TN Ø22 (Lần " &amp; INT(V668/20) &amp; ")", IF(AND(E668=25, INT(W668/20)&gt;INT(W667/20)), "TN Ø25 (Lần " &amp; INT(W668/20) &amp; ")", IF(AND(E668=28, INT(X668/20)&gt;INT(X667/20)), "TN Ø28 (Lần " &amp; INT(X668/20) &amp; ")", IF(AND(E668=32, INT(Y668/20)&gt;INT(Y667/20)), "TN Ø32 (Lần " &amp; INT(Y668/20) &amp; ")", IF(AND(F668="ASTM A416", INT(Z668/20)&gt;INT(Z667/20)), "TN Cáp 15.2 (Lần " &amp; INT(Z668/20) &amp; ")", "")))))))))))</f>
        <v/>
      </c>
      <c r="P668" s="20">
        <f>ROUND(P667 + IF(AND(E668&lt;=10, F668&lt;&gt;"ASTM A416"), L668, 0), 3)</f>
        <v/>
      </c>
      <c r="Q668" s="20">
        <f>ROUND(Q667 + IF(AND(E668=12, F668&lt;&gt;"ASTM A416"), L668, 0), 3)</f>
        <v/>
      </c>
      <c r="R668" s="20">
        <f>ROUND(R667 + IF(AND(E668=14, F668&lt;&gt;"ASTM A416"), L668, 0), 3)</f>
        <v/>
      </c>
      <c r="S668" s="20">
        <f>ROUND(S667 + IF(AND(E668=16, F668&lt;&gt;"ASTM A416"), L668, 0), 3)</f>
        <v/>
      </c>
      <c r="T668" s="20">
        <f>ROUND(T667 + IF(AND(E668=18, F668&lt;&gt;"ASTM A416"), L668, 0), 3)</f>
        <v/>
      </c>
      <c r="U668" s="20">
        <f>ROUND(U667 + IF(AND(E668=20, F668&lt;&gt;"ASTM A416"), L668, 0), 3)</f>
        <v/>
      </c>
      <c r="V668" s="20">
        <f>ROUND(V667 + IF(AND(E668=22, F668&lt;&gt;"ASTM A416"), L668, 0), 3)</f>
        <v/>
      </c>
      <c r="W668" s="20">
        <f>ROUND(W667 + IF(AND(E668=25, F668&lt;&gt;"ASTM A416"), L668, 0), 3)</f>
        <v/>
      </c>
      <c r="X668" s="20">
        <f>ROUND(X667 + IF(AND(E668=28, F668&lt;&gt;"ASTM A416"), L668, 0), 3)</f>
        <v/>
      </c>
      <c r="Y668" s="20">
        <f>ROUND(Y667 + IF(AND(E668=32, F668&lt;&gt;"ASTM A416"), L668, 0), 3)</f>
        <v/>
      </c>
      <c r="Z668" s="20">
        <f>ROUND(Z667 + IF(F668="ASTM A416", L668, 0), 3)</f>
        <v/>
      </c>
      <c r="AA668" s="11">
        <f>IF(INT(P668/20)&gt;INT(P667/20), "Lần " &amp; INT(P668/20), "")</f>
        <v/>
      </c>
      <c r="AB668" s="11">
        <f>IF(INT(Q668/20)&gt;INT(Q667/20), "Lần " &amp; INT(Q668/20), "")</f>
        <v/>
      </c>
      <c r="AC668" s="11">
        <f>IF(INT(R668/20)&gt;INT(R667/20), "Lần " &amp; INT(R668/20), "")</f>
        <v/>
      </c>
      <c r="AD668" s="11">
        <f>IF(INT(S668/20)&gt;INT(S667/20), "Lần " &amp; INT(S668/20), "")</f>
        <v/>
      </c>
      <c r="AE668" s="11">
        <f>IF(INT(T668/20)&gt;INT(T667/20), "Lần " &amp; INT(T668/20), "")</f>
        <v/>
      </c>
      <c r="AF668" s="11">
        <f>IF(INT(U668/20)&gt;INT(U667/20), "Lần " &amp; INT(U668/20), "")</f>
        <v/>
      </c>
      <c r="AG668" s="11">
        <f>IF(INT(V668/20)&gt;INT(V667/20), "Lần " &amp; INT(V668/20), "")</f>
        <v/>
      </c>
      <c r="AH668" s="11">
        <f>IF(INT(W668/20)&gt;INT(W667/20), "Lần " &amp; INT(W668/20), "")</f>
        <v/>
      </c>
      <c r="AI668" s="11">
        <f>IF(INT(X668/20)&gt;INT(X667/20), "Lần " &amp; INT(X668/20), "")</f>
        <v/>
      </c>
      <c r="AJ668" s="11">
        <f>IF(INT(Y668/20)&gt;INT(Y667/20), "Lần " &amp; INT(Y668/20), "")</f>
        <v/>
      </c>
      <c r="AK668" s="11">
        <f>IF(INT(Z668/20)&gt;INT(Z667/20), "Lần " &amp; INT(Z668/20), "")</f>
        <v/>
      </c>
      <c r="AL668" s="6" t="inlineStr">
        <is>
          <t>ĐẠT TCVN 1651:2018</t>
        </is>
      </c>
    </row>
    <row r="669" ht="19" customHeight="1">
      <c r="A669" s="6" t="n">
        <v>637</v>
      </c>
      <c r="B669" s="7" t="inlineStr">
        <is>
          <t>Dầm chủ Super-T (15 phiến L=38.2m)</t>
        </is>
      </c>
      <c r="C669" s="7" t="inlineStr">
        <is>
          <t>Sườn dầm / Cánh dầm</t>
        </is>
      </c>
      <c r="D669" s="18" t="inlineStr">
        <is>
          <t>G4b1</t>
        </is>
      </c>
      <c r="E669" s="19" t="n">
        <v>12</v>
      </c>
      <c r="F669" s="6" t="inlineStr">
        <is>
          <t>CB400-V</t>
        </is>
      </c>
      <c r="G669" s="7" t="inlineStr">
        <is>
          <t>S01</t>
        </is>
      </c>
      <c r="H669" s="20" t="n">
        <v>11.7</v>
      </c>
      <c r="I669" s="21" t="n">
        <v>180</v>
      </c>
      <c r="J669" s="22" t="n">
        <v>0.888</v>
      </c>
      <c r="K669" s="9">
        <f>ROUND(H669*I669*J669, 2)</f>
        <v/>
      </c>
      <c r="L669" s="23">
        <f>ROUND(K669/1000, 3)</f>
        <v/>
      </c>
      <c r="M669" s="8" t="n"/>
      <c r="N669" s="6" t="n"/>
      <c r="O669" s="24">
        <f>IF(AND(E669&lt;=10, F669&lt;&gt;"ASTM A416", INT(P669/20)&gt;INT(P668/20)), "TN Ø10 (Lần " &amp; INT(P669/20) &amp; ")", IF(AND(E669=12, INT(Q669/20)&gt;INT(Q668/20)), "TN Ø12 (Lần " &amp; INT(Q669/20) &amp; ")", IF(AND(E669=14, INT(R669/20)&gt;INT(R668/20)), "TN Ø14 (Lần " &amp; INT(R669/20) &amp; ")", IF(AND(E669=16, INT(S669/20)&gt;INT(S668/20)), "TN Ø16 (Lần " &amp; INT(S669/20) &amp; ")", IF(AND(E669=18, INT(T669/20)&gt;INT(T668/20)), "TN Ø18 (Lần " &amp; INT(T669/20) &amp; ")", IF(AND(E669=20, INT(U669/20)&gt;INT(U668/20)), "TN Ø20 (Lần " &amp; INT(U669/20) &amp; ")", IF(AND(E669=22, INT(V669/20)&gt;INT(V668/20)), "TN Ø22 (Lần " &amp; INT(V669/20) &amp; ")", IF(AND(E669=25, INT(W669/20)&gt;INT(W668/20)), "TN Ø25 (Lần " &amp; INT(W669/20) &amp; ")", IF(AND(E669=28, INT(X669/20)&gt;INT(X668/20)), "TN Ø28 (Lần " &amp; INT(X669/20) &amp; ")", IF(AND(E669=32, INT(Y669/20)&gt;INT(Y668/20)), "TN Ø32 (Lần " &amp; INT(Y669/20) &amp; ")", IF(AND(F669="ASTM A416", INT(Z669/20)&gt;INT(Z668/20)), "TN Cáp 15.2 (Lần " &amp; INT(Z669/20) &amp; ")", "")))))))))))</f>
        <v/>
      </c>
      <c r="P669" s="20">
        <f>ROUND(P668 + IF(AND(E669&lt;=10, F669&lt;&gt;"ASTM A416"), L669, 0), 3)</f>
        <v/>
      </c>
      <c r="Q669" s="20">
        <f>ROUND(Q668 + IF(AND(E669=12, F669&lt;&gt;"ASTM A416"), L669, 0), 3)</f>
        <v/>
      </c>
      <c r="R669" s="20">
        <f>ROUND(R668 + IF(AND(E669=14, F669&lt;&gt;"ASTM A416"), L669, 0), 3)</f>
        <v/>
      </c>
      <c r="S669" s="20">
        <f>ROUND(S668 + IF(AND(E669=16, F669&lt;&gt;"ASTM A416"), L669, 0), 3)</f>
        <v/>
      </c>
      <c r="T669" s="20">
        <f>ROUND(T668 + IF(AND(E669=18, F669&lt;&gt;"ASTM A416"), L669, 0), 3)</f>
        <v/>
      </c>
      <c r="U669" s="20">
        <f>ROUND(U668 + IF(AND(E669=20, F669&lt;&gt;"ASTM A416"), L669, 0), 3)</f>
        <v/>
      </c>
      <c r="V669" s="20">
        <f>ROUND(V668 + IF(AND(E669=22, F669&lt;&gt;"ASTM A416"), L669, 0), 3)</f>
        <v/>
      </c>
      <c r="W669" s="20">
        <f>ROUND(W668 + IF(AND(E669=25, F669&lt;&gt;"ASTM A416"), L669, 0), 3)</f>
        <v/>
      </c>
      <c r="X669" s="20">
        <f>ROUND(X668 + IF(AND(E669=28, F669&lt;&gt;"ASTM A416"), L669, 0), 3)</f>
        <v/>
      </c>
      <c r="Y669" s="20">
        <f>ROUND(Y668 + IF(AND(E669=32, F669&lt;&gt;"ASTM A416"), L669, 0), 3)</f>
        <v/>
      </c>
      <c r="Z669" s="20">
        <f>ROUND(Z668 + IF(F669="ASTM A416", L669, 0), 3)</f>
        <v/>
      </c>
      <c r="AA669" s="11">
        <f>IF(INT(P669/20)&gt;INT(P668/20), "Lần " &amp; INT(P669/20), "")</f>
        <v/>
      </c>
      <c r="AB669" s="11">
        <f>IF(INT(Q669/20)&gt;INT(Q668/20), "Lần " &amp; INT(Q669/20), "")</f>
        <v/>
      </c>
      <c r="AC669" s="11">
        <f>IF(INT(R669/20)&gt;INT(R668/20), "Lần " &amp; INT(R669/20), "")</f>
        <v/>
      </c>
      <c r="AD669" s="11">
        <f>IF(INT(S669/20)&gt;INT(S668/20), "Lần " &amp; INT(S669/20), "")</f>
        <v/>
      </c>
      <c r="AE669" s="11">
        <f>IF(INT(T669/20)&gt;INT(T668/20), "Lần " &amp; INT(T669/20), "")</f>
        <v/>
      </c>
      <c r="AF669" s="11">
        <f>IF(INT(U669/20)&gt;INT(U668/20), "Lần " &amp; INT(U669/20), "")</f>
        <v/>
      </c>
      <c r="AG669" s="11">
        <f>IF(INT(V669/20)&gt;INT(V668/20), "Lần " &amp; INT(V669/20), "")</f>
        <v/>
      </c>
      <c r="AH669" s="11">
        <f>IF(INT(W669/20)&gt;INT(W668/20), "Lần " &amp; INT(W669/20), "")</f>
        <v/>
      </c>
      <c r="AI669" s="11">
        <f>IF(INT(X669/20)&gt;INT(X668/20), "Lần " &amp; INT(X669/20), "")</f>
        <v/>
      </c>
      <c r="AJ669" s="11">
        <f>IF(INT(Y669/20)&gt;INT(Y668/20), "Lần " &amp; INT(Y669/20), "")</f>
        <v/>
      </c>
      <c r="AK669" s="11">
        <f>IF(INT(Z669/20)&gt;INT(Z668/20), "Lần " &amp; INT(Z669/20), "")</f>
        <v/>
      </c>
      <c r="AL669" s="6" t="inlineStr">
        <is>
          <t>ĐẠT TCVN 1651:2018</t>
        </is>
      </c>
    </row>
    <row r="670" ht="19" customHeight="1">
      <c r="A670" s="6" t="n">
        <v>638</v>
      </c>
      <c r="B670" s="7" t="inlineStr">
        <is>
          <t>Dầm chủ Super-T (15 phiến L=38.2m)</t>
        </is>
      </c>
      <c r="C670" s="7" t="inlineStr">
        <is>
          <t>Sườn dầm / Cánh dầm</t>
        </is>
      </c>
      <c r="D670" s="18" t="inlineStr">
        <is>
          <t>G4b2</t>
        </is>
      </c>
      <c r="E670" s="19" t="n">
        <v>12</v>
      </c>
      <c r="F670" s="6" t="inlineStr">
        <is>
          <t>CB400-V</t>
        </is>
      </c>
      <c r="G670" s="7" t="inlineStr">
        <is>
          <t>S06</t>
        </is>
      </c>
      <c r="H670" s="20" t="n">
        <v>3.06</v>
      </c>
      <c r="I670" s="21" t="n">
        <v>60</v>
      </c>
      <c r="J670" s="22" t="n">
        <v>0.888</v>
      </c>
      <c r="K670" s="9">
        <f>ROUND(H670*I670*J670, 2)</f>
        <v/>
      </c>
      <c r="L670" s="23">
        <f>ROUND(K670/1000, 3)</f>
        <v/>
      </c>
      <c r="M670" s="8" t="n"/>
      <c r="N670" s="6" t="n"/>
      <c r="O670" s="24">
        <f>IF(AND(E670&lt;=10, F670&lt;&gt;"ASTM A416", INT(P670/20)&gt;INT(P669/20)), "TN Ø10 (Lần " &amp; INT(P670/20) &amp; ")", IF(AND(E670=12, INT(Q670/20)&gt;INT(Q669/20)), "TN Ø12 (Lần " &amp; INT(Q670/20) &amp; ")", IF(AND(E670=14, INT(R670/20)&gt;INT(R669/20)), "TN Ø14 (Lần " &amp; INT(R670/20) &amp; ")", IF(AND(E670=16, INT(S670/20)&gt;INT(S669/20)), "TN Ø16 (Lần " &amp; INT(S670/20) &amp; ")", IF(AND(E670=18, INT(T670/20)&gt;INT(T669/20)), "TN Ø18 (Lần " &amp; INT(T670/20) &amp; ")", IF(AND(E670=20, INT(U670/20)&gt;INT(U669/20)), "TN Ø20 (Lần " &amp; INT(U670/20) &amp; ")", IF(AND(E670=22, INT(V670/20)&gt;INT(V669/20)), "TN Ø22 (Lần " &amp; INT(V670/20) &amp; ")", IF(AND(E670=25, INT(W670/20)&gt;INT(W669/20)), "TN Ø25 (Lần " &amp; INT(W670/20) &amp; ")", IF(AND(E670=28, INT(X670/20)&gt;INT(X669/20)), "TN Ø28 (Lần " &amp; INT(X670/20) &amp; ")", IF(AND(E670=32, INT(Y670/20)&gt;INT(Y669/20)), "TN Ø32 (Lần " &amp; INT(Y670/20) &amp; ")", IF(AND(F670="ASTM A416", INT(Z670/20)&gt;INT(Z669/20)), "TN Cáp 15.2 (Lần " &amp; INT(Z670/20) &amp; ")", "")))))))))))</f>
        <v/>
      </c>
      <c r="P670" s="20">
        <f>ROUND(P669 + IF(AND(E670&lt;=10, F670&lt;&gt;"ASTM A416"), L670, 0), 3)</f>
        <v/>
      </c>
      <c r="Q670" s="20">
        <f>ROUND(Q669 + IF(AND(E670=12, F670&lt;&gt;"ASTM A416"), L670, 0), 3)</f>
        <v/>
      </c>
      <c r="R670" s="20">
        <f>ROUND(R669 + IF(AND(E670=14, F670&lt;&gt;"ASTM A416"), L670, 0), 3)</f>
        <v/>
      </c>
      <c r="S670" s="20">
        <f>ROUND(S669 + IF(AND(E670=16, F670&lt;&gt;"ASTM A416"), L670, 0), 3)</f>
        <v/>
      </c>
      <c r="T670" s="20">
        <f>ROUND(T669 + IF(AND(E670=18, F670&lt;&gt;"ASTM A416"), L670, 0), 3)</f>
        <v/>
      </c>
      <c r="U670" s="20">
        <f>ROUND(U669 + IF(AND(E670=20, F670&lt;&gt;"ASTM A416"), L670, 0), 3)</f>
        <v/>
      </c>
      <c r="V670" s="20">
        <f>ROUND(V669 + IF(AND(E670=22, F670&lt;&gt;"ASTM A416"), L670, 0), 3)</f>
        <v/>
      </c>
      <c r="W670" s="20">
        <f>ROUND(W669 + IF(AND(E670=25, F670&lt;&gt;"ASTM A416"), L670, 0), 3)</f>
        <v/>
      </c>
      <c r="X670" s="20">
        <f>ROUND(X669 + IF(AND(E670=28, F670&lt;&gt;"ASTM A416"), L670, 0), 3)</f>
        <v/>
      </c>
      <c r="Y670" s="20">
        <f>ROUND(Y669 + IF(AND(E670=32, F670&lt;&gt;"ASTM A416"), L670, 0), 3)</f>
        <v/>
      </c>
      <c r="Z670" s="20">
        <f>ROUND(Z669 + IF(F670="ASTM A416", L670, 0), 3)</f>
        <v/>
      </c>
      <c r="AA670" s="11">
        <f>IF(INT(P670/20)&gt;INT(P669/20), "Lần " &amp; INT(P670/20), "")</f>
        <v/>
      </c>
      <c r="AB670" s="11">
        <f>IF(INT(Q670/20)&gt;INT(Q669/20), "Lần " &amp; INT(Q670/20), "")</f>
        <v/>
      </c>
      <c r="AC670" s="11">
        <f>IF(INT(R670/20)&gt;INT(R669/20), "Lần " &amp; INT(R670/20), "")</f>
        <v/>
      </c>
      <c r="AD670" s="11">
        <f>IF(INT(S670/20)&gt;INT(S669/20), "Lần " &amp; INT(S670/20), "")</f>
        <v/>
      </c>
      <c r="AE670" s="11">
        <f>IF(INT(T670/20)&gt;INT(T669/20), "Lần " &amp; INT(T670/20), "")</f>
        <v/>
      </c>
      <c r="AF670" s="11">
        <f>IF(INT(U670/20)&gt;INT(U669/20), "Lần " &amp; INT(U670/20), "")</f>
        <v/>
      </c>
      <c r="AG670" s="11">
        <f>IF(INT(V670/20)&gt;INT(V669/20), "Lần " &amp; INT(V670/20), "")</f>
        <v/>
      </c>
      <c r="AH670" s="11">
        <f>IF(INT(W670/20)&gt;INT(W669/20), "Lần " &amp; INT(W670/20), "")</f>
        <v/>
      </c>
      <c r="AI670" s="11">
        <f>IF(INT(X670/20)&gt;INT(X669/20), "Lần " &amp; INT(X670/20), "")</f>
        <v/>
      </c>
      <c r="AJ670" s="11">
        <f>IF(INT(Y670/20)&gt;INT(Y669/20), "Lần " &amp; INT(Y670/20), "")</f>
        <v/>
      </c>
      <c r="AK670" s="11">
        <f>IF(INT(Z670/20)&gt;INT(Z669/20), "Lần " &amp; INT(Z670/20), "")</f>
        <v/>
      </c>
      <c r="AL670" s="6" t="inlineStr">
        <is>
          <t>ĐẠT TCVN 1651:2018</t>
        </is>
      </c>
    </row>
    <row r="671" ht="19" customHeight="1">
      <c r="A671" s="6" t="n">
        <v>639</v>
      </c>
      <c r="B671" s="7" t="inlineStr">
        <is>
          <t>Dầm chủ Super-T (15 phiến L=38.2m)</t>
        </is>
      </c>
      <c r="C671" s="7" t="inlineStr">
        <is>
          <t>Sườn dầm / Cánh dầm</t>
        </is>
      </c>
      <c r="D671" s="18" t="inlineStr">
        <is>
          <t>G5a</t>
        </is>
      </c>
      <c r="E671" s="19" t="n">
        <v>16</v>
      </c>
      <c r="F671" s="6" t="inlineStr">
        <is>
          <t>CB400-V</t>
        </is>
      </c>
      <c r="G671" s="7" t="inlineStr">
        <is>
          <t>S01</t>
        </is>
      </c>
      <c r="H671" s="20" t="n">
        <v>11.7</v>
      </c>
      <c r="I671" s="21" t="n">
        <v>420</v>
      </c>
      <c r="J671" s="22" t="n">
        <v>1.58</v>
      </c>
      <c r="K671" s="9">
        <f>ROUND(H671*I671*J671, 2)</f>
        <v/>
      </c>
      <c r="L671" s="23">
        <f>ROUND(K671/1000, 3)</f>
        <v/>
      </c>
      <c r="M671" s="8" t="n"/>
      <c r="N671" s="6" t="n"/>
      <c r="O671" s="24">
        <f>IF(AND(E671&lt;=10, F671&lt;&gt;"ASTM A416", INT(P671/20)&gt;INT(P670/20)), "TN Ø10 (Lần " &amp; INT(P671/20) &amp; ")", IF(AND(E671=12, INT(Q671/20)&gt;INT(Q670/20)), "TN Ø12 (Lần " &amp; INT(Q671/20) &amp; ")", IF(AND(E671=14, INT(R671/20)&gt;INT(R670/20)), "TN Ø14 (Lần " &amp; INT(R671/20) &amp; ")", IF(AND(E671=16, INT(S671/20)&gt;INT(S670/20)), "TN Ø16 (Lần " &amp; INT(S671/20) &amp; ")", IF(AND(E671=18, INT(T671/20)&gt;INT(T670/20)), "TN Ø18 (Lần " &amp; INT(T671/20) &amp; ")", IF(AND(E671=20, INT(U671/20)&gt;INT(U670/20)), "TN Ø20 (Lần " &amp; INT(U671/20) &amp; ")", IF(AND(E671=22, INT(V671/20)&gt;INT(V670/20)), "TN Ø22 (Lần " &amp; INT(V671/20) &amp; ")", IF(AND(E671=25, INT(W671/20)&gt;INT(W670/20)), "TN Ø25 (Lần " &amp; INT(W671/20) &amp; ")", IF(AND(E671=28, INT(X671/20)&gt;INT(X670/20)), "TN Ø28 (Lần " &amp; INT(X671/20) &amp; ")", IF(AND(E671=32, INT(Y671/20)&gt;INT(Y670/20)), "TN Ø32 (Lần " &amp; INT(Y671/20) &amp; ")", IF(AND(F671="ASTM A416", INT(Z671/20)&gt;INT(Z670/20)), "TN Cáp 15.2 (Lần " &amp; INT(Z671/20) &amp; ")", "")))))))))))</f>
        <v/>
      </c>
      <c r="P671" s="20">
        <f>ROUND(P670 + IF(AND(E671&lt;=10, F671&lt;&gt;"ASTM A416"), L671, 0), 3)</f>
        <v/>
      </c>
      <c r="Q671" s="20">
        <f>ROUND(Q670 + IF(AND(E671=12, F671&lt;&gt;"ASTM A416"), L671, 0), 3)</f>
        <v/>
      </c>
      <c r="R671" s="20">
        <f>ROUND(R670 + IF(AND(E671=14, F671&lt;&gt;"ASTM A416"), L671, 0), 3)</f>
        <v/>
      </c>
      <c r="S671" s="20">
        <f>ROUND(S670 + IF(AND(E671=16, F671&lt;&gt;"ASTM A416"), L671, 0), 3)</f>
        <v/>
      </c>
      <c r="T671" s="20">
        <f>ROUND(T670 + IF(AND(E671=18, F671&lt;&gt;"ASTM A416"), L671, 0), 3)</f>
        <v/>
      </c>
      <c r="U671" s="20">
        <f>ROUND(U670 + IF(AND(E671=20, F671&lt;&gt;"ASTM A416"), L671, 0), 3)</f>
        <v/>
      </c>
      <c r="V671" s="20">
        <f>ROUND(V670 + IF(AND(E671=22, F671&lt;&gt;"ASTM A416"), L671, 0), 3)</f>
        <v/>
      </c>
      <c r="W671" s="20">
        <f>ROUND(W670 + IF(AND(E671=25, F671&lt;&gt;"ASTM A416"), L671, 0), 3)</f>
        <v/>
      </c>
      <c r="X671" s="20">
        <f>ROUND(X670 + IF(AND(E671=28, F671&lt;&gt;"ASTM A416"), L671, 0), 3)</f>
        <v/>
      </c>
      <c r="Y671" s="20">
        <f>ROUND(Y670 + IF(AND(E671=32, F671&lt;&gt;"ASTM A416"), L671, 0), 3)</f>
        <v/>
      </c>
      <c r="Z671" s="20">
        <f>ROUND(Z670 + IF(F671="ASTM A416", L671, 0), 3)</f>
        <v/>
      </c>
      <c r="AA671" s="11">
        <f>IF(INT(P671/20)&gt;INT(P670/20), "Lần " &amp; INT(P671/20), "")</f>
        <v/>
      </c>
      <c r="AB671" s="11">
        <f>IF(INT(Q671/20)&gt;INT(Q670/20), "Lần " &amp; INT(Q671/20), "")</f>
        <v/>
      </c>
      <c r="AC671" s="11">
        <f>IF(INT(R671/20)&gt;INT(R670/20), "Lần " &amp; INT(R671/20), "")</f>
        <v/>
      </c>
      <c r="AD671" s="11">
        <f>IF(INT(S671/20)&gt;INT(S670/20), "Lần " &amp; INT(S671/20), "")</f>
        <v/>
      </c>
      <c r="AE671" s="11">
        <f>IF(INT(T671/20)&gt;INT(T670/20), "Lần " &amp; INT(T671/20), "")</f>
        <v/>
      </c>
      <c r="AF671" s="11">
        <f>IF(INT(U671/20)&gt;INT(U670/20), "Lần " &amp; INT(U671/20), "")</f>
        <v/>
      </c>
      <c r="AG671" s="11">
        <f>IF(INT(V671/20)&gt;INT(V670/20), "Lần " &amp; INT(V671/20), "")</f>
        <v/>
      </c>
      <c r="AH671" s="11">
        <f>IF(INT(W671/20)&gt;INT(W670/20), "Lần " &amp; INT(W671/20), "")</f>
        <v/>
      </c>
      <c r="AI671" s="11">
        <f>IF(INT(X671/20)&gt;INT(X670/20), "Lần " &amp; INT(X671/20), "")</f>
        <v/>
      </c>
      <c r="AJ671" s="11">
        <f>IF(INT(Y671/20)&gt;INT(Y670/20), "Lần " &amp; INT(Y671/20), "")</f>
        <v/>
      </c>
      <c r="AK671" s="11">
        <f>IF(INT(Z671/20)&gt;INT(Z670/20), "Lần " &amp; INT(Z671/20), "")</f>
        <v/>
      </c>
      <c r="AL671" s="6" t="inlineStr">
        <is>
          <t>ĐẠT TCVN 1651:2018</t>
        </is>
      </c>
    </row>
    <row r="672" ht="19" customHeight="1">
      <c r="A672" s="6" t="n">
        <v>640</v>
      </c>
      <c r="B672" s="7" t="inlineStr">
        <is>
          <t>Dầm chủ Super-T (15 phiến L=38.2m)</t>
        </is>
      </c>
      <c r="C672" s="7" t="inlineStr">
        <is>
          <t>Sườn dầm / Cánh dầm</t>
        </is>
      </c>
      <c r="D672" s="18" t="inlineStr">
        <is>
          <t>G5b</t>
        </is>
      </c>
      <c r="E672" s="19" t="n">
        <v>18</v>
      </c>
      <c r="F672" s="6" t="inlineStr">
        <is>
          <t>CB400-V</t>
        </is>
      </c>
      <c r="G672" s="7" t="inlineStr">
        <is>
          <t>S06</t>
        </is>
      </c>
      <c r="H672" s="20" t="n">
        <v>2.86</v>
      </c>
      <c r="I672" s="21" t="n">
        <v>210</v>
      </c>
      <c r="J672" s="22" t="n">
        <v>2</v>
      </c>
      <c r="K672" s="9">
        <f>ROUND(H672*I672*J672, 2)</f>
        <v/>
      </c>
      <c r="L672" s="23">
        <f>ROUND(K672/1000, 3)</f>
        <v/>
      </c>
      <c r="M672" s="8" t="n"/>
      <c r="N672" s="6" t="n"/>
      <c r="O672" s="24">
        <f>IF(AND(E672&lt;=10, F672&lt;&gt;"ASTM A416", INT(P672/20)&gt;INT(P671/20)), "TN Ø10 (Lần " &amp; INT(P672/20) &amp; ")", IF(AND(E672=12, INT(Q672/20)&gt;INT(Q671/20)), "TN Ø12 (Lần " &amp; INT(Q672/20) &amp; ")", IF(AND(E672=14, INT(R672/20)&gt;INT(R671/20)), "TN Ø14 (Lần " &amp; INT(R672/20) &amp; ")", IF(AND(E672=16, INT(S672/20)&gt;INT(S671/20)), "TN Ø16 (Lần " &amp; INT(S672/20) &amp; ")", IF(AND(E672=18, INT(T672/20)&gt;INT(T671/20)), "TN Ø18 (Lần " &amp; INT(T672/20) &amp; ")", IF(AND(E672=20, INT(U672/20)&gt;INT(U671/20)), "TN Ø20 (Lần " &amp; INT(U672/20) &amp; ")", IF(AND(E672=22, INT(V672/20)&gt;INT(V671/20)), "TN Ø22 (Lần " &amp; INT(V672/20) &amp; ")", IF(AND(E672=25, INT(W672/20)&gt;INT(W671/20)), "TN Ø25 (Lần " &amp; INT(W672/20) &amp; ")", IF(AND(E672=28, INT(X672/20)&gt;INT(X671/20)), "TN Ø28 (Lần " &amp; INT(X672/20) &amp; ")", IF(AND(E672=32, INT(Y672/20)&gt;INT(Y671/20)), "TN Ø32 (Lần " &amp; INT(Y672/20) &amp; ")", IF(AND(F672="ASTM A416", INT(Z672/20)&gt;INT(Z671/20)), "TN Cáp 15.2 (Lần " &amp; INT(Z672/20) &amp; ")", "")))))))))))</f>
        <v/>
      </c>
      <c r="P672" s="20">
        <f>ROUND(P671 + IF(AND(E672&lt;=10, F672&lt;&gt;"ASTM A416"), L672, 0), 3)</f>
        <v/>
      </c>
      <c r="Q672" s="20">
        <f>ROUND(Q671 + IF(AND(E672=12, F672&lt;&gt;"ASTM A416"), L672, 0), 3)</f>
        <v/>
      </c>
      <c r="R672" s="20">
        <f>ROUND(R671 + IF(AND(E672=14, F672&lt;&gt;"ASTM A416"), L672, 0), 3)</f>
        <v/>
      </c>
      <c r="S672" s="20">
        <f>ROUND(S671 + IF(AND(E672=16, F672&lt;&gt;"ASTM A416"), L672, 0), 3)</f>
        <v/>
      </c>
      <c r="T672" s="20">
        <f>ROUND(T671 + IF(AND(E672=18, F672&lt;&gt;"ASTM A416"), L672, 0), 3)</f>
        <v/>
      </c>
      <c r="U672" s="20">
        <f>ROUND(U671 + IF(AND(E672=20, F672&lt;&gt;"ASTM A416"), L672, 0), 3)</f>
        <v/>
      </c>
      <c r="V672" s="20">
        <f>ROUND(V671 + IF(AND(E672=22, F672&lt;&gt;"ASTM A416"), L672, 0), 3)</f>
        <v/>
      </c>
      <c r="W672" s="20">
        <f>ROUND(W671 + IF(AND(E672=25, F672&lt;&gt;"ASTM A416"), L672, 0), 3)</f>
        <v/>
      </c>
      <c r="X672" s="20">
        <f>ROUND(X671 + IF(AND(E672=28, F672&lt;&gt;"ASTM A416"), L672, 0), 3)</f>
        <v/>
      </c>
      <c r="Y672" s="20">
        <f>ROUND(Y671 + IF(AND(E672=32, F672&lt;&gt;"ASTM A416"), L672, 0), 3)</f>
        <v/>
      </c>
      <c r="Z672" s="20">
        <f>ROUND(Z671 + IF(F672="ASTM A416", L672, 0), 3)</f>
        <v/>
      </c>
      <c r="AA672" s="11">
        <f>IF(INT(P672/20)&gt;INT(P671/20), "Lần " &amp; INT(P672/20), "")</f>
        <v/>
      </c>
      <c r="AB672" s="11">
        <f>IF(INT(Q672/20)&gt;INT(Q671/20), "Lần " &amp; INT(Q672/20), "")</f>
        <v/>
      </c>
      <c r="AC672" s="11">
        <f>IF(INT(R672/20)&gt;INT(R671/20), "Lần " &amp; INT(R672/20), "")</f>
        <v/>
      </c>
      <c r="AD672" s="11">
        <f>IF(INT(S672/20)&gt;INT(S671/20), "Lần " &amp; INT(S672/20), "")</f>
        <v/>
      </c>
      <c r="AE672" s="11">
        <f>IF(INT(T672/20)&gt;INT(T671/20), "Lần " &amp; INT(T672/20), "")</f>
        <v/>
      </c>
      <c r="AF672" s="11">
        <f>IF(INT(U672/20)&gt;INT(U671/20), "Lần " &amp; INT(U672/20), "")</f>
        <v/>
      </c>
      <c r="AG672" s="11">
        <f>IF(INT(V672/20)&gt;INT(V671/20), "Lần " &amp; INT(V672/20), "")</f>
        <v/>
      </c>
      <c r="AH672" s="11">
        <f>IF(INT(W672/20)&gt;INT(W671/20), "Lần " &amp; INT(W672/20), "")</f>
        <v/>
      </c>
      <c r="AI672" s="11">
        <f>IF(INT(X672/20)&gt;INT(X671/20), "Lần " &amp; INT(X672/20), "")</f>
        <v/>
      </c>
      <c r="AJ672" s="11">
        <f>IF(INT(Y672/20)&gt;INT(Y671/20), "Lần " &amp; INT(Y672/20), "")</f>
        <v/>
      </c>
      <c r="AK672" s="11">
        <f>IF(INT(Z672/20)&gt;INT(Z671/20), "Lần " &amp; INT(Z672/20), "")</f>
        <v/>
      </c>
      <c r="AL672" s="6" t="inlineStr">
        <is>
          <t>ĐẠT TCVN 1651:2018</t>
        </is>
      </c>
    </row>
    <row r="673" ht="19" customHeight="1">
      <c r="A673" s="6" t="n">
        <v>641</v>
      </c>
      <c r="B673" s="7" t="inlineStr">
        <is>
          <t>Dầm chủ Super-T (15 phiến L=38.2m)</t>
        </is>
      </c>
      <c r="C673" s="7" t="inlineStr">
        <is>
          <t>Sườn dầm / Cánh dầm</t>
        </is>
      </c>
      <c r="D673" s="18" t="inlineStr">
        <is>
          <t>G5c</t>
        </is>
      </c>
      <c r="E673" s="19" t="n">
        <v>16</v>
      </c>
      <c r="F673" s="6" t="inlineStr">
        <is>
          <t>CB400-V</t>
        </is>
      </c>
      <c r="G673" s="7" t="inlineStr">
        <is>
          <t>S01</t>
        </is>
      </c>
      <c r="H673" s="20" t="n">
        <v>10.68</v>
      </c>
      <c r="I673" s="21" t="n">
        <v>210</v>
      </c>
      <c r="J673" s="22" t="n">
        <v>1.58</v>
      </c>
      <c r="K673" s="9">
        <f>ROUND(H673*I673*J673, 2)</f>
        <v/>
      </c>
      <c r="L673" s="23">
        <f>ROUND(K673/1000, 3)</f>
        <v/>
      </c>
      <c r="M673" s="8" t="n"/>
      <c r="N673" s="6" t="n"/>
      <c r="O673" s="24">
        <f>IF(AND(E673&lt;=10, F673&lt;&gt;"ASTM A416", INT(P673/20)&gt;INT(P672/20)), "TN Ø10 (Lần " &amp; INT(P673/20) &amp; ")", IF(AND(E673=12, INT(Q673/20)&gt;INT(Q672/20)), "TN Ø12 (Lần " &amp; INT(Q673/20) &amp; ")", IF(AND(E673=14, INT(R673/20)&gt;INT(R672/20)), "TN Ø14 (Lần " &amp; INT(R673/20) &amp; ")", IF(AND(E673=16, INT(S673/20)&gt;INT(S672/20)), "TN Ø16 (Lần " &amp; INT(S673/20) &amp; ")", IF(AND(E673=18, INT(T673/20)&gt;INT(T672/20)), "TN Ø18 (Lần " &amp; INT(T673/20) &amp; ")", IF(AND(E673=20, INT(U673/20)&gt;INT(U672/20)), "TN Ø20 (Lần " &amp; INT(U673/20) &amp; ")", IF(AND(E673=22, INT(V673/20)&gt;INT(V672/20)), "TN Ø22 (Lần " &amp; INT(V673/20) &amp; ")", IF(AND(E673=25, INT(W673/20)&gt;INT(W672/20)), "TN Ø25 (Lần " &amp; INT(W673/20) &amp; ")", IF(AND(E673=28, INT(X673/20)&gt;INT(X672/20)), "TN Ø28 (Lần " &amp; INT(X673/20) &amp; ")", IF(AND(E673=32, INT(Y673/20)&gt;INT(Y672/20)), "TN Ø32 (Lần " &amp; INT(Y673/20) &amp; ")", IF(AND(F673="ASTM A416", INT(Z673/20)&gt;INT(Z672/20)), "TN Cáp 15.2 (Lần " &amp; INT(Z673/20) &amp; ")", "")))))))))))</f>
        <v/>
      </c>
      <c r="P673" s="20">
        <f>ROUND(P672 + IF(AND(E673&lt;=10, F673&lt;&gt;"ASTM A416"), L673, 0), 3)</f>
        <v/>
      </c>
      <c r="Q673" s="20">
        <f>ROUND(Q672 + IF(AND(E673=12, F673&lt;&gt;"ASTM A416"), L673, 0), 3)</f>
        <v/>
      </c>
      <c r="R673" s="20">
        <f>ROUND(R672 + IF(AND(E673=14, F673&lt;&gt;"ASTM A416"), L673, 0), 3)</f>
        <v/>
      </c>
      <c r="S673" s="20">
        <f>ROUND(S672 + IF(AND(E673=16, F673&lt;&gt;"ASTM A416"), L673, 0), 3)</f>
        <v/>
      </c>
      <c r="T673" s="20">
        <f>ROUND(T672 + IF(AND(E673=18, F673&lt;&gt;"ASTM A416"), L673, 0), 3)</f>
        <v/>
      </c>
      <c r="U673" s="20">
        <f>ROUND(U672 + IF(AND(E673=20, F673&lt;&gt;"ASTM A416"), L673, 0), 3)</f>
        <v/>
      </c>
      <c r="V673" s="20">
        <f>ROUND(V672 + IF(AND(E673=22, F673&lt;&gt;"ASTM A416"), L673, 0), 3)</f>
        <v/>
      </c>
      <c r="W673" s="20">
        <f>ROUND(W672 + IF(AND(E673=25, F673&lt;&gt;"ASTM A416"), L673, 0), 3)</f>
        <v/>
      </c>
      <c r="X673" s="20">
        <f>ROUND(X672 + IF(AND(E673=28, F673&lt;&gt;"ASTM A416"), L673, 0), 3)</f>
        <v/>
      </c>
      <c r="Y673" s="20">
        <f>ROUND(Y672 + IF(AND(E673=32, F673&lt;&gt;"ASTM A416"), L673, 0), 3)</f>
        <v/>
      </c>
      <c r="Z673" s="20">
        <f>ROUND(Z672 + IF(F673="ASTM A416", L673, 0), 3)</f>
        <v/>
      </c>
      <c r="AA673" s="11">
        <f>IF(INT(P673/20)&gt;INT(P672/20), "Lần " &amp; INT(P673/20), "")</f>
        <v/>
      </c>
      <c r="AB673" s="11">
        <f>IF(INT(Q673/20)&gt;INT(Q672/20), "Lần " &amp; INT(Q673/20), "")</f>
        <v/>
      </c>
      <c r="AC673" s="11">
        <f>IF(INT(R673/20)&gt;INT(R672/20), "Lần " &amp; INT(R673/20), "")</f>
        <v/>
      </c>
      <c r="AD673" s="11">
        <f>IF(INT(S673/20)&gt;INT(S672/20), "Lần " &amp; INT(S673/20), "")</f>
        <v/>
      </c>
      <c r="AE673" s="11">
        <f>IF(INT(T673/20)&gt;INT(T672/20), "Lần " &amp; INT(T673/20), "")</f>
        <v/>
      </c>
      <c r="AF673" s="11">
        <f>IF(INT(U673/20)&gt;INT(U672/20), "Lần " &amp; INT(U673/20), "")</f>
        <v/>
      </c>
      <c r="AG673" s="11">
        <f>IF(INT(V673/20)&gt;INT(V672/20), "Lần " &amp; INT(V673/20), "")</f>
        <v/>
      </c>
      <c r="AH673" s="11">
        <f>IF(INT(W673/20)&gt;INT(W672/20), "Lần " &amp; INT(W673/20), "")</f>
        <v/>
      </c>
      <c r="AI673" s="11">
        <f>IF(INT(X673/20)&gt;INT(X672/20), "Lần " &amp; INT(X673/20), "")</f>
        <v/>
      </c>
      <c r="AJ673" s="11">
        <f>IF(INT(Y673/20)&gt;INT(Y672/20), "Lần " &amp; INT(Y673/20), "")</f>
        <v/>
      </c>
      <c r="AK673" s="11">
        <f>IF(INT(Z673/20)&gt;INT(Z672/20), "Lần " &amp; INT(Z673/20), "")</f>
        <v/>
      </c>
      <c r="AL673" s="6" t="inlineStr">
        <is>
          <t>ĐẠT TCVN 1651:2018</t>
        </is>
      </c>
    </row>
    <row r="674" ht="19" customHeight="1">
      <c r="A674" s="6" t="n">
        <v>642</v>
      </c>
      <c r="B674" s="7" t="inlineStr">
        <is>
          <t>Dầm chủ Super-T (15 phiến L=38.2m)</t>
        </is>
      </c>
      <c r="C674" s="7" t="inlineStr">
        <is>
          <t>Sườn dầm / Cánh dầm</t>
        </is>
      </c>
      <c r="D674" s="18" t="inlineStr">
        <is>
          <t>G5d</t>
        </is>
      </c>
      <c r="E674" s="19" t="n">
        <v>18</v>
      </c>
      <c r="F674" s="6" t="inlineStr">
        <is>
          <t>CB400-V</t>
        </is>
      </c>
      <c r="G674" s="7" t="inlineStr">
        <is>
          <t>S06</t>
        </is>
      </c>
      <c r="H674" s="20" t="n">
        <v>3.9</v>
      </c>
      <c r="I674" s="21" t="n">
        <v>210</v>
      </c>
      <c r="J674" s="22" t="n">
        <v>2</v>
      </c>
      <c r="K674" s="9">
        <f>ROUND(H674*I674*J674, 2)</f>
        <v/>
      </c>
      <c r="L674" s="23">
        <f>ROUND(K674/1000, 3)</f>
        <v/>
      </c>
      <c r="M674" s="8" t="n"/>
      <c r="N674" s="6" t="n"/>
      <c r="O674" s="24">
        <f>IF(AND(E674&lt;=10, F674&lt;&gt;"ASTM A416", INT(P674/20)&gt;INT(P673/20)), "TN Ø10 (Lần " &amp; INT(P674/20) &amp; ")", IF(AND(E674=12, INT(Q674/20)&gt;INT(Q673/20)), "TN Ø12 (Lần " &amp; INT(Q674/20) &amp; ")", IF(AND(E674=14, INT(R674/20)&gt;INT(R673/20)), "TN Ø14 (Lần " &amp; INT(R674/20) &amp; ")", IF(AND(E674=16, INT(S674/20)&gt;INT(S673/20)), "TN Ø16 (Lần " &amp; INT(S674/20) &amp; ")", IF(AND(E674=18, INT(T674/20)&gt;INT(T673/20)), "TN Ø18 (Lần " &amp; INT(T674/20) &amp; ")", IF(AND(E674=20, INT(U674/20)&gt;INT(U673/20)), "TN Ø20 (Lần " &amp; INT(U674/20) &amp; ")", IF(AND(E674=22, INT(V674/20)&gt;INT(V673/20)), "TN Ø22 (Lần " &amp; INT(V674/20) &amp; ")", IF(AND(E674=25, INT(W674/20)&gt;INT(W673/20)), "TN Ø25 (Lần " &amp; INT(W674/20) &amp; ")", IF(AND(E674=28, INT(X674/20)&gt;INT(X673/20)), "TN Ø28 (Lần " &amp; INT(X674/20) &amp; ")", IF(AND(E674=32, INT(Y674/20)&gt;INT(Y673/20)), "TN Ø32 (Lần " &amp; INT(Y674/20) &amp; ")", IF(AND(F674="ASTM A416", INT(Z674/20)&gt;INT(Z673/20)), "TN Cáp 15.2 (Lần " &amp; INT(Z674/20) &amp; ")", "")))))))))))</f>
        <v/>
      </c>
      <c r="P674" s="20">
        <f>ROUND(P673 + IF(AND(E674&lt;=10, F674&lt;&gt;"ASTM A416"), L674, 0), 3)</f>
        <v/>
      </c>
      <c r="Q674" s="20">
        <f>ROUND(Q673 + IF(AND(E674=12, F674&lt;&gt;"ASTM A416"), L674, 0), 3)</f>
        <v/>
      </c>
      <c r="R674" s="20">
        <f>ROUND(R673 + IF(AND(E674=14, F674&lt;&gt;"ASTM A416"), L674, 0), 3)</f>
        <v/>
      </c>
      <c r="S674" s="20">
        <f>ROUND(S673 + IF(AND(E674=16, F674&lt;&gt;"ASTM A416"), L674, 0), 3)</f>
        <v/>
      </c>
      <c r="T674" s="20">
        <f>ROUND(T673 + IF(AND(E674=18, F674&lt;&gt;"ASTM A416"), L674, 0), 3)</f>
        <v/>
      </c>
      <c r="U674" s="20">
        <f>ROUND(U673 + IF(AND(E674=20, F674&lt;&gt;"ASTM A416"), L674, 0), 3)</f>
        <v/>
      </c>
      <c r="V674" s="20">
        <f>ROUND(V673 + IF(AND(E674=22, F674&lt;&gt;"ASTM A416"), L674, 0), 3)</f>
        <v/>
      </c>
      <c r="W674" s="20">
        <f>ROUND(W673 + IF(AND(E674=25, F674&lt;&gt;"ASTM A416"), L674, 0), 3)</f>
        <v/>
      </c>
      <c r="X674" s="20">
        <f>ROUND(X673 + IF(AND(E674=28, F674&lt;&gt;"ASTM A416"), L674, 0), 3)</f>
        <v/>
      </c>
      <c r="Y674" s="20">
        <f>ROUND(Y673 + IF(AND(E674=32, F674&lt;&gt;"ASTM A416"), L674, 0), 3)</f>
        <v/>
      </c>
      <c r="Z674" s="20">
        <f>ROUND(Z673 + IF(F674="ASTM A416", L674, 0), 3)</f>
        <v/>
      </c>
      <c r="AA674" s="11">
        <f>IF(INT(P674/20)&gt;INT(P673/20), "Lần " &amp; INT(P674/20), "")</f>
        <v/>
      </c>
      <c r="AB674" s="11">
        <f>IF(INT(Q674/20)&gt;INT(Q673/20), "Lần " &amp; INT(Q674/20), "")</f>
        <v/>
      </c>
      <c r="AC674" s="11">
        <f>IF(INT(R674/20)&gt;INT(R673/20), "Lần " &amp; INT(R674/20), "")</f>
        <v/>
      </c>
      <c r="AD674" s="11">
        <f>IF(INT(S674/20)&gt;INT(S673/20), "Lần " &amp; INT(S674/20), "")</f>
        <v/>
      </c>
      <c r="AE674" s="11">
        <f>IF(INT(T674/20)&gt;INT(T673/20), "Lần " &amp; INT(T674/20), "")</f>
        <v/>
      </c>
      <c r="AF674" s="11">
        <f>IF(INT(U674/20)&gt;INT(U673/20), "Lần " &amp; INT(U674/20), "")</f>
        <v/>
      </c>
      <c r="AG674" s="11">
        <f>IF(INT(V674/20)&gt;INT(V673/20), "Lần " &amp; INT(V674/20), "")</f>
        <v/>
      </c>
      <c r="AH674" s="11">
        <f>IF(INT(W674/20)&gt;INT(W673/20), "Lần " &amp; INT(W674/20), "")</f>
        <v/>
      </c>
      <c r="AI674" s="11">
        <f>IF(INT(X674/20)&gt;INT(X673/20), "Lần " &amp; INT(X674/20), "")</f>
        <v/>
      </c>
      <c r="AJ674" s="11">
        <f>IF(INT(Y674/20)&gt;INT(Y673/20), "Lần " &amp; INT(Y674/20), "")</f>
        <v/>
      </c>
      <c r="AK674" s="11">
        <f>IF(INT(Z674/20)&gt;INT(Z673/20), "Lần " &amp; INT(Z674/20), "")</f>
        <v/>
      </c>
      <c r="AL674" s="6" t="inlineStr">
        <is>
          <t>ĐẠT TCVN 1651:2018</t>
        </is>
      </c>
    </row>
    <row r="675" ht="19" customHeight="1">
      <c r="A675" s="6" t="n">
        <v>643</v>
      </c>
      <c r="B675" s="7" t="inlineStr">
        <is>
          <t>Dầm chủ Super-T (15 phiến L=38.2m)</t>
        </is>
      </c>
      <c r="C675" s="7" t="inlineStr">
        <is>
          <t>Sườn dầm / Cánh dầm</t>
        </is>
      </c>
      <c r="D675" s="18" t="inlineStr">
        <is>
          <t>G6a</t>
        </is>
      </c>
      <c r="E675" s="19" t="n">
        <v>32</v>
      </c>
      <c r="F675" s="6" t="inlineStr">
        <is>
          <t>CB400-V</t>
        </is>
      </c>
      <c r="G675" s="7" t="inlineStr">
        <is>
          <t>S01</t>
        </is>
      </c>
      <c r="H675" s="20" t="n">
        <v>11.7</v>
      </c>
      <c r="I675" s="21" t="n">
        <v>135</v>
      </c>
      <c r="J675" s="22" t="n">
        <v>6.31</v>
      </c>
      <c r="K675" s="9">
        <f>ROUND(H675*I675*J675, 2)</f>
        <v/>
      </c>
      <c r="L675" s="23">
        <f>ROUND(K675/1000, 3)</f>
        <v/>
      </c>
      <c r="M675" s="8" t="n"/>
      <c r="N675" s="6" t="n"/>
      <c r="O675" s="24">
        <f>IF(AND(E675&lt;=10, F675&lt;&gt;"ASTM A416", INT(P675/20)&gt;INT(P674/20)), "TN Ø10 (Lần " &amp; INT(P675/20) &amp; ")", IF(AND(E675=12, INT(Q675/20)&gt;INT(Q674/20)), "TN Ø12 (Lần " &amp; INT(Q675/20) &amp; ")", IF(AND(E675=14, INT(R675/20)&gt;INT(R674/20)), "TN Ø14 (Lần " &amp; INT(R675/20) &amp; ")", IF(AND(E675=16, INT(S675/20)&gt;INT(S674/20)), "TN Ø16 (Lần " &amp; INT(S675/20) &amp; ")", IF(AND(E675=18, INT(T675/20)&gt;INT(T674/20)), "TN Ø18 (Lần " &amp; INT(T675/20) &amp; ")", IF(AND(E675=20, INT(U675/20)&gt;INT(U674/20)), "TN Ø20 (Lần " &amp; INT(U675/20) &amp; ")", IF(AND(E675=22, INT(V675/20)&gt;INT(V674/20)), "TN Ø22 (Lần " &amp; INT(V675/20) &amp; ")", IF(AND(E675=25, INT(W675/20)&gt;INT(W674/20)), "TN Ø25 (Lần " &amp; INT(W675/20) &amp; ")", IF(AND(E675=28, INT(X675/20)&gt;INT(X674/20)), "TN Ø28 (Lần " &amp; INT(X675/20) &amp; ")", IF(AND(E675=32, INT(Y675/20)&gt;INT(Y674/20)), "TN Ø32 (Lần " &amp; INT(Y675/20) &amp; ")", IF(AND(F675="ASTM A416", INT(Z675/20)&gt;INT(Z674/20)), "TN Cáp 15.2 (Lần " &amp; INT(Z675/20) &amp; ")", "")))))))))))</f>
        <v/>
      </c>
      <c r="P675" s="20">
        <f>ROUND(P674 + IF(AND(E675&lt;=10, F675&lt;&gt;"ASTM A416"), L675, 0), 3)</f>
        <v/>
      </c>
      <c r="Q675" s="20">
        <f>ROUND(Q674 + IF(AND(E675=12, F675&lt;&gt;"ASTM A416"), L675, 0), 3)</f>
        <v/>
      </c>
      <c r="R675" s="20">
        <f>ROUND(R674 + IF(AND(E675=14, F675&lt;&gt;"ASTM A416"), L675, 0), 3)</f>
        <v/>
      </c>
      <c r="S675" s="20">
        <f>ROUND(S674 + IF(AND(E675=16, F675&lt;&gt;"ASTM A416"), L675, 0), 3)</f>
        <v/>
      </c>
      <c r="T675" s="20">
        <f>ROUND(T674 + IF(AND(E675=18, F675&lt;&gt;"ASTM A416"), L675, 0), 3)</f>
        <v/>
      </c>
      <c r="U675" s="20">
        <f>ROUND(U674 + IF(AND(E675=20, F675&lt;&gt;"ASTM A416"), L675, 0), 3)</f>
        <v/>
      </c>
      <c r="V675" s="20">
        <f>ROUND(V674 + IF(AND(E675=22, F675&lt;&gt;"ASTM A416"), L675, 0), 3)</f>
        <v/>
      </c>
      <c r="W675" s="20">
        <f>ROUND(W674 + IF(AND(E675=25, F675&lt;&gt;"ASTM A416"), L675, 0), 3)</f>
        <v/>
      </c>
      <c r="X675" s="20">
        <f>ROUND(X674 + IF(AND(E675=28, F675&lt;&gt;"ASTM A416"), L675, 0), 3)</f>
        <v/>
      </c>
      <c r="Y675" s="20">
        <f>ROUND(Y674 + IF(AND(E675=32, F675&lt;&gt;"ASTM A416"), L675, 0), 3)</f>
        <v/>
      </c>
      <c r="Z675" s="20">
        <f>ROUND(Z674 + IF(F675="ASTM A416", L675, 0), 3)</f>
        <v/>
      </c>
      <c r="AA675" s="11">
        <f>IF(INT(P675/20)&gt;INT(P674/20), "Lần " &amp; INT(P675/20), "")</f>
        <v/>
      </c>
      <c r="AB675" s="11">
        <f>IF(INT(Q675/20)&gt;INT(Q674/20), "Lần " &amp; INT(Q675/20), "")</f>
        <v/>
      </c>
      <c r="AC675" s="11">
        <f>IF(INT(R675/20)&gt;INT(R674/20), "Lần " &amp; INT(R675/20), "")</f>
        <v/>
      </c>
      <c r="AD675" s="11">
        <f>IF(INT(S675/20)&gt;INT(S674/20), "Lần " &amp; INT(S675/20), "")</f>
        <v/>
      </c>
      <c r="AE675" s="11">
        <f>IF(INT(T675/20)&gt;INT(T674/20), "Lần " &amp; INT(T675/20), "")</f>
        <v/>
      </c>
      <c r="AF675" s="11">
        <f>IF(INT(U675/20)&gt;INT(U674/20), "Lần " &amp; INT(U675/20), "")</f>
        <v/>
      </c>
      <c r="AG675" s="11">
        <f>IF(INT(V675/20)&gt;INT(V674/20), "Lần " &amp; INT(V675/20), "")</f>
        <v/>
      </c>
      <c r="AH675" s="11">
        <f>IF(INT(W675/20)&gt;INT(W674/20), "Lần " &amp; INT(W675/20), "")</f>
        <v/>
      </c>
      <c r="AI675" s="11">
        <f>IF(INT(X675/20)&gt;INT(X674/20), "Lần " &amp; INT(X675/20), "")</f>
        <v/>
      </c>
      <c r="AJ675" s="11">
        <f>IF(INT(Y675/20)&gt;INT(Y674/20), "Lần " &amp; INT(Y675/20), "")</f>
        <v/>
      </c>
      <c r="AK675" s="11">
        <f>IF(INT(Z675/20)&gt;INT(Z674/20), "Lần " &amp; INT(Z675/20), "")</f>
        <v/>
      </c>
      <c r="AL675" s="6" t="inlineStr">
        <is>
          <t>ĐẠT TCVN 1651:2018</t>
        </is>
      </c>
    </row>
    <row r="676" ht="19" customHeight="1">
      <c r="A676" s="6" t="n">
        <v>644</v>
      </c>
      <c r="B676" s="7" t="inlineStr">
        <is>
          <t>Dầm chủ Super-T (15 phiến L=38.2m)</t>
        </is>
      </c>
      <c r="C676" s="7" t="inlineStr">
        <is>
          <t>Sườn dầm / Cánh dầm</t>
        </is>
      </c>
      <c r="D676" s="18" t="inlineStr">
        <is>
          <t>G6b</t>
        </is>
      </c>
      <c r="E676" s="19" t="n">
        <v>32</v>
      </c>
      <c r="F676" s="6" t="inlineStr">
        <is>
          <t>CB400-V</t>
        </is>
      </c>
      <c r="G676" s="7" t="inlineStr">
        <is>
          <t>S06</t>
        </is>
      </c>
      <c r="H676" s="20" t="n">
        <v>6.86</v>
      </c>
      <c r="I676" s="21" t="n">
        <v>45</v>
      </c>
      <c r="J676" s="22" t="n">
        <v>6.31</v>
      </c>
      <c r="K676" s="9">
        <f>ROUND(H676*I676*J676, 2)</f>
        <v/>
      </c>
      <c r="L676" s="23">
        <f>ROUND(K676/1000, 3)</f>
        <v/>
      </c>
      <c r="M676" s="8" t="n"/>
      <c r="N676" s="6" t="n"/>
      <c r="O676" s="24">
        <f>IF(AND(E676&lt;=10, F676&lt;&gt;"ASTM A416", INT(P676/20)&gt;INT(P675/20)), "TN Ø10 (Lần " &amp; INT(P676/20) &amp; ")", IF(AND(E676=12, INT(Q676/20)&gt;INT(Q675/20)), "TN Ø12 (Lần " &amp; INT(Q676/20) &amp; ")", IF(AND(E676=14, INT(R676/20)&gt;INT(R675/20)), "TN Ø14 (Lần " &amp; INT(R676/20) &amp; ")", IF(AND(E676=16, INT(S676/20)&gt;INT(S675/20)), "TN Ø16 (Lần " &amp; INT(S676/20) &amp; ")", IF(AND(E676=18, INT(T676/20)&gt;INT(T675/20)), "TN Ø18 (Lần " &amp; INT(T676/20) &amp; ")", IF(AND(E676=20, INT(U676/20)&gt;INT(U675/20)), "TN Ø20 (Lần " &amp; INT(U676/20) &amp; ")", IF(AND(E676=22, INT(V676/20)&gt;INT(V675/20)), "TN Ø22 (Lần " &amp; INT(V676/20) &amp; ")", IF(AND(E676=25, INT(W676/20)&gt;INT(W675/20)), "TN Ø25 (Lần " &amp; INT(W676/20) &amp; ")", IF(AND(E676=28, INT(X676/20)&gt;INT(X675/20)), "TN Ø28 (Lần " &amp; INT(X676/20) &amp; ")", IF(AND(E676=32, INT(Y676/20)&gt;INT(Y675/20)), "TN Ø32 (Lần " &amp; INT(Y676/20) &amp; ")", IF(AND(F676="ASTM A416", INT(Z676/20)&gt;INT(Z675/20)), "TN Cáp 15.2 (Lần " &amp; INT(Z676/20) &amp; ")", "")))))))))))</f>
        <v/>
      </c>
      <c r="P676" s="20">
        <f>ROUND(P675 + IF(AND(E676&lt;=10, F676&lt;&gt;"ASTM A416"), L676, 0), 3)</f>
        <v/>
      </c>
      <c r="Q676" s="20">
        <f>ROUND(Q675 + IF(AND(E676=12, F676&lt;&gt;"ASTM A416"), L676, 0), 3)</f>
        <v/>
      </c>
      <c r="R676" s="20">
        <f>ROUND(R675 + IF(AND(E676=14, F676&lt;&gt;"ASTM A416"), L676, 0), 3)</f>
        <v/>
      </c>
      <c r="S676" s="20">
        <f>ROUND(S675 + IF(AND(E676=16, F676&lt;&gt;"ASTM A416"), L676, 0), 3)</f>
        <v/>
      </c>
      <c r="T676" s="20">
        <f>ROUND(T675 + IF(AND(E676=18, F676&lt;&gt;"ASTM A416"), L676, 0), 3)</f>
        <v/>
      </c>
      <c r="U676" s="20">
        <f>ROUND(U675 + IF(AND(E676=20, F676&lt;&gt;"ASTM A416"), L676, 0), 3)</f>
        <v/>
      </c>
      <c r="V676" s="20">
        <f>ROUND(V675 + IF(AND(E676=22, F676&lt;&gt;"ASTM A416"), L676, 0), 3)</f>
        <v/>
      </c>
      <c r="W676" s="20">
        <f>ROUND(W675 + IF(AND(E676=25, F676&lt;&gt;"ASTM A416"), L676, 0), 3)</f>
        <v/>
      </c>
      <c r="X676" s="20">
        <f>ROUND(X675 + IF(AND(E676=28, F676&lt;&gt;"ASTM A416"), L676, 0), 3)</f>
        <v/>
      </c>
      <c r="Y676" s="20">
        <f>ROUND(Y675 + IF(AND(E676=32, F676&lt;&gt;"ASTM A416"), L676, 0), 3)</f>
        <v/>
      </c>
      <c r="Z676" s="20">
        <f>ROUND(Z675 + IF(F676="ASTM A416", L676, 0), 3)</f>
        <v/>
      </c>
      <c r="AA676" s="11">
        <f>IF(INT(P676/20)&gt;INT(P675/20), "Lần " &amp; INT(P676/20), "")</f>
        <v/>
      </c>
      <c r="AB676" s="11">
        <f>IF(INT(Q676/20)&gt;INT(Q675/20), "Lần " &amp; INT(Q676/20), "")</f>
        <v/>
      </c>
      <c r="AC676" s="11">
        <f>IF(INT(R676/20)&gt;INT(R675/20), "Lần " &amp; INT(R676/20), "")</f>
        <v/>
      </c>
      <c r="AD676" s="11">
        <f>IF(INT(S676/20)&gt;INT(S675/20), "Lần " &amp; INT(S676/20), "")</f>
        <v/>
      </c>
      <c r="AE676" s="11">
        <f>IF(INT(T676/20)&gt;INT(T675/20), "Lần " &amp; INT(T676/20), "")</f>
        <v/>
      </c>
      <c r="AF676" s="11">
        <f>IF(INT(U676/20)&gt;INT(U675/20), "Lần " &amp; INT(U676/20), "")</f>
        <v/>
      </c>
      <c r="AG676" s="11">
        <f>IF(INT(V676/20)&gt;INT(V675/20), "Lần " &amp; INT(V676/20), "")</f>
        <v/>
      </c>
      <c r="AH676" s="11">
        <f>IF(INT(W676/20)&gt;INT(W675/20), "Lần " &amp; INT(W676/20), "")</f>
        <v/>
      </c>
      <c r="AI676" s="11">
        <f>IF(INT(X676/20)&gt;INT(X675/20), "Lần " &amp; INT(X676/20), "")</f>
        <v/>
      </c>
      <c r="AJ676" s="11">
        <f>IF(INT(Y676/20)&gt;INT(Y675/20), "Lần " &amp; INT(Y676/20), "")</f>
        <v/>
      </c>
      <c r="AK676" s="11">
        <f>IF(INT(Z676/20)&gt;INT(Z675/20), "Lần " &amp; INT(Z676/20), "")</f>
        <v/>
      </c>
      <c r="AL676" s="6" t="inlineStr">
        <is>
          <t>ĐẠT TCVN 1651:2018</t>
        </is>
      </c>
    </row>
    <row r="677" ht="19" customHeight="1">
      <c r="A677" s="6" t="n">
        <v>645</v>
      </c>
      <c r="B677" s="7" t="inlineStr">
        <is>
          <t>Dầm chủ Super-T (15 phiến L=38.2m)</t>
        </is>
      </c>
      <c r="C677" s="7" t="inlineStr">
        <is>
          <t>Sườn dầm / Cánh dầm</t>
        </is>
      </c>
      <c r="D677" s="18" t="inlineStr">
        <is>
          <t>N1a</t>
        </is>
      </c>
      <c r="E677" s="19" t="n">
        <v>12</v>
      </c>
      <c r="F677" s="6" t="inlineStr">
        <is>
          <t>CB400-V</t>
        </is>
      </c>
      <c r="G677" s="7" t="inlineStr">
        <is>
          <t>S06</t>
        </is>
      </c>
      <c r="H677" s="20" t="n">
        <v>1.185</v>
      </c>
      <c r="I677" s="21" t="n">
        <v>555</v>
      </c>
      <c r="J677" s="22" t="n">
        <v>0.888</v>
      </c>
      <c r="K677" s="9">
        <f>ROUND(H677*I677*J677, 2)</f>
        <v/>
      </c>
      <c r="L677" s="23">
        <f>ROUND(K677/1000, 3)</f>
        <v/>
      </c>
      <c r="M677" s="8" t="n"/>
      <c r="N677" s="6" t="n"/>
      <c r="O677" s="24">
        <f>IF(AND(E677&lt;=10, F677&lt;&gt;"ASTM A416", INT(P677/20)&gt;INT(P676/20)), "TN Ø10 (Lần " &amp; INT(P677/20) &amp; ")", IF(AND(E677=12, INT(Q677/20)&gt;INT(Q676/20)), "TN Ø12 (Lần " &amp; INT(Q677/20) &amp; ")", IF(AND(E677=14, INT(R677/20)&gt;INT(R676/20)), "TN Ø14 (Lần " &amp; INT(R677/20) &amp; ")", IF(AND(E677=16, INT(S677/20)&gt;INT(S676/20)), "TN Ø16 (Lần " &amp; INT(S677/20) &amp; ")", IF(AND(E677=18, INT(T677/20)&gt;INT(T676/20)), "TN Ø18 (Lần " &amp; INT(T677/20) &amp; ")", IF(AND(E677=20, INT(U677/20)&gt;INT(U676/20)), "TN Ø20 (Lần " &amp; INT(U677/20) &amp; ")", IF(AND(E677=22, INT(V677/20)&gt;INT(V676/20)), "TN Ø22 (Lần " &amp; INT(V677/20) &amp; ")", IF(AND(E677=25, INT(W677/20)&gt;INT(W676/20)), "TN Ø25 (Lần " &amp; INT(W677/20) &amp; ")", IF(AND(E677=28, INT(X677/20)&gt;INT(X676/20)), "TN Ø28 (Lần " &amp; INT(X677/20) &amp; ")", IF(AND(E677=32, INT(Y677/20)&gt;INT(Y676/20)), "TN Ø32 (Lần " &amp; INT(Y677/20) &amp; ")", IF(AND(F677="ASTM A416", INT(Z677/20)&gt;INT(Z676/20)), "TN Cáp 15.2 (Lần " &amp; INT(Z677/20) &amp; ")", "")))))))))))</f>
        <v/>
      </c>
      <c r="P677" s="20">
        <f>ROUND(P676 + IF(AND(E677&lt;=10, F677&lt;&gt;"ASTM A416"), L677, 0), 3)</f>
        <v/>
      </c>
      <c r="Q677" s="20">
        <f>ROUND(Q676 + IF(AND(E677=12, F677&lt;&gt;"ASTM A416"), L677, 0), 3)</f>
        <v/>
      </c>
      <c r="R677" s="20">
        <f>ROUND(R676 + IF(AND(E677=14, F677&lt;&gt;"ASTM A416"), L677, 0), 3)</f>
        <v/>
      </c>
      <c r="S677" s="20">
        <f>ROUND(S676 + IF(AND(E677=16, F677&lt;&gt;"ASTM A416"), L677, 0), 3)</f>
        <v/>
      </c>
      <c r="T677" s="20">
        <f>ROUND(T676 + IF(AND(E677=18, F677&lt;&gt;"ASTM A416"), L677, 0), 3)</f>
        <v/>
      </c>
      <c r="U677" s="20">
        <f>ROUND(U676 + IF(AND(E677=20, F677&lt;&gt;"ASTM A416"), L677, 0), 3)</f>
        <v/>
      </c>
      <c r="V677" s="20">
        <f>ROUND(V676 + IF(AND(E677=22, F677&lt;&gt;"ASTM A416"), L677, 0), 3)</f>
        <v/>
      </c>
      <c r="W677" s="20">
        <f>ROUND(W676 + IF(AND(E677=25, F677&lt;&gt;"ASTM A416"), L677, 0), 3)</f>
        <v/>
      </c>
      <c r="X677" s="20">
        <f>ROUND(X676 + IF(AND(E677=28, F677&lt;&gt;"ASTM A416"), L677, 0), 3)</f>
        <v/>
      </c>
      <c r="Y677" s="20">
        <f>ROUND(Y676 + IF(AND(E677=32, F677&lt;&gt;"ASTM A416"), L677, 0), 3)</f>
        <v/>
      </c>
      <c r="Z677" s="20">
        <f>ROUND(Z676 + IF(F677="ASTM A416", L677, 0), 3)</f>
        <v/>
      </c>
      <c r="AA677" s="11">
        <f>IF(INT(P677/20)&gt;INT(P676/20), "Lần " &amp; INT(P677/20), "")</f>
        <v/>
      </c>
      <c r="AB677" s="11">
        <f>IF(INT(Q677/20)&gt;INT(Q676/20), "Lần " &amp; INT(Q677/20), "")</f>
        <v/>
      </c>
      <c r="AC677" s="11">
        <f>IF(INT(R677/20)&gt;INT(R676/20), "Lần " &amp; INT(R677/20), "")</f>
        <v/>
      </c>
      <c r="AD677" s="11">
        <f>IF(INT(S677/20)&gt;INT(S676/20), "Lần " &amp; INT(S677/20), "")</f>
        <v/>
      </c>
      <c r="AE677" s="11">
        <f>IF(INT(T677/20)&gt;INT(T676/20), "Lần " &amp; INT(T677/20), "")</f>
        <v/>
      </c>
      <c r="AF677" s="11">
        <f>IF(INT(U677/20)&gt;INT(U676/20), "Lần " &amp; INT(U677/20), "")</f>
        <v/>
      </c>
      <c r="AG677" s="11">
        <f>IF(INT(V677/20)&gt;INT(V676/20), "Lần " &amp; INT(V677/20), "")</f>
        <v/>
      </c>
      <c r="AH677" s="11">
        <f>IF(INT(W677/20)&gt;INT(W676/20), "Lần " &amp; INT(W677/20), "")</f>
        <v/>
      </c>
      <c r="AI677" s="11">
        <f>IF(INT(X677/20)&gt;INT(X676/20), "Lần " &amp; INT(X677/20), "")</f>
        <v/>
      </c>
      <c r="AJ677" s="11">
        <f>IF(INT(Y677/20)&gt;INT(Y676/20), "Lần " &amp; INT(Y677/20), "")</f>
        <v/>
      </c>
      <c r="AK677" s="11">
        <f>IF(INT(Z677/20)&gt;INT(Z676/20), "Lần " &amp; INT(Z677/20), "")</f>
        <v/>
      </c>
      <c r="AL677" s="6" t="inlineStr">
        <is>
          <t>ĐẠT TCVN 1651:2018</t>
        </is>
      </c>
    </row>
    <row r="678" ht="19" customHeight="1">
      <c r="A678" s="6" t="n">
        <v>646</v>
      </c>
      <c r="B678" s="7" t="inlineStr">
        <is>
          <t>Dầm chủ Super-T (15 phiến L=38.2m)</t>
        </is>
      </c>
      <c r="C678" s="7" t="inlineStr">
        <is>
          <t>TRUNG BÌNH</t>
        </is>
      </c>
      <c r="D678" s="18" t="inlineStr">
        <is>
          <t>N1b</t>
        </is>
      </c>
      <c r="E678" s="19" t="n">
        <v>12</v>
      </c>
      <c r="F678" s="6" t="inlineStr">
        <is>
          <t>CB400-V</t>
        </is>
      </c>
      <c r="G678" s="7" t="inlineStr">
        <is>
          <t>S06</t>
        </is>
      </c>
      <c r="H678" s="20" t="n">
        <v>0.93</v>
      </c>
      <c r="I678" s="21" t="n">
        <v>3885</v>
      </c>
      <c r="J678" s="22" t="n">
        <v>0.888</v>
      </c>
      <c r="K678" s="9">
        <f>ROUND(H678*I678*J678, 2)</f>
        <v/>
      </c>
      <c r="L678" s="23">
        <f>ROUND(K678/1000, 3)</f>
        <v/>
      </c>
      <c r="M678" s="8" t="n"/>
      <c r="N678" s="6" t="n"/>
      <c r="O678" s="24">
        <f>IF(AND(E678&lt;=10, F678&lt;&gt;"ASTM A416", INT(P678/20)&gt;INT(P677/20)), "TN Ø10 (Lần " &amp; INT(P678/20) &amp; ")", IF(AND(E678=12, INT(Q678/20)&gt;INT(Q677/20)), "TN Ø12 (Lần " &amp; INT(Q678/20) &amp; ")", IF(AND(E678=14, INT(R678/20)&gt;INT(R677/20)), "TN Ø14 (Lần " &amp; INT(R678/20) &amp; ")", IF(AND(E678=16, INT(S678/20)&gt;INT(S677/20)), "TN Ø16 (Lần " &amp; INT(S678/20) &amp; ")", IF(AND(E678=18, INT(T678/20)&gt;INT(T677/20)), "TN Ø18 (Lần " &amp; INT(T678/20) &amp; ")", IF(AND(E678=20, INT(U678/20)&gt;INT(U677/20)), "TN Ø20 (Lần " &amp; INT(U678/20) &amp; ")", IF(AND(E678=22, INT(V678/20)&gt;INT(V677/20)), "TN Ø22 (Lần " &amp; INT(V678/20) &amp; ")", IF(AND(E678=25, INT(W678/20)&gt;INT(W677/20)), "TN Ø25 (Lần " &amp; INT(W678/20) &amp; ")", IF(AND(E678=28, INT(X678/20)&gt;INT(X677/20)), "TN Ø28 (Lần " &amp; INT(X678/20) &amp; ")", IF(AND(E678=32, INT(Y678/20)&gt;INT(Y677/20)), "TN Ø32 (Lần " &amp; INT(Y678/20) &amp; ")", IF(AND(F678="ASTM A416", INT(Z678/20)&gt;INT(Z677/20)), "TN Cáp 15.2 (Lần " &amp; INT(Z678/20) &amp; ")", "")))))))))))</f>
        <v/>
      </c>
      <c r="P678" s="20">
        <f>ROUND(P677 + IF(AND(E678&lt;=10, F678&lt;&gt;"ASTM A416"), L678, 0), 3)</f>
        <v/>
      </c>
      <c r="Q678" s="20">
        <f>ROUND(Q677 + IF(AND(E678=12, F678&lt;&gt;"ASTM A416"), L678, 0), 3)</f>
        <v/>
      </c>
      <c r="R678" s="20">
        <f>ROUND(R677 + IF(AND(E678=14, F678&lt;&gt;"ASTM A416"), L678, 0), 3)</f>
        <v/>
      </c>
      <c r="S678" s="20">
        <f>ROUND(S677 + IF(AND(E678=16, F678&lt;&gt;"ASTM A416"), L678, 0), 3)</f>
        <v/>
      </c>
      <c r="T678" s="20">
        <f>ROUND(T677 + IF(AND(E678=18, F678&lt;&gt;"ASTM A416"), L678, 0), 3)</f>
        <v/>
      </c>
      <c r="U678" s="20">
        <f>ROUND(U677 + IF(AND(E678=20, F678&lt;&gt;"ASTM A416"), L678, 0), 3)</f>
        <v/>
      </c>
      <c r="V678" s="20">
        <f>ROUND(V677 + IF(AND(E678=22, F678&lt;&gt;"ASTM A416"), L678, 0), 3)</f>
        <v/>
      </c>
      <c r="W678" s="20">
        <f>ROUND(W677 + IF(AND(E678=25, F678&lt;&gt;"ASTM A416"), L678, 0), 3)</f>
        <v/>
      </c>
      <c r="X678" s="20">
        <f>ROUND(X677 + IF(AND(E678=28, F678&lt;&gt;"ASTM A416"), L678, 0), 3)</f>
        <v/>
      </c>
      <c r="Y678" s="20">
        <f>ROUND(Y677 + IF(AND(E678=32, F678&lt;&gt;"ASTM A416"), L678, 0), 3)</f>
        <v/>
      </c>
      <c r="Z678" s="20">
        <f>ROUND(Z677 + IF(F678="ASTM A416", L678, 0), 3)</f>
        <v/>
      </c>
      <c r="AA678" s="11">
        <f>IF(INT(P678/20)&gt;INT(P677/20), "Lần " &amp; INT(P678/20), "")</f>
        <v/>
      </c>
      <c r="AB678" s="11">
        <f>IF(INT(Q678/20)&gt;INT(Q677/20), "Lần " &amp; INT(Q678/20), "")</f>
        <v/>
      </c>
      <c r="AC678" s="11">
        <f>IF(INT(R678/20)&gt;INT(R677/20), "Lần " &amp; INT(R678/20), "")</f>
        <v/>
      </c>
      <c r="AD678" s="11">
        <f>IF(INT(S678/20)&gt;INT(S677/20), "Lần " &amp; INT(S678/20), "")</f>
        <v/>
      </c>
      <c r="AE678" s="11">
        <f>IF(INT(T678/20)&gt;INT(T677/20), "Lần " &amp; INT(T678/20), "")</f>
        <v/>
      </c>
      <c r="AF678" s="11">
        <f>IF(INT(U678/20)&gt;INT(U677/20), "Lần " &amp; INT(U678/20), "")</f>
        <v/>
      </c>
      <c r="AG678" s="11">
        <f>IF(INT(V678/20)&gt;INT(V677/20), "Lần " &amp; INT(V678/20), "")</f>
        <v/>
      </c>
      <c r="AH678" s="11">
        <f>IF(INT(W678/20)&gt;INT(W677/20), "Lần " &amp; INT(W678/20), "")</f>
        <v/>
      </c>
      <c r="AI678" s="11">
        <f>IF(INT(X678/20)&gt;INT(X677/20), "Lần " &amp; INT(X678/20), "")</f>
        <v/>
      </c>
      <c r="AJ678" s="11">
        <f>IF(INT(Y678/20)&gt;INT(Y677/20), "Lần " &amp; INT(Y678/20), "")</f>
        <v/>
      </c>
      <c r="AK678" s="11">
        <f>IF(INT(Z678/20)&gt;INT(Z677/20), "Lần " &amp; INT(Z678/20), "")</f>
        <v/>
      </c>
      <c r="AL678" s="6" t="inlineStr">
        <is>
          <t>ĐẠT TCVN 1651:2018</t>
        </is>
      </c>
    </row>
    <row r="679" ht="19" customHeight="1">
      <c r="A679" s="6" t="n">
        <v>647</v>
      </c>
      <c r="B679" s="7" t="inlineStr">
        <is>
          <t>Dầm chủ Super-T (15 phiến L=38.2m)</t>
        </is>
      </c>
      <c r="C679" s="7" t="inlineStr">
        <is>
          <t>Sườn dầm / Cánh dầm</t>
        </is>
      </c>
      <c r="D679" s="18" t="inlineStr">
        <is>
          <t>N2</t>
        </is>
      </c>
      <c r="E679" s="19" t="n">
        <v>12</v>
      </c>
      <c r="F679" s="6" t="inlineStr">
        <is>
          <t>CB400-V</t>
        </is>
      </c>
      <c r="G679" s="7" t="inlineStr">
        <is>
          <t>S06</t>
        </is>
      </c>
      <c r="H679" s="20" t="n">
        <v>3.664</v>
      </c>
      <c r="I679" s="21" t="n">
        <v>45</v>
      </c>
      <c r="J679" s="22" t="n">
        <v>0.888</v>
      </c>
      <c r="K679" s="9">
        <f>ROUND(H679*I679*J679, 2)</f>
        <v/>
      </c>
      <c r="L679" s="23">
        <f>ROUND(K679/1000, 3)</f>
        <v/>
      </c>
      <c r="M679" s="8" t="n"/>
      <c r="N679" s="6" t="n"/>
      <c r="O679" s="24">
        <f>IF(AND(E679&lt;=10, F679&lt;&gt;"ASTM A416", INT(P679/20)&gt;INT(P678/20)), "TN Ø10 (Lần " &amp; INT(P679/20) &amp; ")", IF(AND(E679=12, INT(Q679/20)&gt;INT(Q678/20)), "TN Ø12 (Lần " &amp; INT(Q679/20) &amp; ")", IF(AND(E679=14, INT(R679/20)&gt;INT(R678/20)), "TN Ø14 (Lần " &amp; INT(R679/20) &amp; ")", IF(AND(E679=16, INT(S679/20)&gt;INT(S678/20)), "TN Ø16 (Lần " &amp; INT(S679/20) &amp; ")", IF(AND(E679=18, INT(T679/20)&gt;INT(T678/20)), "TN Ø18 (Lần " &amp; INT(T679/20) &amp; ")", IF(AND(E679=20, INT(U679/20)&gt;INT(U678/20)), "TN Ø20 (Lần " &amp; INT(U679/20) &amp; ")", IF(AND(E679=22, INT(V679/20)&gt;INT(V678/20)), "TN Ø22 (Lần " &amp; INT(V679/20) &amp; ")", IF(AND(E679=25, INT(W679/20)&gt;INT(W678/20)), "TN Ø25 (Lần " &amp; INT(W679/20) &amp; ")", IF(AND(E679=28, INT(X679/20)&gt;INT(X678/20)), "TN Ø28 (Lần " &amp; INT(X679/20) &amp; ")", IF(AND(E679=32, INT(Y679/20)&gt;INT(Y678/20)), "TN Ø32 (Lần " &amp; INT(Y679/20) &amp; ")", IF(AND(F679="ASTM A416", INT(Z679/20)&gt;INT(Z678/20)), "TN Cáp 15.2 (Lần " &amp; INT(Z679/20) &amp; ")", "")))))))))))</f>
        <v/>
      </c>
      <c r="P679" s="20">
        <f>ROUND(P678 + IF(AND(E679&lt;=10, F679&lt;&gt;"ASTM A416"), L679, 0), 3)</f>
        <v/>
      </c>
      <c r="Q679" s="20">
        <f>ROUND(Q678 + IF(AND(E679=12, F679&lt;&gt;"ASTM A416"), L679, 0), 3)</f>
        <v/>
      </c>
      <c r="R679" s="20">
        <f>ROUND(R678 + IF(AND(E679=14, F679&lt;&gt;"ASTM A416"), L679, 0), 3)</f>
        <v/>
      </c>
      <c r="S679" s="20">
        <f>ROUND(S678 + IF(AND(E679=16, F679&lt;&gt;"ASTM A416"), L679, 0), 3)</f>
        <v/>
      </c>
      <c r="T679" s="20">
        <f>ROUND(T678 + IF(AND(E679=18, F679&lt;&gt;"ASTM A416"), L679, 0), 3)</f>
        <v/>
      </c>
      <c r="U679" s="20">
        <f>ROUND(U678 + IF(AND(E679=20, F679&lt;&gt;"ASTM A416"), L679, 0), 3)</f>
        <v/>
      </c>
      <c r="V679" s="20">
        <f>ROUND(V678 + IF(AND(E679=22, F679&lt;&gt;"ASTM A416"), L679, 0), 3)</f>
        <v/>
      </c>
      <c r="W679" s="20">
        <f>ROUND(W678 + IF(AND(E679=25, F679&lt;&gt;"ASTM A416"), L679, 0), 3)</f>
        <v/>
      </c>
      <c r="X679" s="20">
        <f>ROUND(X678 + IF(AND(E679=28, F679&lt;&gt;"ASTM A416"), L679, 0), 3)</f>
        <v/>
      </c>
      <c r="Y679" s="20">
        <f>ROUND(Y678 + IF(AND(E679=32, F679&lt;&gt;"ASTM A416"), L679, 0), 3)</f>
        <v/>
      </c>
      <c r="Z679" s="20">
        <f>ROUND(Z678 + IF(F679="ASTM A416", L679, 0), 3)</f>
        <v/>
      </c>
      <c r="AA679" s="11">
        <f>IF(INT(P679/20)&gt;INT(P678/20), "Lần " &amp; INT(P679/20), "")</f>
        <v/>
      </c>
      <c r="AB679" s="11">
        <f>IF(INT(Q679/20)&gt;INT(Q678/20), "Lần " &amp; INT(Q679/20), "")</f>
        <v/>
      </c>
      <c r="AC679" s="11">
        <f>IF(INT(R679/20)&gt;INT(R678/20), "Lần " &amp; INT(R679/20), "")</f>
        <v/>
      </c>
      <c r="AD679" s="11">
        <f>IF(INT(S679/20)&gt;INT(S678/20), "Lần " &amp; INT(S679/20), "")</f>
        <v/>
      </c>
      <c r="AE679" s="11">
        <f>IF(INT(T679/20)&gt;INT(T678/20), "Lần " &amp; INT(T679/20), "")</f>
        <v/>
      </c>
      <c r="AF679" s="11">
        <f>IF(INT(U679/20)&gt;INT(U678/20), "Lần " &amp; INT(U679/20), "")</f>
        <v/>
      </c>
      <c r="AG679" s="11">
        <f>IF(INT(V679/20)&gt;INT(V678/20), "Lần " &amp; INT(V679/20), "")</f>
        <v/>
      </c>
      <c r="AH679" s="11">
        <f>IF(INT(W679/20)&gt;INT(W678/20), "Lần " &amp; INT(W679/20), "")</f>
        <v/>
      </c>
      <c r="AI679" s="11">
        <f>IF(INT(X679/20)&gt;INT(X678/20), "Lần " &amp; INT(X679/20), "")</f>
        <v/>
      </c>
      <c r="AJ679" s="11">
        <f>IF(INT(Y679/20)&gt;INT(Y678/20), "Lần " &amp; INT(Y679/20), "")</f>
        <v/>
      </c>
      <c r="AK679" s="11">
        <f>IF(INT(Z679/20)&gt;INT(Z678/20), "Lần " &amp; INT(Z679/20), "")</f>
        <v/>
      </c>
      <c r="AL679" s="6" t="inlineStr">
        <is>
          <t>ĐẠT TCVN 1651:2018</t>
        </is>
      </c>
    </row>
    <row r="680" ht="19" customHeight="1">
      <c r="A680" s="6" t="n">
        <v>648</v>
      </c>
      <c r="B680" s="7" t="inlineStr">
        <is>
          <t>Dầm chủ Super-T (15 phiến L=38.2m)</t>
        </is>
      </c>
      <c r="C680" s="7" t="inlineStr">
        <is>
          <t>Sườn dầm / Cánh dầm</t>
        </is>
      </c>
      <c r="D680" s="18" t="inlineStr">
        <is>
          <t>E1</t>
        </is>
      </c>
      <c r="E680" s="19" t="n">
        <v>16</v>
      </c>
      <c r="F680" s="6" t="inlineStr">
        <is>
          <t>CB400-V</t>
        </is>
      </c>
      <c r="G680" s="7" t="inlineStr">
        <is>
          <t>S06</t>
        </is>
      </c>
      <c r="H680" s="20" t="n">
        <v>2.376</v>
      </c>
      <c r="I680" s="21" t="n">
        <v>3780</v>
      </c>
      <c r="J680" s="22" t="n">
        <v>1.58</v>
      </c>
      <c r="K680" s="9">
        <f>ROUND(H680*I680*J680, 2)</f>
        <v/>
      </c>
      <c r="L680" s="23">
        <f>ROUND(K680/1000, 3)</f>
        <v/>
      </c>
      <c r="M680" s="8" t="n"/>
      <c r="N680" s="6" t="n"/>
      <c r="O680" s="24">
        <f>IF(AND(E680&lt;=10, F680&lt;&gt;"ASTM A416", INT(P680/20)&gt;INT(P679/20)), "TN Ø10 (Lần " &amp; INT(P680/20) &amp; ")", IF(AND(E680=12, INT(Q680/20)&gt;INT(Q679/20)), "TN Ø12 (Lần " &amp; INT(Q680/20) &amp; ")", IF(AND(E680=14, INT(R680/20)&gt;INT(R679/20)), "TN Ø14 (Lần " &amp; INT(R680/20) &amp; ")", IF(AND(E680=16, INT(S680/20)&gt;INT(S679/20)), "TN Ø16 (Lần " &amp; INT(S680/20) &amp; ")", IF(AND(E680=18, INT(T680/20)&gt;INT(T679/20)), "TN Ø18 (Lần " &amp; INT(T680/20) &amp; ")", IF(AND(E680=20, INT(U680/20)&gt;INT(U679/20)), "TN Ø20 (Lần " &amp; INT(U680/20) &amp; ")", IF(AND(E680=22, INT(V680/20)&gt;INT(V679/20)), "TN Ø22 (Lần " &amp; INT(V680/20) &amp; ")", IF(AND(E680=25, INT(W680/20)&gt;INT(W679/20)), "TN Ø25 (Lần " &amp; INT(W680/20) &amp; ")", IF(AND(E680=28, INT(X680/20)&gt;INT(X679/20)), "TN Ø28 (Lần " &amp; INT(X680/20) &amp; ")", IF(AND(E680=32, INT(Y680/20)&gt;INT(Y679/20)), "TN Ø32 (Lần " &amp; INT(Y680/20) &amp; ")", IF(AND(F680="ASTM A416", INT(Z680/20)&gt;INT(Z679/20)), "TN Cáp 15.2 (Lần " &amp; INT(Z680/20) &amp; ")", "")))))))))))</f>
        <v/>
      </c>
      <c r="P680" s="20">
        <f>ROUND(P679 + IF(AND(E680&lt;=10, F680&lt;&gt;"ASTM A416"), L680, 0), 3)</f>
        <v/>
      </c>
      <c r="Q680" s="20">
        <f>ROUND(Q679 + IF(AND(E680=12, F680&lt;&gt;"ASTM A416"), L680, 0), 3)</f>
        <v/>
      </c>
      <c r="R680" s="20">
        <f>ROUND(R679 + IF(AND(E680=14, F680&lt;&gt;"ASTM A416"), L680, 0), 3)</f>
        <v/>
      </c>
      <c r="S680" s="20">
        <f>ROUND(S679 + IF(AND(E680=16, F680&lt;&gt;"ASTM A416"), L680, 0), 3)</f>
        <v/>
      </c>
      <c r="T680" s="20">
        <f>ROUND(T679 + IF(AND(E680=18, F680&lt;&gt;"ASTM A416"), L680, 0), 3)</f>
        <v/>
      </c>
      <c r="U680" s="20">
        <f>ROUND(U679 + IF(AND(E680=20, F680&lt;&gt;"ASTM A416"), L680, 0), 3)</f>
        <v/>
      </c>
      <c r="V680" s="20">
        <f>ROUND(V679 + IF(AND(E680=22, F680&lt;&gt;"ASTM A416"), L680, 0), 3)</f>
        <v/>
      </c>
      <c r="W680" s="20">
        <f>ROUND(W679 + IF(AND(E680=25, F680&lt;&gt;"ASTM A416"), L680, 0), 3)</f>
        <v/>
      </c>
      <c r="X680" s="20">
        <f>ROUND(X679 + IF(AND(E680=28, F680&lt;&gt;"ASTM A416"), L680, 0), 3)</f>
        <v/>
      </c>
      <c r="Y680" s="20">
        <f>ROUND(Y679 + IF(AND(E680=32, F680&lt;&gt;"ASTM A416"), L680, 0), 3)</f>
        <v/>
      </c>
      <c r="Z680" s="20">
        <f>ROUND(Z679 + IF(F680="ASTM A416", L680, 0), 3)</f>
        <v/>
      </c>
      <c r="AA680" s="11">
        <f>IF(INT(P680/20)&gt;INT(P679/20), "Lần " &amp; INT(P680/20), "")</f>
        <v/>
      </c>
      <c r="AB680" s="11">
        <f>IF(INT(Q680/20)&gt;INT(Q679/20), "Lần " &amp; INT(Q680/20), "")</f>
        <v/>
      </c>
      <c r="AC680" s="11">
        <f>IF(INT(R680/20)&gt;INT(R679/20), "Lần " &amp; INT(R680/20), "")</f>
        <v/>
      </c>
      <c r="AD680" s="11">
        <f>IF(INT(S680/20)&gt;INT(S679/20), "Lần " &amp; INT(S680/20), "")</f>
        <v/>
      </c>
      <c r="AE680" s="11">
        <f>IF(INT(T680/20)&gt;INT(T679/20), "Lần " &amp; INT(T680/20), "")</f>
        <v/>
      </c>
      <c r="AF680" s="11">
        <f>IF(INT(U680/20)&gt;INT(U679/20), "Lần " &amp; INT(U680/20), "")</f>
        <v/>
      </c>
      <c r="AG680" s="11">
        <f>IF(INT(V680/20)&gt;INT(V679/20), "Lần " &amp; INT(V680/20), "")</f>
        <v/>
      </c>
      <c r="AH680" s="11">
        <f>IF(INT(W680/20)&gt;INT(W679/20), "Lần " &amp; INT(W680/20), "")</f>
        <v/>
      </c>
      <c r="AI680" s="11">
        <f>IF(INT(X680/20)&gt;INT(X679/20), "Lần " &amp; INT(X680/20), "")</f>
        <v/>
      </c>
      <c r="AJ680" s="11">
        <f>IF(INT(Y680/20)&gt;INT(Y679/20), "Lần " &amp; INT(Y680/20), "")</f>
        <v/>
      </c>
      <c r="AK680" s="11">
        <f>IF(INT(Z680/20)&gt;INT(Z679/20), "Lần " &amp; INT(Z680/20), "")</f>
        <v/>
      </c>
      <c r="AL680" s="6" t="inlineStr">
        <is>
          <t>ĐẠT TCVN 1651:2018</t>
        </is>
      </c>
    </row>
    <row r="681" ht="19" customHeight="1">
      <c r="A681" s="6" t="n">
        <v>649</v>
      </c>
      <c r="B681" s="7" t="inlineStr">
        <is>
          <t>Dầm chủ Super-T (15 phiến L=38.2m)</t>
        </is>
      </c>
      <c r="C681" s="7" t="inlineStr">
        <is>
          <t>Sườn dầm / Cánh dầm</t>
        </is>
      </c>
      <c r="D681" s="18" t="inlineStr">
        <is>
          <t>E2</t>
        </is>
      </c>
      <c r="E681" s="19" t="n">
        <v>16</v>
      </c>
      <c r="F681" s="6" t="inlineStr">
        <is>
          <t>CB400-V</t>
        </is>
      </c>
      <c r="G681" s="7" t="inlineStr">
        <is>
          <t>S06</t>
        </is>
      </c>
      <c r="H681" s="20" t="n">
        <v>3.932</v>
      </c>
      <c r="I681" s="21" t="n">
        <v>300</v>
      </c>
      <c r="J681" s="22" t="n">
        <v>1.58</v>
      </c>
      <c r="K681" s="9">
        <f>ROUND(H681*I681*J681, 2)</f>
        <v/>
      </c>
      <c r="L681" s="23">
        <f>ROUND(K681/1000, 3)</f>
        <v/>
      </c>
      <c r="M681" s="8" t="n"/>
      <c r="N681" s="6" t="n"/>
      <c r="O681" s="24">
        <f>IF(AND(E681&lt;=10, F681&lt;&gt;"ASTM A416", INT(P681/20)&gt;INT(P680/20)), "TN Ø10 (Lần " &amp; INT(P681/20) &amp; ")", IF(AND(E681=12, INT(Q681/20)&gt;INT(Q680/20)), "TN Ø12 (Lần " &amp; INT(Q681/20) &amp; ")", IF(AND(E681=14, INT(R681/20)&gt;INT(R680/20)), "TN Ø14 (Lần " &amp; INT(R681/20) &amp; ")", IF(AND(E681=16, INT(S681/20)&gt;INT(S680/20)), "TN Ø16 (Lần " &amp; INT(S681/20) &amp; ")", IF(AND(E681=18, INT(T681/20)&gt;INT(T680/20)), "TN Ø18 (Lần " &amp; INT(T681/20) &amp; ")", IF(AND(E681=20, INT(U681/20)&gt;INT(U680/20)), "TN Ø20 (Lần " &amp; INT(U681/20) &amp; ")", IF(AND(E681=22, INT(V681/20)&gt;INT(V680/20)), "TN Ø22 (Lần " &amp; INT(V681/20) &amp; ")", IF(AND(E681=25, INT(W681/20)&gt;INT(W680/20)), "TN Ø25 (Lần " &amp; INT(W681/20) &amp; ")", IF(AND(E681=28, INT(X681/20)&gt;INT(X680/20)), "TN Ø28 (Lần " &amp; INT(X681/20) &amp; ")", IF(AND(E681=32, INT(Y681/20)&gt;INT(Y680/20)), "TN Ø32 (Lần " &amp; INT(Y681/20) &amp; ")", IF(AND(F681="ASTM A416", INT(Z681/20)&gt;INT(Z680/20)), "TN Cáp 15.2 (Lần " &amp; INT(Z681/20) &amp; ")", "")))))))))))</f>
        <v/>
      </c>
      <c r="P681" s="20">
        <f>ROUND(P680 + IF(AND(E681&lt;=10, F681&lt;&gt;"ASTM A416"), L681, 0), 3)</f>
        <v/>
      </c>
      <c r="Q681" s="20">
        <f>ROUND(Q680 + IF(AND(E681=12, F681&lt;&gt;"ASTM A416"), L681, 0), 3)</f>
        <v/>
      </c>
      <c r="R681" s="20">
        <f>ROUND(R680 + IF(AND(E681=14, F681&lt;&gt;"ASTM A416"), L681, 0), 3)</f>
        <v/>
      </c>
      <c r="S681" s="20">
        <f>ROUND(S680 + IF(AND(E681=16, F681&lt;&gt;"ASTM A416"), L681, 0), 3)</f>
        <v/>
      </c>
      <c r="T681" s="20">
        <f>ROUND(T680 + IF(AND(E681=18, F681&lt;&gt;"ASTM A416"), L681, 0), 3)</f>
        <v/>
      </c>
      <c r="U681" s="20">
        <f>ROUND(U680 + IF(AND(E681=20, F681&lt;&gt;"ASTM A416"), L681, 0), 3)</f>
        <v/>
      </c>
      <c r="V681" s="20">
        <f>ROUND(V680 + IF(AND(E681=22, F681&lt;&gt;"ASTM A416"), L681, 0), 3)</f>
        <v/>
      </c>
      <c r="W681" s="20">
        <f>ROUND(W680 + IF(AND(E681=25, F681&lt;&gt;"ASTM A416"), L681, 0), 3)</f>
        <v/>
      </c>
      <c r="X681" s="20">
        <f>ROUND(X680 + IF(AND(E681=28, F681&lt;&gt;"ASTM A416"), L681, 0), 3)</f>
        <v/>
      </c>
      <c r="Y681" s="20">
        <f>ROUND(Y680 + IF(AND(E681=32, F681&lt;&gt;"ASTM A416"), L681, 0), 3)</f>
        <v/>
      </c>
      <c r="Z681" s="20">
        <f>ROUND(Z680 + IF(F681="ASTM A416", L681, 0), 3)</f>
        <v/>
      </c>
      <c r="AA681" s="11">
        <f>IF(INT(P681/20)&gt;INT(P680/20), "Lần " &amp; INT(P681/20), "")</f>
        <v/>
      </c>
      <c r="AB681" s="11">
        <f>IF(INT(Q681/20)&gt;INT(Q680/20), "Lần " &amp; INT(Q681/20), "")</f>
        <v/>
      </c>
      <c r="AC681" s="11">
        <f>IF(INT(R681/20)&gt;INT(R680/20), "Lần " &amp; INT(R681/20), "")</f>
        <v/>
      </c>
      <c r="AD681" s="11">
        <f>IF(INT(S681/20)&gt;INT(S680/20), "Lần " &amp; INT(S681/20), "")</f>
        <v/>
      </c>
      <c r="AE681" s="11">
        <f>IF(INT(T681/20)&gt;INT(T680/20), "Lần " &amp; INT(T681/20), "")</f>
        <v/>
      </c>
      <c r="AF681" s="11">
        <f>IF(INT(U681/20)&gt;INT(U680/20), "Lần " &amp; INT(U681/20), "")</f>
        <v/>
      </c>
      <c r="AG681" s="11">
        <f>IF(INT(V681/20)&gt;INT(V680/20), "Lần " &amp; INT(V681/20), "")</f>
        <v/>
      </c>
      <c r="AH681" s="11">
        <f>IF(INT(W681/20)&gt;INT(W680/20), "Lần " &amp; INT(W681/20), "")</f>
        <v/>
      </c>
      <c r="AI681" s="11">
        <f>IF(INT(X681/20)&gt;INT(X680/20), "Lần " &amp; INT(X681/20), "")</f>
        <v/>
      </c>
      <c r="AJ681" s="11">
        <f>IF(INT(Y681/20)&gt;INT(Y680/20), "Lần " &amp; INT(Y681/20), "")</f>
        <v/>
      </c>
      <c r="AK681" s="11">
        <f>IF(INT(Z681/20)&gt;INT(Z680/20), "Lần " &amp; INT(Z681/20), "")</f>
        <v/>
      </c>
      <c r="AL681" s="6" t="inlineStr">
        <is>
          <t>ĐẠT TCVN 1651:2018</t>
        </is>
      </c>
    </row>
    <row r="682" ht="19" customHeight="1">
      <c r="A682" s="6" t="n">
        <v>650</v>
      </c>
      <c r="B682" s="7" t="inlineStr">
        <is>
          <t>Dầm chủ Super-T (15 phiến L=38.2m)</t>
        </is>
      </c>
      <c r="C682" s="7" t="inlineStr">
        <is>
          <t>Sườn dầm / Cánh dầm</t>
        </is>
      </c>
      <c r="D682" s="18" t="inlineStr">
        <is>
          <t>Thanh neo</t>
        </is>
      </c>
      <c r="E682" s="19" t="n">
        <v>20</v>
      </c>
      <c r="F682" s="6" t="inlineStr">
        <is>
          <t>CB400-V</t>
        </is>
      </c>
      <c r="G682" s="7" t="inlineStr">
        <is>
          <t>S06</t>
        </is>
      </c>
      <c r="H682" s="20" t="n">
        <v>0.11</v>
      </c>
      <c r="I682" s="21" t="n">
        <v>120</v>
      </c>
      <c r="J682" s="22" t="n">
        <v>2.47</v>
      </c>
      <c r="K682" s="9">
        <f>ROUND(H682*I682*J682, 2)</f>
        <v/>
      </c>
      <c r="L682" s="23">
        <f>ROUND(K682/1000, 3)</f>
        <v/>
      </c>
      <c r="M682" s="8" t="n"/>
      <c r="N682" s="6" t="n"/>
      <c r="O682" s="24">
        <f>IF(AND(E682&lt;=10, F682&lt;&gt;"ASTM A416", INT(P682/20)&gt;INT(P681/20)), "TN Ø10 (Lần " &amp; INT(P682/20) &amp; ")", IF(AND(E682=12, INT(Q682/20)&gt;INT(Q681/20)), "TN Ø12 (Lần " &amp; INT(Q682/20) &amp; ")", IF(AND(E682=14, INT(R682/20)&gt;INT(R681/20)), "TN Ø14 (Lần " &amp; INT(R682/20) &amp; ")", IF(AND(E682=16, INT(S682/20)&gt;INT(S681/20)), "TN Ø16 (Lần " &amp; INT(S682/20) &amp; ")", IF(AND(E682=18, INT(T682/20)&gt;INT(T681/20)), "TN Ø18 (Lần " &amp; INT(T682/20) &amp; ")", IF(AND(E682=20, INT(U682/20)&gt;INT(U681/20)), "TN Ø20 (Lần " &amp; INT(U682/20) &amp; ")", IF(AND(E682=22, INT(V682/20)&gt;INT(V681/20)), "TN Ø22 (Lần " &amp; INT(V682/20) &amp; ")", IF(AND(E682=25, INT(W682/20)&gt;INT(W681/20)), "TN Ø25 (Lần " &amp; INT(W682/20) &amp; ")", IF(AND(E682=28, INT(X682/20)&gt;INT(X681/20)), "TN Ø28 (Lần " &amp; INT(X682/20) &amp; ")", IF(AND(E682=32, INT(Y682/20)&gt;INT(Y681/20)), "TN Ø32 (Lần " &amp; INT(Y682/20) &amp; ")", IF(AND(F682="ASTM A416", INT(Z682/20)&gt;INT(Z681/20)), "TN Cáp 15.2 (Lần " &amp; INT(Z682/20) &amp; ")", "")))))))))))</f>
        <v/>
      </c>
      <c r="P682" s="20">
        <f>ROUND(P681 + IF(AND(E682&lt;=10, F682&lt;&gt;"ASTM A416"), L682, 0), 3)</f>
        <v/>
      </c>
      <c r="Q682" s="20">
        <f>ROUND(Q681 + IF(AND(E682=12, F682&lt;&gt;"ASTM A416"), L682, 0), 3)</f>
        <v/>
      </c>
      <c r="R682" s="20">
        <f>ROUND(R681 + IF(AND(E682=14, F682&lt;&gt;"ASTM A416"), L682, 0), 3)</f>
        <v/>
      </c>
      <c r="S682" s="20">
        <f>ROUND(S681 + IF(AND(E682=16, F682&lt;&gt;"ASTM A416"), L682, 0), 3)</f>
        <v/>
      </c>
      <c r="T682" s="20">
        <f>ROUND(T681 + IF(AND(E682=18, F682&lt;&gt;"ASTM A416"), L682, 0), 3)</f>
        <v/>
      </c>
      <c r="U682" s="20">
        <f>ROUND(U681 + IF(AND(E682=20, F682&lt;&gt;"ASTM A416"), L682, 0), 3)</f>
        <v/>
      </c>
      <c r="V682" s="20">
        <f>ROUND(V681 + IF(AND(E682=22, F682&lt;&gt;"ASTM A416"), L682, 0), 3)</f>
        <v/>
      </c>
      <c r="W682" s="20">
        <f>ROUND(W681 + IF(AND(E682=25, F682&lt;&gt;"ASTM A416"), L682, 0), 3)</f>
        <v/>
      </c>
      <c r="X682" s="20">
        <f>ROUND(X681 + IF(AND(E682=28, F682&lt;&gt;"ASTM A416"), L682, 0), 3)</f>
        <v/>
      </c>
      <c r="Y682" s="20">
        <f>ROUND(Y681 + IF(AND(E682=32, F682&lt;&gt;"ASTM A416"), L682, 0), 3)</f>
        <v/>
      </c>
      <c r="Z682" s="20">
        <f>ROUND(Z681 + IF(F682="ASTM A416", L682, 0), 3)</f>
        <v/>
      </c>
      <c r="AA682" s="11">
        <f>IF(INT(P682/20)&gt;INT(P681/20), "Lần " &amp; INT(P682/20), "")</f>
        <v/>
      </c>
      <c r="AB682" s="11">
        <f>IF(INT(Q682/20)&gt;INT(Q681/20), "Lần " &amp; INT(Q682/20), "")</f>
        <v/>
      </c>
      <c r="AC682" s="11">
        <f>IF(INT(R682/20)&gt;INT(R681/20), "Lần " &amp; INT(R682/20), "")</f>
        <v/>
      </c>
      <c r="AD682" s="11">
        <f>IF(INT(S682/20)&gt;INT(S681/20), "Lần " &amp; INT(S682/20), "")</f>
        <v/>
      </c>
      <c r="AE682" s="11">
        <f>IF(INT(T682/20)&gt;INT(T681/20), "Lần " &amp; INT(T682/20), "")</f>
        <v/>
      </c>
      <c r="AF682" s="11">
        <f>IF(INT(U682/20)&gt;INT(U681/20), "Lần " &amp; INT(U682/20), "")</f>
        <v/>
      </c>
      <c r="AG682" s="11">
        <f>IF(INT(V682/20)&gt;INT(V681/20), "Lần " &amp; INT(V682/20), "")</f>
        <v/>
      </c>
      <c r="AH682" s="11">
        <f>IF(INT(W682/20)&gt;INT(W681/20), "Lần " &amp; INT(W682/20), "")</f>
        <v/>
      </c>
      <c r="AI682" s="11">
        <f>IF(INT(X682/20)&gt;INT(X681/20), "Lần " &amp; INT(X682/20), "")</f>
        <v/>
      </c>
      <c r="AJ682" s="11">
        <f>IF(INT(Y682/20)&gt;INT(Y681/20), "Lần " &amp; INT(Y682/20), "")</f>
        <v/>
      </c>
      <c r="AK682" s="11">
        <f>IF(INT(Z682/20)&gt;INT(Z681/20), "Lần " &amp; INT(Z682/20), "")</f>
        <v/>
      </c>
      <c r="AL682" s="6" t="inlineStr">
        <is>
          <t>ĐẠT TCVN 1651:2018</t>
        </is>
      </c>
    </row>
    <row r="683" ht="19" customHeight="1">
      <c r="A683" s="6" t="n">
        <v>651</v>
      </c>
      <c r="B683" s="7" t="inlineStr">
        <is>
          <t>Dầm chủ Super-T (15 phiến L=38.2m)</t>
        </is>
      </c>
      <c r="C683" s="7" t="inlineStr">
        <is>
          <t>Sườn dầm / Cánh dầm</t>
        </is>
      </c>
      <c r="D683" s="18" t="inlineStr">
        <is>
          <t>K1a</t>
        </is>
      </c>
      <c r="E683" s="19" t="n">
        <v>16</v>
      </c>
      <c r="F683" s="6" t="inlineStr">
        <is>
          <t>CB400-V</t>
        </is>
      </c>
      <c r="G683" s="7" t="inlineStr">
        <is>
          <t>S06</t>
        </is>
      </c>
      <c r="H683" s="20" t="n">
        <v>0.976</v>
      </c>
      <c r="I683" s="21" t="n">
        <v>120</v>
      </c>
      <c r="J683" s="22" t="n">
        <v>1.58</v>
      </c>
      <c r="K683" s="9">
        <f>ROUND(H683*I683*J683, 2)</f>
        <v/>
      </c>
      <c r="L683" s="23">
        <f>ROUND(K683/1000, 3)</f>
        <v/>
      </c>
      <c r="M683" s="8" t="n"/>
      <c r="N683" s="6" t="n"/>
      <c r="O683" s="24">
        <f>IF(AND(E683&lt;=10, F683&lt;&gt;"ASTM A416", INT(P683/20)&gt;INT(P682/20)), "TN Ø10 (Lần " &amp; INT(P683/20) &amp; ")", IF(AND(E683=12, INT(Q683/20)&gt;INT(Q682/20)), "TN Ø12 (Lần " &amp; INT(Q683/20) &amp; ")", IF(AND(E683=14, INT(R683/20)&gt;INT(R682/20)), "TN Ø14 (Lần " &amp; INT(R683/20) &amp; ")", IF(AND(E683=16, INT(S683/20)&gt;INT(S682/20)), "TN Ø16 (Lần " &amp; INT(S683/20) &amp; ")", IF(AND(E683=18, INT(T683/20)&gt;INT(T682/20)), "TN Ø18 (Lần " &amp; INT(T683/20) &amp; ")", IF(AND(E683=20, INT(U683/20)&gt;INT(U682/20)), "TN Ø20 (Lần " &amp; INT(U683/20) &amp; ")", IF(AND(E683=22, INT(V683/20)&gt;INT(V682/20)), "TN Ø22 (Lần " &amp; INT(V683/20) &amp; ")", IF(AND(E683=25, INT(W683/20)&gt;INT(W682/20)), "TN Ø25 (Lần " &amp; INT(W683/20) &amp; ")", IF(AND(E683=28, INT(X683/20)&gt;INT(X682/20)), "TN Ø28 (Lần " &amp; INT(X683/20) &amp; ")", IF(AND(E683=32, INT(Y683/20)&gt;INT(Y682/20)), "TN Ø32 (Lần " &amp; INT(Y683/20) &amp; ")", IF(AND(F683="ASTM A416", INT(Z683/20)&gt;INT(Z682/20)), "TN Cáp 15.2 (Lần " &amp; INT(Z683/20) &amp; ")", "")))))))))))</f>
        <v/>
      </c>
      <c r="P683" s="20">
        <f>ROUND(P682 + IF(AND(E683&lt;=10, F683&lt;&gt;"ASTM A416"), L683, 0), 3)</f>
        <v/>
      </c>
      <c r="Q683" s="20">
        <f>ROUND(Q682 + IF(AND(E683=12, F683&lt;&gt;"ASTM A416"), L683, 0), 3)</f>
        <v/>
      </c>
      <c r="R683" s="20">
        <f>ROUND(R682 + IF(AND(E683=14, F683&lt;&gt;"ASTM A416"), L683, 0), 3)</f>
        <v/>
      </c>
      <c r="S683" s="20">
        <f>ROUND(S682 + IF(AND(E683=16, F683&lt;&gt;"ASTM A416"), L683, 0), 3)</f>
        <v/>
      </c>
      <c r="T683" s="20">
        <f>ROUND(T682 + IF(AND(E683=18, F683&lt;&gt;"ASTM A416"), L683, 0), 3)</f>
        <v/>
      </c>
      <c r="U683" s="20">
        <f>ROUND(U682 + IF(AND(E683=20, F683&lt;&gt;"ASTM A416"), L683, 0), 3)</f>
        <v/>
      </c>
      <c r="V683" s="20">
        <f>ROUND(V682 + IF(AND(E683=22, F683&lt;&gt;"ASTM A416"), L683, 0), 3)</f>
        <v/>
      </c>
      <c r="W683" s="20">
        <f>ROUND(W682 + IF(AND(E683=25, F683&lt;&gt;"ASTM A416"), L683, 0), 3)</f>
        <v/>
      </c>
      <c r="X683" s="20">
        <f>ROUND(X682 + IF(AND(E683=28, F683&lt;&gt;"ASTM A416"), L683, 0), 3)</f>
        <v/>
      </c>
      <c r="Y683" s="20">
        <f>ROUND(Y682 + IF(AND(E683=32, F683&lt;&gt;"ASTM A416"), L683, 0), 3)</f>
        <v/>
      </c>
      <c r="Z683" s="20">
        <f>ROUND(Z682 + IF(F683="ASTM A416", L683, 0), 3)</f>
        <v/>
      </c>
      <c r="AA683" s="11">
        <f>IF(INT(P683/20)&gt;INT(P682/20), "Lần " &amp; INT(P683/20), "")</f>
        <v/>
      </c>
      <c r="AB683" s="11">
        <f>IF(INT(Q683/20)&gt;INT(Q682/20), "Lần " &amp; INT(Q683/20), "")</f>
        <v/>
      </c>
      <c r="AC683" s="11">
        <f>IF(INT(R683/20)&gt;INT(R682/20), "Lần " &amp; INT(R683/20), "")</f>
        <v/>
      </c>
      <c r="AD683" s="11">
        <f>IF(INT(S683/20)&gt;INT(S682/20), "Lần " &amp; INT(S683/20), "")</f>
        <v/>
      </c>
      <c r="AE683" s="11">
        <f>IF(INT(T683/20)&gt;INT(T682/20), "Lần " &amp; INT(T683/20), "")</f>
        <v/>
      </c>
      <c r="AF683" s="11">
        <f>IF(INT(U683/20)&gt;INT(U682/20), "Lần " &amp; INT(U683/20), "")</f>
        <v/>
      </c>
      <c r="AG683" s="11">
        <f>IF(INT(V683/20)&gt;INT(V682/20), "Lần " &amp; INT(V683/20), "")</f>
        <v/>
      </c>
      <c r="AH683" s="11">
        <f>IF(INT(W683/20)&gt;INT(W682/20), "Lần " &amp; INT(W683/20), "")</f>
        <v/>
      </c>
      <c r="AI683" s="11">
        <f>IF(INT(X683/20)&gt;INT(X682/20), "Lần " &amp; INT(X683/20), "")</f>
        <v/>
      </c>
      <c r="AJ683" s="11">
        <f>IF(INT(Y683/20)&gt;INT(Y682/20), "Lần " &amp; INT(Y683/20), "")</f>
        <v/>
      </c>
      <c r="AK683" s="11">
        <f>IF(INT(Z683/20)&gt;INT(Z682/20), "Lần " &amp; INT(Z683/20), "")</f>
        <v/>
      </c>
      <c r="AL683" s="6" t="inlineStr">
        <is>
          <t>ĐẠT TCVN 1651:2018</t>
        </is>
      </c>
    </row>
    <row r="684" ht="19" customHeight="1">
      <c r="A684" s="6" t="n">
        <v>652</v>
      </c>
      <c r="B684" s="7" t="inlineStr">
        <is>
          <t>Dầm chủ Super-T (15 phiến L=38.2m)</t>
        </is>
      </c>
      <c r="C684" s="7" t="inlineStr">
        <is>
          <t>Sườn dầm / Cánh dầm</t>
        </is>
      </c>
      <c r="D684" s="18" t="inlineStr">
        <is>
          <t>K1b</t>
        </is>
      </c>
      <c r="E684" s="19" t="n">
        <v>16</v>
      </c>
      <c r="F684" s="6" t="inlineStr">
        <is>
          <t>CB400-V</t>
        </is>
      </c>
      <c r="G684" s="7" t="inlineStr">
        <is>
          <t>S06</t>
        </is>
      </c>
      <c r="H684" s="20" t="n">
        <v>0.776</v>
      </c>
      <c r="I684" s="21" t="n">
        <v>120</v>
      </c>
      <c r="J684" s="22" t="n">
        <v>1.58</v>
      </c>
      <c r="K684" s="9">
        <f>ROUND(H684*I684*J684, 2)</f>
        <v/>
      </c>
      <c r="L684" s="23">
        <f>ROUND(K684/1000, 3)</f>
        <v/>
      </c>
      <c r="M684" s="8" t="n"/>
      <c r="N684" s="6" t="n"/>
      <c r="O684" s="24">
        <f>IF(AND(E684&lt;=10, F684&lt;&gt;"ASTM A416", INT(P684/20)&gt;INT(P683/20)), "TN Ø10 (Lần " &amp; INT(P684/20) &amp; ")", IF(AND(E684=12, INT(Q684/20)&gt;INT(Q683/20)), "TN Ø12 (Lần " &amp; INT(Q684/20) &amp; ")", IF(AND(E684=14, INT(R684/20)&gt;INT(R683/20)), "TN Ø14 (Lần " &amp; INT(R684/20) &amp; ")", IF(AND(E684=16, INT(S684/20)&gt;INT(S683/20)), "TN Ø16 (Lần " &amp; INT(S684/20) &amp; ")", IF(AND(E684=18, INT(T684/20)&gt;INT(T683/20)), "TN Ø18 (Lần " &amp; INT(T684/20) &amp; ")", IF(AND(E684=20, INT(U684/20)&gt;INT(U683/20)), "TN Ø20 (Lần " &amp; INT(U684/20) &amp; ")", IF(AND(E684=22, INT(V684/20)&gt;INT(V683/20)), "TN Ø22 (Lần " &amp; INT(V684/20) &amp; ")", IF(AND(E684=25, INT(W684/20)&gt;INT(W683/20)), "TN Ø25 (Lần " &amp; INT(W684/20) &amp; ")", IF(AND(E684=28, INT(X684/20)&gt;INT(X683/20)), "TN Ø28 (Lần " &amp; INT(X684/20) &amp; ")", IF(AND(E684=32, INT(Y684/20)&gt;INT(Y683/20)), "TN Ø32 (Lần " &amp; INT(Y684/20) &amp; ")", IF(AND(F684="ASTM A416", INT(Z684/20)&gt;INT(Z683/20)), "TN Cáp 15.2 (Lần " &amp; INT(Z684/20) &amp; ")", "")))))))))))</f>
        <v/>
      </c>
      <c r="P684" s="20">
        <f>ROUND(P683 + IF(AND(E684&lt;=10, F684&lt;&gt;"ASTM A416"), L684, 0), 3)</f>
        <v/>
      </c>
      <c r="Q684" s="20">
        <f>ROUND(Q683 + IF(AND(E684=12, F684&lt;&gt;"ASTM A416"), L684, 0), 3)</f>
        <v/>
      </c>
      <c r="R684" s="20">
        <f>ROUND(R683 + IF(AND(E684=14, F684&lt;&gt;"ASTM A416"), L684, 0), 3)</f>
        <v/>
      </c>
      <c r="S684" s="20">
        <f>ROUND(S683 + IF(AND(E684=16, F684&lt;&gt;"ASTM A416"), L684, 0), 3)</f>
        <v/>
      </c>
      <c r="T684" s="20">
        <f>ROUND(T683 + IF(AND(E684=18, F684&lt;&gt;"ASTM A416"), L684, 0), 3)</f>
        <v/>
      </c>
      <c r="U684" s="20">
        <f>ROUND(U683 + IF(AND(E684=20, F684&lt;&gt;"ASTM A416"), L684, 0), 3)</f>
        <v/>
      </c>
      <c r="V684" s="20">
        <f>ROUND(V683 + IF(AND(E684=22, F684&lt;&gt;"ASTM A416"), L684, 0), 3)</f>
        <v/>
      </c>
      <c r="W684" s="20">
        <f>ROUND(W683 + IF(AND(E684=25, F684&lt;&gt;"ASTM A416"), L684, 0), 3)</f>
        <v/>
      </c>
      <c r="X684" s="20">
        <f>ROUND(X683 + IF(AND(E684=28, F684&lt;&gt;"ASTM A416"), L684, 0), 3)</f>
        <v/>
      </c>
      <c r="Y684" s="20">
        <f>ROUND(Y683 + IF(AND(E684=32, F684&lt;&gt;"ASTM A416"), L684, 0), 3)</f>
        <v/>
      </c>
      <c r="Z684" s="20">
        <f>ROUND(Z683 + IF(F684="ASTM A416", L684, 0), 3)</f>
        <v/>
      </c>
      <c r="AA684" s="11">
        <f>IF(INT(P684/20)&gt;INT(P683/20), "Lần " &amp; INT(P684/20), "")</f>
        <v/>
      </c>
      <c r="AB684" s="11">
        <f>IF(INT(Q684/20)&gt;INT(Q683/20), "Lần " &amp; INT(Q684/20), "")</f>
        <v/>
      </c>
      <c r="AC684" s="11">
        <f>IF(INT(R684/20)&gt;INT(R683/20), "Lần " &amp; INT(R684/20), "")</f>
        <v/>
      </c>
      <c r="AD684" s="11">
        <f>IF(INT(S684/20)&gt;INT(S683/20), "Lần " &amp; INT(S684/20), "")</f>
        <v/>
      </c>
      <c r="AE684" s="11">
        <f>IF(INT(T684/20)&gt;INT(T683/20), "Lần " &amp; INT(T684/20), "")</f>
        <v/>
      </c>
      <c r="AF684" s="11">
        <f>IF(INT(U684/20)&gt;INT(U683/20), "Lần " &amp; INT(U684/20), "")</f>
        <v/>
      </c>
      <c r="AG684" s="11">
        <f>IF(INT(V684/20)&gt;INT(V683/20), "Lần " &amp; INT(V684/20), "")</f>
        <v/>
      </c>
      <c r="AH684" s="11">
        <f>IF(INT(W684/20)&gt;INT(W683/20), "Lần " &amp; INT(W684/20), "")</f>
        <v/>
      </c>
      <c r="AI684" s="11">
        <f>IF(INT(X684/20)&gt;INT(X683/20), "Lần " &amp; INT(X684/20), "")</f>
        <v/>
      </c>
      <c r="AJ684" s="11">
        <f>IF(INT(Y684/20)&gt;INT(Y683/20), "Lần " &amp; INT(Y684/20), "")</f>
        <v/>
      </c>
      <c r="AK684" s="11">
        <f>IF(INT(Z684/20)&gt;INT(Z683/20), "Lần " &amp; INT(Z684/20), "")</f>
        <v/>
      </c>
      <c r="AL684" s="6" t="inlineStr">
        <is>
          <t>ĐẠT TCVN 1651:2018</t>
        </is>
      </c>
    </row>
    <row r="685" ht="19" customHeight="1">
      <c r="A685" s="6" t="n">
        <v>653</v>
      </c>
      <c r="B685" s="7" t="inlineStr">
        <is>
          <t>Dầm chủ Super-T (15 phiến L=38.2m)</t>
        </is>
      </c>
      <c r="C685" s="7" t="inlineStr">
        <is>
          <t>Sườn dầm / Cánh dầm</t>
        </is>
      </c>
      <c r="D685" s="18" t="inlineStr">
        <is>
          <t>G1a</t>
        </is>
      </c>
      <c r="E685" s="19" t="n">
        <v>16</v>
      </c>
      <c r="F685" s="6" t="inlineStr">
        <is>
          <t>CB400-V</t>
        </is>
      </c>
      <c r="G685" s="7" t="inlineStr">
        <is>
          <t>S06</t>
        </is>
      </c>
      <c r="H685" s="20" t="n">
        <v>5.056</v>
      </c>
      <c r="I685" s="21" t="n">
        <v>2160</v>
      </c>
      <c r="J685" s="22" t="n">
        <v>1.58</v>
      </c>
      <c r="K685" s="9">
        <f>ROUND(H685*I685*J685, 2)</f>
        <v/>
      </c>
      <c r="L685" s="23">
        <f>ROUND(K685/1000, 3)</f>
        <v/>
      </c>
      <c r="M685" s="8" t="n"/>
      <c r="N685" s="6" t="n"/>
      <c r="O685" s="24">
        <f>IF(AND(E685&lt;=10, F685&lt;&gt;"ASTM A416", INT(P685/20)&gt;INT(P684/20)), "TN Ø10 (Lần " &amp; INT(P685/20) &amp; ")", IF(AND(E685=12, INT(Q685/20)&gt;INT(Q684/20)), "TN Ø12 (Lần " &amp; INT(Q685/20) &amp; ")", IF(AND(E685=14, INT(R685/20)&gt;INT(R684/20)), "TN Ø14 (Lần " &amp; INT(R685/20) &amp; ")", IF(AND(E685=16, INT(S685/20)&gt;INT(S684/20)), "TN Ø16 (Lần " &amp; INT(S685/20) &amp; ")", IF(AND(E685=18, INT(T685/20)&gt;INT(T684/20)), "TN Ø18 (Lần " &amp; INT(T685/20) &amp; ")", IF(AND(E685=20, INT(U685/20)&gt;INT(U684/20)), "TN Ø20 (Lần " &amp; INT(U685/20) &amp; ")", IF(AND(E685=22, INT(V685/20)&gt;INT(V684/20)), "TN Ø22 (Lần " &amp; INT(V685/20) &amp; ")", IF(AND(E685=25, INT(W685/20)&gt;INT(W684/20)), "TN Ø25 (Lần " &amp; INT(W685/20) &amp; ")", IF(AND(E685=28, INT(X685/20)&gt;INT(X684/20)), "TN Ø28 (Lần " &amp; INT(X685/20) &amp; ")", IF(AND(E685=32, INT(Y685/20)&gt;INT(Y684/20)), "TN Ø32 (Lần " &amp; INT(Y685/20) &amp; ")", IF(AND(F685="ASTM A416", INT(Z685/20)&gt;INT(Z684/20)), "TN Cáp 15.2 (Lần " &amp; INT(Z685/20) &amp; ")", "")))))))))))</f>
        <v/>
      </c>
      <c r="P685" s="20">
        <f>ROUND(P684 + IF(AND(E685&lt;=10, F685&lt;&gt;"ASTM A416"), L685, 0), 3)</f>
        <v/>
      </c>
      <c r="Q685" s="20">
        <f>ROUND(Q684 + IF(AND(E685=12, F685&lt;&gt;"ASTM A416"), L685, 0), 3)</f>
        <v/>
      </c>
      <c r="R685" s="20">
        <f>ROUND(R684 + IF(AND(E685=14, F685&lt;&gt;"ASTM A416"), L685, 0), 3)</f>
        <v/>
      </c>
      <c r="S685" s="20">
        <f>ROUND(S684 + IF(AND(E685=16, F685&lt;&gt;"ASTM A416"), L685, 0), 3)</f>
        <v/>
      </c>
      <c r="T685" s="20">
        <f>ROUND(T684 + IF(AND(E685=18, F685&lt;&gt;"ASTM A416"), L685, 0), 3)</f>
        <v/>
      </c>
      <c r="U685" s="20">
        <f>ROUND(U684 + IF(AND(E685=20, F685&lt;&gt;"ASTM A416"), L685, 0), 3)</f>
        <v/>
      </c>
      <c r="V685" s="20">
        <f>ROUND(V684 + IF(AND(E685=22, F685&lt;&gt;"ASTM A416"), L685, 0), 3)</f>
        <v/>
      </c>
      <c r="W685" s="20">
        <f>ROUND(W684 + IF(AND(E685=25, F685&lt;&gt;"ASTM A416"), L685, 0), 3)</f>
        <v/>
      </c>
      <c r="X685" s="20">
        <f>ROUND(X684 + IF(AND(E685=28, F685&lt;&gt;"ASTM A416"), L685, 0), 3)</f>
        <v/>
      </c>
      <c r="Y685" s="20">
        <f>ROUND(Y684 + IF(AND(E685=32, F685&lt;&gt;"ASTM A416"), L685, 0), 3)</f>
        <v/>
      </c>
      <c r="Z685" s="20">
        <f>ROUND(Z684 + IF(F685="ASTM A416", L685, 0), 3)</f>
        <v/>
      </c>
      <c r="AA685" s="11">
        <f>IF(INT(P685/20)&gt;INT(P684/20), "Lần " &amp; INT(P685/20), "")</f>
        <v/>
      </c>
      <c r="AB685" s="11">
        <f>IF(INT(Q685/20)&gt;INT(Q684/20), "Lần " &amp; INT(Q685/20), "")</f>
        <v/>
      </c>
      <c r="AC685" s="11">
        <f>IF(INT(R685/20)&gt;INT(R684/20), "Lần " &amp; INT(R685/20), "")</f>
        <v/>
      </c>
      <c r="AD685" s="11">
        <f>IF(INT(S685/20)&gt;INT(S684/20), "Lần " &amp; INT(S685/20), "")</f>
        <v/>
      </c>
      <c r="AE685" s="11">
        <f>IF(INT(T685/20)&gt;INT(T684/20), "Lần " &amp; INT(T685/20), "")</f>
        <v/>
      </c>
      <c r="AF685" s="11">
        <f>IF(INT(U685/20)&gt;INT(U684/20), "Lần " &amp; INT(U685/20), "")</f>
        <v/>
      </c>
      <c r="AG685" s="11">
        <f>IF(INT(V685/20)&gt;INT(V684/20), "Lần " &amp; INT(V685/20), "")</f>
        <v/>
      </c>
      <c r="AH685" s="11">
        <f>IF(INT(W685/20)&gt;INT(W684/20), "Lần " &amp; INT(W685/20), "")</f>
        <v/>
      </c>
      <c r="AI685" s="11">
        <f>IF(INT(X685/20)&gt;INT(X684/20), "Lần " &amp; INT(X685/20), "")</f>
        <v/>
      </c>
      <c r="AJ685" s="11">
        <f>IF(INT(Y685/20)&gt;INT(Y684/20), "Lần " &amp; INT(Y685/20), "")</f>
        <v/>
      </c>
      <c r="AK685" s="11">
        <f>IF(INT(Z685/20)&gt;INT(Z684/20), "Lần " &amp; INT(Z685/20), "")</f>
        <v/>
      </c>
      <c r="AL685" s="6" t="inlineStr">
        <is>
          <t>ĐẠT TCVN 1651:2018</t>
        </is>
      </c>
    </row>
    <row r="686" ht="19" customHeight="1">
      <c r="A686" s="6" t="n">
        <v>654</v>
      </c>
      <c r="B686" s="7" t="inlineStr">
        <is>
          <t>Dầm chủ Super-T (15 phiến L=38.2m)</t>
        </is>
      </c>
      <c r="C686" s="7" t="inlineStr">
        <is>
          <t>Sườn dầm / Cánh dầm</t>
        </is>
      </c>
      <c r="D686" s="18" t="inlineStr">
        <is>
          <t>G1b</t>
        </is>
      </c>
      <c r="E686" s="19" t="n">
        <v>12</v>
      </c>
      <c r="F686" s="6" t="inlineStr">
        <is>
          <t>CB400-V</t>
        </is>
      </c>
      <c r="G686" s="7" t="inlineStr">
        <is>
          <t>S06</t>
        </is>
      </c>
      <c r="H686" s="20" t="n">
        <v>5.075</v>
      </c>
      <c r="I686" s="21" t="n">
        <v>1875</v>
      </c>
      <c r="J686" s="22" t="n">
        <v>0.888</v>
      </c>
      <c r="K686" s="9">
        <f>ROUND(H686*I686*J686, 2)</f>
        <v/>
      </c>
      <c r="L686" s="23">
        <f>ROUND(K686/1000, 3)</f>
        <v/>
      </c>
      <c r="M686" s="8" t="n"/>
      <c r="N686" s="6" t="n"/>
      <c r="O686" s="24">
        <f>IF(AND(E686&lt;=10, F686&lt;&gt;"ASTM A416", INT(P686/20)&gt;INT(P685/20)), "TN Ø10 (Lần " &amp; INT(P686/20) &amp; ")", IF(AND(E686=12, INT(Q686/20)&gt;INT(Q685/20)), "TN Ø12 (Lần " &amp; INT(Q686/20) &amp; ")", IF(AND(E686=14, INT(R686/20)&gt;INT(R685/20)), "TN Ø14 (Lần " &amp; INT(R686/20) &amp; ")", IF(AND(E686=16, INT(S686/20)&gt;INT(S685/20)), "TN Ø16 (Lần " &amp; INT(S686/20) &amp; ")", IF(AND(E686=18, INT(T686/20)&gt;INT(T685/20)), "TN Ø18 (Lần " &amp; INT(T686/20) &amp; ")", IF(AND(E686=20, INT(U686/20)&gt;INT(U685/20)), "TN Ø20 (Lần " &amp; INT(U686/20) &amp; ")", IF(AND(E686=22, INT(V686/20)&gt;INT(V685/20)), "TN Ø22 (Lần " &amp; INT(V686/20) &amp; ")", IF(AND(E686=25, INT(W686/20)&gt;INT(W685/20)), "TN Ø25 (Lần " &amp; INT(W686/20) &amp; ")", IF(AND(E686=28, INT(X686/20)&gt;INT(X685/20)), "TN Ø28 (Lần " &amp; INT(X686/20) &amp; ")", IF(AND(E686=32, INT(Y686/20)&gt;INT(Y685/20)), "TN Ø32 (Lần " &amp; INT(Y686/20) &amp; ")", IF(AND(F686="ASTM A416", INT(Z686/20)&gt;INT(Z685/20)), "TN Cáp 15.2 (Lần " &amp; INT(Z686/20) &amp; ")", "")))))))))))</f>
        <v/>
      </c>
      <c r="P686" s="20">
        <f>ROUND(P685 + IF(AND(E686&lt;=10, F686&lt;&gt;"ASTM A416"), L686, 0), 3)</f>
        <v/>
      </c>
      <c r="Q686" s="20">
        <f>ROUND(Q685 + IF(AND(E686=12, F686&lt;&gt;"ASTM A416"), L686, 0), 3)</f>
        <v/>
      </c>
      <c r="R686" s="20">
        <f>ROUND(R685 + IF(AND(E686=14, F686&lt;&gt;"ASTM A416"), L686, 0), 3)</f>
        <v/>
      </c>
      <c r="S686" s="20">
        <f>ROUND(S685 + IF(AND(E686=16, F686&lt;&gt;"ASTM A416"), L686, 0), 3)</f>
        <v/>
      </c>
      <c r="T686" s="20">
        <f>ROUND(T685 + IF(AND(E686=18, F686&lt;&gt;"ASTM A416"), L686, 0), 3)</f>
        <v/>
      </c>
      <c r="U686" s="20">
        <f>ROUND(U685 + IF(AND(E686=20, F686&lt;&gt;"ASTM A416"), L686, 0), 3)</f>
        <v/>
      </c>
      <c r="V686" s="20">
        <f>ROUND(V685 + IF(AND(E686=22, F686&lt;&gt;"ASTM A416"), L686, 0), 3)</f>
        <v/>
      </c>
      <c r="W686" s="20">
        <f>ROUND(W685 + IF(AND(E686=25, F686&lt;&gt;"ASTM A416"), L686, 0), 3)</f>
        <v/>
      </c>
      <c r="X686" s="20">
        <f>ROUND(X685 + IF(AND(E686=28, F686&lt;&gt;"ASTM A416"), L686, 0), 3)</f>
        <v/>
      </c>
      <c r="Y686" s="20">
        <f>ROUND(Y685 + IF(AND(E686=32, F686&lt;&gt;"ASTM A416"), L686, 0), 3)</f>
        <v/>
      </c>
      <c r="Z686" s="20">
        <f>ROUND(Z685 + IF(F686="ASTM A416", L686, 0), 3)</f>
        <v/>
      </c>
      <c r="AA686" s="11">
        <f>IF(INT(P686/20)&gt;INT(P685/20), "Lần " &amp; INT(P686/20), "")</f>
        <v/>
      </c>
      <c r="AB686" s="11">
        <f>IF(INT(Q686/20)&gt;INT(Q685/20), "Lần " &amp; INT(Q686/20), "")</f>
        <v/>
      </c>
      <c r="AC686" s="11">
        <f>IF(INT(R686/20)&gt;INT(R685/20), "Lần " &amp; INT(R686/20), "")</f>
        <v/>
      </c>
      <c r="AD686" s="11">
        <f>IF(INT(S686/20)&gt;INT(S685/20), "Lần " &amp; INT(S686/20), "")</f>
        <v/>
      </c>
      <c r="AE686" s="11">
        <f>IF(INT(T686/20)&gt;INT(T685/20), "Lần " &amp; INT(T686/20), "")</f>
        <v/>
      </c>
      <c r="AF686" s="11">
        <f>IF(INT(U686/20)&gt;INT(U685/20), "Lần " &amp; INT(U686/20), "")</f>
        <v/>
      </c>
      <c r="AG686" s="11">
        <f>IF(INT(V686/20)&gt;INT(V685/20), "Lần " &amp; INT(V686/20), "")</f>
        <v/>
      </c>
      <c r="AH686" s="11">
        <f>IF(INT(W686/20)&gt;INT(W685/20), "Lần " &amp; INT(W686/20), "")</f>
        <v/>
      </c>
      <c r="AI686" s="11">
        <f>IF(INT(X686/20)&gt;INT(X685/20), "Lần " &amp; INT(X686/20), "")</f>
        <v/>
      </c>
      <c r="AJ686" s="11">
        <f>IF(INT(Y686/20)&gt;INT(Y685/20), "Lần " &amp; INT(Y686/20), "")</f>
        <v/>
      </c>
      <c r="AK686" s="11">
        <f>IF(INT(Z686/20)&gt;INT(Z685/20), "Lần " &amp; INT(Z686/20), "")</f>
        <v/>
      </c>
      <c r="AL686" s="6" t="inlineStr">
        <is>
          <t>ĐẠT TCVN 1651:2018</t>
        </is>
      </c>
    </row>
    <row r="687" ht="19" customHeight="1">
      <c r="A687" s="6" t="n">
        <v>655</v>
      </c>
      <c r="B687" s="7" t="inlineStr">
        <is>
          <t>Dầm chủ Super-T (15 phiến L=38.2m)</t>
        </is>
      </c>
      <c r="C687" s="7" t="inlineStr">
        <is>
          <t>Sườn dầm / Cánh dầm</t>
        </is>
      </c>
      <c r="D687" s="18" t="inlineStr">
        <is>
          <t>G2</t>
        </is>
      </c>
      <c r="E687" s="19" t="n">
        <v>12</v>
      </c>
      <c r="F687" s="6" t="inlineStr">
        <is>
          <t>CB400-V</t>
        </is>
      </c>
      <c r="G687" s="7" t="inlineStr">
        <is>
          <t>S06</t>
        </is>
      </c>
      <c r="H687" s="20" t="n">
        <v>1.184</v>
      </c>
      <c r="I687" s="21" t="n">
        <v>3825</v>
      </c>
      <c r="J687" s="22" t="n">
        <v>0.888</v>
      </c>
      <c r="K687" s="9">
        <f>ROUND(H687*I687*J687, 2)</f>
        <v/>
      </c>
      <c r="L687" s="23">
        <f>ROUND(K687/1000, 3)</f>
        <v/>
      </c>
      <c r="M687" s="8" t="n"/>
      <c r="N687" s="6" t="n"/>
      <c r="O687" s="24">
        <f>IF(AND(E687&lt;=10, F687&lt;&gt;"ASTM A416", INT(P687/20)&gt;INT(P686/20)), "TN Ø10 (Lần " &amp; INT(P687/20) &amp; ")", IF(AND(E687=12, INT(Q687/20)&gt;INT(Q686/20)), "TN Ø12 (Lần " &amp; INT(Q687/20) &amp; ")", IF(AND(E687=14, INT(R687/20)&gt;INT(R686/20)), "TN Ø14 (Lần " &amp; INT(R687/20) &amp; ")", IF(AND(E687=16, INT(S687/20)&gt;INT(S686/20)), "TN Ø16 (Lần " &amp; INT(S687/20) &amp; ")", IF(AND(E687=18, INT(T687/20)&gt;INT(T686/20)), "TN Ø18 (Lần " &amp; INT(T687/20) &amp; ")", IF(AND(E687=20, INT(U687/20)&gt;INT(U686/20)), "TN Ø20 (Lần " &amp; INT(U687/20) &amp; ")", IF(AND(E687=22, INT(V687/20)&gt;INT(V686/20)), "TN Ø22 (Lần " &amp; INT(V687/20) &amp; ")", IF(AND(E687=25, INT(W687/20)&gt;INT(W686/20)), "TN Ø25 (Lần " &amp; INT(W687/20) &amp; ")", IF(AND(E687=28, INT(X687/20)&gt;INT(X686/20)), "TN Ø28 (Lần " &amp; INT(X687/20) &amp; ")", IF(AND(E687=32, INT(Y687/20)&gt;INT(Y686/20)), "TN Ø32 (Lần " &amp; INT(Y687/20) &amp; ")", IF(AND(F687="ASTM A416", INT(Z687/20)&gt;INT(Z686/20)), "TN Cáp 15.2 (Lần " &amp; INT(Z687/20) &amp; ")", "")))))))))))</f>
        <v/>
      </c>
      <c r="P687" s="20">
        <f>ROUND(P686 + IF(AND(E687&lt;=10, F687&lt;&gt;"ASTM A416"), L687, 0), 3)</f>
        <v/>
      </c>
      <c r="Q687" s="20">
        <f>ROUND(Q686 + IF(AND(E687=12, F687&lt;&gt;"ASTM A416"), L687, 0), 3)</f>
        <v/>
      </c>
      <c r="R687" s="20">
        <f>ROUND(R686 + IF(AND(E687=14, F687&lt;&gt;"ASTM A416"), L687, 0), 3)</f>
        <v/>
      </c>
      <c r="S687" s="20">
        <f>ROUND(S686 + IF(AND(E687=16, F687&lt;&gt;"ASTM A416"), L687, 0), 3)</f>
        <v/>
      </c>
      <c r="T687" s="20">
        <f>ROUND(T686 + IF(AND(E687=18, F687&lt;&gt;"ASTM A416"), L687, 0), 3)</f>
        <v/>
      </c>
      <c r="U687" s="20">
        <f>ROUND(U686 + IF(AND(E687=20, F687&lt;&gt;"ASTM A416"), L687, 0), 3)</f>
        <v/>
      </c>
      <c r="V687" s="20">
        <f>ROUND(V686 + IF(AND(E687=22, F687&lt;&gt;"ASTM A416"), L687, 0), 3)</f>
        <v/>
      </c>
      <c r="W687" s="20">
        <f>ROUND(W686 + IF(AND(E687=25, F687&lt;&gt;"ASTM A416"), L687, 0), 3)</f>
        <v/>
      </c>
      <c r="X687" s="20">
        <f>ROUND(X686 + IF(AND(E687=28, F687&lt;&gt;"ASTM A416"), L687, 0), 3)</f>
        <v/>
      </c>
      <c r="Y687" s="20">
        <f>ROUND(Y686 + IF(AND(E687=32, F687&lt;&gt;"ASTM A416"), L687, 0), 3)</f>
        <v/>
      </c>
      <c r="Z687" s="20">
        <f>ROUND(Z686 + IF(F687="ASTM A416", L687, 0), 3)</f>
        <v/>
      </c>
      <c r="AA687" s="11">
        <f>IF(INT(P687/20)&gt;INT(P686/20), "Lần " &amp; INT(P687/20), "")</f>
        <v/>
      </c>
      <c r="AB687" s="11">
        <f>IF(INT(Q687/20)&gt;INT(Q686/20), "Lần " &amp; INT(Q687/20), "")</f>
        <v/>
      </c>
      <c r="AC687" s="11">
        <f>IF(INT(R687/20)&gt;INT(R686/20), "Lần " &amp; INT(R687/20), "")</f>
        <v/>
      </c>
      <c r="AD687" s="11">
        <f>IF(INT(S687/20)&gt;INT(S686/20), "Lần " &amp; INT(S687/20), "")</f>
        <v/>
      </c>
      <c r="AE687" s="11">
        <f>IF(INT(T687/20)&gt;INT(T686/20), "Lần " &amp; INT(T687/20), "")</f>
        <v/>
      </c>
      <c r="AF687" s="11">
        <f>IF(INT(U687/20)&gt;INT(U686/20), "Lần " &amp; INT(U687/20), "")</f>
        <v/>
      </c>
      <c r="AG687" s="11">
        <f>IF(INT(V687/20)&gt;INT(V686/20), "Lần " &amp; INT(V687/20), "")</f>
        <v/>
      </c>
      <c r="AH687" s="11">
        <f>IF(INT(W687/20)&gt;INT(W686/20), "Lần " &amp; INT(W687/20), "")</f>
        <v/>
      </c>
      <c r="AI687" s="11">
        <f>IF(INT(X687/20)&gt;INT(X686/20), "Lần " &amp; INT(X687/20), "")</f>
        <v/>
      </c>
      <c r="AJ687" s="11">
        <f>IF(INT(Y687/20)&gt;INT(Y686/20), "Lần " &amp; INT(Y687/20), "")</f>
        <v/>
      </c>
      <c r="AK687" s="11">
        <f>IF(INT(Z687/20)&gt;INT(Z686/20), "Lần " &amp; INT(Z687/20), "")</f>
        <v/>
      </c>
      <c r="AL687" s="6" t="inlineStr">
        <is>
          <t>ĐẠT TCVN 1651:2018</t>
        </is>
      </c>
    </row>
    <row r="688" ht="19" customHeight="1">
      <c r="A688" s="6" t="n">
        <v>656</v>
      </c>
      <c r="B688" s="7" t="inlineStr">
        <is>
          <t>Dầm chủ Super-T (15 phiến L=38.2m)</t>
        </is>
      </c>
      <c r="C688" s="7" t="inlineStr">
        <is>
          <t>Sườn dầm / Cánh dầm</t>
        </is>
      </c>
      <c r="D688" s="18" t="inlineStr">
        <is>
          <t>G2a</t>
        </is>
      </c>
      <c r="E688" s="19" t="n">
        <v>12</v>
      </c>
      <c r="F688" s="6" t="inlineStr">
        <is>
          <t>CB400-V</t>
        </is>
      </c>
      <c r="G688" s="7" t="inlineStr">
        <is>
          <t>S06</t>
        </is>
      </c>
      <c r="H688" s="20" t="n">
        <v>1.284</v>
      </c>
      <c r="I688" s="21" t="n">
        <v>4035</v>
      </c>
      <c r="J688" s="22" t="n">
        <v>0.888</v>
      </c>
      <c r="K688" s="9">
        <f>ROUND(H688*I688*J688, 2)</f>
        <v/>
      </c>
      <c r="L688" s="23">
        <f>ROUND(K688/1000, 3)</f>
        <v/>
      </c>
      <c r="M688" s="8" t="n"/>
      <c r="N688" s="6" t="n"/>
      <c r="O688" s="24">
        <f>IF(AND(E688&lt;=10, F688&lt;&gt;"ASTM A416", INT(P688/20)&gt;INT(P687/20)), "TN Ø10 (Lần " &amp; INT(P688/20) &amp; ")", IF(AND(E688=12, INT(Q688/20)&gt;INT(Q687/20)), "TN Ø12 (Lần " &amp; INT(Q688/20) &amp; ")", IF(AND(E688=14, INT(R688/20)&gt;INT(R687/20)), "TN Ø14 (Lần " &amp; INT(R688/20) &amp; ")", IF(AND(E688=16, INT(S688/20)&gt;INT(S687/20)), "TN Ø16 (Lần " &amp; INT(S688/20) &amp; ")", IF(AND(E688=18, INT(T688/20)&gt;INT(T687/20)), "TN Ø18 (Lần " &amp; INT(T688/20) &amp; ")", IF(AND(E688=20, INT(U688/20)&gt;INT(U687/20)), "TN Ø20 (Lần " &amp; INT(U688/20) &amp; ")", IF(AND(E688=22, INT(V688/20)&gt;INT(V687/20)), "TN Ø22 (Lần " &amp; INT(V688/20) &amp; ")", IF(AND(E688=25, INT(W688/20)&gt;INT(W687/20)), "TN Ø25 (Lần " &amp; INT(W688/20) &amp; ")", IF(AND(E688=28, INT(X688/20)&gt;INT(X687/20)), "TN Ø28 (Lần " &amp; INT(X688/20) &amp; ")", IF(AND(E688=32, INT(Y688/20)&gt;INT(Y687/20)), "TN Ø32 (Lần " &amp; INT(Y688/20) &amp; ")", IF(AND(F688="ASTM A416", INT(Z688/20)&gt;INT(Z687/20)), "TN Cáp 15.2 (Lần " &amp; INT(Z688/20) &amp; ")", "")))))))))))</f>
        <v/>
      </c>
      <c r="P688" s="20">
        <f>ROUND(P687 + IF(AND(E688&lt;=10, F688&lt;&gt;"ASTM A416"), L688, 0), 3)</f>
        <v/>
      </c>
      <c r="Q688" s="20">
        <f>ROUND(Q687 + IF(AND(E688=12, F688&lt;&gt;"ASTM A416"), L688, 0), 3)</f>
        <v/>
      </c>
      <c r="R688" s="20">
        <f>ROUND(R687 + IF(AND(E688=14, F688&lt;&gt;"ASTM A416"), L688, 0), 3)</f>
        <v/>
      </c>
      <c r="S688" s="20">
        <f>ROUND(S687 + IF(AND(E688=16, F688&lt;&gt;"ASTM A416"), L688, 0), 3)</f>
        <v/>
      </c>
      <c r="T688" s="20">
        <f>ROUND(T687 + IF(AND(E688=18, F688&lt;&gt;"ASTM A416"), L688, 0), 3)</f>
        <v/>
      </c>
      <c r="U688" s="20">
        <f>ROUND(U687 + IF(AND(E688=20, F688&lt;&gt;"ASTM A416"), L688, 0), 3)</f>
        <v/>
      </c>
      <c r="V688" s="20">
        <f>ROUND(V687 + IF(AND(E688=22, F688&lt;&gt;"ASTM A416"), L688, 0), 3)</f>
        <v/>
      </c>
      <c r="W688" s="20">
        <f>ROUND(W687 + IF(AND(E688=25, F688&lt;&gt;"ASTM A416"), L688, 0), 3)</f>
        <v/>
      </c>
      <c r="X688" s="20">
        <f>ROUND(X687 + IF(AND(E688=28, F688&lt;&gt;"ASTM A416"), L688, 0), 3)</f>
        <v/>
      </c>
      <c r="Y688" s="20">
        <f>ROUND(Y687 + IF(AND(E688=32, F688&lt;&gt;"ASTM A416"), L688, 0), 3)</f>
        <v/>
      </c>
      <c r="Z688" s="20">
        <f>ROUND(Z687 + IF(F688="ASTM A416", L688, 0), 3)</f>
        <v/>
      </c>
      <c r="AA688" s="11">
        <f>IF(INT(P688/20)&gt;INT(P687/20), "Lần " &amp; INT(P688/20), "")</f>
        <v/>
      </c>
      <c r="AB688" s="11">
        <f>IF(INT(Q688/20)&gt;INT(Q687/20), "Lần " &amp; INT(Q688/20), "")</f>
        <v/>
      </c>
      <c r="AC688" s="11">
        <f>IF(INT(R688/20)&gt;INT(R687/20), "Lần " &amp; INT(R688/20), "")</f>
        <v/>
      </c>
      <c r="AD688" s="11">
        <f>IF(INT(S688/20)&gt;INT(S687/20), "Lần " &amp; INT(S688/20), "")</f>
        <v/>
      </c>
      <c r="AE688" s="11">
        <f>IF(INT(T688/20)&gt;INT(T687/20), "Lần " &amp; INT(T688/20), "")</f>
        <v/>
      </c>
      <c r="AF688" s="11">
        <f>IF(INT(U688/20)&gt;INT(U687/20), "Lần " &amp; INT(U688/20), "")</f>
        <v/>
      </c>
      <c r="AG688" s="11">
        <f>IF(INT(V688/20)&gt;INT(V687/20), "Lần " &amp; INT(V688/20), "")</f>
        <v/>
      </c>
      <c r="AH688" s="11">
        <f>IF(INT(W688/20)&gt;INT(W687/20), "Lần " &amp; INT(W688/20), "")</f>
        <v/>
      </c>
      <c r="AI688" s="11">
        <f>IF(INT(X688/20)&gt;INT(X687/20), "Lần " &amp; INT(X688/20), "")</f>
        <v/>
      </c>
      <c r="AJ688" s="11">
        <f>IF(INT(Y688/20)&gt;INT(Y687/20), "Lần " &amp; INT(Y688/20), "")</f>
        <v/>
      </c>
      <c r="AK688" s="11">
        <f>IF(INT(Z688/20)&gt;INT(Z687/20), "Lần " &amp; INT(Z688/20), "")</f>
        <v/>
      </c>
      <c r="AL688" s="6" t="inlineStr">
        <is>
          <t>ĐẠT TCVN 1651:2018</t>
        </is>
      </c>
    </row>
    <row r="689" ht="19" customHeight="1">
      <c r="A689" s="6" t="n">
        <v>657</v>
      </c>
      <c r="B689" s="7" t="inlineStr">
        <is>
          <t>Dầm chủ Super-T (15 phiến L=38.2m)</t>
        </is>
      </c>
      <c r="C689" s="7" t="inlineStr">
        <is>
          <t>Sườn dầm / Cánh dầm</t>
        </is>
      </c>
      <c r="D689" s="18" t="inlineStr">
        <is>
          <t>G3</t>
        </is>
      </c>
      <c r="E689" s="19" t="n">
        <v>12</v>
      </c>
      <c r="F689" s="6" t="inlineStr">
        <is>
          <t>CB400-V</t>
        </is>
      </c>
      <c r="G689" s="7" t="inlineStr">
        <is>
          <t>S06</t>
        </is>
      </c>
      <c r="H689" s="20" t="n">
        <v>1.259</v>
      </c>
      <c r="I689" s="21" t="n">
        <v>4035</v>
      </c>
      <c r="J689" s="22" t="n">
        <v>0.888</v>
      </c>
      <c r="K689" s="9">
        <f>ROUND(H689*I689*J689, 2)</f>
        <v/>
      </c>
      <c r="L689" s="23">
        <f>ROUND(K689/1000, 3)</f>
        <v/>
      </c>
      <c r="M689" s="8" t="n"/>
      <c r="N689" s="6" t="n"/>
      <c r="O689" s="24">
        <f>IF(AND(E689&lt;=10, F689&lt;&gt;"ASTM A416", INT(P689/20)&gt;INT(P688/20)), "TN Ø10 (Lần " &amp; INT(P689/20) &amp; ")", IF(AND(E689=12, INT(Q689/20)&gt;INT(Q688/20)), "TN Ø12 (Lần " &amp; INT(Q689/20) &amp; ")", IF(AND(E689=14, INT(R689/20)&gt;INT(R688/20)), "TN Ø14 (Lần " &amp; INT(R689/20) &amp; ")", IF(AND(E689=16, INT(S689/20)&gt;INT(S688/20)), "TN Ø16 (Lần " &amp; INT(S689/20) &amp; ")", IF(AND(E689=18, INT(T689/20)&gt;INT(T688/20)), "TN Ø18 (Lần " &amp; INT(T689/20) &amp; ")", IF(AND(E689=20, INT(U689/20)&gt;INT(U688/20)), "TN Ø20 (Lần " &amp; INT(U689/20) &amp; ")", IF(AND(E689=22, INT(V689/20)&gt;INT(V688/20)), "TN Ø22 (Lần " &amp; INT(V689/20) &amp; ")", IF(AND(E689=25, INT(W689/20)&gt;INT(W688/20)), "TN Ø25 (Lần " &amp; INT(W689/20) &amp; ")", IF(AND(E689=28, INT(X689/20)&gt;INT(X688/20)), "TN Ø28 (Lần " &amp; INT(X689/20) &amp; ")", IF(AND(E689=32, INT(Y689/20)&gt;INT(Y688/20)), "TN Ø32 (Lần " &amp; INT(Y689/20) &amp; ")", IF(AND(F689="ASTM A416", INT(Z689/20)&gt;INT(Z688/20)), "TN Cáp 15.2 (Lần " &amp; INT(Z689/20) &amp; ")", "")))))))))))</f>
        <v/>
      </c>
      <c r="P689" s="20">
        <f>ROUND(P688 + IF(AND(E689&lt;=10, F689&lt;&gt;"ASTM A416"), L689, 0), 3)</f>
        <v/>
      </c>
      <c r="Q689" s="20">
        <f>ROUND(Q688 + IF(AND(E689=12, F689&lt;&gt;"ASTM A416"), L689, 0), 3)</f>
        <v/>
      </c>
      <c r="R689" s="20">
        <f>ROUND(R688 + IF(AND(E689=14, F689&lt;&gt;"ASTM A416"), L689, 0), 3)</f>
        <v/>
      </c>
      <c r="S689" s="20">
        <f>ROUND(S688 + IF(AND(E689=16, F689&lt;&gt;"ASTM A416"), L689, 0), 3)</f>
        <v/>
      </c>
      <c r="T689" s="20">
        <f>ROUND(T688 + IF(AND(E689=18, F689&lt;&gt;"ASTM A416"), L689, 0), 3)</f>
        <v/>
      </c>
      <c r="U689" s="20">
        <f>ROUND(U688 + IF(AND(E689=20, F689&lt;&gt;"ASTM A416"), L689, 0), 3)</f>
        <v/>
      </c>
      <c r="V689" s="20">
        <f>ROUND(V688 + IF(AND(E689=22, F689&lt;&gt;"ASTM A416"), L689, 0), 3)</f>
        <v/>
      </c>
      <c r="W689" s="20">
        <f>ROUND(W688 + IF(AND(E689=25, F689&lt;&gt;"ASTM A416"), L689, 0), 3)</f>
        <v/>
      </c>
      <c r="X689" s="20">
        <f>ROUND(X688 + IF(AND(E689=28, F689&lt;&gt;"ASTM A416"), L689, 0), 3)</f>
        <v/>
      </c>
      <c r="Y689" s="20">
        <f>ROUND(Y688 + IF(AND(E689=32, F689&lt;&gt;"ASTM A416"), L689, 0), 3)</f>
        <v/>
      </c>
      <c r="Z689" s="20">
        <f>ROUND(Z688 + IF(F689="ASTM A416", L689, 0), 3)</f>
        <v/>
      </c>
      <c r="AA689" s="11">
        <f>IF(INT(P689/20)&gt;INT(P688/20), "Lần " &amp; INT(P689/20), "")</f>
        <v/>
      </c>
      <c r="AB689" s="11">
        <f>IF(INT(Q689/20)&gt;INT(Q688/20), "Lần " &amp; INT(Q689/20), "")</f>
        <v/>
      </c>
      <c r="AC689" s="11">
        <f>IF(INT(R689/20)&gt;INT(R688/20), "Lần " &amp; INT(R689/20), "")</f>
        <v/>
      </c>
      <c r="AD689" s="11">
        <f>IF(INT(S689/20)&gt;INT(S688/20), "Lần " &amp; INT(S689/20), "")</f>
        <v/>
      </c>
      <c r="AE689" s="11">
        <f>IF(INT(T689/20)&gt;INT(T688/20), "Lần " &amp; INT(T689/20), "")</f>
        <v/>
      </c>
      <c r="AF689" s="11">
        <f>IF(INT(U689/20)&gt;INT(U688/20), "Lần " &amp; INT(U689/20), "")</f>
        <v/>
      </c>
      <c r="AG689" s="11">
        <f>IF(INT(V689/20)&gt;INT(V688/20), "Lần " &amp; INT(V689/20), "")</f>
        <v/>
      </c>
      <c r="AH689" s="11">
        <f>IF(INT(W689/20)&gt;INT(W688/20), "Lần " &amp; INT(W689/20), "")</f>
        <v/>
      </c>
      <c r="AI689" s="11">
        <f>IF(INT(X689/20)&gt;INT(X688/20), "Lần " &amp; INT(X689/20), "")</f>
        <v/>
      </c>
      <c r="AJ689" s="11">
        <f>IF(INT(Y689/20)&gt;INT(Y688/20), "Lần " &amp; INT(Y689/20), "")</f>
        <v/>
      </c>
      <c r="AK689" s="11">
        <f>IF(INT(Z689/20)&gt;INT(Z688/20), "Lần " &amp; INT(Z689/20), "")</f>
        <v/>
      </c>
      <c r="AL689" s="6" t="inlineStr">
        <is>
          <t>ĐẠT TCVN 1651:2018</t>
        </is>
      </c>
    </row>
    <row r="690" ht="19" customHeight="1">
      <c r="A690" s="6" t="n">
        <v>658</v>
      </c>
      <c r="B690" s="7" t="inlineStr">
        <is>
          <t>Dầm chủ Super-T (15 phiến L=38.2m)</t>
        </is>
      </c>
      <c r="C690" s="7" t="inlineStr">
        <is>
          <t>Sườn dầm / Cánh dầm</t>
        </is>
      </c>
      <c r="D690" s="18" t="inlineStr">
        <is>
          <t>G4a1</t>
        </is>
      </c>
      <c r="E690" s="19" t="n">
        <v>12</v>
      </c>
      <c r="F690" s="6" t="inlineStr">
        <is>
          <t>CB400-V</t>
        </is>
      </c>
      <c r="G690" s="7" t="inlineStr">
        <is>
          <t>S01</t>
        </is>
      </c>
      <c r="H690" s="20" t="n">
        <v>11.7</v>
      </c>
      <c r="I690" s="21" t="n">
        <v>315</v>
      </c>
      <c r="J690" s="22" t="n">
        <v>0.888</v>
      </c>
      <c r="K690" s="9">
        <f>ROUND(H690*I690*J690, 2)</f>
        <v/>
      </c>
      <c r="L690" s="23">
        <f>ROUND(K690/1000, 3)</f>
        <v/>
      </c>
      <c r="M690" s="8" t="n"/>
      <c r="N690" s="6" t="n"/>
      <c r="O690" s="24">
        <f>IF(AND(E690&lt;=10, F690&lt;&gt;"ASTM A416", INT(P690/20)&gt;INT(P689/20)), "TN Ø10 (Lần " &amp; INT(P690/20) &amp; ")", IF(AND(E690=12, INT(Q690/20)&gt;INT(Q689/20)), "TN Ø12 (Lần " &amp; INT(Q690/20) &amp; ")", IF(AND(E690=14, INT(R690/20)&gt;INT(R689/20)), "TN Ø14 (Lần " &amp; INT(R690/20) &amp; ")", IF(AND(E690=16, INT(S690/20)&gt;INT(S689/20)), "TN Ø16 (Lần " &amp; INT(S690/20) &amp; ")", IF(AND(E690=18, INT(T690/20)&gt;INT(T689/20)), "TN Ø18 (Lần " &amp; INT(T690/20) &amp; ")", IF(AND(E690=20, INT(U690/20)&gt;INT(U689/20)), "TN Ø20 (Lần " &amp; INT(U690/20) &amp; ")", IF(AND(E690=22, INT(V690/20)&gt;INT(V689/20)), "TN Ø22 (Lần " &amp; INT(V690/20) &amp; ")", IF(AND(E690=25, INT(W690/20)&gt;INT(W689/20)), "TN Ø25 (Lần " &amp; INT(W690/20) &amp; ")", IF(AND(E690=28, INT(X690/20)&gt;INT(X689/20)), "TN Ø28 (Lần " &amp; INT(X690/20) &amp; ")", IF(AND(E690=32, INT(Y690/20)&gt;INT(Y689/20)), "TN Ø32 (Lần " &amp; INT(Y690/20) &amp; ")", IF(AND(F690="ASTM A416", INT(Z690/20)&gt;INT(Z689/20)), "TN Cáp 15.2 (Lần " &amp; INT(Z690/20) &amp; ")", "")))))))))))</f>
        <v/>
      </c>
      <c r="P690" s="20">
        <f>ROUND(P689 + IF(AND(E690&lt;=10, F690&lt;&gt;"ASTM A416"), L690, 0), 3)</f>
        <v/>
      </c>
      <c r="Q690" s="20">
        <f>ROUND(Q689 + IF(AND(E690=12, F690&lt;&gt;"ASTM A416"), L690, 0), 3)</f>
        <v/>
      </c>
      <c r="R690" s="20">
        <f>ROUND(R689 + IF(AND(E690=14, F690&lt;&gt;"ASTM A416"), L690, 0), 3)</f>
        <v/>
      </c>
      <c r="S690" s="20">
        <f>ROUND(S689 + IF(AND(E690=16, F690&lt;&gt;"ASTM A416"), L690, 0), 3)</f>
        <v/>
      </c>
      <c r="T690" s="20">
        <f>ROUND(T689 + IF(AND(E690=18, F690&lt;&gt;"ASTM A416"), L690, 0), 3)</f>
        <v/>
      </c>
      <c r="U690" s="20">
        <f>ROUND(U689 + IF(AND(E690=20, F690&lt;&gt;"ASTM A416"), L690, 0), 3)</f>
        <v/>
      </c>
      <c r="V690" s="20">
        <f>ROUND(V689 + IF(AND(E690=22, F690&lt;&gt;"ASTM A416"), L690, 0), 3)</f>
        <v/>
      </c>
      <c r="W690" s="20">
        <f>ROUND(W689 + IF(AND(E690=25, F690&lt;&gt;"ASTM A416"), L690, 0), 3)</f>
        <v/>
      </c>
      <c r="X690" s="20">
        <f>ROUND(X689 + IF(AND(E690=28, F690&lt;&gt;"ASTM A416"), L690, 0), 3)</f>
        <v/>
      </c>
      <c r="Y690" s="20">
        <f>ROUND(Y689 + IF(AND(E690=32, F690&lt;&gt;"ASTM A416"), L690, 0), 3)</f>
        <v/>
      </c>
      <c r="Z690" s="20">
        <f>ROUND(Z689 + IF(F690="ASTM A416", L690, 0), 3)</f>
        <v/>
      </c>
      <c r="AA690" s="11">
        <f>IF(INT(P690/20)&gt;INT(P689/20), "Lần " &amp; INT(P690/20), "")</f>
        <v/>
      </c>
      <c r="AB690" s="11">
        <f>IF(INT(Q690/20)&gt;INT(Q689/20), "Lần " &amp; INT(Q690/20), "")</f>
        <v/>
      </c>
      <c r="AC690" s="11">
        <f>IF(INT(R690/20)&gt;INT(R689/20), "Lần " &amp; INT(R690/20), "")</f>
        <v/>
      </c>
      <c r="AD690" s="11">
        <f>IF(INT(S690/20)&gt;INT(S689/20), "Lần " &amp; INT(S690/20), "")</f>
        <v/>
      </c>
      <c r="AE690" s="11">
        <f>IF(INT(T690/20)&gt;INT(T689/20), "Lần " &amp; INT(T690/20), "")</f>
        <v/>
      </c>
      <c r="AF690" s="11">
        <f>IF(INT(U690/20)&gt;INT(U689/20), "Lần " &amp; INT(U690/20), "")</f>
        <v/>
      </c>
      <c r="AG690" s="11">
        <f>IF(INT(V690/20)&gt;INT(V689/20), "Lần " &amp; INT(V690/20), "")</f>
        <v/>
      </c>
      <c r="AH690" s="11">
        <f>IF(INT(W690/20)&gt;INT(W689/20), "Lần " &amp; INT(W690/20), "")</f>
        <v/>
      </c>
      <c r="AI690" s="11">
        <f>IF(INT(X690/20)&gt;INT(X689/20), "Lần " &amp; INT(X690/20), "")</f>
        <v/>
      </c>
      <c r="AJ690" s="11">
        <f>IF(INT(Y690/20)&gt;INT(Y689/20), "Lần " &amp; INT(Y690/20), "")</f>
        <v/>
      </c>
      <c r="AK690" s="11">
        <f>IF(INT(Z690/20)&gt;INT(Z689/20), "Lần " &amp; INT(Z690/20), "")</f>
        <v/>
      </c>
      <c r="AL690" s="6" t="inlineStr">
        <is>
          <t>ĐẠT TCVN 1651:2018</t>
        </is>
      </c>
    </row>
    <row r="691" ht="19" customHeight="1">
      <c r="A691" s="6" t="n">
        <v>659</v>
      </c>
      <c r="B691" s="7" t="inlineStr">
        <is>
          <t>Dầm chủ Super-T (15 phiến L=38.2m)</t>
        </is>
      </c>
      <c r="C691" s="7" t="inlineStr">
        <is>
          <t>Sườn dầm / Cánh dầm</t>
        </is>
      </c>
      <c r="D691" s="18" t="inlineStr">
        <is>
          <t>G4a2</t>
        </is>
      </c>
      <c r="E691" s="19" t="n">
        <v>12</v>
      </c>
      <c r="F691" s="6" t="inlineStr">
        <is>
          <t>CB400-V</t>
        </is>
      </c>
      <c r="G691" s="7" t="inlineStr">
        <is>
          <t>S06</t>
        </is>
      </c>
      <c r="H691" s="20" t="n">
        <v>4.46</v>
      </c>
      <c r="I691" s="21" t="n">
        <v>105</v>
      </c>
      <c r="J691" s="22" t="n">
        <v>0.888</v>
      </c>
      <c r="K691" s="9">
        <f>ROUND(H691*I691*J691, 2)</f>
        <v/>
      </c>
      <c r="L691" s="23">
        <f>ROUND(K691/1000, 3)</f>
        <v/>
      </c>
      <c r="M691" s="8" t="n"/>
      <c r="N691" s="6" t="n"/>
      <c r="O691" s="24">
        <f>IF(AND(E691&lt;=10, F691&lt;&gt;"ASTM A416", INT(P691/20)&gt;INT(P690/20)), "TN Ø10 (Lần " &amp; INT(P691/20) &amp; ")", IF(AND(E691=12, INT(Q691/20)&gt;INT(Q690/20)), "TN Ø12 (Lần " &amp; INT(Q691/20) &amp; ")", IF(AND(E691=14, INT(R691/20)&gt;INT(R690/20)), "TN Ø14 (Lần " &amp; INT(R691/20) &amp; ")", IF(AND(E691=16, INT(S691/20)&gt;INT(S690/20)), "TN Ø16 (Lần " &amp; INT(S691/20) &amp; ")", IF(AND(E691=18, INT(T691/20)&gt;INT(T690/20)), "TN Ø18 (Lần " &amp; INT(T691/20) &amp; ")", IF(AND(E691=20, INT(U691/20)&gt;INT(U690/20)), "TN Ø20 (Lần " &amp; INT(U691/20) &amp; ")", IF(AND(E691=22, INT(V691/20)&gt;INT(V690/20)), "TN Ø22 (Lần " &amp; INT(V691/20) &amp; ")", IF(AND(E691=25, INT(W691/20)&gt;INT(W690/20)), "TN Ø25 (Lần " &amp; INT(W691/20) &amp; ")", IF(AND(E691=28, INT(X691/20)&gt;INT(X690/20)), "TN Ø28 (Lần " &amp; INT(X691/20) &amp; ")", IF(AND(E691=32, INT(Y691/20)&gt;INT(Y690/20)), "TN Ø32 (Lần " &amp; INT(Y691/20) &amp; ")", IF(AND(F691="ASTM A416", INT(Z691/20)&gt;INT(Z690/20)), "TN Cáp 15.2 (Lần " &amp; INT(Z691/20) &amp; ")", "")))))))))))</f>
        <v/>
      </c>
      <c r="P691" s="20">
        <f>ROUND(P690 + IF(AND(E691&lt;=10, F691&lt;&gt;"ASTM A416"), L691, 0), 3)</f>
        <v/>
      </c>
      <c r="Q691" s="20">
        <f>ROUND(Q690 + IF(AND(E691=12, F691&lt;&gt;"ASTM A416"), L691, 0), 3)</f>
        <v/>
      </c>
      <c r="R691" s="20">
        <f>ROUND(R690 + IF(AND(E691=14, F691&lt;&gt;"ASTM A416"), L691, 0), 3)</f>
        <v/>
      </c>
      <c r="S691" s="20">
        <f>ROUND(S690 + IF(AND(E691=16, F691&lt;&gt;"ASTM A416"), L691, 0), 3)</f>
        <v/>
      </c>
      <c r="T691" s="20">
        <f>ROUND(T690 + IF(AND(E691=18, F691&lt;&gt;"ASTM A416"), L691, 0), 3)</f>
        <v/>
      </c>
      <c r="U691" s="20">
        <f>ROUND(U690 + IF(AND(E691=20, F691&lt;&gt;"ASTM A416"), L691, 0), 3)</f>
        <v/>
      </c>
      <c r="V691" s="20">
        <f>ROUND(V690 + IF(AND(E691=22, F691&lt;&gt;"ASTM A416"), L691, 0), 3)</f>
        <v/>
      </c>
      <c r="W691" s="20">
        <f>ROUND(W690 + IF(AND(E691=25, F691&lt;&gt;"ASTM A416"), L691, 0), 3)</f>
        <v/>
      </c>
      <c r="X691" s="20">
        <f>ROUND(X690 + IF(AND(E691=28, F691&lt;&gt;"ASTM A416"), L691, 0), 3)</f>
        <v/>
      </c>
      <c r="Y691" s="20">
        <f>ROUND(Y690 + IF(AND(E691=32, F691&lt;&gt;"ASTM A416"), L691, 0), 3)</f>
        <v/>
      </c>
      <c r="Z691" s="20">
        <f>ROUND(Z690 + IF(F691="ASTM A416", L691, 0), 3)</f>
        <v/>
      </c>
      <c r="AA691" s="11">
        <f>IF(INT(P691/20)&gt;INT(P690/20), "Lần " &amp; INT(P691/20), "")</f>
        <v/>
      </c>
      <c r="AB691" s="11">
        <f>IF(INT(Q691/20)&gt;INT(Q690/20), "Lần " &amp; INT(Q691/20), "")</f>
        <v/>
      </c>
      <c r="AC691" s="11">
        <f>IF(INT(R691/20)&gt;INT(R690/20), "Lần " &amp; INT(R691/20), "")</f>
        <v/>
      </c>
      <c r="AD691" s="11">
        <f>IF(INT(S691/20)&gt;INT(S690/20), "Lần " &amp; INT(S691/20), "")</f>
        <v/>
      </c>
      <c r="AE691" s="11">
        <f>IF(INT(T691/20)&gt;INT(T690/20), "Lần " &amp; INT(T691/20), "")</f>
        <v/>
      </c>
      <c r="AF691" s="11">
        <f>IF(INT(U691/20)&gt;INT(U690/20), "Lần " &amp; INT(U691/20), "")</f>
        <v/>
      </c>
      <c r="AG691" s="11">
        <f>IF(INT(V691/20)&gt;INT(V690/20), "Lần " &amp; INT(V691/20), "")</f>
        <v/>
      </c>
      <c r="AH691" s="11">
        <f>IF(INT(W691/20)&gt;INT(W690/20), "Lần " &amp; INT(W691/20), "")</f>
        <v/>
      </c>
      <c r="AI691" s="11">
        <f>IF(INT(X691/20)&gt;INT(X690/20), "Lần " &amp; INT(X691/20), "")</f>
        <v/>
      </c>
      <c r="AJ691" s="11">
        <f>IF(INT(Y691/20)&gt;INT(Y690/20), "Lần " &amp; INT(Y691/20), "")</f>
        <v/>
      </c>
      <c r="AK691" s="11">
        <f>IF(INT(Z691/20)&gt;INT(Z690/20), "Lần " &amp; INT(Z691/20), "")</f>
        <v/>
      </c>
      <c r="AL691" s="6" t="inlineStr">
        <is>
          <t>ĐẠT TCVN 1651:2018</t>
        </is>
      </c>
    </row>
    <row r="692" ht="19" customHeight="1">
      <c r="A692" s="6" t="n">
        <v>660</v>
      </c>
      <c r="B692" s="7" t="inlineStr">
        <is>
          <t>Dầm chủ Super-T (15 phiến L=38.2m)</t>
        </is>
      </c>
      <c r="C692" s="7" t="inlineStr">
        <is>
          <t>Sườn dầm / Cánh dầm</t>
        </is>
      </c>
      <c r="D692" s="18" t="inlineStr">
        <is>
          <t>G4b1</t>
        </is>
      </c>
      <c r="E692" s="19" t="n">
        <v>12</v>
      </c>
      <c r="F692" s="6" t="inlineStr">
        <is>
          <t>CB400-V</t>
        </is>
      </c>
      <c r="G692" s="7" t="inlineStr">
        <is>
          <t>S01</t>
        </is>
      </c>
      <c r="H692" s="20" t="n">
        <v>11.7</v>
      </c>
      <c r="I692" s="21" t="n">
        <v>180</v>
      </c>
      <c r="J692" s="22" t="n">
        <v>0.888</v>
      </c>
      <c r="K692" s="9">
        <f>ROUND(H692*I692*J692, 2)</f>
        <v/>
      </c>
      <c r="L692" s="23">
        <f>ROUND(K692/1000, 3)</f>
        <v/>
      </c>
      <c r="M692" s="8" t="n"/>
      <c r="N692" s="6" t="n"/>
      <c r="O692" s="24">
        <f>IF(AND(E692&lt;=10, F692&lt;&gt;"ASTM A416", INT(P692/20)&gt;INT(P691/20)), "TN Ø10 (Lần " &amp; INT(P692/20) &amp; ")", IF(AND(E692=12, INT(Q692/20)&gt;INT(Q691/20)), "TN Ø12 (Lần " &amp; INT(Q692/20) &amp; ")", IF(AND(E692=14, INT(R692/20)&gt;INT(R691/20)), "TN Ø14 (Lần " &amp; INT(R692/20) &amp; ")", IF(AND(E692=16, INT(S692/20)&gt;INT(S691/20)), "TN Ø16 (Lần " &amp; INT(S692/20) &amp; ")", IF(AND(E692=18, INT(T692/20)&gt;INT(T691/20)), "TN Ø18 (Lần " &amp; INT(T692/20) &amp; ")", IF(AND(E692=20, INT(U692/20)&gt;INT(U691/20)), "TN Ø20 (Lần " &amp; INT(U692/20) &amp; ")", IF(AND(E692=22, INT(V692/20)&gt;INT(V691/20)), "TN Ø22 (Lần " &amp; INT(V692/20) &amp; ")", IF(AND(E692=25, INT(W692/20)&gt;INT(W691/20)), "TN Ø25 (Lần " &amp; INT(W692/20) &amp; ")", IF(AND(E692=28, INT(X692/20)&gt;INT(X691/20)), "TN Ø28 (Lần " &amp; INT(X692/20) &amp; ")", IF(AND(E692=32, INT(Y692/20)&gt;INT(Y691/20)), "TN Ø32 (Lần " &amp; INT(Y692/20) &amp; ")", IF(AND(F692="ASTM A416", INT(Z692/20)&gt;INT(Z691/20)), "TN Cáp 15.2 (Lần " &amp; INT(Z692/20) &amp; ")", "")))))))))))</f>
        <v/>
      </c>
      <c r="P692" s="20">
        <f>ROUND(P691 + IF(AND(E692&lt;=10, F692&lt;&gt;"ASTM A416"), L692, 0), 3)</f>
        <v/>
      </c>
      <c r="Q692" s="20">
        <f>ROUND(Q691 + IF(AND(E692=12, F692&lt;&gt;"ASTM A416"), L692, 0), 3)</f>
        <v/>
      </c>
      <c r="R692" s="20">
        <f>ROUND(R691 + IF(AND(E692=14, F692&lt;&gt;"ASTM A416"), L692, 0), 3)</f>
        <v/>
      </c>
      <c r="S692" s="20">
        <f>ROUND(S691 + IF(AND(E692=16, F692&lt;&gt;"ASTM A416"), L692, 0), 3)</f>
        <v/>
      </c>
      <c r="T692" s="20">
        <f>ROUND(T691 + IF(AND(E692=18, F692&lt;&gt;"ASTM A416"), L692, 0), 3)</f>
        <v/>
      </c>
      <c r="U692" s="20">
        <f>ROUND(U691 + IF(AND(E692=20, F692&lt;&gt;"ASTM A416"), L692, 0), 3)</f>
        <v/>
      </c>
      <c r="V692" s="20">
        <f>ROUND(V691 + IF(AND(E692=22, F692&lt;&gt;"ASTM A416"), L692, 0), 3)</f>
        <v/>
      </c>
      <c r="W692" s="20">
        <f>ROUND(W691 + IF(AND(E692=25, F692&lt;&gt;"ASTM A416"), L692, 0), 3)</f>
        <v/>
      </c>
      <c r="X692" s="20">
        <f>ROUND(X691 + IF(AND(E692=28, F692&lt;&gt;"ASTM A416"), L692, 0), 3)</f>
        <v/>
      </c>
      <c r="Y692" s="20">
        <f>ROUND(Y691 + IF(AND(E692=32, F692&lt;&gt;"ASTM A416"), L692, 0), 3)</f>
        <v/>
      </c>
      <c r="Z692" s="20">
        <f>ROUND(Z691 + IF(F692="ASTM A416", L692, 0), 3)</f>
        <v/>
      </c>
      <c r="AA692" s="11">
        <f>IF(INT(P692/20)&gt;INT(P691/20), "Lần " &amp; INT(P692/20), "")</f>
        <v/>
      </c>
      <c r="AB692" s="11">
        <f>IF(INT(Q692/20)&gt;INT(Q691/20), "Lần " &amp; INT(Q692/20), "")</f>
        <v/>
      </c>
      <c r="AC692" s="11">
        <f>IF(INT(R692/20)&gt;INT(R691/20), "Lần " &amp; INT(R692/20), "")</f>
        <v/>
      </c>
      <c r="AD692" s="11">
        <f>IF(INT(S692/20)&gt;INT(S691/20), "Lần " &amp; INT(S692/20), "")</f>
        <v/>
      </c>
      <c r="AE692" s="11">
        <f>IF(INT(T692/20)&gt;INT(T691/20), "Lần " &amp; INT(T692/20), "")</f>
        <v/>
      </c>
      <c r="AF692" s="11">
        <f>IF(INT(U692/20)&gt;INT(U691/20), "Lần " &amp; INT(U692/20), "")</f>
        <v/>
      </c>
      <c r="AG692" s="11">
        <f>IF(INT(V692/20)&gt;INT(V691/20), "Lần " &amp; INT(V692/20), "")</f>
        <v/>
      </c>
      <c r="AH692" s="11">
        <f>IF(INT(W692/20)&gt;INT(W691/20), "Lần " &amp; INT(W692/20), "")</f>
        <v/>
      </c>
      <c r="AI692" s="11">
        <f>IF(INT(X692/20)&gt;INT(X691/20), "Lần " &amp; INT(X692/20), "")</f>
        <v/>
      </c>
      <c r="AJ692" s="11">
        <f>IF(INT(Y692/20)&gt;INT(Y691/20), "Lần " &amp; INT(Y692/20), "")</f>
        <v/>
      </c>
      <c r="AK692" s="11">
        <f>IF(INT(Z692/20)&gt;INT(Z691/20), "Lần " &amp; INT(Z692/20), "")</f>
        <v/>
      </c>
      <c r="AL692" s="6" t="inlineStr">
        <is>
          <t>ĐẠT TCVN 1651:2018</t>
        </is>
      </c>
    </row>
    <row r="693" ht="19" customHeight="1">
      <c r="A693" s="6" t="n">
        <v>661</v>
      </c>
      <c r="B693" s="7" t="inlineStr">
        <is>
          <t>Dầm chủ Super-T (15 phiến L=38.2m)</t>
        </is>
      </c>
      <c r="C693" s="7" t="inlineStr">
        <is>
          <t>Sườn dầm / Cánh dầm</t>
        </is>
      </c>
      <c r="D693" s="18" t="inlineStr">
        <is>
          <t>G4b2</t>
        </is>
      </c>
      <c r="E693" s="19" t="n">
        <v>12</v>
      </c>
      <c r="F693" s="6" t="inlineStr">
        <is>
          <t>CB400-V</t>
        </is>
      </c>
      <c r="G693" s="7" t="inlineStr">
        <is>
          <t>S06</t>
        </is>
      </c>
      <c r="H693" s="20" t="n">
        <v>3.06</v>
      </c>
      <c r="I693" s="21" t="n">
        <v>60</v>
      </c>
      <c r="J693" s="22" t="n">
        <v>0.888</v>
      </c>
      <c r="K693" s="9">
        <f>ROUND(H693*I693*J693, 2)</f>
        <v/>
      </c>
      <c r="L693" s="23">
        <f>ROUND(K693/1000, 3)</f>
        <v/>
      </c>
      <c r="M693" s="8" t="n"/>
      <c r="N693" s="6" t="n"/>
      <c r="O693" s="24">
        <f>IF(AND(E693&lt;=10, F693&lt;&gt;"ASTM A416", INT(P693/20)&gt;INT(P692/20)), "TN Ø10 (Lần " &amp; INT(P693/20) &amp; ")", IF(AND(E693=12, INT(Q693/20)&gt;INT(Q692/20)), "TN Ø12 (Lần " &amp; INT(Q693/20) &amp; ")", IF(AND(E693=14, INT(R693/20)&gt;INT(R692/20)), "TN Ø14 (Lần " &amp; INT(R693/20) &amp; ")", IF(AND(E693=16, INT(S693/20)&gt;INT(S692/20)), "TN Ø16 (Lần " &amp; INT(S693/20) &amp; ")", IF(AND(E693=18, INT(T693/20)&gt;INT(T692/20)), "TN Ø18 (Lần " &amp; INT(T693/20) &amp; ")", IF(AND(E693=20, INT(U693/20)&gt;INT(U692/20)), "TN Ø20 (Lần " &amp; INT(U693/20) &amp; ")", IF(AND(E693=22, INT(V693/20)&gt;INT(V692/20)), "TN Ø22 (Lần " &amp; INT(V693/20) &amp; ")", IF(AND(E693=25, INT(W693/20)&gt;INT(W692/20)), "TN Ø25 (Lần " &amp; INT(W693/20) &amp; ")", IF(AND(E693=28, INT(X693/20)&gt;INT(X692/20)), "TN Ø28 (Lần " &amp; INT(X693/20) &amp; ")", IF(AND(E693=32, INT(Y693/20)&gt;INT(Y692/20)), "TN Ø32 (Lần " &amp; INT(Y693/20) &amp; ")", IF(AND(F693="ASTM A416", INT(Z693/20)&gt;INT(Z692/20)), "TN Cáp 15.2 (Lần " &amp; INT(Z693/20) &amp; ")", "")))))))))))</f>
        <v/>
      </c>
      <c r="P693" s="20">
        <f>ROUND(P692 + IF(AND(E693&lt;=10, F693&lt;&gt;"ASTM A416"), L693, 0), 3)</f>
        <v/>
      </c>
      <c r="Q693" s="20">
        <f>ROUND(Q692 + IF(AND(E693=12, F693&lt;&gt;"ASTM A416"), L693, 0), 3)</f>
        <v/>
      </c>
      <c r="R693" s="20">
        <f>ROUND(R692 + IF(AND(E693=14, F693&lt;&gt;"ASTM A416"), L693, 0), 3)</f>
        <v/>
      </c>
      <c r="S693" s="20">
        <f>ROUND(S692 + IF(AND(E693=16, F693&lt;&gt;"ASTM A416"), L693, 0), 3)</f>
        <v/>
      </c>
      <c r="T693" s="20">
        <f>ROUND(T692 + IF(AND(E693=18, F693&lt;&gt;"ASTM A416"), L693, 0), 3)</f>
        <v/>
      </c>
      <c r="U693" s="20">
        <f>ROUND(U692 + IF(AND(E693=20, F693&lt;&gt;"ASTM A416"), L693, 0), 3)</f>
        <v/>
      </c>
      <c r="V693" s="20">
        <f>ROUND(V692 + IF(AND(E693=22, F693&lt;&gt;"ASTM A416"), L693, 0), 3)</f>
        <v/>
      </c>
      <c r="W693" s="20">
        <f>ROUND(W692 + IF(AND(E693=25, F693&lt;&gt;"ASTM A416"), L693, 0), 3)</f>
        <v/>
      </c>
      <c r="X693" s="20">
        <f>ROUND(X692 + IF(AND(E693=28, F693&lt;&gt;"ASTM A416"), L693, 0), 3)</f>
        <v/>
      </c>
      <c r="Y693" s="20">
        <f>ROUND(Y692 + IF(AND(E693=32, F693&lt;&gt;"ASTM A416"), L693, 0), 3)</f>
        <v/>
      </c>
      <c r="Z693" s="20">
        <f>ROUND(Z692 + IF(F693="ASTM A416", L693, 0), 3)</f>
        <v/>
      </c>
      <c r="AA693" s="11">
        <f>IF(INT(P693/20)&gt;INT(P692/20), "Lần " &amp; INT(P693/20), "")</f>
        <v/>
      </c>
      <c r="AB693" s="11">
        <f>IF(INT(Q693/20)&gt;INT(Q692/20), "Lần " &amp; INT(Q693/20), "")</f>
        <v/>
      </c>
      <c r="AC693" s="11">
        <f>IF(INT(R693/20)&gt;INT(R692/20), "Lần " &amp; INT(R693/20), "")</f>
        <v/>
      </c>
      <c r="AD693" s="11">
        <f>IF(INT(S693/20)&gt;INT(S692/20), "Lần " &amp; INT(S693/20), "")</f>
        <v/>
      </c>
      <c r="AE693" s="11">
        <f>IF(INT(T693/20)&gt;INT(T692/20), "Lần " &amp; INT(T693/20), "")</f>
        <v/>
      </c>
      <c r="AF693" s="11">
        <f>IF(INT(U693/20)&gt;INT(U692/20), "Lần " &amp; INT(U693/20), "")</f>
        <v/>
      </c>
      <c r="AG693" s="11">
        <f>IF(INT(V693/20)&gt;INT(V692/20), "Lần " &amp; INT(V693/20), "")</f>
        <v/>
      </c>
      <c r="AH693" s="11">
        <f>IF(INT(W693/20)&gt;INT(W692/20), "Lần " &amp; INT(W693/20), "")</f>
        <v/>
      </c>
      <c r="AI693" s="11">
        <f>IF(INT(X693/20)&gt;INT(X692/20), "Lần " &amp; INT(X693/20), "")</f>
        <v/>
      </c>
      <c r="AJ693" s="11">
        <f>IF(INT(Y693/20)&gt;INT(Y692/20), "Lần " &amp; INT(Y693/20), "")</f>
        <v/>
      </c>
      <c r="AK693" s="11">
        <f>IF(INT(Z693/20)&gt;INT(Z692/20), "Lần " &amp; INT(Z693/20), "")</f>
        <v/>
      </c>
      <c r="AL693" s="6" t="inlineStr">
        <is>
          <t>ĐẠT TCVN 1651:2018</t>
        </is>
      </c>
    </row>
    <row r="694" ht="19" customHeight="1">
      <c r="A694" s="6" t="n">
        <v>662</v>
      </c>
      <c r="B694" s="7" t="inlineStr">
        <is>
          <t>Dầm chủ Super-T (15 phiến L=38.2m)</t>
        </is>
      </c>
      <c r="C694" s="7" t="inlineStr">
        <is>
          <t>Sườn dầm / Cánh dầm</t>
        </is>
      </c>
      <c r="D694" s="18" t="inlineStr">
        <is>
          <t>G5a</t>
        </is>
      </c>
      <c r="E694" s="19" t="n">
        <v>16</v>
      </c>
      <c r="F694" s="6" t="inlineStr">
        <is>
          <t>CB400-V</t>
        </is>
      </c>
      <c r="G694" s="7" t="inlineStr">
        <is>
          <t>S01</t>
        </is>
      </c>
      <c r="H694" s="20" t="n">
        <v>11.7</v>
      </c>
      <c r="I694" s="21" t="n">
        <v>420</v>
      </c>
      <c r="J694" s="22" t="n">
        <v>1.58</v>
      </c>
      <c r="K694" s="9">
        <f>ROUND(H694*I694*J694, 2)</f>
        <v/>
      </c>
      <c r="L694" s="23">
        <f>ROUND(K694/1000, 3)</f>
        <v/>
      </c>
      <c r="M694" s="8" t="n"/>
      <c r="N694" s="6" t="n"/>
      <c r="O694" s="24">
        <f>IF(AND(E694&lt;=10, F694&lt;&gt;"ASTM A416", INT(P694/20)&gt;INT(P693/20)), "TN Ø10 (Lần " &amp; INT(P694/20) &amp; ")", IF(AND(E694=12, INT(Q694/20)&gt;INT(Q693/20)), "TN Ø12 (Lần " &amp; INT(Q694/20) &amp; ")", IF(AND(E694=14, INT(R694/20)&gt;INT(R693/20)), "TN Ø14 (Lần " &amp; INT(R694/20) &amp; ")", IF(AND(E694=16, INT(S694/20)&gt;INT(S693/20)), "TN Ø16 (Lần " &amp; INT(S694/20) &amp; ")", IF(AND(E694=18, INT(T694/20)&gt;INT(T693/20)), "TN Ø18 (Lần " &amp; INT(T694/20) &amp; ")", IF(AND(E694=20, INT(U694/20)&gt;INT(U693/20)), "TN Ø20 (Lần " &amp; INT(U694/20) &amp; ")", IF(AND(E694=22, INT(V694/20)&gt;INT(V693/20)), "TN Ø22 (Lần " &amp; INT(V694/20) &amp; ")", IF(AND(E694=25, INT(W694/20)&gt;INT(W693/20)), "TN Ø25 (Lần " &amp; INT(W694/20) &amp; ")", IF(AND(E694=28, INT(X694/20)&gt;INT(X693/20)), "TN Ø28 (Lần " &amp; INT(X694/20) &amp; ")", IF(AND(E694=32, INT(Y694/20)&gt;INT(Y693/20)), "TN Ø32 (Lần " &amp; INT(Y694/20) &amp; ")", IF(AND(F694="ASTM A416", INT(Z694/20)&gt;INT(Z693/20)), "TN Cáp 15.2 (Lần " &amp; INT(Z694/20) &amp; ")", "")))))))))))</f>
        <v/>
      </c>
      <c r="P694" s="20">
        <f>ROUND(P693 + IF(AND(E694&lt;=10, F694&lt;&gt;"ASTM A416"), L694, 0), 3)</f>
        <v/>
      </c>
      <c r="Q694" s="20">
        <f>ROUND(Q693 + IF(AND(E694=12, F694&lt;&gt;"ASTM A416"), L694, 0), 3)</f>
        <v/>
      </c>
      <c r="R694" s="20">
        <f>ROUND(R693 + IF(AND(E694=14, F694&lt;&gt;"ASTM A416"), L694, 0), 3)</f>
        <v/>
      </c>
      <c r="S694" s="20">
        <f>ROUND(S693 + IF(AND(E694=16, F694&lt;&gt;"ASTM A416"), L694, 0), 3)</f>
        <v/>
      </c>
      <c r="T694" s="20">
        <f>ROUND(T693 + IF(AND(E694=18, F694&lt;&gt;"ASTM A416"), L694, 0), 3)</f>
        <v/>
      </c>
      <c r="U694" s="20">
        <f>ROUND(U693 + IF(AND(E694=20, F694&lt;&gt;"ASTM A416"), L694, 0), 3)</f>
        <v/>
      </c>
      <c r="V694" s="20">
        <f>ROUND(V693 + IF(AND(E694=22, F694&lt;&gt;"ASTM A416"), L694, 0), 3)</f>
        <v/>
      </c>
      <c r="W694" s="20">
        <f>ROUND(W693 + IF(AND(E694=25, F694&lt;&gt;"ASTM A416"), L694, 0), 3)</f>
        <v/>
      </c>
      <c r="X694" s="20">
        <f>ROUND(X693 + IF(AND(E694=28, F694&lt;&gt;"ASTM A416"), L694, 0), 3)</f>
        <v/>
      </c>
      <c r="Y694" s="20">
        <f>ROUND(Y693 + IF(AND(E694=32, F694&lt;&gt;"ASTM A416"), L694, 0), 3)</f>
        <v/>
      </c>
      <c r="Z694" s="20">
        <f>ROUND(Z693 + IF(F694="ASTM A416", L694, 0), 3)</f>
        <v/>
      </c>
      <c r="AA694" s="11">
        <f>IF(INT(P694/20)&gt;INT(P693/20), "Lần " &amp; INT(P694/20), "")</f>
        <v/>
      </c>
      <c r="AB694" s="11">
        <f>IF(INT(Q694/20)&gt;INT(Q693/20), "Lần " &amp; INT(Q694/20), "")</f>
        <v/>
      </c>
      <c r="AC694" s="11">
        <f>IF(INT(R694/20)&gt;INT(R693/20), "Lần " &amp; INT(R694/20), "")</f>
        <v/>
      </c>
      <c r="AD694" s="11">
        <f>IF(INT(S694/20)&gt;INT(S693/20), "Lần " &amp; INT(S694/20), "")</f>
        <v/>
      </c>
      <c r="AE694" s="11">
        <f>IF(INT(T694/20)&gt;INT(T693/20), "Lần " &amp; INT(T694/20), "")</f>
        <v/>
      </c>
      <c r="AF694" s="11">
        <f>IF(INT(U694/20)&gt;INT(U693/20), "Lần " &amp; INT(U694/20), "")</f>
        <v/>
      </c>
      <c r="AG694" s="11">
        <f>IF(INT(V694/20)&gt;INT(V693/20), "Lần " &amp; INT(V694/20), "")</f>
        <v/>
      </c>
      <c r="AH694" s="11">
        <f>IF(INT(W694/20)&gt;INT(W693/20), "Lần " &amp; INT(W694/20), "")</f>
        <v/>
      </c>
      <c r="AI694" s="11">
        <f>IF(INT(X694/20)&gt;INT(X693/20), "Lần " &amp; INT(X694/20), "")</f>
        <v/>
      </c>
      <c r="AJ694" s="11">
        <f>IF(INT(Y694/20)&gt;INT(Y693/20), "Lần " &amp; INT(Y694/20), "")</f>
        <v/>
      </c>
      <c r="AK694" s="11">
        <f>IF(INT(Z694/20)&gt;INT(Z693/20), "Lần " &amp; INT(Z694/20), "")</f>
        <v/>
      </c>
      <c r="AL694" s="6" t="inlineStr">
        <is>
          <t>ĐẠT TCVN 1651:2018</t>
        </is>
      </c>
    </row>
    <row r="695" ht="19" customHeight="1">
      <c r="A695" s="6" t="n">
        <v>663</v>
      </c>
      <c r="B695" s="7" t="inlineStr">
        <is>
          <t>Dầm chủ Super-T (15 phiến L=38.2m)</t>
        </is>
      </c>
      <c r="C695" s="7" t="inlineStr">
        <is>
          <t>Sườn dầm / Cánh dầm</t>
        </is>
      </c>
      <c r="D695" s="18" t="inlineStr">
        <is>
          <t>G5b</t>
        </is>
      </c>
      <c r="E695" s="19" t="n">
        <v>18</v>
      </c>
      <c r="F695" s="6" t="inlineStr">
        <is>
          <t>CB400-V</t>
        </is>
      </c>
      <c r="G695" s="7" t="inlineStr">
        <is>
          <t>S06</t>
        </is>
      </c>
      <c r="H695" s="20" t="n">
        <v>2.86</v>
      </c>
      <c r="I695" s="21" t="n">
        <v>210</v>
      </c>
      <c r="J695" s="22" t="n">
        <v>2</v>
      </c>
      <c r="K695" s="9">
        <f>ROUND(H695*I695*J695, 2)</f>
        <v/>
      </c>
      <c r="L695" s="23">
        <f>ROUND(K695/1000, 3)</f>
        <v/>
      </c>
      <c r="M695" s="8" t="n"/>
      <c r="N695" s="6" t="n"/>
      <c r="O695" s="24">
        <f>IF(AND(E695&lt;=10, F695&lt;&gt;"ASTM A416", INT(P695/20)&gt;INT(P694/20)), "TN Ø10 (Lần " &amp; INT(P695/20) &amp; ")", IF(AND(E695=12, INT(Q695/20)&gt;INT(Q694/20)), "TN Ø12 (Lần " &amp; INT(Q695/20) &amp; ")", IF(AND(E695=14, INT(R695/20)&gt;INT(R694/20)), "TN Ø14 (Lần " &amp; INT(R695/20) &amp; ")", IF(AND(E695=16, INT(S695/20)&gt;INT(S694/20)), "TN Ø16 (Lần " &amp; INT(S695/20) &amp; ")", IF(AND(E695=18, INT(T695/20)&gt;INT(T694/20)), "TN Ø18 (Lần " &amp; INT(T695/20) &amp; ")", IF(AND(E695=20, INT(U695/20)&gt;INT(U694/20)), "TN Ø20 (Lần " &amp; INT(U695/20) &amp; ")", IF(AND(E695=22, INT(V695/20)&gt;INT(V694/20)), "TN Ø22 (Lần " &amp; INT(V695/20) &amp; ")", IF(AND(E695=25, INT(W695/20)&gt;INT(W694/20)), "TN Ø25 (Lần " &amp; INT(W695/20) &amp; ")", IF(AND(E695=28, INT(X695/20)&gt;INT(X694/20)), "TN Ø28 (Lần " &amp; INT(X695/20) &amp; ")", IF(AND(E695=32, INT(Y695/20)&gt;INT(Y694/20)), "TN Ø32 (Lần " &amp; INT(Y695/20) &amp; ")", IF(AND(F695="ASTM A416", INT(Z695/20)&gt;INT(Z694/20)), "TN Cáp 15.2 (Lần " &amp; INT(Z695/20) &amp; ")", "")))))))))))</f>
        <v/>
      </c>
      <c r="P695" s="20">
        <f>ROUND(P694 + IF(AND(E695&lt;=10, F695&lt;&gt;"ASTM A416"), L695, 0), 3)</f>
        <v/>
      </c>
      <c r="Q695" s="20">
        <f>ROUND(Q694 + IF(AND(E695=12, F695&lt;&gt;"ASTM A416"), L695, 0), 3)</f>
        <v/>
      </c>
      <c r="R695" s="20">
        <f>ROUND(R694 + IF(AND(E695=14, F695&lt;&gt;"ASTM A416"), L695, 0), 3)</f>
        <v/>
      </c>
      <c r="S695" s="20">
        <f>ROUND(S694 + IF(AND(E695=16, F695&lt;&gt;"ASTM A416"), L695, 0), 3)</f>
        <v/>
      </c>
      <c r="T695" s="20">
        <f>ROUND(T694 + IF(AND(E695=18, F695&lt;&gt;"ASTM A416"), L695, 0), 3)</f>
        <v/>
      </c>
      <c r="U695" s="20">
        <f>ROUND(U694 + IF(AND(E695=20, F695&lt;&gt;"ASTM A416"), L695, 0), 3)</f>
        <v/>
      </c>
      <c r="V695" s="20">
        <f>ROUND(V694 + IF(AND(E695=22, F695&lt;&gt;"ASTM A416"), L695, 0), 3)</f>
        <v/>
      </c>
      <c r="W695" s="20">
        <f>ROUND(W694 + IF(AND(E695=25, F695&lt;&gt;"ASTM A416"), L695, 0), 3)</f>
        <v/>
      </c>
      <c r="X695" s="20">
        <f>ROUND(X694 + IF(AND(E695=28, F695&lt;&gt;"ASTM A416"), L695, 0), 3)</f>
        <v/>
      </c>
      <c r="Y695" s="20">
        <f>ROUND(Y694 + IF(AND(E695=32, F695&lt;&gt;"ASTM A416"), L695, 0), 3)</f>
        <v/>
      </c>
      <c r="Z695" s="20">
        <f>ROUND(Z694 + IF(F695="ASTM A416", L695, 0), 3)</f>
        <v/>
      </c>
      <c r="AA695" s="11">
        <f>IF(INT(P695/20)&gt;INT(P694/20), "Lần " &amp; INT(P695/20), "")</f>
        <v/>
      </c>
      <c r="AB695" s="11">
        <f>IF(INT(Q695/20)&gt;INT(Q694/20), "Lần " &amp; INT(Q695/20), "")</f>
        <v/>
      </c>
      <c r="AC695" s="11">
        <f>IF(INT(R695/20)&gt;INT(R694/20), "Lần " &amp; INT(R695/20), "")</f>
        <v/>
      </c>
      <c r="AD695" s="11">
        <f>IF(INT(S695/20)&gt;INT(S694/20), "Lần " &amp; INT(S695/20), "")</f>
        <v/>
      </c>
      <c r="AE695" s="11">
        <f>IF(INT(T695/20)&gt;INT(T694/20), "Lần " &amp; INT(T695/20), "")</f>
        <v/>
      </c>
      <c r="AF695" s="11">
        <f>IF(INT(U695/20)&gt;INT(U694/20), "Lần " &amp; INT(U695/20), "")</f>
        <v/>
      </c>
      <c r="AG695" s="11">
        <f>IF(INT(V695/20)&gt;INT(V694/20), "Lần " &amp; INT(V695/20), "")</f>
        <v/>
      </c>
      <c r="AH695" s="11">
        <f>IF(INT(W695/20)&gt;INT(W694/20), "Lần " &amp; INT(W695/20), "")</f>
        <v/>
      </c>
      <c r="AI695" s="11">
        <f>IF(INT(X695/20)&gt;INT(X694/20), "Lần " &amp; INT(X695/20), "")</f>
        <v/>
      </c>
      <c r="AJ695" s="11">
        <f>IF(INT(Y695/20)&gt;INT(Y694/20), "Lần " &amp; INT(Y695/20), "")</f>
        <v/>
      </c>
      <c r="AK695" s="11">
        <f>IF(INT(Z695/20)&gt;INT(Z694/20), "Lần " &amp; INT(Z695/20), "")</f>
        <v/>
      </c>
      <c r="AL695" s="6" t="inlineStr">
        <is>
          <t>ĐẠT TCVN 1651:2018</t>
        </is>
      </c>
    </row>
    <row r="696" ht="19" customHeight="1">
      <c r="A696" s="6" t="n">
        <v>664</v>
      </c>
      <c r="B696" s="7" t="inlineStr">
        <is>
          <t>Dầm chủ Super-T (15 phiến L=38.2m)</t>
        </is>
      </c>
      <c r="C696" s="7" t="inlineStr">
        <is>
          <t>Sườn dầm / Cánh dầm</t>
        </is>
      </c>
      <c r="D696" s="18" t="inlineStr">
        <is>
          <t>G5c</t>
        </is>
      </c>
      <c r="E696" s="19" t="n">
        <v>16</v>
      </c>
      <c r="F696" s="6" t="inlineStr">
        <is>
          <t>CB400-V</t>
        </is>
      </c>
      <c r="G696" s="7" t="inlineStr">
        <is>
          <t>S01</t>
        </is>
      </c>
      <c r="H696" s="20" t="n">
        <v>10.68</v>
      </c>
      <c r="I696" s="21" t="n">
        <v>210</v>
      </c>
      <c r="J696" s="22" t="n">
        <v>1.58</v>
      </c>
      <c r="K696" s="9">
        <f>ROUND(H696*I696*J696, 2)</f>
        <v/>
      </c>
      <c r="L696" s="23">
        <f>ROUND(K696/1000, 3)</f>
        <v/>
      </c>
      <c r="M696" s="8" t="n"/>
      <c r="N696" s="6" t="n"/>
      <c r="O696" s="24">
        <f>IF(AND(E696&lt;=10, F696&lt;&gt;"ASTM A416", INT(P696/20)&gt;INT(P695/20)), "TN Ø10 (Lần " &amp; INT(P696/20) &amp; ")", IF(AND(E696=12, INT(Q696/20)&gt;INT(Q695/20)), "TN Ø12 (Lần " &amp; INT(Q696/20) &amp; ")", IF(AND(E696=14, INT(R696/20)&gt;INT(R695/20)), "TN Ø14 (Lần " &amp; INT(R696/20) &amp; ")", IF(AND(E696=16, INT(S696/20)&gt;INT(S695/20)), "TN Ø16 (Lần " &amp; INT(S696/20) &amp; ")", IF(AND(E696=18, INT(T696/20)&gt;INT(T695/20)), "TN Ø18 (Lần " &amp; INT(T696/20) &amp; ")", IF(AND(E696=20, INT(U696/20)&gt;INT(U695/20)), "TN Ø20 (Lần " &amp; INT(U696/20) &amp; ")", IF(AND(E696=22, INT(V696/20)&gt;INT(V695/20)), "TN Ø22 (Lần " &amp; INT(V696/20) &amp; ")", IF(AND(E696=25, INT(W696/20)&gt;INT(W695/20)), "TN Ø25 (Lần " &amp; INT(W696/20) &amp; ")", IF(AND(E696=28, INT(X696/20)&gt;INT(X695/20)), "TN Ø28 (Lần " &amp; INT(X696/20) &amp; ")", IF(AND(E696=32, INT(Y696/20)&gt;INT(Y695/20)), "TN Ø32 (Lần " &amp; INT(Y696/20) &amp; ")", IF(AND(F696="ASTM A416", INT(Z696/20)&gt;INT(Z695/20)), "TN Cáp 15.2 (Lần " &amp; INT(Z696/20) &amp; ")", "")))))))))))</f>
        <v/>
      </c>
      <c r="P696" s="20">
        <f>ROUND(P695 + IF(AND(E696&lt;=10, F696&lt;&gt;"ASTM A416"), L696, 0), 3)</f>
        <v/>
      </c>
      <c r="Q696" s="20">
        <f>ROUND(Q695 + IF(AND(E696=12, F696&lt;&gt;"ASTM A416"), L696, 0), 3)</f>
        <v/>
      </c>
      <c r="R696" s="20">
        <f>ROUND(R695 + IF(AND(E696=14, F696&lt;&gt;"ASTM A416"), L696, 0), 3)</f>
        <v/>
      </c>
      <c r="S696" s="20">
        <f>ROUND(S695 + IF(AND(E696=16, F696&lt;&gt;"ASTM A416"), L696, 0), 3)</f>
        <v/>
      </c>
      <c r="T696" s="20">
        <f>ROUND(T695 + IF(AND(E696=18, F696&lt;&gt;"ASTM A416"), L696, 0), 3)</f>
        <v/>
      </c>
      <c r="U696" s="20">
        <f>ROUND(U695 + IF(AND(E696=20, F696&lt;&gt;"ASTM A416"), L696, 0), 3)</f>
        <v/>
      </c>
      <c r="V696" s="20">
        <f>ROUND(V695 + IF(AND(E696=22, F696&lt;&gt;"ASTM A416"), L696, 0), 3)</f>
        <v/>
      </c>
      <c r="W696" s="20">
        <f>ROUND(W695 + IF(AND(E696=25, F696&lt;&gt;"ASTM A416"), L696, 0), 3)</f>
        <v/>
      </c>
      <c r="X696" s="20">
        <f>ROUND(X695 + IF(AND(E696=28, F696&lt;&gt;"ASTM A416"), L696, 0), 3)</f>
        <v/>
      </c>
      <c r="Y696" s="20">
        <f>ROUND(Y695 + IF(AND(E696=32, F696&lt;&gt;"ASTM A416"), L696, 0), 3)</f>
        <v/>
      </c>
      <c r="Z696" s="20">
        <f>ROUND(Z695 + IF(F696="ASTM A416", L696, 0), 3)</f>
        <v/>
      </c>
      <c r="AA696" s="11">
        <f>IF(INT(P696/20)&gt;INT(P695/20), "Lần " &amp; INT(P696/20), "")</f>
        <v/>
      </c>
      <c r="AB696" s="11">
        <f>IF(INT(Q696/20)&gt;INT(Q695/20), "Lần " &amp; INT(Q696/20), "")</f>
        <v/>
      </c>
      <c r="AC696" s="11">
        <f>IF(INT(R696/20)&gt;INT(R695/20), "Lần " &amp; INT(R696/20), "")</f>
        <v/>
      </c>
      <c r="AD696" s="11">
        <f>IF(INT(S696/20)&gt;INT(S695/20), "Lần " &amp; INT(S696/20), "")</f>
        <v/>
      </c>
      <c r="AE696" s="11">
        <f>IF(INT(T696/20)&gt;INT(T695/20), "Lần " &amp; INT(T696/20), "")</f>
        <v/>
      </c>
      <c r="AF696" s="11">
        <f>IF(INT(U696/20)&gt;INT(U695/20), "Lần " &amp; INT(U696/20), "")</f>
        <v/>
      </c>
      <c r="AG696" s="11">
        <f>IF(INT(V696/20)&gt;INT(V695/20), "Lần " &amp; INT(V696/20), "")</f>
        <v/>
      </c>
      <c r="AH696" s="11">
        <f>IF(INT(W696/20)&gt;INT(W695/20), "Lần " &amp; INT(W696/20), "")</f>
        <v/>
      </c>
      <c r="AI696" s="11">
        <f>IF(INT(X696/20)&gt;INT(X695/20), "Lần " &amp; INT(X696/20), "")</f>
        <v/>
      </c>
      <c r="AJ696" s="11">
        <f>IF(INT(Y696/20)&gt;INT(Y695/20), "Lần " &amp; INT(Y696/20), "")</f>
        <v/>
      </c>
      <c r="AK696" s="11">
        <f>IF(INT(Z696/20)&gt;INT(Z695/20), "Lần " &amp; INT(Z696/20), "")</f>
        <v/>
      </c>
      <c r="AL696" s="6" t="inlineStr">
        <is>
          <t>ĐẠT TCVN 1651:2018</t>
        </is>
      </c>
    </row>
    <row r="697" ht="19" customHeight="1">
      <c r="A697" s="6" t="n">
        <v>665</v>
      </c>
      <c r="B697" s="7" t="inlineStr">
        <is>
          <t>Dầm chủ Super-T (15 phiến L=38.2m)</t>
        </is>
      </c>
      <c r="C697" s="7" t="inlineStr">
        <is>
          <t>Sườn dầm / Cánh dầm</t>
        </is>
      </c>
      <c r="D697" s="18" t="inlineStr">
        <is>
          <t>G5d</t>
        </is>
      </c>
      <c r="E697" s="19" t="n">
        <v>18</v>
      </c>
      <c r="F697" s="6" t="inlineStr">
        <is>
          <t>CB400-V</t>
        </is>
      </c>
      <c r="G697" s="7" t="inlineStr">
        <is>
          <t>S06</t>
        </is>
      </c>
      <c r="H697" s="20" t="n">
        <v>3.9</v>
      </c>
      <c r="I697" s="21" t="n">
        <v>210</v>
      </c>
      <c r="J697" s="22" t="n">
        <v>2</v>
      </c>
      <c r="K697" s="9">
        <f>ROUND(H697*I697*J697, 2)</f>
        <v/>
      </c>
      <c r="L697" s="23">
        <f>ROUND(K697/1000, 3)</f>
        <v/>
      </c>
      <c r="M697" s="8" t="n"/>
      <c r="N697" s="6" t="n"/>
      <c r="O697" s="24">
        <f>IF(AND(E697&lt;=10, F697&lt;&gt;"ASTM A416", INT(P697/20)&gt;INT(P696/20)), "TN Ø10 (Lần " &amp; INT(P697/20) &amp; ")", IF(AND(E697=12, INT(Q697/20)&gt;INT(Q696/20)), "TN Ø12 (Lần " &amp; INT(Q697/20) &amp; ")", IF(AND(E697=14, INT(R697/20)&gt;INT(R696/20)), "TN Ø14 (Lần " &amp; INT(R697/20) &amp; ")", IF(AND(E697=16, INT(S697/20)&gt;INT(S696/20)), "TN Ø16 (Lần " &amp; INT(S697/20) &amp; ")", IF(AND(E697=18, INT(T697/20)&gt;INT(T696/20)), "TN Ø18 (Lần " &amp; INT(T697/20) &amp; ")", IF(AND(E697=20, INT(U697/20)&gt;INT(U696/20)), "TN Ø20 (Lần " &amp; INT(U697/20) &amp; ")", IF(AND(E697=22, INT(V697/20)&gt;INT(V696/20)), "TN Ø22 (Lần " &amp; INT(V697/20) &amp; ")", IF(AND(E697=25, INT(W697/20)&gt;INT(W696/20)), "TN Ø25 (Lần " &amp; INT(W697/20) &amp; ")", IF(AND(E697=28, INT(X697/20)&gt;INT(X696/20)), "TN Ø28 (Lần " &amp; INT(X697/20) &amp; ")", IF(AND(E697=32, INT(Y697/20)&gt;INT(Y696/20)), "TN Ø32 (Lần " &amp; INT(Y697/20) &amp; ")", IF(AND(F697="ASTM A416", INT(Z697/20)&gt;INT(Z696/20)), "TN Cáp 15.2 (Lần " &amp; INT(Z697/20) &amp; ")", "")))))))))))</f>
        <v/>
      </c>
      <c r="P697" s="20">
        <f>ROUND(P696 + IF(AND(E697&lt;=10, F697&lt;&gt;"ASTM A416"), L697, 0), 3)</f>
        <v/>
      </c>
      <c r="Q697" s="20">
        <f>ROUND(Q696 + IF(AND(E697=12, F697&lt;&gt;"ASTM A416"), L697, 0), 3)</f>
        <v/>
      </c>
      <c r="R697" s="20">
        <f>ROUND(R696 + IF(AND(E697=14, F697&lt;&gt;"ASTM A416"), L697, 0), 3)</f>
        <v/>
      </c>
      <c r="S697" s="20">
        <f>ROUND(S696 + IF(AND(E697=16, F697&lt;&gt;"ASTM A416"), L697, 0), 3)</f>
        <v/>
      </c>
      <c r="T697" s="20">
        <f>ROUND(T696 + IF(AND(E697=18, F697&lt;&gt;"ASTM A416"), L697, 0), 3)</f>
        <v/>
      </c>
      <c r="U697" s="20">
        <f>ROUND(U696 + IF(AND(E697=20, F697&lt;&gt;"ASTM A416"), L697, 0), 3)</f>
        <v/>
      </c>
      <c r="V697" s="20">
        <f>ROUND(V696 + IF(AND(E697=22, F697&lt;&gt;"ASTM A416"), L697, 0), 3)</f>
        <v/>
      </c>
      <c r="W697" s="20">
        <f>ROUND(W696 + IF(AND(E697=25, F697&lt;&gt;"ASTM A416"), L697, 0), 3)</f>
        <v/>
      </c>
      <c r="X697" s="20">
        <f>ROUND(X696 + IF(AND(E697=28, F697&lt;&gt;"ASTM A416"), L697, 0), 3)</f>
        <v/>
      </c>
      <c r="Y697" s="20">
        <f>ROUND(Y696 + IF(AND(E697=32, F697&lt;&gt;"ASTM A416"), L697, 0), 3)</f>
        <v/>
      </c>
      <c r="Z697" s="20">
        <f>ROUND(Z696 + IF(F697="ASTM A416", L697, 0), 3)</f>
        <v/>
      </c>
      <c r="AA697" s="11">
        <f>IF(INT(P697/20)&gt;INT(P696/20), "Lần " &amp; INT(P697/20), "")</f>
        <v/>
      </c>
      <c r="AB697" s="11">
        <f>IF(INT(Q697/20)&gt;INT(Q696/20), "Lần " &amp; INT(Q697/20), "")</f>
        <v/>
      </c>
      <c r="AC697" s="11">
        <f>IF(INT(R697/20)&gt;INT(R696/20), "Lần " &amp; INT(R697/20), "")</f>
        <v/>
      </c>
      <c r="AD697" s="11">
        <f>IF(INT(S697/20)&gt;INT(S696/20), "Lần " &amp; INT(S697/20), "")</f>
        <v/>
      </c>
      <c r="AE697" s="11">
        <f>IF(INT(T697/20)&gt;INT(T696/20), "Lần " &amp; INT(T697/20), "")</f>
        <v/>
      </c>
      <c r="AF697" s="11">
        <f>IF(INT(U697/20)&gt;INT(U696/20), "Lần " &amp; INT(U697/20), "")</f>
        <v/>
      </c>
      <c r="AG697" s="11">
        <f>IF(INT(V697/20)&gt;INT(V696/20), "Lần " &amp; INT(V697/20), "")</f>
        <v/>
      </c>
      <c r="AH697" s="11">
        <f>IF(INT(W697/20)&gt;INT(W696/20), "Lần " &amp; INT(W697/20), "")</f>
        <v/>
      </c>
      <c r="AI697" s="11">
        <f>IF(INT(X697/20)&gt;INT(X696/20), "Lần " &amp; INT(X697/20), "")</f>
        <v/>
      </c>
      <c r="AJ697" s="11">
        <f>IF(INT(Y697/20)&gt;INT(Y696/20), "Lần " &amp; INT(Y697/20), "")</f>
        <v/>
      </c>
      <c r="AK697" s="11">
        <f>IF(INT(Z697/20)&gt;INT(Z696/20), "Lần " &amp; INT(Z697/20), "")</f>
        <v/>
      </c>
      <c r="AL697" s="6" t="inlineStr">
        <is>
          <t>ĐẠT TCVN 1651:2018</t>
        </is>
      </c>
    </row>
    <row r="698" ht="19" customHeight="1">
      <c r="A698" s="6" t="n">
        <v>666</v>
      </c>
      <c r="B698" s="7" t="inlineStr">
        <is>
          <t>Dầm chủ Super-T (15 phiến L=38.2m)</t>
        </is>
      </c>
      <c r="C698" s="7" t="inlineStr">
        <is>
          <t>Sườn dầm / Cánh dầm</t>
        </is>
      </c>
      <c r="D698" s="18" t="inlineStr">
        <is>
          <t>G6a</t>
        </is>
      </c>
      <c r="E698" s="19" t="n">
        <v>32</v>
      </c>
      <c r="F698" s="6" t="inlineStr">
        <is>
          <t>CB400-V</t>
        </is>
      </c>
      <c r="G698" s="7" t="inlineStr">
        <is>
          <t>S01</t>
        </is>
      </c>
      <c r="H698" s="20" t="n">
        <v>11.7</v>
      </c>
      <c r="I698" s="21" t="n">
        <v>135</v>
      </c>
      <c r="J698" s="22" t="n">
        <v>6.31</v>
      </c>
      <c r="K698" s="9">
        <f>ROUND(H698*I698*J698, 2)</f>
        <v/>
      </c>
      <c r="L698" s="23">
        <f>ROUND(K698/1000, 3)</f>
        <v/>
      </c>
      <c r="M698" s="8" t="n"/>
      <c r="N698" s="6" t="n"/>
      <c r="O698" s="24">
        <f>IF(AND(E698&lt;=10, F698&lt;&gt;"ASTM A416", INT(P698/20)&gt;INT(P697/20)), "TN Ø10 (Lần " &amp; INT(P698/20) &amp; ")", IF(AND(E698=12, INT(Q698/20)&gt;INT(Q697/20)), "TN Ø12 (Lần " &amp; INT(Q698/20) &amp; ")", IF(AND(E698=14, INT(R698/20)&gt;INT(R697/20)), "TN Ø14 (Lần " &amp; INT(R698/20) &amp; ")", IF(AND(E698=16, INT(S698/20)&gt;INT(S697/20)), "TN Ø16 (Lần " &amp; INT(S698/20) &amp; ")", IF(AND(E698=18, INT(T698/20)&gt;INT(T697/20)), "TN Ø18 (Lần " &amp; INT(T698/20) &amp; ")", IF(AND(E698=20, INT(U698/20)&gt;INT(U697/20)), "TN Ø20 (Lần " &amp; INT(U698/20) &amp; ")", IF(AND(E698=22, INT(V698/20)&gt;INT(V697/20)), "TN Ø22 (Lần " &amp; INT(V698/20) &amp; ")", IF(AND(E698=25, INT(W698/20)&gt;INT(W697/20)), "TN Ø25 (Lần " &amp; INT(W698/20) &amp; ")", IF(AND(E698=28, INT(X698/20)&gt;INT(X697/20)), "TN Ø28 (Lần " &amp; INT(X698/20) &amp; ")", IF(AND(E698=32, INT(Y698/20)&gt;INT(Y697/20)), "TN Ø32 (Lần " &amp; INT(Y698/20) &amp; ")", IF(AND(F698="ASTM A416", INT(Z698/20)&gt;INT(Z697/20)), "TN Cáp 15.2 (Lần " &amp; INT(Z698/20) &amp; ")", "")))))))))))</f>
        <v/>
      </c>
      <c r="P698" s="20">
        <f>ROUND(P697 + IF(AND(E698&lt;=10, F698&lt;&gt;"ASTM A416"), L698, 0), 3)</f>
        <v/>
      </c>
      <c r="Q698" s="20">
        <f>ROUND(Q697 + IF(AND(E698=12, F698&lt;&gt;"ASTM A416"), L698, 0), 3)</f>
        <v/>
      </c>
      <c r="R698" s="20">
        <f>ROUND(R697 + IF(AND(E698=14, F698&lt;&gt;"ASTM A416"), L698, 0), 3)</f>
        <v/>
      </c>
      <c r="S698" s="20">
        <f>ROUND(S697 + IF(AND(E698=16, F698&lt;&gt;"ASTM A416"), L698, 0), 3)</f>
        <v/>
      </c>
      <c r="T698" s="20">
        <f>ROUND(T697 + IF(AND(E698=18, F698&lt;&gt;"ASTM A416"), L698, 0), 3)</f>
        <v/>
      </c>
      <c r="U698" s="20">
        <f>ROUND(U697 + IF(AND(E698=20, F698&lt;&gt;"ASTM A416"), L698, 0), 3)</f>
        <v/>
      </c>
      <c r="V698" s="20">
        <f>ROUND(V697 + IF(AND(E698=22, F698&lt;&gt;"ASTM A416"), L698, 0), 3)</f>
        <v/>
      </c>
      <c r="W698" s="20">
        <f>ROUND(W697 + IF(AND(E698=25, F698&lt;&gt;"ASTM A416"), L698, 0), 3)</f>
        <v/>
      </c>
      <c r="X698" s="20">
        <f>ROUND(X697 + IF(AND(E698=28, F698&lt;&gt;"ASTM A416"), L698, 0), 3)</f>
        <v/>
      </c>
      <c r="Y698" s="20">
        <f>ROUND(Y697 + IF(AND(E698=32, F698&lt;&gt;"ASTM A416"), L698, 0), 3)</f>
        <v/>
      </c>
      <c r="Z698" s="20">
        <f>ROUND(Z697 + IF(F698="ASTM A416", L698, 0), 3)</f>
        <v/>
      </c>
      <c r="AA698" s="11">
        <f>IF(INT(P698/20)&gt;INT(P697/20), "Lần " &amp; INT(P698/20), "")</f>
        <v/>
      </c>
      <c r="AB698" s="11">
        <f>IF(INT(Q698/20)&gt;INT(Q697/20), "Lần " &amp; INT(Q698/20), "")</f>
        <v/>
      </c>
      <c r="AC698" s="11">
        <f>IF(INT(R698/20)&gt;INT(R697/20), "Lần " &amp; INT(R698/20), "")</f>
        <v/>
      </c>
      <c r="AD698" s="11">
        <f>IF(INT(S698/20)&gt;INT(S697/20), "Lần " &amp; INT(S698/20), "")</f>
        <v/>
      </c>
      <c r="AE698" s="11">
        <f>IF(INT(T698/20)&gt;INT(T697/20), "Lần " &amp; INT(T698/20), "")</f>
        <v/>
      </c>
      <c r="AF698" s="11">
        <f>IF(INT(U698/20)&gt;INT(U697/20), "Lần " &amp; INT(U698/20), "")</f>
        <v/>
      </c>
      <c r="AG698" s="11">
        <f>IF(INT(V698/20)&gt;INT(V697/20), "Lần " &amp; INT(V698/20), "")</f>
        <v/>
      </c>
      <c r="AH698" s="11">
        <f>IF(INT(W698/20)&gt;INT(W697/20), "Lần " &amp; INT(W698/20), "")</f>
        <v/>
      </c>
      <c r="AI698" s="11">
        <f>IF(INT(X698/20)&gt;INT(X697/20), "Lần " &amp; INT(X698/20), "")</f>
        <v/>
      </c>
      <c r="AJ698" s="11">
        <f>IF(INT(Y698/20)&gt;INT(Y697/20), "Lần " &amp; INT(Y698/20), "")</f>
        <v/>
      </c>
      <c r="AK698" s="11">
        <f>IF(INT(Z698/20)&gt;INT(Z697/20), "Lần " &amp; INT(Z698/20), "")</f>
        <v/>
      </c>
      <c r="AL698" s="6" t="inlineStr">
        <is>
          <t>ĐẠT TCVN 1651:2018</t>
        </is>
      </c>
    </row>
    <row r="699" ht="19" customHeight="1">
      <c r="A699" s="6" t="n">
        <v>667</v>
      </c>
      <c r="B699" s="7" t="inlineStr">
        <is>
          <t>Dầm chủ Super-T (15 phiến L=38.2m)</t>
        </is>
      </c>
      <c r="C699" s="7" t="inlineStr">
        <is>
          <t>Sườn dầm / Cánh dầm</t>
        </is>
      </c>
      <c r="D699" s="18" t="inlineStr">
        <is>
          <t>G6b</t>
        </is>
      </c>
      <c r="E699" s="19" t="n">
        <v>32</v>
      </c>
      <c r="F699" s="6" t="inlineStr">
        <is>
          <t>CB400-V</t>
        </is>
      </c>
      <c r="G699" s="7" t="inlineStr">
        <is>
          <t>S06</t>
        </is>
      </c>
      <c r="H699" s="20" t="n">
        <v>6.86</v>
      </c>
      <c r="I699" s="21" t="n">
        <v>45</v>
      </c>
      <c r="J699" s="22" t="n">
        <v>6.31</v>
      </c>
      <c r="K699" s="9">
        <f>ROUND(H699*I699*J699, 2)</f>
        <v/>
      </c>
      <c r="L699" s="23">
        <f>ROUND(K699/1000, 3)</f>
        <v/>
      </c>
      <c r="M699" s="8" t="n"/>
      <c r="N699" s="6" t="n"/>
      <c r="O699" s="24">
        <f>IF(AND(E699&lt;=10, F699&lt;&gt;"ASTM A416", INT(P699/20)&gt;INT(P698/20)), "TN Ø10 (Lần " &amp; INT(P699/20) &amp; ")", IF(AND(E699=12, INT(Q699/20)&gt;INT(Q698/20)), "TN Ø12 (Lần " &amp; INT(Q699/20) &amp; ")", IF(AND(E699=14, INT(R699/20)&gt;INT(R698/20)), "TN Ø14 (Lần " &amp; INT(R699/20) &amp; ")", IF(AND(E699=16, INT(S699/20)&gt;INT(S698/20)), "TN Ø16 (Lần " &amp; INT(S699/20) &amp; ")", IF(AND(E699=18, INT(T699/20)&gt;INT(T698/20)), "TN Ø18 (Lần " &amp; INT(T699/20) &amp; ")", IF(AND(E699=20, INT(U699/20)&gt;INT(U698/20)), "TN Ø20 (Lần " &amp; INT(U699/20) &amp; ")", IF(AND(E699=22, INT(V699/20)&gt;INT(V698/20)), "TN Ø22 (Lần " &amp; INT(V699/20) &amp; ")", IF(AND(E699=25, INT(W699/20)&gt;INT(W698/20)), "TN Ø25 (Lần " &amp; INT(W699/20) &amp; ")", IF(AND(E699=28, INT(X699/20)&gt;INT(X698/20)), "TN Ø28 (Lần " &amp; INT(X699/20) &amp; ")", IF(AND(E699=32, INT(Y699/20)&gt;INT(Y698/20)), "TN Ø32 (Lần " &amp; INT(Y699/20) &amp; ")", IF(AND(F699="ASTM A416", INT(Z699/20)&gt;INT(Z698/20)), "TN Cáp 15.2 (Lần " &amp; INT(Z699/20) &amp; ")", "")))))))))))</f>
        <v/>
      </c>
      <c r="P699" s="20">
        <f>ROUND(P698 + IF(AND(E699&lt;=10, F699&lt;&gt;"ASTM A416"), L699, 0), 3)</f>
        <v/>
      </c>
      <c r="Q699" s="20">
        <f>ROUND(Q698 + IF(AND(E699=12, F699&lt;&gt;"ASTM A416"), L699, 0), 3)</f>
        <v/>
      </c>
      <c r="R699" s="20">
        <f>ROUND(R698 + IF(AND(E699=14, F699&lt;&gt;"ASTM A416"), L699, 0), 3)</f>
        <v/>
      </c>
      <c r="S699" s="20">
        <f>ROUND(S698 + IF(AND(E699=16, F699&lt;&gt;"ASTM A416"), L699, 0), 3)</f>
        <v/>
      </c>
      <c r="T699" s="20">
        <f>ROUND(T698 + IF(AND(E699=18, F699&lt;&gt;"ASTM A416"), L699, 0), 3)</f>
        <v/>
      </c>
      <c r="U699" s="20">
        <f>ROUND(U698 + IF(AND(E699=20, F699&lt;&gt;"ASTM A416"), L699, 0), 3)</f>
        <v/>
      </c>
      <c r="V699" s="20">
        <f>ROUND(V698 + IF(AND(E699=22, F699&lt;&gt;"ASTM A416"), L699, 0), 3)</f>
        <v/>
      </c>
      <c r="W699" s="20">
        <f>ROUND(W698 + IF(AND(E699=25, F699&lt;&gt;"ASTM A416"), L699, 0), 3)</f>
        <v/>
      </c>
      <c r="X699" s="20">
        <f>ROUND(X698 + IF(AND(E699=28, F699&lt;&gt;"ASTM A416"), L699, 0), 3)</f>
        <v/>
      </c>
      <c r="Y699" s="20">
        <f>ROUND(Y698 + IF(AND(E699=32, F699&lt;&gt;"ASTM A416"), L699, 0), 3)</f>
        <v/>
      </c>
      <c r="Z699" s="20">
        <f>ROUND(Z698 + IF(F699="ASTM A416", L699, 0), 3)</f>
        <v/>
      </c>
      <c r="AA699" s="11">
        <f>IF(INT(P699/20)&gt;INT(P698/20), "Lần " &amp; INT(P699/20), "")</f>
        <v/>
      </c>
      <c r="AB699" s="11">
        <f>IF(INT(Q699/20)&gt;INT(Q698/20), "Lần " &amp; INT(Q699/20), "")</f>
        <v/>
      </c>
      <c r="AC699" s="11">
        <f>IF(INT(R699/20)&gt;INT(R698/20), "Lần " &amp; INT(R699/20), "")</f>
        <v/>
      </c>
      <c r="AD699" s="11">
        <f>IF(INT(S699/20)&gt;INT(S698/20), "Lần " &amp; INT(S699/20), "")</f>
        <v/>
      </c>
      <c r="AE699" s="11">
        <f>IF(INT(T699/20)&gt;INT(T698/20), "Lần " &amp; INT(T699/20), "")</f>
        <v/>
      </c>
      <c r="AF699" s="11">
        <f>IF(INT(U699/20)&gt;INT(U698/20), "Lần " &amp; INT(U699/20), "")</f>
        <v/>
      </c>
      <c r="AG699" s="11">
        <f>IF(INT(V699/20)&gt;INT(V698/20), "Lần " &amp; INT(V699/20), "")</f>
        <v/>
      </c>
      <c r="AH699" s="11">
        <f>IF(INT(W699/20)&gt;INT(W698/20), "Lần " &amp; INT(W699/20), "")</f>
        <v/>
      </c>
      <c r="AI699" s="11">
        <f>IF(INT(X699/20)&gt;INT(X698/20), "Lần " &amp; INT(X699/20), "")</f>
        <v/>
      </c>
      <c r="AJ699" s="11">
        <f>IF(INT(Y699/20)&gt;INT(Y698/20), "Lần " &amp; INT(Y699/20), "")</f>
        <v/>
      </c>
      <c r="AK699" s="11">
        <f>IF(INT(Z699/20)&gt;INT(Z698/20), "Lần " &amp; INT(Z699/20), "")</f>
        <v/>
      </c>
      <c r="AL699" s="6" t="inlineStr">
        <is>
          <t>ĐẠT TCVN 1651:2018</t>
        </is>
      </c>
    </row>
    <row r="700" ht="19" customHeight="1">
      <c r="A700" s="6" t="n">
        <v>668</v>
      </c>
      <c r="B700" s="7" t="inlineStr">
        <is>
          <t>Dầm chủ Super-T (15 phiến L=38.2m)</t>
        </is>
      </c>
      <c r="C700" s="7" t="inlineStr">
        <is>
          <t>Sườn dầm / Cánh dầm</t>
        </is>
      </c>
      <c r="D700" s="18" t="inlineStr">
        <is>
          <t>N1a</t>
        </is>
      </c>
      <c r="E700" s="19" t="n">
        <v>12</v>
      </c>
      <c r="F700" s="6" t="inlineStr">
        <is>
          <t>CB400-V</t>
        </is>
      </c>
      <c r="G700" s="7" t="inlineStr">
        <is>
          <t>S06</t>
        </is>
      </c>
      <c r="H700" s="20" t="n">
        <v>1.185</v>
      </c>
      <c r="I700" s="21" t="n">
        <v>555</v>
      </c>
      <c r="J700" s="22" t="n">
        <v>0.888</v>
      </c>
      <c r="K700" s="9">
        <f>ROUND(H700*I700*J700, 2)</f>
        <v/>
      </c>
      <c r="L700" s="23">
        <f>ROUND(K700/1000, 3)</f>
        <v/>
      </c>
      <c r="M700" s="8" t="n"/>
      <c r="N700" s="6" t="n"/>
      <c r="O700" s="24">
        <f>IF(AND(E700&lt;=10, F700&lt;&gt;"ASTM A416", INT(P700/20)&gt;INT(P699/20)), "TN Ø10 (Lần " &amp; INT(P700/20) &amp; ")", IF(AND(E700=12, INT(Q700/20)&gt;INT(Q699/20)), "TN Ø12 (Lần " &amp; INT(Q700/20) &amp; ")", IF(AND(E700=14, INT(R700/20)&gt;INT(R699/20)), "TN Ø14 (Lần " &amp; INT(R700/20) &amp; ")", IF(AND(E700=16, INT(S700/20)&gt;INT(S699/20)), "TN Ø16 (Lần " &amp; INT(S700/20) &amp; ")", IF(AND(E700=18, INT(T700/20)&gt;INT(T699/20)), "TN Ø18 (Lần " &amp; INT(T700/20) &amp; ")", IF(AND(E700=20, INT(U700/20)&gt;INT(U699/20)), "TN Ø20 (Lần " &amp; INT(U700/20) &amp; ")", IF(AND(E700=22, INT(V700/20)&gt;INT(V699/20)), "TN Ø22 (Lần " &amp; INT(V700/20) &amp; ")", IF(AND(E700=25, INT(W700/20)&gt;INT(W699/20)), "TN Ø25 (Lần " &amp; INT(W700/20) &amp; ")", IF(AND(E700=28, INT(X700/20)&gt;INT(X699/20)), "TN Ø28 (Lần " &amp; INT(X700/20) &amp; ")", IF(AND(E700=32, INT(Y700/20)&gt;INT(Y699/20)), "TN Ø32 (Lần " &amp; INT(Y700/20) &amp; ")", IF(AND(F700="ASTM A416", INT(Z700/20)&gt;INT(Z699/20)), "TN Cáp 15.2 (Lần " &amp; INT(Z700/20) &amp; ")", "")))))))))))</f>
        <v/>
      </c>
      <c r="P700" s="20">
        <f>ROUND(P699 + IF(AND(E700&lt;=10, F700&lt;&gt;"ASTM A416"), L700, 0), 3)</f>
        <v/>
      </c>
      <c r="Q700" s="20">
        <f>ROUND(Q699 + IF(AND(E700=12, F700&lt;&gt;"ASTM A416"), L700, 0), 3)</f>
        <v/>
      </c>
      <c r="R700" s="20">
        <f>ROUND(R699 + IF(AND(E700=14, F700&lt;&gt;"ASTM A416"), L700, 0), 3)</f>
        <v/>
      </c>
      <c r="S700" s="20">
        <f>ROUND(S699 + IF(AND(E700=16, F700&lt;&gt;"ASTM A416"), L700, 0), 3)</f>
        <v/>
      </c>
      <c r="T700" s="20">
        <f>ROUND(T699 + IF(AND(E700=18, F700&lt;&gt;"ASTM A416"), L700, 0), 3)</f>
        <v/>
      </c>
      <c r="U700" s="20">
        <f>ROUND(U699 + IF(AND(E700=20, F700&lt;&gt;"ASTM A416"), L700, 0), 3)</f>
        <v/>
      </c>
      <c r="V700" s="20">
        <f>ROUND(V699 + IF(AND(E700=22, F700&lt;&gt;"ASTM A416"), L700, 0), 3)</f>
        <v/>
      </c>
      <c r="W700" s="20">
        <f>ROUND(W699 + IF(AND(E700=25, F700&lt;&gt;"ASTM A416"), L700, 0), 3)</f>
        <v/>
      </c>
      <c r="X700" s="20">
        <f>ROUND(X699 + IF(AND(E700=28, F700&lt;&gt;"ASTM A416"), L700, 0), 3)</f>
        <v/>
      </c>
      <c r="Y700" s="20">
        <f>ROUND(Y699 + IF(AND(E700=32, F700&lt;&gt;"ASTM A416"), L700, 0), 3)</f>
        <v/>
      </c>
      <c r="Z700" s="20">
        <f>ROUND(Z699 + IF(F700="ASTM A416", L700, 0), 3)</f>
        <v/>
      </c>
      <c r="AA700" s="11">
        <f>IF(INT(P700/20)&gt;INT(P699/20), "Lần " &amp; INT(P700/20), "")</f>
        <v/>
      </c>
      <c r="AB700" s="11">
        <f>IF(INT(Q700/20)&gt;INT(Q699/20), "Lần " &amp; INT(Q700/20), "")</f>
        <v/>
      </c>
      <c r="AC700" s="11">
        <f>IF(INT(R700/20)&gt;INT(R699/20), "Lần " &amp; INT(R700/20), "")</f>
        <v/>
      </c>
      <c r="AD700" s="11">
        <f>IF(INT(S700/20)&gt;INT(S699/20), "Lần " &amp; INT(S700/20), "")</f>
        <v/>
      </c>
      <c r="AE700" s="11">
        <f>IF(INT(T700/20)&gt;INT(T699/20), "Lần " &amp; INT(T700/20), "")</f>
        <v/>
      </c>
      <c r="AF700" s="11">
        <f>IF(INT(U700/20)&gt;INT(U699/20), "Lần " &amp; INT(U700/20), "")</f>
        <v/>
      </c>
      <c r="AG700" s="11">
        <f>IF(INT(V700/20)&gt;INT(V699/20), "Lần " &amp; INT(V700/20), "")</f>
        <v/>
      </c>
      <c r="AH700" s="11">
        <f>IF(INT(W700/20)&gt;INT(W699/20), "Lần " &amp; INT(W700/20), "")</f>
        <v/>
      </c>
      <c r="AI700" s="11">
        <f>IF(INT(X700/20)&gt;INT(X699/20), "Lần " &amp; INT(X700/20), "")</f>
        <v/>
      </c>
      <c r="AJ700" s="11">
        <f>IF(INT(Y700/20)&gt;INT(Y699/20), "Lần " &amp; INT(Y700/20), "")</f>
        <v/>
      </c>
      <c r="AK700" s="11">
        <f>IF(INT(Z700/20)&gt;INT(Z699/20), "Lần " &amp; INT(Z700/20), "")</f>
        <v/>
      </c>
      <c r="AL700" s="6" t="inlineStr">
        <is>
          <t>ĐẠT TCVN 1651:2018</t>
        </is>
      </c>
    </row>
    <row r="701" ht="19" customHeight="1">
      <c r="A701" s="6" t="n">
        <v>669</v>
      </c>
      <c r="B701" s="7" t="inlineStr">
        <is>
          <t>Dầm chủ Super-T (15 phiến L=38.2m)</t>
        </is>
      </c>
      <c r="C701" s="7" t="inlineStr">
        <is>
          <t>TRUNG BÌNH</t>
        </is>
      </c>
      <c r="D701" s="18" t="inlineStr">
        <is>
          <t>N1b</t>
        </is>
      </c>
      <c r="E701" s="19" t="n">
        <v>12</v>
      </c>
      <c r="F701" s="6" t="inlineStr">
        <is>
          <t>CB400-V</t>
        </is>
      </c>
      <c r="G701" s="7" t="inlineStr">
        <is>
          <t>S06</t>
        </is>
      </c>
      <c r="H701" s="20" t="n">
        <v>0.93</v>
      </c>
      <c r="I701" s="21" t="n">
        <v>3885</v>
      </c>
      <c r="J701" s="22" t="n">
        <v>0.888</v>
      </c>
      <c r="K701" s="9">
        <f>ROUND(H701*I701*J701, 2)</f>
        <v/>
      </c>
      <c r="L701" s="23">
        <f>ROUND(K701/1000, 3)</f>
        <v/>
      </c>
      <c r="M701" s="8" t="n"/>
      <c r="N701" s="6" t="n"/>
      <c r="O701" s="24">
        <f>IF(AND(E701&lt;=10, F701&lt;&gt;"ASTM A416", INT(P701/20)&gt;INT(P700/20)), "TN Ø10 (Lần " &amp; INT(P701/20) &amp; ")", IF(AND(E701=12, INT(Q701/20)&gt;INT(Q700/20)), "TN Ø12 (Lần " &amp; INT(Q701/20) &amp; ")", IF(AND(E701=14, INT(R701/20)&gt;INT(R700/20)), "TN Ø14 (Lần " &amp; INT(R701/20) &amp; ")", IF(AND(E701=16, INT(S701/20)&gt;INT(S700/20)), "TN Ø16 (Lần " &amp; INT(S701/20) &amp; ")", IF(AND(E701=18, INT(T701/20)&gt;INT(T700/20)), "TN Ø18 (Lần " &amp; INT(T701/20) &amp; ")", IF(AND(E701=20, INT(U701/20)&gt;INT(U700/20)), "TN Ø20 (Lần " &amp; INT(U701/20) &amp; ")", IF(AND(E701=22, INT(V701/20)&gt;INT(V700/20)), "TN Ø22 (Lần " &amp; INT(V701/20) &amp; ")", IF(AND(E701=25, INT(W701/20)&gt;INT(W700/20)), "TN Ø25 (Lần " &amp; INT(W701/20) &amp; ")", IF(AND(E701=28, INT(X701/20)&gt;INT(X700/20)), "TN Ø28 (Lần " &amp; INT(X701/20) &amp; ")", IF(AND(E701=32, INT(Y701/20)&gt;INT(Y700/20)), "TN Ø32 (Lần " &amp; INT(Y701/20) &amp; ")", IF(AND(F701="ASTM A416", INT(Z701/20)&gt;INT(Z700/20)), "TN Cáp 15.2 (Lần " &amp; INT(Z701/20) &amp; ")", "")))))))))))</f>
        <v/>
      </c>
      <c r="P701" s="20">
        <f>ROUND(P700 + IF(AND(E701&lt;=10, F701&lt;&gt;"ASTM A416"), L701, 0), 3)</f>
        <v/>
      </c>
      <c r="Q701" s="20">
        <f>ROUND(Q700 + IF(AND(E701=12, F701&lt;&gt;"ASTM A416"), L701, 0), 3)</f>
        <v/>
      </c>
      <c r="R701" s="20">
        <f>ROUND(R700 + IF(AND(E701=14, F701&lt;&gt;"ASTM A416"), L701, 0), 3)</f>
        <v/>
      </c>
      <c r="S701" s="20">
        <f>ROUND(S700 + IF(AND(E701=16, F701&lt;&gt;"ASTM A416"), L701, 0), 3)</f>
        <v/>
      </c>
      <c r="T701" s="20">
        <f>ROUND(T700 + IF(AND(E701=18, F701&lt;&gt;"ASTM A416"), L701, 0), 3)</f>
        <v/>
      </c>
      <c r="U701" s="20">
        <f>ROUND(U700 + IF(AND(E701=20, F701&lt;&gt;"ASTM A416"), L701, 0), 3)</f>
        <v/>
      </c>
      <c r="V701" s="20">
        <f>ROUND(V700 + IF(AND(E701=22, F701&lt;&gt;"ASTM A416"), L701, 0), 3)</f>
        <v/>
      </c>
      <c r="W701" s="20">
        <f>ROUND(W700 + IF(AND(E701=25, F701&lt;&gt;"ASTM A416"), L701, 0), 3)</f>
        <v/>
      </c>
      <c r="X701" s="20">
        <f>ROUND(X700 + IF(AND(E701=28, F701&lt;&gt;"ASTM A416"), L701, 0), 3)</f>
        <v/>
      </c>
      <c r="Y701" s="20">
        <f>ROUND(Y700 + IF(AND(E701=32, F701&lt;&gt;"ASTM A416"), L701, 0), 3)</f>
        <v/>
      </c>
      <c r="Z701" s="20">
        <f>ROUND(Z700 + IF(F701="ASTM A416", L701, 0), 3)</f>
        <v/>
      </c>
      <c r="AA701" s="11">
        <f>IF(INT(P701/20)&gt;INT(P700/20), "Lần " &amp; INT(P701/20), "")</f>
        <v/>
      </c>
      <c r="AB701" s="11">
        <f>IF(INT(Q701/20)&gt;INT(Q700/20), "Lần " &amp; INT(Q701/20), "")</f>
        <v/>
      </c>
      <c r="AC701" s="11">
        <f>IF(INT(R701/20)&gt;INT(R700/20), "Lần " &amp; INT(R701/20), "")</f>
        <v/>
      </c>
      <c r="AD701" s="11">
        <f>IF(INT(S701/20)&gt;INT(S700/20), "Lần " &amp; INT(S701/20), "")</f>
        <v/>
      </c>
      <c r="AE701" s="11">
        <f>IF(INT(T701/20)&gt;INT(T700/20), "Lần " &amp; INT(T701/20), "")</f>
        <v/>
      </c>
      <c r="AF701" s="11">
        <f>IF(INT(U701/20)&gt;INT(U700/20), "Lần " &amp; INT(U701/20), "")</f>
        <v/>
      </c>
      <c r="AG701" s="11">
        <f>IF(INT(V701/20)&gt;INT(V700/20), "Lần " &amp; INT(V701/20), "")</f>
        <v/>
      </c>
      <c r="AH701" s="11">
        <f>IF(INT(W701/20)&gt;INT(W700/20), "Lần " &amp; INT(W701/20), "")</f>
        <v/>
      </c>
      <c r="AI701" s="11">
        <f>IF(INT(X701/20)&gt;INT(X700/20), "Lần " &amp; INT(X701/20), "")</f>
        <v/>
      </c>
      <c r="AJ701" s="11">
        <f>IF(INT(Y701/20)&gt;INT(Y700/20), "Lần " &amp; INT(Y701/20), "")</f>
        <v/>
      </c>
      <c r="AK701" s="11">
        <f>IF(INT(Z701/20)&gt;INT(Z700/20), "Lần " &amp; INT(Z701/20), "")</f>
        <v/>
      </c>
      <c r="AL701" s="6" t="inlineStr">
        <is>
          <t>ĐẠT TCVN 1651:2018</t>
        </is>
      </c>
    </row>
    <row r="702" ht="19" customHeight="1">
      <c r="A702" s="6" t="n">
        <v>670</v>
      </c>
      <c r="B702" s="7" t="inlineStr">
        <is>
          <t>Dầm chủ Super-T (15 phiến L=38.2m)</t>
        </is>
      </c>
      <c r="C702" s="7" t="inlineStr">
        <is>
          <t>Sườn dầm / Cánh dầm</t>
        </is>
      </c>
      <c r="D702" s="18" t="inlineStr">
        <is>
          <t>N2</t>
        </is>
      </c>
      <c r="E702" s="19" t="n">
        <v>12</v>
      </c>
      <c r="F702" s="6" t="inlineStr">
        <is>
          <t>CB400-V</t>
        </is>
      </c>
      <c r="G702" s="7" t="inlineStr">
        <is>
          <t>S06</t>
        </is>
      </c>
      <c r="H702" s="20" t="n">
        <v>3.664</v>
      </c>
      <c r="I702" s="21" t="n">
        <v>45</v>
      </c>
      <c r="J702" s="22" t="n">
        <v>0.888</v>
      </c>
      <c r="K702" s="9">
        <f>ROUND(H702*I702*J702, 2)</f>
        <v/>
      </c>
      <c r="L702" s="23">
        <f>ROUND(K702/1000, 3)</f>
        <v/>
      </c>
      <c r="M702" s="8" t="n"/>
      <c r="N702" s="6" t="n"/>
      <c r="O702" s="24">
        <f>IF(AND(E702&lt;=10, F702&lt;&gt;"ASTM A416", INT(P702/20)&gt;INT(P701/20)), "TN Ø10 (Lần " &amp; INT(P702/20) &amp; ")", IF(AND(E702=12, INT(Q702/20)&gt;INT(Q701/20)), "TN Ø12 (Lần " &amp; INT(Q702/20) &amp; ")", IF(AND(E702=14, INT(R702/20)&gt;INT(R701/20)), "TN Ø14 (Lần " &amp; INT(R702/20) &amp; ")", IF(AND(E702=16, INT(S702/20)&gt;INT(S701/20)), "TN Ø16 (Lần " &amp; INT(S702/20) &amp; ")", IF(AND(E702=18, INT(T702/20)&gt;INT(T701/20)), "TN Ø18 (Lần " &amp; INT(T702/20) &amp; ")", IF(AND(E702=20, INT(U702/20)&gt;INT(U701/20)), "TN Ø20 (Lần " &amp; INT(U702/20) &amp; ")", IF(AND(E702=22, INT(V702/20)&gt;INT(V701/20)), "TN Ø22 (Lần " &amp; INT(V702/20) &amp; ")", IF(AND(E702=25, INT(W702/20)&gt;INT(W701/20)), "TN Ø25 (Lần " &amp; INT(W702/20) &amp; ")", IF(AND(E702=28, INT(X702/20)&gt;INT(X701/20)), "TN Ø28 (Lần " &amp; INT(X702/20) &amp; ")", IF(AND(E702=32, INT(Y702/20)&gt;INT(Y701/20)), "TN Ø32 (Lần " &amp; INT(Y702/20) &amp; ")", IF(AND(F702="ASTM A416", INT(Z702/20)&gt;INT(Z701/20)), "TN Cáp 15.2 (Lần " &amp; INT(Z702/20) &amp; ")", "")))))))))))</f>
        <v/>
      </c>
      <c r="P702" s="20">
        <f>ROUND(P701 + IF(AND(E702&lt;=10, F702&lt;&gt;"ASTM A416"), L702, 0), 3)</f>
        <v/>
      </c>
      <c r="Q702" s="20">
        <f>ROUND(Q701 + IF(AND(E702=12, F702&lt;&gt;"ASTM A416"), L702, 0), 3)</f>
        <v/>
      </c>
      <c r="R702" s="20">
        <f>ROUND(R701 + IF(AND(E702=14, F702&lt;&gt;"ASTM A416"), L702, 0), 3)</f>
        <v/>
      </c>
      <c r="S702" s="20">
        <f>ROUND(S701 + IF(AND(E702=16, F702&lt;&gt;"ASTM A416"), L702, 0), 3)</f>
        <v/>
      </c>
      <c r="T702" s="20">
        <f>ROUND(T701 + IF(AND(E702=18, F702&lt;&gt;"ASTM A416"), L702, 0), 3)</f>
        <v/>
      </c>
      <c r="U702" s="20">
        <f>ROUND(U701 + IF(AND(E702=20, F702&lt;&gt;"ASTM A416"), L702, 0), 3)</f>
        <v/>
      </c>
      <c r="V702" s="20">
        <f>ROUND(V701 + IF(AND(E702=22, F702&lt;&gt;"ASTM A416"), L702, 0), 3)</f>
        <v/>
      </c>
      <c r="W702" s="20">
        <f>ROUND(W701 + IF(AND(E702=25, F702&lt;&gt;"ASTM A416"), L702, 0), 3)</f>
        <v/>
      </c>
      <c r="X702" s="20">
        <f>ROUND(X701 + IF(AND(E702=28, F702&lt;&gt;"ASTM A416"), L702, 0), 3)</f>
        <v/>
      </c>
      <c r="Y702" s="20">
        <f>ROUND(Y701 + IF(AND(E702=32, F702&lt;&gt;"ASTM A416"), L702, 0), 3)</f>
        <v/>
      </c>
      <c r="Z702" s="20">
        <f>ROUND(Z701 + IF(F702="ASTM A416", L702, 0), 3)</f>
        <v/>
      </c>
      <c r="AA702" s="11">
        <f>IF(INT(P702/20)&gt;INT(P701/20), "Lần " &amp; INT(P702/20), "")</f>
        <v/>
      </c>
      <c r="AB702" s="11">
        <f>IF(INT(Q702/20)&gt;INT(Q701/20), "Lần " &amp; INT(Q702/20), "")</f>
        <v/>
      </c>
      <c r="AC702" s="11">
        <f>IF(INT(R702/20)&gt;INT(R701/20), "Lần " &amp; INT(R702/20), "")</f>
        <v/>
      </c>
      <c r="AD702" s="11">
        <f>IF(INT(S702/20)&gt;INT(S701/20), "Lần " &amp; INT(S702/20), "")</f>
        <v/>
      </c>
      <c r="AE702" s="11">
        <f>IF(INT(T702/20)&gt;INT(T701/20), "Lần " &amp; INT(T702/20), "")</f>
        <v/>
      </c>
      <c r="AF702" s="11">
        <f>IF(INT(U702/20)&gt;INT(U701/20), "Lần " &amp; INT(U702/20), "")</f>
        <v/>
      </c>
      <c r="AG702" s="11">
        <f>IF(INT(V702/20)&gt;INT(V701/20), "Lần " &amp; INT(V702/20), "")</f>
        <v/>
      </c>
      <c r="AH702" s="11">
        <f>IF(INT(W702/20)&gt;INT(W701/20), "Lần " &amp; INT(W702/20), "")</f>
        <v/>
      </c>
      <c r="AI702" s="11">
        <f>IF(INT(X702/20)&gt;INT(X701/20), "Lần " &amp; INT(X702/20), "")</f>
        <v/>
      </c>
      <c r="AJ702" s="11">
        <f>IF(INT(Y702/20)&gt;INT(Y701/20), "Lần " &amp; INT(Y702/20), "")</f>
        <v/>
      </c>
      <c r="AK702" s="11">
        <f>IF(INT(Z702/20)&gt;INT(Z701/20), "Lần " &amp; INT(Z702/20), "")</f>
        <v/>
      </c>
      <c r="AL702" s="6" t="inlineStr">
        <is>
          <t>ĐẠT TCVN 1651:2018</t>
        </is>
      </c>
    </row>
    <row r="703" ht="19" customHeight="1">
      <c r="A703" s="6" t="n">
        <v>671</v>
      </c>
      <c r="B703" s="7" t="inlineStr">
        <is>
          <t>Dầm chủ Super-T (15 phiến L=38.2m)</t>
        </is>
      </c>
      <c r="C703" s="7" t="inlineStr">
        <is>
          <t>Sườn dầm / Cánh dầm</t>
        </is>
      </c>
      <c r="D703" s="18" t="inlineStr">
        <is>
          <t>E1</t>
        </is>
      </c>
      <c r="E703" s="19" t="n">
        <v>16</v>
      </c>
      <c r="F703" s="6" t="inlineStr">
        <is>
          <t>CB400-V</t>
        </is>
      </c>
      <c r="G703" s="7" t="inlineStr">
        <is>
          <t>S06</t>
        </is>
      </c>
      <c r="H703" s="20" t="n">
        <v>2.376</v>
      </c>
      <c r="I703" s="21" t="n">
        <v>3780</v>
      </c>
      <c r="J703" s="22" t="n">
        <v>1.58</v>
      </c>
      <c r="K703" s="9">
        <f>ROUND(H703*I703*J703, 2)</f>
        <v/>
      </c>
      <c r="L703" s="23">
        <f>ROUND(K703/1000, 3)</f>
        <v/>
      </c>
      <c r="M703" s="8" t="n"/>
      <c r="N703" s="6" t="n"/>
      <c r="O703" s="24">
        <f>IF(AND(E703&lt;=10, F703&lt;&gt;"ASTM A416", INT(P703/20)&gt;INT(P702/20)), "TN Ø10 (Lần " &amp; INT(P703/20) &amp; ")", IF(AND(E703=12, INT(Q703/20)&gt;INT(Q702/20)), "TN Ø12 (Lần " &amp; INT(Q703/20) &amp; ")", IF(AND(E703=14, INT(R703/20)&gt;INT(R702/20)), "TN Ø14 (Lần " &amp; INT(R703/20) &amp; ")", IF(AND(E703=16, INT(S703/20)&gt;INT(S702/20)), "TN Ø16 (Lần " &amp; INT(S703/20) &amp; ")", IF(AND(E703=18, INT(T703/20)&gt;INT(T702/20)), "TN Ø18 (Lần " &amp; INT(T703/20) &amp; ")", IF(AND(E703=20, INT(U703/20)&gt;INT(U702/20)), "TN Ø20 (Lần " &amp; INT(U703/20) &amp; ")", IF(AND(E703=22, INT(V703/20)&gt;INT(V702/20)), "TN Ø22 (Lần " &amp; INT(V703/20) &amp; ")", IF(AND(E703=25, INT(W703/20)&gt;INT(W702/20)), "TN Ø25 (Lần " &amp; INT(W703/20) &amp; ")", IF(AND(E703=28, INT(X703/20)&gt;INT(X702/20)), "TN Ø28 (Lần " &amp; INT(X703/20) &amp; ")", IF(AND(E703=32, INT(Y703/20)&gt;INT(Y702/20)), "TN Ø32 (Lần " &amp; INT(Y703/20) &amp; ")", IF(AND(F703="ASTM A416", INT(Z703/20)&gt;INT(Z702/20)), "TN Cáp 15.2 (Lần " &amp; INT(Z703/20) &amp; ")", "")))))))))))</f>
        <v/>
      </c>
      <c r="P703" s="20">
        <f>ROUND(P702 + IF(AND(E703&lt;=10, F703&lt;&gt;"ASTM A416"), L703, 0), 3)</f>
        <v/>
      </c>
      <c r="Q703" s="20">
        <f>ROUND(Q702 + IF(AND(E703=12, F703&lt;&gt;"ASTM A416"), L703, 0), 3)</f>
        <v/>
      </c>
      <c r="R703" s="20">
        <f>ROUND(R702 + IF(AND(E703=14, F703&lt;&gt;"ASTM A416"), L703, 0), 3)</f>
        <v/>
      </c>
      <c r="S703" s="20">
        <f>ROUND(S702 + IF(AND(E703=16, F703&lt;&gt;"ASTM A416"), L703, 0), 3)</f>
        <v/>
      </c>
      <c r="T703" s="20">
        <f>ROUND(T702 + IF(AND(E703=18, F703&lt;&gt;"ASTM A416"), L703, 0), 3)</f>
        <v/>
      </c>
      <c r="U703" s="20">
        <f>ROUND(U702 + IF(AND(E703=20, F703&lt;&gt;"ASTM A416"), L703, 0), 3)</f>
        <v/>
      </c>
      <c r="V703" s="20">
        <f>ROUND(V702 + IF(AND(E703=22, F703&lt;&gt;"ASTM A416"), L703, 0), 3)</f>
        <v/>
      </c>
      <c r="W703" s="20">
        <f>ROUND(W702 + IF(AND(E703=25, F703&lt;&gt;"ASTM A416"), L703, 0), 3)</f>
        <v/>
      </c>
      <c r="X703" s="20">
        <f>ROUND(X702 + IF(AND(E703=28, F703&lt;&gt;"ASTM A416"), L703, 0), 3)</f>
        <v/>
      </c>
      <c r="Y703" s="20">
        <f>ROUND(Y702 + IF(AND(E703=32, F703&lt;&gt;"ASTM A416"), L703, 0), 3)</f>
        <v/>
      </c>
      <c r="Z703" s="20">
        <f>ROUND(Z702 + IF(F703="ASTM A416", L703, 0), 3)</f>
        <v/>
      </c>
      <c r="AA703" s="11">
        <f>IF(INT(P703/20)&gt;INT(P702/20), "Lần " &amp; INT(P703/20), "")</f>
        <v/>
      </c>
      <c r="AB703" s="11">
        <f>IF(INT(Q703/20)&gt;INT(Q702/20), "Lần " &amp; INT(Q703/20), "")</f>
        <v/>
      </c>
      <c r="AC703" s="11">
        <f>IF(INT(R703/20)&gt;INT(R702/20), "Lần " &amp; INT(R703/20), "")</f>
        <v/>
      </c>
      <c r="AD703" s="11">
        <f>IF(INT(S703/20)&gt;INT(S702/20), "Lần " &amp; INT(S703/20), "")</f>
        <v/>
      </c>
      <c r="AE703" s="11">
        <f>IF(INT(T703/20)&gt;INT(T702/20), "Lần " &amp; INT(T703/20), "")</f>
        <v/>
      </c>
      <c r="AF703" s="11">
        <f>IF(INT(U703/20)&gt;INT(U702/20), "Lần " &amp; INT(U703/20), "")</f>
        <v/>
      </c>
      <c r="AG703" s="11">
        <f>IF(INT(V703/20)&gt;INT(V702/20), "Lần " &amp; INT(V703/20), "")</f>
        <v/>
      </c>
      <c r="AH703" s="11">
        <f>IF(INT(W703/20)&gt;INT(W702/20), "Lần " &amp; INT(W703/20), "")</f>
        <v/>
      </c>
      <c r="AI703" s="11">
        <f>IF(INT(X703/20)&gt;INT(X702/20), "Lần " &amp; INT(X703/20), "")</f>
        <v/>
      </c>
      <c r="AJ703" s="11">
        <f>IF(INT(Y703/20)&gt;INT(Y702/20), "Lần " &amp; INT(Y703/20), "")</f>
        <v/>
      </c>
      <c r="AK703" s="11">
        <f>IF(INT(Z703/20)&gt;INT(Z702/20), "Lần " &amp; INT(Z703/20), "")</f>
        <v/>
      </c>
      <c r="AL703" s="6" t="inlineStr">
        <is>
          <t>ĐẠT TCVN 1651:2018</t>
        </is>
      </c>
    </row>
    <row r="704" ht="19" customHeight="1">
      <c r="A704" s="6" t="n">
        <v>672</v>
      </c>
      <c r="B704" s="7" t="inlineStr">
        <is>
          <t>Dầm chủ Super-T (15 phiến L=38.2m)</t>
        </is>
      </c>
      <c r="C704" s="7" t="inlineStr">
        <is>
          <t>Sườn dầm / Cánh dầm</t>
        </is>
      </c>
      <c r="D704" s="18" t="inlineStr">
        <is>
          <t>E2</t>
        </is>
      </c>
      <c r="E704" s="19" t="n">
        <v>16</v>
      </c>
      <c r="F704" s="6" t="inlineStr">
        <is>
          <t>CB400-V</t>
        </is>
      </c>
      <c r="G704" s="7" t="inlineStr">
        <is>
          <t>S06</t>
        </is>
      </c>
      <c r="H704" s="20" t="n">
        <v>3.932</v>
      </c>
      <c r="I704" s="21" t="n">
        <v>300</v>
      </c>
      <c r="J704" s="22" t="n">
        <v>1.58</v>
      </c>
      <c r="K704" s="9">
        <f>ROUND(H704*I704*J704, 2)</f>
        <v/>
      </c>
      <c r="L704" s="23">
        <f>ROUND(K704/1000, 3)</f>
        <v/>
      </c>
      <c r="M704" s="8" t="n"/>
      <c r="N704" s="6" t="n"/>
      <c r="O704" s="24">
        <f>IF(AND(E704&lt;=10, F704&lt;&gt;"ASTM A416", INT(P704/20)&gt;INT(P703/20)), "TN Ø10 (Lần " &amp; INT(P704/20) &amp; ")", IF(AND(E704=12, INT(Q704/20)&gt;INT(Q703/20)), "TN Ø12 (Lần " &amp; INT(Q704/20) &amp; ")", IF(AND(E704=14, INT(R704/20)&gt;INT(R703/20)), "TN Ø14 (Lần " &amp; INT(R704/20) &amp; ")", IF(AND(E704=16, INT(S704/20)&gt;INT(S703/20)), "TN Ø16 (Lần " &amp; INT(S704/20) &amp; ")", IF(AND(E704=18, INT(T704/20)&gt;INT(T703/20)), "TN Ø18 (Lần " &amp; INT(T704/20) &amp; ")", IF(AND(E704=20, INT(U704/20)&gt;INT(U703/20)), "TN Ø20 (Lần " &amp; INT(U704/20) &amp; ")", IF(AND(E704=22, INT(V704/20)&gt;INT(V703/20)), "TN Ø22 (Lần " &amp; INT(V704/20) &amp; ")", IF(AND(E704=25, INT(W704/20)&gt;INT(W703/20)), "TN Ø25 (Lần " &amp; INT(W704/20) &amp; ")", IF(AND(E704=28, INT(X704/20)&gt;INT(X703/20)), "TN Ø28 (Lần " &amp; INT(X704/20) &amp; ")", IF(AND(E704=32, INT(Y704/20)&gt;INT(Y703/20)), "TN Ø32 (Lần " &amp; INT(Y704/20) &amp; ")", IF(AND(F704="ASTM A416", INT(Z704/20)&gt;INT(Z703/20)), "TN Cáp 15.2 (Lần " &amp; INT(Z704/20) &amp; ")", "")))))))))))</f>
        <v/>
      </c>
      <c r="P704" s="20">
        <f>ROUND(P703 + IF(AND(E704&lt;=10, F704&lt;&gt;"ASTM A416"), L704, 0), 3)</f>
        <v/>
      </c>
      <c r="Q704" s="20">
        <f>ROUND(Q703 + IF(AND(E704=12, F704&lt;&gt;"ASTM A416"), L704, 0), 3)</f>
        <v/>
      </c>
      <c r="R704" s="20">
        <f>ROUND(R703 + IF(AND(E704=14, F704&lt;&gt;"ASTM A416"), L704, 0), 3)</f>
        <v/>
      </c>
      <c r="S704" s="20">
        <f>ROUND(S703 + IF(AND(E704=16, F704&lt;&gt;"ASTM A416"), L704, 0), 3)</f>
        <v/>
      </c>
      <c r="T704" s="20">
        <f>ROUND(T703 + IF(AND(E704=18, F704&lt;&gt;"ASTM A416"), L704, 0), 3)</f>
        <v/>
      </c>
      <c r="U704" s="20">
        <f>ROUND(U703 + IF(AND(E704=20, F704&lt;&gt;"ASTM A416"), L704, 0), 3)</f>
        <v/>
      </c>
      <c r="V704" s="20">
        <f>ROUND(V703 + IF(AND(E704=22, F704&lt;&gt;"ASTM A416"), L704, 0), 3)</f>
        <v/>
      </c>
      <c r="W704" s="20">
        <f>ROUND(W703 + IF(AND(E704=25, F704&lt;&gt;"ASTM A416"), L704, 0), 3)</f>
        <v/>
      </c>
      <c r="X704" s="20">
        <f>ROUND(X703 + IF(AND(E704=28, F704&lt;&gt;"ASTM A416"), L704, 0), 3)</f>
        <v/>
      </c>
      <c r="Y704" s="20">
        <f>ROUND(Y703 + IF(AND(E704=32, F704&lt;&gt;"ASTM A416"), L704, 0), 3)</f>
        <v/>
      </c>
      <c r="Z704" s="20">
        <f>ROUND(Z703 + IF(F704="ASTM A416", L704, 0), 3)</f>
        <v/>
      </c>
      <c r="AA704" s="11">
        <f>IF(INT(P704/20)&gt;INT(P703/20), "Lần " &amp; INT(P704/20), "")</f>
        <v/>
      </c>
      <c r="AB704" s="11">
        <f>IF(INT(Q704/20)&gt;INT(Q703/20), "Lần " &amp; INT(Q704/20), "")</f>
        <v/>
      </c>
      <c r="AC704" s="11">
        <f>IF(INT(R704/20)&gt;INT(R703/20), "Lần " &amp; INT(R704/20), "")</f>
        <v/>
      </c>
      <c r="AD704" s="11">
        <f>IF(INT(S704/20)&gt;INT(S703/20), "Lần " &amp; INT(S704/20), "")</f>
        <v/>
      </c>
      <c r="AE704" s="11">
        <f>IF(INT(T704/20)&gt;INT(T703/20), "Lần " &amp; INT(T704/20), "")</f>
        <v/>
      </c>
      <c r="AF704" s="11">
        <f>IF(INT(U704/20)&gt;INT(U703/20), "Lần " &amp; INT(U704/20), "")</f>
        <v/>
      </c>
      <c r="AG704" s="11">
        <f>IF(INT(V704/20)&gt;INT(V703/20), "Lần " &amp; INT(V704/20), "")</f>
        <v/>
      </c>
      <c r="AH704" s="11">
        <f>IF(INT(W704/20)&gt;INT(W703/20), "Lần " &amp; INT(W704/20), "")</f>
        <v/>
      </c>
      <c r="AI704" s="11">
        <f>IF(INT(X704/20)&gt;INT(X703/20), "Lần " &amp; INT(X704/20), "")</f>
        <v/>
      </c>
      <c r="AJ704" s="11">
        <f>IF(INT(Y704/20)&gt;INT(Y703/20), "Lần " &amp; INT(Y704/20), "")</f>
        <v/>
      </c>
      <c r="AK704" s="11">
        <f>IF(INT(Z704/20)&gt;INT(Z703/20), "Lần " &amp; INT(Z704/20), "")</f>
        <v/>
      </c>
      <c r="AL704" s="6" t="inlineStr">
        <is>
          <t>ĐẠT TCVN 1651:2018</t>
        </is>
      </c>
    </row>
    <row r="705" ht="19" customHeight="1">
      <c r="A705" s="6" t="n">
        <v>673</v>
      </c>
      <c r="B705" s="7" t="inlineStr">
        <is>
          <t>Dầm chủ Super-T (15 phiến L=38.2m)</t>
        </is>
      </c>
      <c r="C705" s="7" t="inlineStr">
        <is>
          <t>Sườn dầm / Cánh dầm</t>
        </is>
      </c>
      <c r="D705" s="18" t="inlineStr">
        <is>
          <t>Thanh neo</t>
        </is>
      </c>
      <c r="E705" s="19" t="n">
        <v>20</v>
      </c>
      <c r="F705" s="6" t="inlineStr">
        <is>
          <t>CB400-V</t>
        </is>
      </c>
      <c r="G705" s="7" t="inlineStr">
        <is>
          <t>S06</t>
        </is>
      </c>
      <c r="H705" s="20" t="n">
        <v>0.11</v>
      </c>
      <c r="I705" s="21" t="n">
        <v>120</v>
      </c>
      <c r="J705" s="22" t="n">
        <v>2.47</v>
      </c>
      <c r="K705" s="9">
        <f>ROUND(H705*I705*J705, 2)</f>
        <v/>
      </c>
      <c r="L705" s="23">
        <f>ROUND(K705/1000, 3)</f>
        <v/>
      </c>
      <c r="M705" s="8" t="n"/>
      <c r="N705" s="6" t="n"/>
      <c r="O705" s="24">
        <f>IF(AND(E705&lt;=10, F705&lt;&gt;"ASTM A416", INT(P705/20)&gt;INT(P704/20)), "TN Ø10 (Lần " &amp; INT(P705/20) &amp; ")", IF(AND(E705=12, INT(Q705/20)&gt;INT(Q704/20)), "TN Ø12 (Lần " &amp; INT(Q705/20) &amp; ")", IF(AND(E705=14, INT(R705/20)&gt;INT(R704/20)), "TN Ø14 (Lần " &amp; INT(R705/20) &amp; ")", IF(AND(E705=16, INT(S705/20)&gt;INT(S704/20)), "TN Ø16 (Lần " &amp; INT(S705/20) &amp; ")", IF(AND(E705=18, INT(T705/20)&gt;INT(T704/20)), "TN Ø18 (Lần " &amp; INT(T705/20) &amp; ")", IF(AND(E705=20, INT(U705/20)&gt;INT(U704/20)), "TN Ø20 (Lần " &amp; INT(U705/20) &amp; ")", IF(AND(E705=22, INT(V705/20)&gt;INT(V704/20)), "TN Ø22 (Lần " &amp; INT(V705/20) &amp; ")", IF(AND(E705=25, INT(W705/20)&gt;INT(W704/20)), "TN Ø25 (Lần " &amp; INT(W705/20) &amp; ")", IF(AND(E705=28, INT(X705/20)&gt;INT(X704/20)), "TN Ø28 (Lần " &amp; INT(X705/20) &amp; ")", IF(AND(E705=32, INT(Y705/20)&gt;INT(Y704/20)), "TN Ø32 (Lần " &amp; INT(Y705/20) &amp; ")", IF(AND(F705="ASTM A416", INT(Z705/20)&gt;INT(Z704/20)), "TN Cáp 15.2 (Lần " &amp; INT(Z705/20) &amp; ")", "")))))))))))</f>
        <v/>
      </c>
      <c r="P705" s="20">
        <f>ROUND(P704 + IF(AND(E705&lt;=10, F705&lt;&gt;"ASTM A416"), L705, 0), 3)</f>
        <v/>
      </c>
      <c r="Q705" s="20">
        <f>ROUND(Q704 + IF(AND(E705=12, F705&lt;&gt;"ASTM A416"), L705, 0), 3)</f>
        <v/>
      </c>
      <c r="R705" s="20">
        <f>ROUND(R704 + IF(AND(E705=14, F705&lt;&gt;"ASTM A416"), L705, 0), 3)</f>
        <v/>
      </c>
      <c r="S705" s="20">
        <f>ROUND(S704 + IF(AND(E705=16, F705&lt;&gt;"ASTM A416"), L705, 0), 3)</f>
        <v/>
      </c>
      <c r="T705" s="20">
        <f>ROUND(T704 + IF(AND(E705=18, F705&lt;&gt;"ASTM A416"), L705, 0), 3)</f>
        <v/>
      </c>
      <c r="U705" s="20">
        <f>ROUND(U704 + IF(AND(E705=20, F705&lt;&gt;"ASTM A416"), L705, 0), 3)</f>
        <v/>
      </c>
      <c r="V705" s="20">
        <f>ROUND(V704 + IF(AND(E705=22, F705&lt;&gt;"ASTM A416"), L705, 0), 3)</f>
        <v/>
      </c>
      <c r="W705" s="20">
        <f>ROUND(W704 + IF(AND(E705=25, F705&lt;&gt;"ASTM A416"), L705, 0), 3)</f>
        <v/>
      </c>
      <c r="X705" s="20">
        <f>ROUND(X704 + IF(AND(E705=28, F705&lt;&gt;"ASTM A416"), L705, 0), 3)</f>
        <v/>
      </c>
      <c r="Y705" s="20">
        <f>ROUND(Y704 + IF(AND(E705=32, F705&lt;&gt;"ASTM A416"), L705, 0), 3)</f>
        <v/>
      </c>
      <c r="Z705" s="20">
        <f>ROUND(Z704 + IF(F705="ASTM A416", L705, 0), 3)</f>
        <v/>
      </c>
      <c r="AA705" s="11">
        <f>IF(INT(P705/20)&gt;INT(P704/20), "Lần " &amp; INT(P705/20), "")</f>
        <v/>
      </c>
      <c r="AB705" s="11">
        <f>IF(INT(Q705/20)&gt;INT(Q704/20), "Lần " &amp; INT(Q705/20), "")</f>
        <v/>
      </c>
      <c r="AC705" s="11">
        <f>IF(INT(R705/20)&gt;INT(R704/20), "Lần " &amp; INT(R705/20), "")</f>
        <v/>
      </c>
      <c r="AD705" s="11">
        <f>IF(INT(S705/20)&gt;INT(S704/20), "Lần " &amp; INT(S705/20), "")</f>
        <v/>
      </c>
      <c r="AE705" s="11">
        <f>IF(INT(T705/20)&gt;INT(T704/20), "Lần " &amp; INT(T705/20), "")</f>
        <v/>
      </c>
      <c r="AF705" s="11">
        <f>IF(INT(U705/20)&gt;INT(U704/20), "Lần " &amp; INT(U705/20), "")</f>
        <v/>
      </c>
      <c r="AG705" s="11">
        <f>IF(INT(V705/20)&gt;INT(V704/20), "Lần " &amp; INT(V705/20), "")</f>
        <v/>
      </c>
      <c r="AH705" s="11">
        <f>IF(INT(W705/20)&gt;INT(W704/20), "Lần " &amp; INT(W705/20), "")</f>
        <v/>
      </c>
      <c r="AI705" s="11">
        <f>IF(INT(X705/20)&gt;INT(X704/20), "Lần " &amp; INT(X705/20), "")</f>
        <v/>
      </c>
      <c r="AJ705" s="11">
        <f>IF(INT(Y705/20)&gt;INT(Y704/20), "Lần " &amp; INT(Y705/20), "")</f>
        <v/>
      </c>
      <c r="AK705" s="11">
        <f>IF(INT(Z705/20)&gt;INT(Z704/20), "Lần " &amp; INT(Z705/20), "")</f>
        <v/>
      </c>
      <c r="AL705" s="6" t="inlineStr">
        <is>
          <t>ĐẠT TCVN 1651:2018</t>
        </is>
      </c>
    </row>
    <row r="706" ht="19" customHeight="1">
      <c r="A706" s="6" t="n">
        <v>674</v>
      </c>
      <c r="B706" s="7" t="inlineStr">
        <is>
          <t>Dầm chủ Super-T (15 phiến L=38.2m)</t>
        </is>
      </c>
      <c r="C706" s="7" t="inlineStr">
        <is>
          <t>Sườn dầm / Cánh dầm</t>
        </is>
      </c>
      <c r="D706" s="18" t="inlineStr">
        <is>
          <t>K1a</t>
        </is>
      </c>
      <c r="E706" s="19" t="n">
        <v>16</v>
      </c>
      <c r="F706" s="6" t="inlineStr">
        <is>
          <t>CB400-V</t>
        </is>
      </c>
      <c r="G706" s="7" t="inlineStr">
        <is>
          <t>S06</t>
        </is>
      </c>
      <c r="H706" s="20" t="n">
        <v>0.976</v>
      </c>
      <c r="I706" s="21" t="n">
        <v>120</v>
      </c>
      <c r="J706" s="22" t="n">
        <v>1.58</v>
      </c>
      <c r="K706" s="9">
        <f>ROUND(H706*I706*J706, 2)</f>
        <v/>
      </c>
      <c r="L706" s="23">
        <f>ROUND(K706/1000, 3)</f>
        <v/>
      </c>
      <c r="M706" s="8" t="n"/>
      <c r="N706" s="6" t="n"/>
      <c r="O706" s="24">
        <f>IF(AND(E706&lt;=10, F706&lt;&gt;"ASTM A416", INT(P706/20)&gt;INT(P705/20)), "TN Ø10 (Lần " &amp; INT(P706/20) &amp; ")", IF(AND(E706=12, INT(Q706/20)&gt;INT(Q705/20)), "TN Ø12 (Lần " &amp; INT(Q706/20) &amp; ")", IF(AND(E706=14, INT(R706/20)&gt;INT(R705/20)), "TN Ø14 (Lần " &amp; INT(R706/20) &amp; ")", IF(AND(E706=16, INT(S706/20)&gt;INT(S705/20)), "TN Ø16 (Lần " &amp; INT(S706/20) &amp; ")", IF(AND(E706=18, INT(T706/20)&gt;INT(T705/20)), "TN Ø18 (Lần " &amp; INT(T706/20) &amp; ")", IF(AND(E706=20, INT(U706/20)&gt;INT(U705/20)), "TN Ø20 (Lần " &amp; INT(U706/20) &amp; ")", IF(AND(E706=22, INT(V706/20)&gt;INT(V705/20)), "TN Ø22 (Lần " &amp; INT(V706/20) &amp; ")", IF(AND(E706=25, INT(W706/20)&gt;INT(W705/20)), "TN Ø25 (Lần " &amp; INT(W706/20) &amp; ")", IF(AND(E706=28, INT(X706/20)&gt;INT(X705/20)), "TN Ø28 (Lần " &amp; INT(X706/20) &amp; ")", IF(AND(E706=32, INT(Y706/20)&gt;INT(Y705/20)), "TN Ø32 (Lần " &amp; INT(Y706/20) &amp; ")", IF(AND(F706="ASTM A416", INT(Z706/20)&gt;INT(Z705/20)), "TN Cáp 15.2 (Lần " &amp; INT(Z706/20) &amp; ")", "")))))))))))</f>
        <v/>
      </c>
      <c r="P706" s="20">
        <f>ROUND(P705 + IF(AND(E706&lt;=10, F706&lt;&gt;"ASTM A416"), L706, 0), 3)</f>
        <v/>
      </c>
      <c r="Q706" s="20">
        <f>ROUND(Q705 + IF(AND(E706=12, F706&lt;&gt;"ASTM A416"), L706, 0), 3)</f>
        <v/>
      </c>
      <c r="R706" s="20">
        <f>ROUND(R705 + IF(AND(E706=14, F706&lt;&gt;"ASTM A416"), L706, 0), 3)</f>
        <v/>
      </c>
      <c r="S706" s="20">
        <f>ROUND(S705 + IF(AND(E706=16, F706&lt;&gt;"ASTM A416"), L706, 0), 3)</f>
        <v/>
      </c>
      <c r="T706" s="20">
        <f>ROUND(T705 + IF(AND(E706=18, F706&lt;&gt;"ASTM A416"), L706, 0), 3)</f>
        <v/>
      </c>
      <c r="U706" s="20">
        <f>ROUND(U705 + IF(AND(E706=20, F706&lt;&gt;"ASTM A416"), L706, 0), 3)</f>
        <v/>
      </c>
      <c r="V706" s="20">
        <f>ROUND(V705 + IF(AND(E706=22, F706&lt;&gt;"ASTM A416"), L706, 0), 3)</f>
        <v/>
      </c>
      <c r="W706" s="20">
        <f>ROUND(W705 + IF(AND(E706=25, F706&lt;&gt;"ASTM A416"), L706, 0), 3)</f>
        <v/>
      </c>
      <c r="X706" s="20">
        <f>ROUND(X705 + IF(AND(E706=28, F706&lt;&gt;"ASTM A416"), L706, 0), 3)</f>
        <v/>
      </c>
      <c r="Y706" s="20">
        <f>ROUND(Y705 + IF(AND(E706=32, F706&lt;&gt;"ASTM A416"), L706, 0), 3)</f>
        <v/>
      </c>
      <c r="Z706" s="20">
        <f>ROUND(Z705 + IF(F706="ASTM A416", L706, 0), 3)</f>
        <v/>
      </c>
      <c r="AA706" s="11">
        <f>IF(INT(P706/20)&gt;INT(P705/20), "Lần " &amp; INT(P706/20), "")</f>
        <v/>
      </c>
      <c r="AB706" s="11">
        <f>IF(INT(Q706/20)&gt;INT(Q705/20), "Lần " &amp; INT(Q706/20), "")</f>
        <v/>
      </c>
      <c r="AC706" s="11">
        <f>IF(INT(R706/20)&gt;INT(R705/20), "Lần " &amp; INT(R706/20), "")</f>
        <v/>
      </c>
      <c r="AD706" s="11">
        <f>IF(INT(S706/20)&gt;INT(S705/20), "Lần " &amp; INT(S706/20), "")</f>
        <v/>
      </c>
      <c r="AE706" s="11">
        <f>IF(INT(T706/20)&gt;INT(T705/20), "Lần " &amp; INT(T706/20), "")</f>
        <v/>
      </c>
      <c r="AF706" s="11">
        <f>IF(INT(U706/20)&gt;INT(U705/20), "Lần " &amp; INT(U706/20), "")</f>
        <v/>
      </c>
      <c r="AG706" s="11">
        <f>IF(INT(V706/20)&gt;INT(V705/20), "Lần " &amp; INT(V706/20), "")</f>
        <v/>
      </c>
      <c r="AH706" s="11">
        <f>IF(INT(W706/20)&gt;INT(W705/20), "Lần " &amp; INT(W706/20), "")</f>
        <v/>
      </c>
      <c r="AI706" s="11">
        <f>IF(INT(X706/20)&gt;INT(X705/20), "Lần " &amp; INT(X706/20), "")</f>
        <v/>
      </c>
      <c r="AJ706" s="11">
        <f>IF(INT(Y706/20)&gt;INT(Y705/20), "Lần " &amp; INT(Y706/20), "")</f>
        <v/>
      </c>
      <c r="AK706" s="11">
        <f>IF(INT(Z706/20)&gt;INT(Z705/20), "Lần " &amp; INT(Z706/20), "")</f>
        <v/>
      </c>
      <c r="AL706" s="6" t="inlineStr">
        <is>
          <t>ĐẠT TCVN 1651:2018</t>
        </is>
      </c>
    </row>
    <row r="707" ht="19" customHeight="1">
      <c r="A707" s="6" t="n">
        <v>675</v>
      </c>
      <c r="B707" s="7" t="inlineStr">
        <is>
          <t>Dầm chủ Super-T (15 phiến L=38.2m)</t>
        </is>
      </c>
      <c r="C707" s="7" t="inlineStr">
        <is>
          <t>Sườn dầm / Cánh dầm</t>
        </is>
      </c>
      <c r="D707" s="18" t="inlineStr">
        <is>
          <t>K1b</t>
        </is>
      </c>
      <c r="E707" s="19" t="n">
        <v>16</v>
      </c>
      <c r="F707" s="6" t="inlineStr">
        <is>
          <t>CB400-V</t>
        </is>
      </c>
      <c r="G707" s="7" t="inlineStr">
        <is>
          <t>S06</t>
        </is>
      </c>
      <c r="H707" s="20" t="n">
        <v>0.776</v>
      </c>
      <c r="I707" s="21" t="n">
        <v>120</v>
      </c>
      <c r="J707" s="22" t="n">
        <v>1.58</v>
      </c>
      <c r="K707" s="9">
        <f>ROUND(H707*I707*J707, 2)</f>
        <v/>
      </c>
      <c r="L707" s="23">
        <f>ROUND(K707/1000, 3)</f>
        <v/>
      </c>
      <c r="M707" s="8" t="n"/>
      <c r="N707" s="6" t="n"/>
      <c r="O707" s="24">
        <f>IF(AND(E707&lt;=10, F707&lt;&gt;"ASTM A416", INT(P707/20)&gt;INT(P706/20)), "TN Ø10 (Lần " &amp; INT(P707/20) &amp; ")", IF(AND(E707=12, INT(Q707/20)&gt;INT(Q706/20)), "TN Ø12 (Lần " &amp; INT(Q707/20) &amp; ")", IF(AND(E707=14, INT(R707/20)&gt;INT(R706/20)), "TN Ø14 (Lần " &amp; INT(R707/20) &amp; ")", IF(AND(E707=16, INT(S707/20)&gt;INT(S706/20)), "TN Ø16 (Lần " &amp; INT(S707/20) &amp; ")", IF(AND(E707=18, INT(T707/20)&gt;INT(T706/20)), "TN Ø18 (Lần " &amp; INT(T707/20) &amp; ")", IF(AND(E707=20, INT(U707/20)&gt;INT(U706/20)), "TN Ø20 (Lần " &amp; INT(U707/20) &amp; ")", IF(AND(E707=22, INT(V707/20)&gt;INT(V706/20)), "TN Ø22 (Lần " &amp; INT(V707/20) &amp; ")", IF(AND(E707=25, INT(W707/20)&gt;INT(W706/20)), "TN Ø25 (Lần " &amp; INT(W707/20) &amp; ")", IF(AND(E707=28, INT(X707/20)&gt;INT(X706/20)), "TN Ø28 (Lần " &amp; INT(X707/20) &amp; ")", IF(AND(E707=32, INT(Y707/20)&gt;INT(Y706/20)), "TN Ø32 (Lần " &amp; INT(Y707/20) &amp; ")", IF(AND(F707="ASTM A416", INT(Z707/20)&gt;INT(Z706/20)), "TN Cáp 15.2 (Lần " &amp; INT(Z707/20) &amp; ")", "")))))))))))</f>
        <v/>
      </c>
      <c r="P707" s="20">
        <f>ROUND(P706 + IF(AND(E707&lt;=10, F707&lt;&gt;"ASTM A416"), L707, 0), 3)</f>
        <v/>
      </c>
      <c r="Q707" s="20">
        <f>ROUND(Q706 + IF(AND(E707=12, F707&lt;&gt;"ASTM A416"), L707, 0), 3)</f>
        <v/>
      </c>
      <c r="R707" s="20">
        <f>ROUND(R706 + IF(AND(E707=14, F707&lt;&gt;"ASTM A416"), L707, 0), 3)</f>
        <v/>
      </c>
      <c r="S707" s="20">
        <f>ROUND(S706 + IF(AND(E707=16, F707&lt;&gt;"ASTM A416"), L707, 0), 3)</f>
        <v/>
      </c>
      <c r="T707" s="20">
        <f>ROUND(T706 + IF(AND(E707=18, F707&lt;&gt;"ASTM A416"), L707, 0), 3)</f>
        <v/>
      </c>
      <c r="U707" s="20">
        <f>ROUND(U706 + IF(AND(E707=20, F707&lt;&gt;"ASTM A416"), L707, 0), 3)</f>
        <v/>
      </c>
      <c r="V707" s="20">
        <f>ROUND(V706 + IF(AND(E707=22, F707&lt;&gt;"ASTM A416"), L707, 0), 3)</f>
        <v/>
      </c>
      <c r="W707" s="20">
        <f>ROUND(W706 + IF(AND(E707=25, F707&lt;&gt;"ASTM A416"), L707, 0), 3)</f>
        <v/>
      </c>
      <c r="X707" s="20">
        <f>ROUND(X706 + IF(AND(E707=28, F707&lt;&gt;"ASTM A416"), L707, 0), 3)</f>
        <v/>
      </c>
      <c r="Y707" s="20">
        <f>ROUND(Y706 + IF(AND(E707=32, F707&lt;&gt;"ASTM A416"), L707, 0), 3)</f>
        <v/>
      </c>
      <c r="Z707" s="20">
        <f>ROUND(Z706 + IF(F707="ASTM A416", L707, 0), 3)</f>
        <v/>
      </c>
      <c r="AA707" s="11">
        <f>IF(INT(P707/20)&gt;INT(P706/20), "Lần " &amp; INT(P707/20), "")</f>
        <v/>
      </c>
      <c r="AB707" s="11">
        <f>IF(INT(Q707/20)&gt;INT(Q706/20), "Lần " &amp; INT(Q707/20), "")</f>
        <v/>
      </c>
      <c r="AC707" s="11">
        <f>IF(INT(R707/20)&gt;INT(R706/20), "Lần " &amp; INT(R707/20), "")</f>
        <v/>
      </c>
      <c r="AD707" s="11">
        <f>IF(INT(S707/20)&gt;INT(S706/20), "Lần " &amp; INT(S707/20), "")</f>
        <v/>
      </c>
      <c r="AE707" s="11">
        <f>IF(INT(T707/20)&gt;INT(T706/20), "Lần " &amp; INT(T707/20), "")</f>
        <v/>
      </c>
      <c r="AF707" s="11">
        <f>IF(INT(U707/20)&gt;INT(U706/20), "Lần " &amp; INT(U707/20), "")</f>
        <v/>
      </c>
      <c r="AG707" s="11">
        <f>IF(INT(V707/20)&gt;INT(V706/20), "Lần " &amp; INT(V707/20), "")</f>
        <v/>
      </c>
      <c r="AH707" s="11">
        <f>IF(INT(W707/20)&gt;INT(W706/20), "Lần " &amp; INT(W707/20), "")</f>
        <v/>
      </c>
      <c r="AI707" s="11">
        <f>IF(INT(X707/20)&gt;INT(X706/20), "Lần " &amp; INT(X707/20), "")</f>
        <v/>
      </c>
      <c r="AJ707" s="11">
        <f>IF(INT(Y707/20)&gt;INT(Y706/20), "Lần " &amp; INT(Y707/20), "")</f>
        <v/>
      </c>
      <c r="AK707" s="11">
        <f>IF(INT(Z707/20)&gt;INT(Z706/20), "Lần " &amp; INT(Z707/20), "")</f>
        <v/>
      </c>
      <c r="AL707" s="6" t="inlineStr">
        <is>
          <t>ĐẠT TCVN 1651:2018</t>
        </is>
      </c>
    </row>
    <row r="708" ht="19" customHeight="1">
      <c r="A708" s="6" t="n">
        <v>676</v>
      </c>
      <c r="B708" s="7" t="inlineStr">
        <is>
          <t>Dầm chủ Super-T (15 phiến L=38.2m)</t>
        </is>
      </c>
      <c r="C708" s="7" t="inlineStr">
        <is>
          <t>Sườn dầm / Cánh dầm</t>
        </is>
      </c>
      <c r="D708" s="18" t="inlineStr">
        <is>
          <t>G1a</t>
        </is>
      </c>
      <c r="E708" s="19" t="n">
        <v>16</v>
      </c>
      <c r="F708" s="6" t="inlineStr">
        <is>
          <t>CB400-V</t>
        </is>
      </c>
      <c r="G708" s="7" t="inlineStr">
        <is>
          <t>S06</t>
        </is>
      </c>
      <c r="H708" s="20" t="n">
        <v>5.056</v>
      </c>
      <c r="I708" s="21" t="n">
        <v>2160</v>
      </c>
      <c r="J708" s="22" t="n">
        <v>1.58</v>
      </c>
      <c r="K708" s="9">
        <f>ROUND(H708*I708*J708, 2)</f>
        <v/>
      </c>
      <c r="L708" s="23">
        <f>ROUND(K708/1000, 3)</f>
        <v/>
      </c>
      <c r="M708" s="8" t="n"/>
      <c r="N708" s="6" t="n"/>
      <c r="O708" s="24">
        <f>IF(AND(E708&lt;=10, F708&lt;&gt;"ASTM A416", INT(P708/20)&gt;INT(P707/20)), "TN Ø10 (Lần " &amp; INT(P708/20) &amp; ")", IF(AND(E708=12, INT(Q708/20)&gt;INT(Q707/20)), "TN Ø12 (Lần " &amp; INT(Q708/20) &amp; ")", IF(AND(E708=14, INT(R708/20)&gt;INT(R707/20)), "TN Ø14 (Lần " &amp; INT(R708/20) &amp; ")", IF(AND(E708=16, INT(S708/20)&gt;INT(S707/20)), "TN Ø16 (Lần " &amp; INT(S708/20) &amp; ")", IF(AND(E708=18, INT(T708/20)&gt;INT(T707/20)), "TN Ø18 (Lần " &amp; INT(T708/20) &amp; ")", IF(AND(E708=20, INT(U708/20)&gt;INT(U707/20)), "TN Ø20 (Lần " &amp; INT(U708/20) &amp; ")", IF(AND(E708=22, INT(V708/20)&gt;INT(V707/20)), "TN Ø22 (Lần " &amp; INT(V708/20) &amp; ")", IF(AND(E708=25, INT(W708/20)&gt;INT(W707/20)), "TN Ø25 (Lần " &amp; INT(W708/20) &amp; ")", IF(AND(E708=28, INT(X708/20)&gt;INT(X707/20)), "TN Ø28 (Lần " &amp; INT(X708/20) &amp; ")", IF(AND(E708=32, INT(Y708/20)&gt;INT(Y707/20)), "TN Ø32 (Lần " &amp; INT(Y708/20) &amp; ")", IF(AND(F708="ASTM A416", INT(Z708/20)&gt;INT(Z707/20)), "TN Cáp 15.2 (Lần " &amp; INT(Z708/20) &amp; ")", "")))))))))))</f>
        <v/>
      </c>
      <c r="P708" s="20">
        <f>ROUND(P707 + IF(AND(E708&lt;=10, F708&lt;&gt;"ASTM A416"), L708, 0), 3)</f>
        <v/>
      </c>
      <c r="Q708" s="20">
        <f>ROUND(Q707 + IF(AND(E708=12, F708&lt;&gt;"ASTM A416"), L708, 0), 3)</f>
        <v/>
      </c>
      <c r="R708" s="20">
        <f>ROUND(R707 + IF(AND(E708=14, F708&lt;&gt;"ASTM A416"), L708, 0), 3)</f>
        <v/>
      </c>
      <c r="S708" s="20">
        <f>ROUND(S707 + IF(AND(E708=16, F708&lt;&gt;"ASTM A416"), L708, 0), 3)</f>
        <v/>
      </c>
      <c r="T708" s="20">
        <f>ROUND(T707 + IF(AND(E708=18, F708&lt;&gt;"ASTM A416"), L708, 0), 3)</f>
        <v/>
      </c>
      <c r="U708" s="20">
        <f>ROUND(U707 + IF(AND(E708=20, F708&lt;&gt;"ASTM A416"), L708, 0), 3)</f>
        <v/>
      </c>
      <c r="V708" s="20">
        <f>ROUND(V707 + IF(AND(E708=22, F708&lt;&gt;"ASTM A416"), L708, 0), 3)</f>
        <v/>
      </c>
      <c r="W708" s="20">
        <f>ROUND(W707 + IF(AND(E708=25, F708&lt;&gt;"ASTM A416"), L708, 0), 3)</f>
        <v/>
      </c>
      <c r="X708" s="20">
        <f>ROUND(X707 + IF(AND(E708=28, F708&lt;&gt;"ASTM A416"), L708, 0), 3)</f>
        <v/>
      </c>
      <c r="Y708" s="20">
        <f>ROUND(Y707 + IF(AND(E708=32, F708&lt;&gt;"ASTM A416"), L708, 0), 3)</f>
        <v/>
      </c>
      <c r="Z708" s="20">
        <f>ROUND(Z707 + IF(F708="ASTM A416", L708, 0), 3)</f>
        <v/>
      </c>
      <c r="AA708" s="11">
        <f>IF(INT(P708/20)&gt;INT(P707/20), "Lần " &amp; INT(P708/20), "")</f>
        <v/>
      </c>
      <c r="AB708" s="11">
        <f>IF(INT(Q708/20)&gt;INT(Q707/20), "Lần " &amp; INT(Q708/20), "")</f>
        <v/>
      </c>
      <c r="AC708" s="11">
        <f>IF(INT(R708/20)&gt;INT(R707/20), "Lần " &amp; INT(R708/20), "")</f>
        <v/>
      </c>
      <c r="AD708" s="11">
        <f>IF(INT(S708/20)&gt;INT(S707/20), "Lần " &amp; INT(S708/20), "")</f>
        <v/>
      </c>
      <c r="AE708" s="11">
        <f>IF(INT(T708/20)&gt;INT(T707/20), "Lần " &amp; INT(T708/20), "")</f>
        <v/>
      </c>
      <c r="AF708" s="11">
        <f>IF(INT(U708/20)&gt;INT(U707/20), "Lần " &amp; INT(U708/20), "")</f>
        <v/>
      </c>
      <c r="AG708" s="11">
        <f>IF(INT(V708/20)&gt;INT(V707/20), "Lần " &amp; INT(V708/20), "")</f>
        <v/>
      </c>
      <c r="AH708" s="11">
        <f>IF(INT(W708/20)&gt;INT(W707/20), "Lần " &amp; INT(W708/20), "")</f>
        <v/>
      </c>
      <c r="AI708" s="11">
        <f>IF(INT(X708/20)&gt;INT(X707/20), "Lần " &amp; INT(X708/20), "")</f>
        <v/>
      </c>
      <c r="AJ708" s="11">
        <f>IF(INT(Y708/20)&gt;INT(Y707/20), "Lần " &amp; INT(Y708/20), "")</f>
        <v/>
      </c>
      <c r="AK708" s="11">
        <f>IF(INT(Z708/20)&gt;INT(Z707/20), "Lần " &amp; INT(Z708/20), "")</f>
        <v/>
      </c>
      <c r="AL708" s="6" t="inlineStr">
        <is>
          <t>ĐẠT TCVN 1651:2018</t>
        </is>
      </c>
    </row>
    <row r="709" ht="19" customHeight="1">
      <c r="A709" s="6" t="n">
        <v>677</v>
      </c>
      <c r="B709" s="7" t="inlineStr">
        <is>
          <t>Dầm chủ Super-T (15 phiến L=38.2m)</t>
        </is>
      </c>
      <c r="C709" s="7" t="inlineStr">
        <is>
          <t>Sườn dầm / Cánh dầm</t>
        </is>
      </c>
      <c r="D709" s="18" t="inlineStr">
        <is>
          <t>G1b</t>
        </is>
      </c>
      <c r="E709" s="19" t="n">
        <v>12</v>
      </c>
      <c r="F709" s="6" t="inlineStr">
        <is>
          <t>CB400-V</t>
        </is>
      </c>
      <c r="G709" s="7" t="inlineStr">
        <is>
          <t>S06</t>
        </is>
      </c>
      <c r="H709" s="20" t="n">
        <v>5.075</v>
      </c>
      <c r="I709" s="21" t="n">
        <v>1875</v>
      </c>
      <c r="J709" s="22" t="n">
        <v>0.888</v>
      </c>
      <c r="K709" s="9">
        <f>ROUND(H709*I709*J709, 2)</f>
        <v/>
      </c>
      <c r="L709" s="23">
        <f>ROUND(K709/1000, 3)</f>
        <v/>
      </c>
      <c r="M709" s="8" t="n"/>
      <c r="N709" s="6" t="n"/>
      <c r="O709" s="24">
        <f>IF(AND(E709&lt;=10, F709&lt;&gt;"ASTM A416", INT(P709/20)&gt;INT(P708/20)), "TN Ø10 (Lần " &amp; INT(P709/20) &amp; ")", IF(AND(E709=12, INT(Q709/20)&gt;INT(Q708/20)), "TN Ø12 (Lần " &amp; INT(Q709/20) &amp; ")", IF(AND(E709=14, INT(R709/20)&gt;INT(R708/20)), "TN Ø14 (Lần " &amp; INT(R709/20) &amp; ")", IF(AND(E709=16, INT(S709/20)&gt;INT(S708/20)), "TN Ø16 (Lần " &amp; INT(S709/20) &amp; ")", IF(AND(E709=18, INT(T709/20)&gt;INT(T708/20)), "TN Ø18 (Lần " &amp; INT(T709/20) &amp; ")", IF(AND(E709=20, INT(U709/20)&gt;INT(U708/20)), "TN Ø20 (Lần " &amp; INT(U709/20) &amp; ")", IF(AND(E709=22, INT(V709/20)&gt;INT(V708/20)), "TN Ø22 (Lần " &amp; INT(V709/20) &amp; ")", IF(AND(E709=25, INT(W709/20)&gt;INT(W708/20)), "TN Ø25 (Lần " &amp; INT(W709/20) &amp; ")", IF(AND(E709=28, INT(X709/20)&gt;INT(X708/20)), "TN Ø28 (Lần " &amp; INT(X709/20) &amp; ")", IF(AND(E709=32, INT(Y709/20)&gt;INT(Y708/20)), "TN Ø32 (Lần " &amp; INT(Y709/20) &amp; ")", IF(AND(F709="ASTM A416", INT(Z709/20)&gt;INT(Z708/20)), "TN Cáp 15.2 (Lần " &amp; INT(Z709/20) &amp; ")", "")))))))))))</f>
        <v/>
      </c>
      <c r="P709" s="20">
        <f>ROUND(P708 + IF(AND(E709&lt;=10, F709&lt;&gt;"ASTM A416"), L709, 0), 3)</f>
        <v/>
      </c>
      <c r="Q709" s="20">
        <f>ROUND(Q708 + IF(AND(E709=12, F709&lt;&gt;"ASTM A416"), L709, 0), 3)</f>
        <v/>
      </c>
      <c r="R709" s="20">
        <f>ROUND(R708 + IF(AND(E709=14, F709&lt;&gt;"ASTM A416"), L709, 0), 3)</f>
        <v/>
      </c>
      <c r="S709" s="20">
        <f>ROUND(S708 + IF(AND(E709=16, F709&lt;&gt;"ASTM A416"), L709, 0), 3)</f>
        <v/>
      </c>
      <c r="T709" s="20">
        <f>ROUND(T708 + IF(AND(E709=18, F709&lt;&gt;"ASTM A416"), L709, 0), 3)</f>
        <v/>
      </c>
      <c r="U709" s="20">
        <f>ROUND(U708 + IF(AND(E709=20, F709&lt;&gt;"ASTM A416"), L709, 0), 3)</f>
        <v/>
      </c>
      <c r="V709" s="20">
        <f>ROUND(V708 + IF(AND(E709=22, F709&lt;&gt;"ASTM A416"), L709, 0), 3)</f>
        <v/>
      </c>
      <c r="W709" s="20">
        <f>ROUND(W708 + IF(AND(E709=25, F709&lt;&gt;"ASTM A416"), L709, 0), 3)</f>
        <v/>
      </c>
      <c r="X709" s="20">
        <f>ROUND(X708 + IF(AND(E709=28, F709&lt;&gt;"ASTM A416"), L709, 0), 3)</f>
        <v/>
      </c>
      <c r="Y709" s="20">
        <f>ROUND(Y708 + IF(AND(E709=32, F709&lt;&gt;"ASTM A416"), L709, 0), 3)</f>
        <v/>
      </c>
      <c r="Z709" s="20">
        <f>ROUND(Z708 + IF(F709="ASTM A416", L709, 0), 3)</f>
        <v/>
      </c>
      <c r="AA709" s="11">
        <f>IF(INT(P709/20)&gt;INT(P708/20), "Lần " &amp; INT(P709/20), "")</f>
        <v/>
      </c>
      <c r="AB709" s="11">
        <f>IF(INT(Q709/20)&gt;INT(Q708/20), "Lần " &amp; INT(Q709/20), "")</f>
        <v/>
      </c>
      <c r="AC709" s="11">
        <f>IF(INT(R709/20)&gt;INT(R708/20), "Lần " &amp; INT(R709/20), "")</f>
        <v/>
      </c>
      <c r="AD709" s="11">
        <f>IF(INT(S709/20)&gt;INT(S708/20), "Lần " &amp; INT(S709/20), "")</f>
        <v/>
      </c>
      <c r="AE709" s="11">
        <f>IF(INT(T709/20)&gt;INT(T708/20), "Lần " &amp; INT(T709/20), "")</f>
        <v/>
      </c>
      <c r="AF709" s="11">
        <f>IF(INT(U709/20)&gt;INT(U708/20), "Lần " &amp; INT(U709/20), "")</f>
        <v/>
      </c>
      <c r="AG709" s="11">
        <f>IF(INT(V709/20)&gt;INT(V708/20), "Lần " &amp; INT(V709/20), "")</f>
        <v/>
      </c>
      <c r="AH709" s="11">
        <f>IF(INT(W709/20)&gt;INT(W708/20), "Lần " &amp; INT(W709/20), "")</f>
        <v/>
      </c>
      <c r="AI709" s="11">
        <f>IF(INT(X709/20)&gt;INT(X708/20), "Lần " &amp; INT(X709/20), "")</f>
        <v/>
      </c>
      <c r="AJ709" s="11">
        <f>IF(INT(Y709/20)&gt;INT(Y708/20), "Lần " &amp; INT(Y709/20), "")</f>
        <v/>
      </c>
      <c r="AK709" s="11">
        <f>IF(INT(Z709/20)&gt;INT(Z708/20), "Lần " &amp; INT(Z709/20), "")</f>
        <v/>
      </c>
      <c r="AL709" s="6" t="inlineStr">
        <is>
          <t>ĐẠT TCVN 1651:2018</t>
        </is>
      </c>
    </row>
    <row r="710" ht="19" customHeight="1">
      <c r="A710" s="6" t="n">
        <v>678</v>
      </c>
      <c r="B710" s="7" t="inlineStr">
        <is>
          <t>Dầm chủ Super-T (15 phiến L=38.2m)</t>
        </is>
      </c>
      <c r="C710" s="7" t="inlineStr">
        <is>
          <t>Sườn dầm / Cánh dầm</t>
        </is>
      </c>
      <c r="D710" s="18" t="inlineStr">
        <is>
          <t>G2</t>
        </is>
      </c>
      <c r="E710" s="19" t="n">
        <v>12</v>
      </c>
      <c r="F710" s="6" t="inlineStr">
        <is>
          <t>CB400-V</t>
        </is>
      </c>
      <c r="G710" s="7" t="inlineStr">
        <is>
          <t>S06</t>
        </is>
      </c>
      <c r="H710" s="20" t="n">
        <v>1.025</v>
      </c>
      <c r="I710" s="21" t="n">
        <v>7590</v>
      </c>
      <c r="J710" s="22" t="n">
        <v>0.888</v>
      </c>
      <c r="K710" s="9">
        <f>ROUND(H710*I710*J710, 2)</f>
        <v/>
      </c>
      <c r="L710" s="23">
        <f>ROUND(K710/1000, 3)</f>
        <v/>
      </c>
      <c r="M710" s="8" t="n"/>
      <c r="N710" s="6" t="n"/>
      <c r="O710" s="24">
        <f>IF(AND(E710&lt;=10, F710&lt;&gt;"ASTM A416", INT(P710/20)&gt;INT(P709/20)), "TN Ø10 (Lần " &amp; INT(P710/20) &amp; ")", IF(AND(E710=12, INT(Q710/20)&gt;INT(Q709/20)), "TN Ø12 (Lần " &amp; INT(Q710/20) &amp; ")", IF(AND(E710=14, INT(R710/20)&gt;INT(R709/20)), "TN Ø14 (Lần " &amp; INT(R710/20) &amp; ")", IF(AND(E710=16, INT(S710/20)&gt;INT(S709/20)), "TN Ø16 (Lần " &amp; INT(S710/20) &amp; ")", IF(AND(E710=18, INT(T710/20)&gt;INT(T709/20)), "TN Ø18 (Lần " &amp; INT(T710/20) &amp; ")", IF(AND(E710=20, INT(U710/20)&gt;INT(U709/20)), "TN Ø20 (Lần " &amp; INT(U710/20) &amp; ")", IF(AND(E710=22, INT(V710/20)&gt;INT(V709/20)), "TN Ø22 (Lần " &amp; INT(V710/20) &amp; ")", IF(AND(E710=25, INT(W710/20)&gt;INT(W709/20)), "TN Ø25 (Lần " &amp; INT(W710/20) &amp; ")", IF(AND(E710=28, INT(X710/20)&gt;INT(X709/20)), "TN Ø28 (Lần " &amp; INT(X710/20) &amp; ")", IF(AND(E710=32, INT(Y710/20)&gt;INT(Y709/20)), "TN Ø32 (Lần " &amp; INT(Y710/20) &amp; ")", IF(AND(F710="ASTM A416", INT(Z710/20)&gt;INT(Z709/20)), "TN Cáp 15.2 (Lần " &amp; INT(Z710/20) &amp; ")", "")))))))))))</f>
        <v/>
      </c>
      <c r="P710" s="20">
        <f>ROUND(P709 + IF(AND(E710&lt;=10, F710&lt;&gt;"ASTM A416"), L710, 0), 3)</f>
        <v/>
      </c>
      <c r="Q710" s="20">
        <f>ROUND(Q709 + IF(AND(E710=12, F710&lt;&gt;"ASTM A416"), L710, 0), 3)</f>
        <v/>
      </c>
      <c r="R710" s="20">
        <f>ROUND(R709 + IF(AND(E710=14, F710&lt;&gt;"ASTM A416"), L710, 0), 3)</f>
        <v/>
      </c>
      <c r="S710" s="20">
        <f>ROUND(S709 + IF(AND(E710=16, F710&lt;&gt;"ASTM A416"), L710, 0), 3)</f>
        <v/>
      </c>
      <c r="T710" s="20">
        <f>ROUND(T709 + IF(AND(E710=18, F710&lt;&gt;"ASTM A416"), L710, 0), 3)</f>
        <v/>
      </c>
      <c r="U710" s="20">
        <f>ROUND(U709 + IF(AND(E710=20, F710&lt;&gt;"ASTM A416"), L710, 0), 3)</f>
        <v/>
      </c>
      <c r="V710" s="20">
        <f>ROUND(V709 + IF(AND(E710=22, F710&lt;&gt;"ASTM A416"), L710, 0), 3)</f>
        <v/>
      </c>
      <c r="W710" s="20">
        <f>ROUND(W709 + IF(AND(E710=25, F710&lt;&gt;"ASTM A416"), L710, 0), 3)</f>
        <v/>
      </c>
      <c r="X710" s="20">
        <f>ROUND(X709 + IF(AND(E710=28, F710&lt;&gt;"ASTM A416"), L710, 0), 3)</f>
        <v/>
      </c>
      <c r="Y710" s="20">
        <f>ROUND(Y709 + IF(AND(E710=32, F710&lt;&gt;"ASTM A416"), L710, 0), 3)</f>
        <v/>
      </c>
      <c r="Z710" s="20">
        <f>ROUND(Z709 + IF(F710="ASTM A416", L710, 0), 3)</f>
        <v/>
      </c>
      <c r="AA710" s="11">
        <f>IF(INT(P710/20)&gt;INT(P709/20), "Lần " &amp; INT(P710/20), "")</f>
        <v/>
      </c>
      <c r="AB710" s="11">
        <f>IF(INT(Q710/20)&gt;INT(Q709/20), "Lần " &amp; INT(Q710/20), "")</f>
        <v/>
      </c>
      <c r="AC710" s="11">
        <f>IF(INT(R710/20)&gt;INT(R709/20), "Lần " &amp; INT(R710/20), "")</f>
        <v/>
      </c>
      <c r="AD710" s="11">
        <f>IF(INT(S710/20)&gt;INT(S709/20), "Lần " &amp; INT(S710/20), "")</f>
        <v/>
      </c>
      <c r="AE710" s="11">
        <f>IF(INT(T710/20)&gt;INT(T709/20), "Lần " &amp; INT(T710/20), "")</f>
        <v/>
      </c>
      <c r="AF710" s="11">
        <f>IF(INT(U710/20)&gt;INT(U709/20), "Lần " &amp; INT(U710/20), "")</f>
        <v/>
      </c>
      <c r="AG710" s="11">
        <f>IF(INT(V710/20)&gt;INT(V709/20), "Lần " &amp; INT(V710/20), "")</f>
        <v/>
      </c>
      <c r="AH710" s="11">
        <f>IF(INT(W710/20)&gt;INT(W709/20), "Lần " &amp; INT(W710/20), "")</f>
        <v/>
      </c>
      <c r="AI710" s="11">
        <f>IF(INT(X710/20)&gt;INT(X709/20), "Lần " &amp; INT(X710/20), "")</f>
        <v/>
      </c>
      <c r="AJ710" s="11">
        <f>IF(INT(Y710/20)&gt;INT(Y709/20), "Lần " &amp; INT(Y710/20), "")</f>
        <v/>
      </c>
      <c r="AK710" s="11">
        <f>IF(INT(Z710/20)&gt;INT(Z709/20), "Lần " &amp; INT(Z710/20), "")</f>
        <v/>
      </c>
      <c r="AL710" s="6" t="inlineStr">
        <is>
          <t>ĐẠT TCVN 1651:2018</t>
        </is>
      </c>
    </row>
    <row r="711" ht="19" customHeight="1">
      <c r="A711" s="6" t="n">
        <v>679</v>
      </c>
      <c r="B711" s="7" t="inlineStr">
        <is>
          <t>Dầm chủ Super-T (15 phiến L=38.2m)</t>
        </is>
      </c>
      <c r="C711" s="7" t="inlineStr">
        <is>
          <t>Sườn dầm / Cánh dầm</t>
        </is>
      </c>
      <c r="D711" s="18" t="inlineStr">
        <is>
          <t>G3</t>
        </is>
      </c>
      <c r="E711" s="19" t="n">
        <v>12</v>
      </c>
      <c r="F711" s="6" t="inlineStr">
        <is>
          <t>CB400-V</t>
        </is>
      </c>
      <c r="G711" s="7" t="inlineStr">
        <is>
          <t>S06</t>
        </is>
      </c>
      <c r="H711" s="20" t="n">
        <v>1.259</v>
      </c>
      <c r="I711" s="21" t="n">
        <v>4035</v>
      </c>
      <c r="J711" s="22" t="n">
        <v>0.888</v>
      </c>
      <c r="K711" s="9">
        <f>ROUND(H711*I711*J711, 2)</f>
        <v/>
      </c>
      <c r="L711" s="23">
        <f>ROUND(K711/1000, 3)</f>
        <v/>
      </c>
      <c r="M711" s="8" t="n"/>
      <c r="N711" s="6" t="n"/>
      <c r="O711" s="24">
        <f>IF(AND(E711&lt;=10, F711&lt;&gt;"ASTM A416", INT(P711/20)&gt;INT(P710/20)), "TN Ø10 (Lần " &amp; INT(P711/20) &amp; ")", IF(AND(E711=12, INT(Q711/20)&gt;INT(Q710/20)), "TN Ø12 (Lần " &amp; INT(Q711/20) &amp; ")", IF(AND(E711=14, INT(R711/20)&gt;INT(R710/20)), "TN Ø14 (Lần " &amp; INT(R711/20) &amp; ")", IF(AND(E711=16, INT(S711/20)&gt;INT(S710/20)), "TN Ø16 (Lần " &amp; INT(S711/20) &amp; ")", IF(AND(E711=18, INT(T711/20)&gt;INT(T710/20)), "TN Ø18 (Lần " &amp; INT(T711/20) &amp; ")", IF(AND(E711=20, INT(U711/20)&gt;INT(U710/20)), "TN Ø20 (Lần " &amp; INT(U711/20) &amp; ")", IF(AND(E711=22, INT(V711/20)&gt;INT(V710/20)), "TN Ø22 (Lần " &amp; INT(V711/20) &amp; ")", IF(AND(E711=25, INT(W711/20)&gt;INT(W710/20)), "TN Ø25 (Lần " &amp; INT(W711/20) &amp; ")", IF(AND(E711=28, INT(X711/20)&gt;INT(X710/20)), "TN Ø28 (Lần " &amp; INT(X711/20) &amp; ")", IF(AND(E711=32, INT(Y711/20)&gt;INT(Y710/20)), "TN Ø32 (Lần " &amp; INT(Y711/20) &amp; ")", IF(AND(F711="ASTM A416", INT(Z711/20)&gt;INT(Z710/20)), "TN Cáp 15.2 (Lần " &amp; INT(Z711/20) &amp; ")", "")))))))))))</f>
        <v/>
      </c>
      <c r="P711" s="20">
        <f>ROUND(P710 + IF(AND(E711&lt;=10, F711&lt;&gt;"ASTM A416"), L711, 0), 3)</f>
        <v/>
      </c>
      <c r="Q711" s="20">
        <f>ROUND(Q710 + IF(AND(E711=12, F711&lt;&gt;"ASTM A416"), L711, 0), 3)</f>
        <v/>
      </c>
      <c r="R711" s="20">
        <f>ROUND(R710 + IF(AND(E711=14, F711&lt;&gt;"ASTM A416"), L711, 0), 3)</f>
        <v/>
      </c>
      <c r="S711" s="20">
        <f>ROUND(S710 + IF(AND(E711=16, F711&lt;&gt;"ASTM A416"), L711, 0), 3)</f>
        <v/>
      </c>
      <c r="T711" s="20">
        <f>ROUND(T710 + IF(AND(E711=18, F711&lt;&gt;"ASTM A416"), L711, 0), 3)</f>
        <v/>
      </c>
      <c r="U711" s="20">
        <f>ROUND(U710 + IF(AND(E711=20, F711&lt;&gt;"ASTM A416"), L711, 0), 3)</f>
        <v/>
      </c>
      <c r="V711" s="20">
        <f>ROUND(V710 + IF(AND(E711=22, F711&lt;&gt;"ASTM A416"), L711, 0), 3)</f>
        <v/>
      </c>
      <c r="W711" s="20">
        <f>ROUND(W710 + IF(AND(E711=25, F711&lt;&gt;"ASTM A416"), L711, 0), 3)</f>
        <v/>
      </c>
      <c r="X711" s="20">
        <f>ROUND(X710 + IF(AND(E711=28, F711&lt;&gt;"ASTM A416"), L711, 0), 3)</f>
        <v/>
      </c>
      <c r="Y711" s="20">
        <f>ROUND(Y710 + IF(AND(E711=32, F711&lt;&gt;"ASTM A416"), L711, 0), 3)</f>
        <v/>
      </c>
      <c r="Z711" s="20">
        <f>ROUND(Z710 + IF(F711="ASTM A416", L711, 0), 3)</f>
        <v/>
      </c>
      <c r="AA711" s="11">
        <f>IF(INT(P711/20)&gt;INT(P710/20), "Lần " &amp; INT(P711/20), "")</f>
        <v/>
      </c>
      <c r="AB711" s="11">
        <f>IF(INT(Q711/20)&gt;INT(Q710/20), "Lần " &amp; INT(Q711/20), "")</f>
        <v/>
      </c>
      <c r="AC711" s="11">
        <f>IF(INT(R711/20)&gt;INT(R710/20), "Lần " &amp; INT(R711/20), "")</f>
        <v/>
      </c>
      <c r="AD711" s="11">
        <f>IF(INT(S711/20)&gt;INT(S710/20), "Lần " &amp; INT(S711/20), "")</f>
        <v/>
      </c>
      <c r="AE711" s="11">
        <f>IF(INT(T711/20)&gt;INT(T710/20), "Lần " &amp; INT(T711/20), "")</f>
        <v/>
      </c>
      <c r="AF711" s="11">
        <f>IF(INT(U711/20)&gt;INT(U710/20), "Lần " &amp; INT(U711/20), "")</f>
        <v/>
      </c>
      <c r="AG711" s="11">
        <f>IF(INT(V711/20)&gt;INT(V710/20), "Lần " &amp; INT(V711/20), "")</f>
        <v/>
      </c>
      <c r="AH711" s="11">
        <f>IF(INT(W711/20)&gt;INT(W710/20), "Lần " &amp; INT(W711/20), "")</f>
        <v/>
      </c>
      <c r="AI711" s="11">
        <f>IF(INT(X711/20)&gt;INT(X710/20), "Lần " &amp; INT(X711/20), "")</f>
        <v/>
      </c>
      <c r="AJ711" s="11">
        <f>IF(INT(Y711/20)&gt;INT(Y710/20), "Lần " &amp; INT(Y711/20), "")</f>
        <v/>
      </c>
      <c r="AK711" s="11">
        <f>IF(INT(Z711/20)&gt;INT(Z710/20), "Lần " &amp; INT(Z711/20), "")</f>
        <v/>
      </c>
      <c r="AL711" s="6" t="inlineStr">
        <is>
          <t>ĐẠT TCVN 1651:2018</t>
        </is>
      </c>
    </row>
    <row r="712" ht="19" customHeight="1">
      <c r="A712" s="6" t="n">
        <v>680</v>
      </c>
      <c r="B712" s="7" t="inlineStr">
        <is>
          <t>Dầm chủ Super-T (15 phiến L=38.2m)</t>
        </is>
      </c>
      <c r="C712" s="7" t="inlineStr">
        <is>
          <t>Sườn dầm / Cánh dầm</t>
        </is>
      </c>
      <c r="D712" s="18" t="inlineStr">
        <is>
          <t>G4a1</t>
        </is>
      </c>
      <c r="E712" s="19" t="n">
        <v>12</v>
      </c>
      <c r="F712" s="6" t="inlineStr">
        <is>
          <t>CB400-V</t>
        </is>
      </c>
      <c r="G712" s="7" t="inlineStr">
        <is>
          <t>S01</t>
        </is>
      </c>
      <c r="H712" s="20" t="n">
        <v>11.7</v>
      </c>
      <c r="I712" s="21" t="n">
        <v>90</v>
      </c>
      <c r="J712" s="22" t="n">
        <v>0.888</v>
      </c>
      <c r="K712" s="9">
        <f>ROUND(H712*I712*J712, 2)</f>
        <v/>
      </c>
      <c r="L712" s="23">
        <f>ROUND(K712/1000, 3)</f>
        <v/>
      </c>
      <c r="M712" s="8" t="n"/>
      <c r="N712" s="6" t="n"/>
      <c r="O712" s="24">
        <f>IF(AND(E712&lt;=10, F712&lt;&gt;"ASTM A416", INT(P712/20)&gt;INT(P711/20)), "TN Ø10 (Lần " &amp; INT(P712/20) &amp; ")", IF(AND(E712=12, INT(Q712/20)&gt;INT(Q711/20)), "TN Ø12 (Lần " &amp; INT(Q712/20) &amp; ")", IF(AND(E712=14, INT(R712/20)&gt;INT(R711/20)), "TN Ø14 (Lần " &amp; INT(R712/20) &amp; ")", IF(AND(E712=16, INT(S712/20)&gt;INT(S711/20)), "TN Ø16 (Lần " &amp; INT(S712/20) &amp; ")", IF(AND(E712=18, INT(T712/20)&gt;INT(T711/20)), "TN Ø18 (Lần " &amp; INT(T712/20) &amp; ")", IF(AND(E712=20, INT(U712/20)&gt;INT(U711/20)), "TN Ø20 (Lần " &amp; INT(U712/20) &amp; ")", IF(AND(E712=22, INT(V712/20)&gt;INT(V711/20)), "TN Ø22 (Lần " &amp; INT(V712/20) &amp; ")", IF(AND(E712=25, INT(W712/20)&gt;INT(W711/20)), "TN Ø25 (Lần " &amp; INT(W712/20) &amp; ")", IF(AND(E712=28, INT(X712/20)&gt;INT(X711/20)), "TN Ø28 (Lần " &amp; INT(X712/20) &amp; ")", IF(AND(E712=32, INT(Y712/20)&gt;INT(Y711/20)), "TN Ø32 (Lần " &amp; INT(Y712/20) &amp; ")", IF(AND(F712="ASTM A416", INT(Z712/20)&gt;INT(Z711/20)), "TN Cáp 15.2 (Lần " &amp; INT(Z712/20) &amp; ")", "")))))))))))</f>
        <v/>
      </c>
      <c r="P712" s="20">
        <f>ROUND(P711 + IF(AND(E712&lt;=10, F712&lt;&gt;"ASTM A416"), L712, 0), 3)</f>
        <v/>
      </c>
      <c r="Q712" s="20">
        <f>ROUND(Q711 + IF(AND(E712=12, F712&lt;&gt;"ASTM A416"), L712, 0), 3)</f>
        <v/>
      </c>
      <c r="R712" s="20">
        <f>ROUND(R711 + IF(AND(E712=14, F712&lt;&gt;"ASTM A416"), L712, 0), 3)</f>
        <v/>
      </c>
      <c r="S712" s="20">
        <f>ROUND(S711 + IF(AND(E712=16, F712&lt;&gt;"ASTM A416"), L712, 0), 3)</f>
        <v/>
      </c>
      <c r="T712" s="20">
        <f>ROUND(T711 + IF(AND(E712=18, F712&lt;&gt;"ASTM A416"), L712, 0), 3)</f>
        <v/>
      </c>
      <c r="U712" s="20">
        <f>ROUND(U711 + IF(AND(E712=20, F712&lt;&gt;"ASTM A416"), L712, 0), 3)</f>
        <v/>
      </c>
      <c r="V712" s="20">
        <f>ROUND(V711 + IF(AND(E712=22, F712&lt;&gt;"ASTM A416"), L712, 0), 3)</f>
        <v/>
      </c>
      <c r="W712" s="20">
        <f>ROUND(W711 + IF(AND(E712=25, F712&lt;&gt;"ASTM A416"), L712, 0), 3)</f>
        <v/>
      </c>
      <c r="X712" s="20">
        <f>ROUND(X711 + IF(AND(E712=28, F712&lt;&gt;"ASTM A416"), L712, 0), 3)</f>
        <v/>
      </c>
      <c r="Y712" s="20">
        <f>ROUND(Y711 + IF(AND(E712=32, F712&lt;&gt;"ASTM A416"), L712, 0), 3)</f>
        <v/>
      </c>
      <c r="Z712" s="20">
        <f>ROUND(Z711 + IF(F712="ASTM A416", L712, 0), 3)</f>
        <v/>
      </c>
      <c r="AA712" s="11">
        <f>IF(INT(P712/20)&gt;INT(P711/20), "Lần " &amp; INT(P712/20), "")</f>
        <v/>
      </c>
      <c r="AB712" s="11">
        <f>IF(INT(Q712/20)&gt;INT(Q711/20), "Lần " &amp; INT(Q712/20), "")</f>
        <v/>
      </c>
      <c r="AC712" s="11">
        <f>IF(INT(R712/20)&gt;INT(R711/20), "Lần " &amp; INT(R712/20), "")</f>
        <v/>
      </c>
      <c r="AD712" s="11">
        <f>IF(INT(S712/20)&gt;INT(S711/20), "Lần " &amp; INT(S712/20), "")</f>
        <v/>
      </c>
      <c r="AE712" s="11">
        <f>IF(INT(T712/20)&gt;INT(T711/20), "Lần " &amp; INT(T712/20), "")</f>
        <v/>
      </c>
      <c r="AF712" s="11">
        <f>IF(INT(U712/20)&gt;INT(U711/20), "Lần " &amp; INT(U712/20), "")</f>
        <v/>
      </c>
      <c r="AG712" s="11">
        <f>IF(INT(V712/20)&gt;INT(V711/20), "Lần " &amp; INT(V712/20), "")</f>
        <v/>
      </c>
      <c r="AH712" s="11">
        <f>IF(INT(W712/20)&gt;INT(W711/20), "Lần " &amp; INT(W712/20), "")</f>
        <v/>
      </c>
      <c r="AI712" s="11">
        <f>IF(INT(X712/20)&gt;INT(X711/20), "Lần " &amp; INT(X712/20), "")</f>
        <v/>
      </c>
      <c r="AJ712" s="11">
        <f>IF(INT(Y712/20)&gt;INT(Y711/20), "Lần " &amp; INT(Y712/20), "")</f>
        <v/>
      </c>
      <c r="AK712" s="11">
        <f>IF(INT(Z712/20)&gt;INT(Z711/20), "Lần " &amp; INT(Z712/20), "")</f>
        <v/>
      </c>
      <c r="AL712" s="6" t="inlineStr">
        <is>
          <t>ĐẠT TCVN 1651:2018</t>
        </is>
      </c>
    </row>
    <row r="713" ht="19" customHeight="1">
      <c r="A713" s="6" t="n">
        <v>681</v>
      </c>
      <c r="B713" s="7" t="inlineStr">
        <is>
          <t>Dầm chủ Super-T (15 phiến L=38.2m)</t>
        </is>
      </c>
      <c r="C713" s="7" t="inlineStr">
        <is>
          <t>Sườn dầm / Cánh dầm</t>
        </is>
      </c>
      <c r="D713" s="18" t="inlineStr">
        <is>
          <t>G4a2</t>
        </is>
      </c>
      <c r="E713" s="19" t="n">
        <v>12</v>
      </c>
      <c r="F713" s="6" t="inlineStr">
        <is>
          <t>CB400-V</t>
        </is>
      </c>
      <c r="G713" s="7" t="inlineStr">
        <is>
          <t>S06</t>
        </is>
      </c>
      <c r="H713" s="20" t="n">
        <v>4.46</v>
      </c>
      <c r="I713" s="21" t="n">
        <v>30</v>
      </c>
      <c r="J713" s="22" t="n">
        <v>0.888</v>
      </c>
      <c r="K713" s="9">
        <f>ROUND(H713*I713*J713, 2)</f>
        <v/>
      </c>
      <c r="L713" s="23">
        <f>ROUND(K713/1000, 3)</f>
        <v/>
      </c>
      <c r="M713" s="8" t="n"/>
      <c r="N713" s="6" t="n"/>
      <c r="O713" s="24">
        <f>IF(AND(E713&lt;=10, F713&lt;&gt;"ASTM A416", INT(P713/20)&gt;INT(P712/20)), "TN Ø10 (Lần " &amp; INT(P713/20) &amp; ")", IF(AND(E713=12, INT(Q713/20)&gt;INT(Q712/20)), "TN Ø12 (Lần " &amp; INT(Q713/20) &amp; ")", IF(AND(E713=14, INT(R713/20)&gt;INT(R712/20)), "TN Ø14 (Lần " &amp; INT(R713/20) &amp; ")", IF(AND(E713=16, INT(S713/20)&gt;INT(S712/20)), "TN Ø16 (Lần " &amp; INT(S713/20) &amp; ")", IF(AND(E713=18, INT(T713/20)&gt;INT(T712/20)), "TN Ø18 (Lần " &amp; INT(T713/20) &amp; ")", IF(AND(E713=20, INT(U713/20)&gt;INT(U712/20)), "TN Ø20 (Lần " &amp; INT(U713/20) &amp; ")", IF(AND(E713=22, INT(V713/20)&gt;INT(V712/20)), "TN Ø22 (Lần " &amp; INT(V713/20) &amp; ")", IF(AND(E713=25, INT(W713/20)&gt;INT(W712/20)), "TN Ø25 (Lần " &amp; INT(W713/20) &amp; ")", IF(AND(E713=28, INT(X713/20)&gt;INT(X712/20)), "TN Ø28 (Lần " &amp; INT(X713/20) &amp; ")", IF(AND(E713=32, INT(Y713/20)&gt;INT(Y712/20)), "TN Ø32 (Lần " &amp; INT(Y713/20) &amp; ")", IF(AND(F713="ASTM A416", INT(Z713/20)&gt;INT(Z712/20)), "TN Cáp 15.2 (Lần " &amp; INT(Z713/20) &amp; ")", "")))))))))))</f>
        <v/>
      </c>
      <c r="P713" s="20">
        <f>ROUND(P712 + IF(AND(E713&lt;=10, F713&lt;&gt;"ASTM A416"), L713, 0), 3)</f>
        <v/>
      </c>
      <c r="Q713" s="20">
        <f>ROUND(Q712 + IF(AND(E713=12, F713&lt;&gt;"ASTM A416"), L713, 0), 3)</f>
        <v/>
      </c>
      <c r="R713" s="20">
        <f>ROUND(R712 + IF(AND(E713=14, F713&lt;&gt;"ASTM A416"), L713, 0), 3)</f>
        <v/>
      </c>
      <c r="S713" s="20">
        <f>ROUND(S712 + IF(AND(E713=16, F713&lt;&gt;"ASTM A416"), L713, 0), 3)</f>
        <v/>
      </c>
      <c r="T713" s="20">
        <f>ROUND(T712 + IF(AND(E713=18, F713&lt;&gt;"ASTM A416"), L713, 0), 3)</f>
        <v/>
      </c>
      <c r="U713" s="20">
        <f>ROUND(U712 + IF(AND(E713=20, F713&lt;&gt;"ASTM A416"), L713, 0), 3)</f>
        <v/>
      </c>
      <c r="V713" s="20">
        <f>ROUND(V712 + IF(AND(E713=22, F713&lt;&gt;"ASTM A416"), L713, 0), 3)</f>
        <v/>
      </c>
      <c r="W713" s="20">
        <f>ROUND(W712 + IF(AND(E713=25, F713&lt;&gt;"ASTM A416"), L713, 0), 3)</f>
        <v/>
      </c>
      <c r="X713" s="20">
        <f>ROUND(X712 + IF(AND(E713=28, F713&lt;&gt;"ASTM A416"), L713, 0), 3)</f>
        <v/>
      </c>
      <c r="Y713" s="20">
        <f>ROUND(Y712 + IF(AND(E713=32, F713&lt;&gt;"ASTM A416"), L713, 0), 3)</f>
        <v/>
      </c>
      <c r="Z713" s="20">
        <f>ROUND(Z712 + IF(F713="ASTM A416", L713, 0), 3)</f>
        <v/>
      </c>
      <c r="AA713" s="11">
        <f>IF(INT(P713/20)&gt;INT(P712/20), "Lần " &amp; INT(P713/20), "")</f>
        <v/>
      </c>
      <c r="AB713" s="11">
        <f>IF(INT(Q713/20)&gt;INT(Q712/20), "Lần " &amp; INT(Q713/20), "")</f>
        <v/>
      </c>
      <c r="AC713" s="11">
        <f>IF(INT(R713/20)&gt;INT(R712/20), "Lần " &amp; INT(R713/20), "")</f>
        <v/>
      </c>
      <c r="AD713" s="11">
        <f>IF(INT(S713/20)&gt;INT(S712/20), "Lần " &amp; INT(S713/20), "")</f>
        <v/>
      </c>
      <c r="AE713" s="11">
        <f>IF(INT(T713/20)&gt;INT(T712/20), "Lần " &amp; INT(T713/20), "")</f>
        <v/>
      </c>
      <c r="AF713" s="11">
        <f>IF(INT(U713/20)&gt;INT(U712/20), "Lần " &amp; INT(U713/20), "")</f>
        <v/>
      </c>
      <c r="AG713" s="11">
        <f>IF(INT(V713/20)&gt;INT(V712/20), "Lần " &amp; INT(V713/20), "")</f>
        <v/>
      </c>
      <c r="AH713" s="11">
        <f>IF(INT(W713/20)&gt;INT(W712/20), "Lần " &amp; INT(W713/20), "")</f>
        <v/>
      </c>
      <c r="AI713" s="11">
        <f>IF(INT(X713/20)&gt;INT(X712/20), "Lần " &amp; INT(X713/20), "")</f>
        <v/>
      </c>
      <c r="AJ713" s="11">
        <f>IF(INT(Y713/20)&gt;INT(Y712/20), "Lần " &amp; INT(Y713/20), "")</f>
        <v/>
      </c>
      <c r="AK713" s="11">
        <f>IF(INT(Z713/20)&gt;INT(Z712/20), "Lần " &amp; INT(Z713/20), "")</f>
        <v/>
      </c>
      <c r="AL713" s="6" t="inlineStr">
        <is>
          <t>ĐẠT TCVN 1651:2018</t>
        </is>
      </c>
    </row>
    <row r="714" ht="19" customHeight="1">
      <c r="A714" s="6" t="n">
        <v>682</v>
      </c>
      <c r="B714" s="7" t="inlineStr">
        <is>
          <t>Dầm chủ Super-T (15 phiến L=38.2m)</t>
        </is>
      </c>
      <c r="C714" s="7" t="inlineStr">
        <is>
          <t>Sườn dầm / Cánh dầm</t>
        </is>
      </c>
      <c r="D714" s="18" t="inlineStr">
        <is>
          <t>G4b1</t>
        </is>
      </c>
      <c r="E714" s="19" t="n">
        <v>12</v>
      </c>
      <c r="F714" s="6" t="inlineStr">
        <is>
          <t>CB400-V</t>
        </is>
      </c>
      <c r="G714" s="7" t="inlineStr">
        <is>
          <t>S01</t>
        </is>
      </c>
      <c r="H714" s="20" t="n">
        <v>11.7</v>
      </c>
      <c r="I714" s="21" t="n">
        <v>360</v>
      </c>
      <c r="J714" s="22" t="n">
        <v>0.888</v>
      </c>
      <c r="K714" s="9">
        <f>ROUND(H714*I714*J714, 2)</f>
        <v/>
      </c>
      <c r="L714" s="23">
        <f>ROUND(K714/1000, 3)</f>
        <v/>
      </c>
      <c r="M714" s="8" t="n"/>
      <c r="N714" s="6" t="n"/>
      <c r="O714" s="24">
        <f>IF(AND(E714&lt;=10, F714&lt;&gt;"ASTM A416", INT(P714/20)&gt;INT(P713/20)), "TN Ø10 (Lần " &amp; INT(P714/20) &amp; ")", IF(AND(E714=12, INT(Q714/20)&gt;INT(Q713/20)), "TN Ø12 (Lần " &amp; INT(Q714/20) &amp; ")", IF(AND(E714=14, INT(R714/20)&gt;INT(R713/20)), "TN Ø14 (Lần " &amp; INT(R714/20) &amp; ")", IF(AND(E714=16, INT(S714/20)&gt;INT(S713/20)), "TN Ø16 (Lần " &amp; INT(S714/20) &amp; ")", IF(AND(E714=18, INT(T714/20)&gt;INT(T713/20)), "TN Ø18 (Lần " &amp; INT(T714/20) &amp; ")", IF(AND(E714=20, INT(U714/20)&gt;INT(U713/20)), "TN Ø20 (Lần " &amp; INT(U714/20) &amp; ")", IF(AND(E714=22, INT(V714/20)&gt;INT(V713/20)), "TN Ø22 (Lần " &amp; INT(V714/20) &amp; ")", IF(AND(E714=25, INT(W714/20)&gt;INT(W713/20)), "TN Ø25 (Lần " &amp; INT(W714/20) &amp; ")", IF(AND(E714=28, INT(X714/20)&gt;INT(X713/20)), "TN Ø28 (Lần " &amp; INT(X714/20) &amp; ")", IF(AND(E714=32, INT(Y714/20)&gt;INT(Y713/20)), "TN Ø32 (Lần " &amp; INT(Y714/20) &amp; ")", IF(AND(F714="ASTM A416", INT(Z714/20)&gt;INT(Z713/20)), "TN Cáp 15.2 (Lần " &amp; INT(Z714/20) &amp; ")", "")))))))))))</f>
        <v/>
      </c>
      <c r="P714" s="20">
        <f>ROUND(P713 + IF(AND(E714&lt;=10, F714&lt;&gt;"ASTM A416"), L714, 0), 3)</f>
        <v/>
      </c>
      <c r="Q714" s="20">
        <f>ROUND(Q713 + IF(AND(E714=12, F714&lt;&gt;"ASTM A416"), L714, 0), 3)</f>
        <v/>
      </c>
      <c r="R714" s="20">
        <f>ROUND(R713 + IF(AND(E714=14, F714&lt;&gt;"ASTM A416"), L714, 0), 3)</f>
        <v/>
      </c>
      <c r="S714" s="20">
        <f>ROUND(S713 + IF(AND(E714=16, F714&lt;&gt;"ASTM A416"), L714, 0), 3)</f>
        <v/>
      </c>
      <c r="T714" s="20">
        <f>ROUND(T713 + IF(AND(E714=18, F714&lt;&gt;"ASTM A416"), L714, 0), 3)</f>
        <v/>
      </c>
      <c r="U714" s="20">
        <f>ROUND(U713 + IF(AND(E714=20, F714&lt;&gt;"ASTM A416"), L714, 0), 3)</f>
        <v/>
      </c>
      <c r="V714" s="20">
        <f>ROUND(V713 + IF(AND(E714=22, F714&lt;&gt;"ASTM A416"), L714, 0), 3)</f>
        <v/>
      </c>
      <c r="W714" s="20">
        <f>ROUND(W713 + IF(AND(E714=25, F714&lt;&gt;"ASTM A416"), L714, 0), 3)</f>
        <v/>
      </c>
      <c r="X714" s="20">
        <f>ROUND(X713 + IF(AND(E714=28, F714&lt;&gt;"ASTM A416"), L714, 0), 3)</f>
        <v/>
      </c>
      <c r="Y714" s="20">
        <f>ROUND(Y713 + IF(AND(E714=32, F714&lt;&gt;"ASTM A416"), L714, 0), 3)</f>
        <v/>
      </c>
      <c r="Z714" s="20">
        <f>ROUND(Z713 + IF(F714="ASTM A416", L714, 0), 3)</f>
        <v/>
      </c>
      <c r="AA714" s="11">
        <f>IF(INT(P714/20)&gt;INT(P713/20), "Lần " &amp; INT(P714/20), "")</f>
        <v/>
      </c>
      <c r="AB714" s="11">
        <f>IF(INT(Q714/20)&gt;INT(Q713/20), "Lần " &amp; INT(Q714/20), "")</f>
        <v/>
      </c>
      <c r="AC714" s="11">
        <f>IF(INT(R714/20)&gt;INT(R713/20), "Lần " &amp; INT(R714/20), "")</f>
        <v/>
      </c>
      <c r="AD714" s="11">
        <f>IF(INT(S714/20)&gt;INT(S713/20), "Lần " &amp; INT(S714/20), "")</f>
        <v/>
      </c>
      <c r="AE714" s="11">
        <f>IF(INT(T714/20)&gt;INT(T713/20), "Lần " &amp; INT(T714/20), "")</f>
        <v/>
      </c>
      <c r="AF714" s="11">
        <f>IF(INT(U714/20)&gt;INT(U713/20), "Lần " &amp; INT(U714/20), "")</f>
        <v/>
      </c>
      <c r="AG714" s="11">
        <f>IF(INT(V714/20)&gt;INT(V713/20), "Lần " &amp; INT(V714/20), "")</f>
        <v/>
      </c>
      <c r="AH714" s="11">
        <f>IF(INT(W714/20)&gt;INT(W713/20), "Lần " &amp; INT(W714/20), "")</f>
        <v/>
      </c>
      <c r="AI714" s="11">
        <f>IF(INT(X714/20)&gt;INT(X713/20), "Lần " &amp; INT(X714/20), "")</f>
        <v/>
      </c>
      <c r="AJ714" s="11">
        <f>IF(INT(Y714/20)&gt;INT(Y713/20), "Lần " &amp; INT(Y714/20), "")</f>
        <v/>
      </c>
      <c r="AK714" s="11">
        <f>IF(INT(Z714/20)&gt;INT(Z713/20), "Lần " &amp; INT(Z714/20), "")</f>
        <v/>
      </c>
      <c r="AL714" s="6" t="inlineStr">
        <is>
          <t>ĐẠT TCVN 1651:2018</t>
        </is>
      </c>
    </row>
    <row r="715" ht="19" customHeight="1">
      <c r="A715" s="6" t="n">
        <v>683</v>
      </c>
      <c r="B715" s="7" t="inlineStr">
        <is>
          <t>Dầm chủ Super-T (15 phiến L=38.2m)</t>
        </is>
      </c>
      <c r="C715" s="7" t="inlineStr">
        <is>
          <t>Sườn dầm / Cánh dầm</t>
        </is>
      </c>
      <c r="D715" s="18" t="inlineStr">
        <is>
          <t>G4b2</t>
        </is>
      </c>
      <c r="E715" s="19" t="n">
        <v>12</v>
      </c>
      <c r="F715" s="6" t="inlineStr">
        <is>
          <t>CB400-V</t>
        </is>
      </c>
      <c r="G715" s="7" t="inlineStr">
        <is>
          <t>S06</t>
        </is>
      </c>
      <c r="H715" s="20" t="n">
        <v>3.06</v>
      </c>
      <c r="I715" s="21" t="n">
        <v>120</v>
      </c>
      <c r="J715" s="22" t="n">
        <v>0.888</v>
      </c>
      <c r="K715" s="9">
        <f>ROUND(H715*I715*J715, 2)</f>
        <v/>
      </c>
      <c r="L715" s="23">
        <f>ROUND(K715/1000, 3)</f>
        <v/>
      </c>
      <c r="M715" s="8" t="n"/>
      <c r="N715" s="6" t="n"/>
      <c r="O715" s="24">
        <f>IF(AND(E715&lt;=10, F715&lt;&gt;"ASTM A416", INT(P715/20)&gt;INT(P714/20)), "TN Ø10 (Lần " &amp; INT(P715/20) &amp; ")", IF(AND(E715=12, INT(Q715/20)&gt;INT(Q714/20)), "TN Ø12 (Lần " &amp; INT(Q715/20) &amp; ")", IF(AND(E715=14, INT(R715/20)&gt;INT(R714/20)), "TN Ø14 (Lần " &amp; INT(R715/20) &amp; ")", IF(AND(E715=16, INT(S715/20)&gt;INT(S714/20)), "TN Ø16 (Lần " &amp; INT(S715/20) &amp; ")", IF(AND(E715=18, INT(T715/20)&gt;INT(T714/20)), "TN Ø18 (Lần " &amp; INT(T715/20) &amp; ")", IF(AND(E715=20, INT(U715/20)&gt;INT(U714/20)), "TN Ø20 (Lần " &amp; INT(U715/20) &amp; ")", IF(AND(E715=22, INT(V715/20)&gt;INT(V714/20)), "TN Ø22 (Lần " &amp; INT(V715/20) &amp; ")", IF(AND(E715=25, INT(W715/20)&gt;INT(W714/20)), "TN Ø25 (Lần " &amp; INT(W715/20) &amp; ")", IF(AND(E715=28, INT(X715/20)&gt;INT(X714/20)), "TN Ø28 (Lần " &amp; INT(X715/20) &amp; ")", IF(AND(E715=32, INT(Y715/20)&gt;INT(Y714/20)), "TN Ø32 (Lần " &amp; INT(Y715/20) &amp; ")", IF(AND(F715="ASTM A416", INT(Z715/20)&gt;INT(Z714/20)), "TN Cáp 15.2 (Lần " &amp; INT(Z715/20) &amp; ")", "")))))))))))</f>
        <v/>
      </c>
      <c r="P715" s="20">
        <f>ROUND(P714 + IF(AND(E715&lt;=10, F715&lt;&gt;"ASTM A416"), L715, 0), 3)</f>
        <v/>
      </c>
      <c r="Q715" s="20">
        <f>ROUND(Q714 + IF(AND(E715=12, F715&lt;&gt;"ASTM A416"), L715, 0), 3)</f>
        <v/>
      </c>
      <c r="R715" s="20">
        <f>ROUND(R714 + IF(AND(E715=14, F715&lt;&gt;"ASTM A416"), L715, 0), 3)</f>
        <v/>
      </c>
      <c r="S715" s="20">
        <f>ROUND(S714 + IF(AND(E715=16, F715&lt;&gt;"ASTM A416"), L715, 0), 3)</f>
        <v/>
      </c>
      <c r="T715" s="20">
        <f>ROUND(T714 + IF(AND(E715=18, F715&lt;&gt;"ASTM A416"), L715, 0), 3)</f>
        <v/>
      </c>
      <c r="U715" s="20">
        <f>ROUND(U714 + IF(AND(E715=20, F715&lt;&gt;"ASTM A416"), L715, 0), 3)</f>
        <v/>
      </c>
      <c r="V715" s="20">
        <f>ROUND(V714 + IF(AND(E715=22, F715&lt;&gt;"ASTM A416"), L715, 0), 3)</f>
        <v/>
      </c>
      <c r="W715" s="20">
        <f>ROUND(W714 + IF(AND(E715=25, F715&lt;&gt;"ASTM A416"), L715, 0), 3)</f>
        <v/>
      </c>
      <c r="X715" s="20">
        <f>ROUND(X714 + IF(AND(E715=28, F715&lt;&gt;"ASTM A416"), L715, 0), 3)</f>
        <v/>
      </c>
      <c r="Y715" s="20">
        <f>ROUND(Y714 + IF(AND(E715=32, F715&lt;&gt;"ASTM A416"), L715, 0), 3)</f>
        <v/>
      </c>
      <c r="Z715" s="20">
        <f>ROUND(Z714 + IF(F715="ASTM A416", L715, 0), 3)</f>
        <v/>
      </c>
      <c r="AA715" s="11">
        <f>IF(INT(P715/20)&gt;INT(P714/20), "Lần " &amp; INT(P715/20), "")</f>
        <v/>
      </c>
      <c r="AB715" s="11">
        <f>IF(INT(Q715/20)&gt;INT(Q714/20), "Lần " &amp; INT(Q715/20), "")</f>
        <v/>
      </c>
      <c r="AC715" s="11">
        <f>IF(INT(R715/20)&gt;INT(R714/20), "Lần " &amp; INT(R715/20), "")</f>
        <v/>
      </c>
      <c r="AD715" s="11">
        <f>IF(INT(S715/20)&gt;INT(S714/20), "Lần " &amp; INT(S715/20), "")</f>
        <v/>
      </c>
      <c r="AE715" s="11">
        <f>IF(INT(T715/20)&gt;INT(T714/20), "Lần " &amp; INT(T715/20), "")</f>
        <v/>
      </c>
      <c r="AF715" s="11">
        <f>IF(INT(U715/20)&gt;INT(U714/20), "Lần " &amp; INT(U715/20), "")</f>
        <v/>
      </c>
      <c r="AG715" s="11">
        <f>IF(INT(V715/20)&gt;INT(V714/20), "Lần " &amp; INT(V715/20), "")</f>
        <v/>
      </c>
      <c r="AH715" s="11">
        <f>IF(INT(W715/20)&gt;INT(W714/20), "Lần " &amp; INT(W715/20), "")</f>
        <v/>
      </c>
      <c r="AI715" s="11">
        <f>IF(INT(X715/20)&gt;INT(X714/20), "Lần " &amp; INT(X715/20), "")</f>
        <v/>
      </c>
      <c r="AJ715" s="11">
        <f>IF(INT(Y715/20)&gt;INT(Y714/20), "Lần " &amp; INT(Y715/20), "")</f>
        <v/>
      </c>
      <c r="AK715" s="11">
        <f>IF(INT(Z715/20)&gt;INT(Z714/20), "Lần " &amp; INT(Z715/20), "")</f>
        <v/>
      </c>
      <c r="AL715" s="6" t="inlineStr">
        <is>
          <t>ĐẠT TCVN 1651:2018</t>
        </is>
      </c>
    </row>
    <row r="716" ht="19" customHeight="1">
      <c r="A716" s="6" t="n">
        <v>684</v>
      </c>
      <c r="B716" s="7" t="inlineStr">
        <is>
          <t>Dầm chủ Super-T (15 phiến L=38.2m)</t>
        </is>
      </c>
      <c r="C716" s="7" t="inlineStr">
        <is>
          <t>Sườn dầm / Cánh dầm</t>
        </is>
      </c>
      <c r="D716" s="18" t="inlineStr">
        <is>
          <t>G5a</t>
        </is>
      </c>
      <c r="E716" s="19" t="n">
        <v>16</v>
      </c>
      <c r="F716" s="6" t="inlineStr">
        <is>
          <t>CB400-V</t>
        </is>
      </c>
      <c r="G716" s="7" t="inlineStr">
        <is>
          <t>S01</t>
        </is>
      </c>
      <c r="H716" s="20" t="n">
        <v>11.7</v>
      </c>
      <c r="I716" s="21" t="n">
        <v>420</v>
      </c>
      <c r="J716" s="22" t="n">
        <v>1.58</v>
      </c>
      <c r="K716" s="9">
        <f>ROUND(H716*I716*J716, 2)</f>
        <v/>
      </c>
      <c r="L716" s="23">
        <f>ROUND(K716/1000, 3)</f>
        <v/>
      </c>
      <c r="M716" s="8" t="n"/>
      <c r="N716" s="6" t="n"/>
      <c r="O716" s="24">
        <f>IF(AND(E716&lt;=10, F716&lt;&gt;"ASTM A416", INT(P716/20)&gt;INT(P715/20)), "TN Ø10 (Lần " &amp; INT(P716/20) &amp; ")", IF(AND(E716=12, INT(Q716/20)&gt;INT(Q715/20)), "TN Ø12 (Lần " &amp; INT(Q716/20) &amp; ")", IF(AND(E716=14, INT(R716/20)&gt;INT(R715/20)), "TN Ø14 (Lần " &amp; INT(R716/20) &amp; ")", IF(AND(E716=16, INT(S716/20)&gt;INT(S715/20)), "TN Ø16 (Lần " &amp; INT(S716/20) &amp; ")", IF(AND(E716=18, INT(T716/20)&gt;INT(T715/20)), "TN Ø18 (Lần " &amp; INT(T716/20) &amp; ")", IF(AND(E716=20, INT(U716/20)&gt;INT(U715/20)), "TN Ø20 (Lần " &amp; INT(U716/20) &amp; ")", IF(AND(E716=22, INT(V716/20)&gt;INT(V715/20)), "TN Ø22 (Lần " &amp; INT(V716/20) &amp; ")", IF(AND(E716=25, INT(W716/20)&gt;INT(W715/20)), "TN Ø25 (Lần " &amp; INT(W716/20) &amp; ")", IF(AND(E716=28, INT(X716/20)&gt;INT(X715/20)), "TN Ø28 (Lần " &amp; INT(X716/20) &amp; ")", IF(AND(E716=32, INT(Y716/20)&gt;INT(Y715/20)), "TN Ø32 (Lần " &amp; INT(Y716/20) &amp; ")", IF(AND(F716="ASTM A416", INT(Z716/20)&gt;INT(Z715/20)), "TN Cáp 15.2 (Lần " &amp; INT(Z716/20) &amp; ")", "")))))))))))</f>
        <v/>
      </c>
      <c r="P716" s="20">
        <f>ROUND(P715 + IF(AND(E716&lt;=10, F716&lt;&gt;"ASTM A416"), L716, 0), 3)</f>
        <v/>
      </c>
      <c r="Q716" s="20">
        <f>ROUND(Q715 + IF(AND(E716=12, F716&lt;&gt;"ASTM A416"), L716, 0), 3)</f>
        <v/>
      </c>
      <c r="R716" s="20">
        <f>ROUND(R715 + IF(AND(E716=14, F716&lt;&gt;"ASTM A416"), L716, 0), 3)</f>
        <v/>
      </c>
      <c r="S716" s="20">
        <f>ROUND(S715 + IF(AND(E716=16, F716&lt;&gt;"ASTM A416"), L716, 0), 3)</f>
        <v/>
      </c>
      <c r="T716" s="20">
        <f>ROUND(T715 + IF(AND(E716=18, F716&lt;&gt;"ASTM A416"), L716, 0), 3)</f>
        <v/>
      </c>
      <c r="U716" s="20">
        <f>ROUND(U715 + IF(AND(E716=20, F716&lt;&gt;"ASTM A416"), L716, 0), 3)</f>
        <v/>
      </c>
      <c r="V716" s="20">
        <f>ROUND(V715 + IF(AND(E716=22, F716&lt;&gt;"ASTM A416"), L716, 0), 3)</f>
        <v/>
      </c>
      <c r="W716" s="20">
        <f>ROUND(W715 + IF(AND(E716=25, F716&lt;&gt;"ASTM A416"), L716, 0), 3)</f>
        <v/>
      </c>
      <c r="X716" s="20">
        <f>ROUND(X715 + IF(AND(E716=28, F716&lt;&gt;"ASTM A416"), L716, 0), 3)</f>
        <v/>
      </c>
      <c r="Y716" s="20">
        <f>ROUND(Y715 + IF(AND(E716=32, F716&lt;&gt;"ASTM A416"), L716, 0), 3)</f>
        <v/>
      </c>
      <c r="Z716" s="20">
        <f>ROUND(Z715 + IF(F716="ASTM A416", L716, 0), 3)</f>
        <v/>
      </c>
      <c r="AA716" s="11">
        <f>IF(INT(P716/20)&gt;INT(P715/20), "Lần " &amp; INT(P716/20), "")</f>
        <v/>
      </c>
      <c r="AB716" s="11">
        <f>IF(INT(Q716/20)&gt;INT(Q715/20), "Lần " &amp; INT(Q716/20), "")</f>
        <v/>
      </c>
      <c r="AC716" s="11">
        <f>IF(INT(R716/20)&gt;INT(R715/20), "Lần " &amp; INT(R716/20), "")</f>
        <v/>
      </c>
      <c r="AD716" s="11">
        <f>IF(INT(S716/20)&gt;INT(S715/20), "Lần " &amp; INT(S716/20), "")</f>
        <v/>
      </c>
      <c r="AE716" s="11">
        <f>IF(INT(T716/20)&gt;INT(T715/20), "Lần " &amp; INT(T716/20), "")</f>
        <v/>
      </c>
      <c r="AF716" s="11">
        <f>IF(INT(U716/20)&gt;INT(U715/20), "Lần " &amp; INT(U716/20), "")</f>
        <v/>
      </c>
      <c r="AG716" s="11">
        <f>IF(INT(V716/20)&gt;INT(V715/20), "Lần " &amp; INT(V716/20), "")</f>
        <v/>
      </c>
      <c r="AH716" s="11">
        <f>IF(INT(W716/20)&gt;INT(W715/20), "Lần " &amp; INT(W716/20), "")</f>
        <v/>
      </c>
      <c r="AI716" s="11">
        <f>IF(INT(X716/20)&gt;INT(X715/20), "Lần " &amp; INT(X716/20), "")</f>
        <v/>
      </c>
      <c r="AJ716" s="11">
        <f>IF(INT(Y716/20)&gt;INT(Y715/20), "Lần " &amp; INT(Y716/20), "")</f>
        <v/>
      </c>
      <c r="AK716" s="11">
        <f>IF(INT(Z716/20)&gt;INT(Z715/20), "Lần " &amp; INT(Z716/20), "")</f>
        <v/>
      </c>
      <c r="AL716" s="6" t="inlineStr">
        <is>
          <t>ĐẠT TCVN 1651:2018</t>
        </is>
      </c>
    </row>
    <row r="717" ht="19" customHeight="1">
      <c r="A717" s="6" t="n">
        <v>685</v>
      </c>
      <c r="B717" s="7" t="inlineStr">
        <is>
          <t>Dầm chủ Super-T (15 phiến L=38.2m)</t>
        </is>
      </c>
      <c r="C717" s="7" t="inlineStr">
        <is>
          <t>Sườn dầm / Cánh dầm</t>
        </is>
      </c>
      <c r="D717" s="18" t="inlineStr">
        <is>
          <t>G5b</t>
        </is>
      </c>
      <c r="E717" s="19" t="n">
        <v>18</v>
      </c>
      <c r="F717" s="6" t="inlineStr">
        <is>
          <t>CB400-V</t>
        </is>
      </c>
      <c r="G717" s="7" t="inlineStr">
        <is>
          <t>S06</t>
        </is>
      </c>
      <c r="H717" s="20" t="n">
        <v>2.86</v>
      </c>
      <c r="I717" s="21" t="n">
        <v>210</v>
      </c>
      <c r="J717" s="22" t="n">
        <v>2</v>
      </c>
      <c r="K717" s="9">
        <f>ROUND(H717*I717*J717, 2)</f>
        <v/>
      </c>
      <c r="L717" s="23">
        <f>ROUND(K717/1000, 3)</f>
        <v/>
      </c>
      <c r="M717" s="8" t="n"/>
      <c r="N717" s="6" t="n"/>
      <c r="O717" s="24">
        <f>IF(AND(E717&lt;=10, F717&lt;&gt;"ASTM A416", INT(P717/20)&gt;INT(P716/20)), "TN Ø10 (Lần " &amp; INT(P717/20) &amp; ")", IF(AND(E717=12, INT(Q717/20)&gt;INT(Q716/20)), "TN Ø12 (Lần " &amp; INT(Q717/20) &amp; ")", IF(AND(E717=14, INT(R717/20)&gt;INT(R716/20)), "TN Ø14 (Lần " &amp; INT(R717/20) &amp; ")", IF(AND(E717=16, INT(S717/20)&gt;INT(S716/20)), "TN Ø16 (Lần " &amp; INT(S717/20) &amp; ")", IF(AND(E717=18, INT(T717/20)&gt;INT(T716/20)), "TN Ø18 (Lần " &amp; INT(T717/20) &amp; ")", IF(AND(E717=20, INT(U717/20)&gt;INT(U716/20)), "TN Ø20 (Lần " &amp; INT(U717/20) &amp; ")", IF(AND(E717=22, INT(V717/20)&gt;INT(V716/20)), "TN Ø22 (Lần " &amp; INT(V717/20) &amp; ")", IF(AND(E717=25, INT(W717/20)&gt;INT(W716/20)), "TN Ø25 (Lần " &amp; INT(W717/20) &amp; ")", IF(AND(E717=28, INT(X717/20)&gt;INT(X716/20)), "TN Ø28 (Lần " &amp; INT(X717/20) &amp; ")", IF(AND(E717=32, INT(Y717/20)&gt;INT(Y716/20)), "TN Ø32 (Lần " &amp; INT(Y717/20) &amp; ")", IF(AND(F717="ASTM A416", INT(Z717/20)&gt;INT(Z716/20)), "TN Cáp 15.2 (Lần " &amp; INT(Z717/20) &amp; ")", "")))))))))))</f>
        <v/>
      </c>
      <c r="P717" s="20">
        <f>ROUND(P716 + IF(AND(E717&lt;=10, F717&lt;&gt;"ASTM A416"), L717, 0), 3)</f>
        <v/>
      </c>
      <c r="Q717" s="20">
        <f>ROUND(Q716 + IF(AND(E717=12, F717&lt;&gt;"ASTM A416"), L717, 0), 3)</f>
        <v/>
      </c>
      <c r="R717" s="20">
        <f>ROUND(R716 + IF(AND(E717=14, F717&lt;&gt;"ASTM A416"), L717, 0), 3)</f>
        <v/>
      </c>
      <c r="S717" s="20">
        <f>ROUND(S716 + IF(AND(E717=16, F717&lt;&gt;"ASTM A416"), L717, 0), 3)</f>
        <v/>
      </c>
      <c r="T717" s="20">
        <f>ROUND(T716 + IF(AND(E717=18, F717&lt;&gt;"ASTM A416"), L717, 0), 3)</f>
        <v/>
      </c>
      <c r="U717" s="20">
        <f>ROUND(U716 + IF(AND(E717=20, F717&lt;&gt;"ASTM A416"), L717, 0), 3)</f>
        <v/>
      </c>
      <c r="V717" s="20">
        <f>ROUND(V716 + IF(AND(E717=22, F717&lt;&gt;"ASTM A416"), L717, 0), 3)</f>
        <v/>
      </c>
      <c r="W717" s="20">
        <f>ROUND(W716 + IF(AND(E717=25, F717&lt;&gt;"ASTM A416"), L717, 0), 3)</f>
        <v/>
      </c>
      <c r="X717" s="20">
        <f>ROUND(X716 + IF(AND(E717=28, F717&lt;&gt;"ASTM A416"), L717, 0), 3)</f>
        <v/>
      </c>
      <c r="Y717" s="20">
        <f>ROUND(Y716 + IF(AND(E717=32, F717&lt;&gt;"ASTM A416"), L717, 0), 3)</f>
        <v/>
      </c>
      <c r="Z717" s="20">
        <f>ROUND(Z716 + IF(F717="ASTM A416", L717, 0), 3)</f>
        <v/>
      </c>
      <c r="AA717" s="11">
        <f>IF(INT(P717/20)&gt;INT(P716/20), "Lần " &amp; INT(P717/20), "")</f>
        <v/>
      </c>
      <c r="AB717" s="11">
        <f>IF(INT(Q717/20)&gt;INT(Q716/20), "Lần " &amp; INT(Q717/20), "")</f>
        <v/>
      </c>
      <c r="AC717" s="11">
        <f>IF(INT(R717/20)&gt;INT(R716/20), "Lần " &amp; INT(R717/20), "")</f>
        <v/>
      </c>
      <c r="AD717" s="11">
        <f>IF(INT(S717/20)&gt;INT(S716/20), "Lần " &amp; INT(S717/20), "")</f>
        <v/>
      </c>
      <c r="AE717" s="11">
        <f>IF(INT(T717/20)&gt;INT(T716/20), "Lần " &amp; INT(T717/20), "")</f>
        <v/>
      </c>
      <c r="AF717" s="11">
        <f>IF(INT(U717/20)&gt;INT(U716/20), "Lần " &amp; INT(U717/20), "")</f>
        <v/>
      </c>
      <c r="AG717" s="11">
        <f>IF(INT(V717/20)&gt;INT(V716/20), "Lần " &amp; INT(V717/20), "")</f>
        <v/>
      </c>
      <c r="AH717" s="11">
        <f>IF(INT(W717/20)&gt;INT(W716/20), "Lần " &amp; INT(W717/20), "")</f>
        <v/>
      </c>
      <c r="AI717" s="11">
        <f>IF(INT(X717/20)&gt;INT(X716/20), "Lần " &amp; INT(X717/20), "")</f>
        <v/>
      </c>
      <c r="AJ717" s="11">
        <f>IF(INT(Y717/20)&gt;INT(Y716/20), "Lần " &amp; INT(Y717/20), "")</f>
        <v/>
      </c>
      <c r="AK717" s="11">
        <f>IF(INT(Z717/20)&gt;INT(Z716/20), "Lần " &amp; INT(Z717/20), "")</f>
        <v/>
      </c>
      <c r="AL717" s="6" t="inlineStr">
        <is>
          <t>ĐẠT TCVN 1651:2018</t>
        </is>
      </c>
    </row>
    <row r="718" ht="19" customHeight="1">
      <c r="A718" s="6" t="n">
        <v>686</v>
      </c>
      <c r="B718" s="7" t="inlineStr">
        <is>
          <t>Dầm chủ Super-T (15 phiến L=38.2m)</t>
        </is>
      </c>
      <c r="C718" s="7" t="inlineStr">
        <is>
          <t>Sườn dầm / Cánh dầm</t>
        </is>
      </c>
      <c r="D718" s="18" t="inlineStr">
        <is>
          <t>G5c</t>
        </is>
      </c>
      <c r="E718" s="19" t="n">
        <v>16</v>
      </c>
      <c r="F718" s="6" t="inlineStr">
        <is>
          <t>CB400-V</t>
        </is>
      </c>
      <c r="G718" s="7" t="inlineStr">
        <is>
          <t>S01</t>
        </is>
      </c>
      <c r="H718" s="20" t="n">
        <v>10.68</v>
      </c>
      <c r="I718" s="21" t="n">
        <v>210</v>
      </c>
      <c r="J718" s="22" t="n">
        <v>1.58</v>
      </c>
      <c r="K718" s="9">
        <f>ROUND(H718*I718*J718, 2)</f>
        <v/>
      </c>
      <c r="L718" s="23">
        <f>ROUND(K718/1000, 3)</f>
        <v/>
      </c>
      <c r="M718" s="8" t="n"/>
      <c r="N718" s="6" t="n"/>
      <c r="O718" s="24">
        <f>IF(AND(E718&lt;=10, F718&lt;&gt;"ASTM A416", INT(P718/20)&gt;INT(P717/20)), "TN Ø10 (Lần " &amp; INT(P718/20) &amp; ")", IF(AND(E718=12, INT(Q718/20)&gt;INT(Q717/20)), "TN Ø12 (Lần " &amp; INT(Q718/20) &amp; ")", IF(AND(E718=14, INT(R718/20)&gt;INT(R717/20)), "TN Ø14 (Lần " &amp; INT(R718/20) &amp; ")", IF(AND(E718=16, INT(S718/20)&gt;INT(S717/20)), "TN Ø16 (Lần " &amp; INT(S718/20) &amp; ")", IF(AND(E718=18, INT(T718/20)&gt;INT(T717/20)), "TN Ø18 (Lần " &amp; INT(T718/20) &amp; ")", IF(AND(E718=20, INT(U718/20)&gt;INT(U717/20)), "TN Ø20 (Lần " &amp; INT(U718/20) &amp; ")", IF(AND(E718=22, INT(V718/20)&gt;INT(V717/20)), "TN Ø22 (Lần " &amp; INT(V718/20) &amp; ")", IF(AND(E718=25, INT(W718/20)&gt;INT(W717/20)), "TN Ø25 (Lần " &amp; INT(W718/20) &amp; ")", IF(AND(E718=28, INT(X718/20)&gt;INT(X717/20)), "TN Ø28 (Lần " &amp; INT(X718/20) &amp; ")", IF(AND(E718=32, INT(Y718/20)&gt;INT(Y717/20)), "TN Ø32 (Lần " &amp; INT(Y718/20) &amp; ")", IF(AND(F718="ASTM A416", INT(Z718/20)&gt;INT(Z717/20)), "TN Cáp 15.2 (Lần " &amp; INT(Z718/20) &amp; ")", "")))))))))))</f>
        <v/>
      </c>
      <c r="P718" s="20">
        <f>ROUND(P717 + IF(AND(E718&lt;=10, F718&lt;&gt;"ASTM A416"), L718, 0), 3)</f>
        <v/>
      </c>
      <c r="Q718" s="20">
        <f>ROUND(Q717 + IF(AND(E718=12, F718&lt;&gt;"ASTM A416"), L718, 0), 3)</f>
        <v/>
      </c>
      <c r="R718" s="20">
        <f>ROUND(R717 + IF(AND(E718=14, F718&lt;&gt;"ASTM A416"), L718, 0), 3)</f>
        <v/>
      </c>
      <c r="S718" s="20">
        <f>ROUND(S717 + IF(AND(E718=16, F718&lt;&gt;"ASTM A416"), L718, 0), 3)</f>
        <v/>
      </c>
      <c r="T718" s="20">
        <f>ROUND(T717 + IF(AND(E718=18, F718&lt;&gt;"ASTM A416"), L718, 0), 3)</f>
        <v/>
      </c>
      <c r="U718" s="20">
        <f>ROUND(U717 + IF(AND(E718=20, F718&lt;&gt;"ASTM A416"), L718, 0), 3)</f>
        <v/>
      </c>
      <c r="V718" s="20">
        <f>ROUND(V717 + IF(AND(E718=22, F718&lt;&gt;"ASTM A416"), L718, 0), 3)</f>
        <v/>
      </c>
      <c r="W718" s="20">
        <f>ROUND(W717 + IF(AND(E718=25, F718&lt;&gt;"ASTM A416"), L718, 0), 3)</f>
        <v/>
      </c>
      <c r="X718" s="20">
        <f>ROUND(X717 + IF(AND(E718=28, F718&lt;&gt;"ASTM A416"), L718, 0), 3)</f>
        <v/>
      </c>
      <c r="Y718" s="20">
        <f>ROUND(Y717 + IF(AND(E718=32, F718&lt;&gt;"ASTM A416"), L718, 0), 3)</f>
        <v/>
      </c>
      <c r="Z718" s="20">
        <f>ROUND(Z717 + IF(F718="ASTM A416", L718, 0), 3)</f>
        <v/>
      </c>
      <c r="AA718" s="11">
        <f>IF(INT(P718/20)&gt;INT(P717/20), "Lần " &amp; INT(P718/20), "")</f>
        <v/>
      </c>
      <c r="AB718" s="11">
        <f>IF(INT(Q718/20)&gt;INT(Q717/20), "Lần " &amp; INT(Q718/20), "")</f>
        <v/>
      </c>
      <c r="AC718" s="11">
        <f>IF(INT(R718/20)&gt;INT(R717/20), "Lần " &amp; INT(R718/20), "")</f>
        <v/>
      </c>
      <c r="AD718" s="11">
        <f>IF(INT(S718/20)&gt;INT(S717/20), "Lần " &amp; INT(S718/20), "")</f>
        <v/>
      </c>
      <c r="AE718" s="11">
        <f>IF(INT(T718/20)&gt;INT(T717/20), "Lần " &amp; INT(T718/20), "")</f>
        <v/>
      </c>
      <c r="AF718" s="11">
        <f>IF(INT(U718/20)&gt;INT(U717/20), "Lần " &amp; INT(U718/20), "")</f>
        <v/>
      </c>
      <c r="AG718" s="11">
        <f>IF(INT(V718/20)&gt;INT(V717/20), "Lần " &amp; INT(V718/20), "")</f>
        <v/>
      </c>
      <c r="AH718" s="11">
        <f>IF(INT(W718/20)&gt;INT(W717/20), "Lần " &amp; INT(W718/20), "")</f>
        <v/>
      </c>
      <c r="AI718" s="11">
        <f>IF(INT(X718/20)&gt;INT(X717/20), "Lần " &amp; INT(X718/20), "")</f>
        <v/>
      </c>
      <c r="AJ718" s="11">
        <f>IF(INT(Y718/20)&gt;INT(Y717/20), "Lần " &amp; INT(Y718/20), "")</f>
        <v/>
      </c>
      <c r="AK718" s="11">
        <f>IF(INT(Z718/20)&gt;INT(Z717/20), "Lần " &amp; INT(Z718/20), "")</f>
        <v/>
      </c>
      <c r="AL718" s="6" t="inlineStr">
        <is>
          <t>ĐẠT TCVN 1651:2018</t>
        </is>
      </c>
    </row>
    <row r="719" ht="19" customHeight="1">
      <c r="A719" s="6" t="n">
        <v>687</v>
      </c>
      <c r="B719" s="7" t="inlineStr">
        <is>
          <t>Dầm chủ Super-T (15 phiến L=38.2m)</t>
        </is>
      </c>
      <c r="C719" s="7" t="inlineStr">
        <is>
          <t>Sườn dầm / Cánh dầm</t>
        </is>
      </c>
      <c r="D719" s="18" t="inlineStr">
        <is>
          <t>G5d</t>
        </is>
      </c>
      <c r="E719" s="19" t="n">
        <v>18</v>
      </c>
      <c r="F719" s="6" t="inlineStr">
        <is>
          <t>CB400-V</t>
        </is>
      </c>
      <c r="G719" s="7" t="inlineStr">
        <is>
          <t>S06</t>
        </is>
      </c>
      <c r="H719" s="20" t="n">
        <v>3.9</v>
      </c>
      <c r="I719" s="21" t="n">
        <v>210</v>
      </c>
      <c r="J719" s="22" t="n">
        <v>2</v>
      </c>
      <c r="K719" s="9">
        <f>ROUND(H719*I719*J719, 2)</f>
        <v/>
      </c>
      <c r="L719" s="23">
        <f>ROUND(K719/1000, 3)</f>
        <v/>
      </c>
      <c r="M719" s="8" t="n"/>
      <c r="N719" s="6" t="n"/>
      <c r="O719" s="24">
        <f>IF(AND(E719&lt;=10, F719&lt;&gt;"ASTM A416", INT(P719/20)&gt;INT(P718/20)), "TN Ø10 (Lần " &amp; INT(P719/20) &amp; ")", IF(AND(E719=12, INT(Q719/20)&gt;INT(Q718/20)), "TN Ø12 (Lần " &amp; INT(Q719/20) &amp; ")", IF(AND(E719=14, INT(R719/20)&gt;INT(R718/20)), "TN Ø14 (Lần " &amp; INT(R719/20) &amp; ")", IF(AND(E719=16, INT(S719/20)&gt;INT(S718/20)), "TN Ø16 (Lần " &amp; INT(S719/20) &amp; ")", IF(AND(E719=18, INT(T719/20)&gt;INT(T718/20)), "TN Ø18 (Lần " &amp; INT(T719/20) &amp; ")", IF(AND(E719=20, INT(U719/20)&gt;INT(U718/20)), "TN Ø20 (Lần " &amp; INT(U719/20) &amp; ")", IF(AND(E719=22, INT(V719/20)&gt;INT(V718/20)), "TN Ø22 (Lần " &amp; INT(V719/20) &amp; ")", IF(AND(E719=25, INT(W719/20)&gt;INT(W718/20)), "TN Ø25 (Lần " &amp; INT(W719/20) &amp; ")", IF(AND(E719=28, INT(X719/20)&gt;INT(X718/20)), "TN Ø28 (Lần " &amp; INT(X719/20) &amp; ")", IF(AND(E719=32, INT(Y719/20)&gt;INT(Y718/20)), "TN Ø32 (Lần " &amp; INT(Y719/20) &amp; ")", IF(AND(F719="ASTM A416", INT(Z719/20)&gt;INT(Z718/20)), "TN Cáp 15.2 (Lần " &amp; INT(Z719/20) &amp; ")", "")))))))))))</f>
        <v/>
      </c>
      <c r="P719" s="20">
        <f>ROUND(P718 + IF(AND(E719&lt;=10, F719&lt;&gt;"ASTM A416"), L719, 0), 3)</f>
        <v/>
      </c>
      <c r="Q719" s="20">
        <f>ROUND(Q718 + IF(AND(E719=12, F719&lt;&gt;"ASTM A416"), L719, 0), 3)</f>
        <v/>
      </c>
      <c r="R719" s="20">
        <f>ROUND(R718 + IF(AND(E719=14, F719&lt;&gt;"ASTM A416"), L719, 0), 3)</f>
        <v/>
      </c>
      <c r="S719" s="20">
        <f>ROUND(S718 + IF(AND(E719=16, F719&lt;&gt;"ASTM A416"), L719, 0), 3)</f>
        <v/>
      </c>
      <c r="T719" s="20">
        <f>ROUND(T718 + IF(AND(E719=18, F719&lt;&gt;"ASTM A416"), L719, 0), 3)</f>
        <v/>
      </c>
      <c r="U719" s="20">
        <f>ROUND(U718 + IF(AND(E719=20, F719&lt;&gt;"ASTM A416"), L719, 0), 3)</f>
        <v/>
      </c>
      <c r="V719" s="20">
        <f>ROUND(V718 + IF(AND(E719=22, F719&lt;&gt;"ASTM A416"), L719, 0), 3)</f>
        <v/>
      </c>
      <c r="W719" s="20">
        <f>ROUND(W718 + IF(AND(E719=25, F719&lt;&gt;"ASTM A416"), L719, 0), 3)</f>
        <v/>
      </c>
      <c r="X719" s="20">
        <f>ROUND(X718 + IF(AND(E719=28, F719&lt;&gt;"ASTM A416"), L719, 0), 3)</f>
        <v/>
      </c>
      <c r="Y719" s="20">
        <f>ROUND(Y718 + IF(AND(E719=32, F719&lt;&gt;"ASTM A416"), L719, 0), 3)</f>
        <v/>
      </c>
      <c r="Z719" s="20">
        <f>ROUND(Z718 + IF(F719="ASTM A416", L719, 0), 3)</f>
        <v/>
      </c>
      <c r="AA719" s="11">
        <f>IF(INT(P719/20)&gt;INT(P718/20), "Lần " &amp; INT(P719/20), "")</f>
        <v/>
      </c>
      <c r="AB719" s="11">
        <f>IF(INT(Q719/20)&gt;INT(Q718/20), "Lần " &amp; INT(Q719/20), "")</f>
        <v/>
      </c>
      <c r="AC719" s="11">
        <f>IF(INT(R719/20)&gt;INT(R718/20), "Lần " &amp; INT(R719/20), "")</f>
        <v/>
      </c>
      <c r="AD719" s="11">
        <f>IF(INT(S719/20)&gt;INT(S718/20), "Lần " &amp; INT(S719/20), "")</f>
        <v/>
      </c>
      <c r="AE719" s="11">
        <f>IF(INT(T719/20)&gt;INT(T718/20), "Lần " &amp; INT(T719/20), "")</f>
        <v/>
      </c>
      <c r="AF719" s="11">
        <f>IF(INT(U719/20)&gt;INT(U718/20), "Lần " &amp; INT(U719/20), "")</f>
        <v/>
      </c>
      <c r="AG719" s="11">
        <f>IF(INT(V719/20)&gt;INT(V718/20), "Lần " &amp; INT(V719/20), "")</f>
        <v/>
      </c>
      <c r="AH719" s="11">
        <f>IF(INT(W719/20)&gt;INT(W718/20), "Lần " &amp; INT(W719/20), "")</f>
        <v/>
      </c>
      <c r="AI719" s="11">
        <f>IF(INT(X719/20)&gt;INT(X718/20), "Lần " &amp; INT(X719/20), "")</f>
        <v/>
      </c>
      <c r="AJ719" s="11">
        <f>IF(INT(Y719/20)&gt;INT(Y718/20), "Lần " &amp; INT(Y719/20), "")</f>
        <v/>
      </c>
      <c r="AK719" s="11">
        <f>IF(INT(Z719/20)&gt;INT(Z718/20), "Lần " &amp; INT(Z719/20), "")</f>
        <v/>
      </c>
      <c r="AL719" s="6" t="inlineStr">
        <is>
          <t>ĐẠT TCVN 1651:2018</t>
        </is>
      </c>
    </row>
    <row r="720" ht="19" customHeight="1">
      <c r="A720" s="6" t="n">
        <v>688</v>
      </c>
      <c r="B720" s="7" t="inlineStr">
        <is>
          <t>Dầm chủ Super-T (15 phiến L=38.2m)</t>
        </is>
      </c>
      <c r="C720" s="7" t="inlineStr">
        <is>
          <t>Sườn dầm / Cánh dầm</t>
        </is>
      </c>
      <c r="D720" s="18" t="inlineStr">
        <is>
          <t>G6a</t>
        </is>
      </c>
      <c r="E720" s="19" t="n">
        <v>32</v>
      </c>
      <c r="F720" s="6" t="inlineStr">
        <is>
          <t>CB400-V</t>
        </is>
      </c>
      <c r="G720" s="7" t="inlineStr">
        <is>
          <t>S01</t>
        </is>
      </c>
      <c r="H720" s="20" t="n">
        <v>11.7</v>
      </c>
      <c r="I720" s="21" t="n">
        <v>135</v>
      </c>
      <c r="J720" s="22" t="n">
        <v>6.31</v>
      </c>
      <c r="K720" s="9">
        <f>ROUND(H720*I720*J720, 2)</f>
        <v/>
      </c>
      <c r="L720" s="23">
        <f>ROUND(K720/1000, 3)</f>
        <v/>
      </c>
      <c r="M720" s="8" t="n"/>
      <c r="N720" s="6" t="n"/>
      <c r="O720" s="24">
        <f>IF(AND(E720&lt;=10, F720&lt;&gt;"ASTM A416", INT(P720/20)&gt;INT(P719/20)), "TN Ø10 (Lần " &amp; INT(P720/20) &amp; ")", IF(AND(E720=12, INT(Q720/20)&gt;INT(Q719/20)), "TN Ø12 (Lần " &amp; INT(Q720/20) &amp; ")", IF(AND(E720=14, INT(R720/20)&gt;INT(R719/20)), "TN Ø14 (Lần " &amp; INT(R720/20) &amp; ")", IF(AND(E720=16, INT(S720/20)&gt;INT(S719/20)), "TN Ø16 (Lần " &amp; INT(S720/20) &amp; ")", IF(AND(E720=18, INT(T720/20)&gt;INT(T719/20)), "TN Ø18 (Lần " &amp; INT(T720/20) &amp; ")", IF(AND(E720=20, INT(U720/20)&gt;INT(U719/20)), "TN Ø20 (Lần " &amp; INT(U720/20) &amp; ")", IF(AND(E720=22, INT(V720/20)&gt;INT(V719/20)), "TN Ø22 (Lần " &amp; INT(V720/20) &amp; ")", IF(AND(E720=25, INT(W720/20)&gt;INT(W719/20)), "TN Ø25 (Lần " &amp; INT(W720/20) &amp; ")", IF(AND(E720=28, INT(X720/20)&gt;INT(X719/20)), "TN Ø28 (Lần " &amp; INT(X720/20) &amp; ")", IF(AND(E720=32, INT(Y720/20)&gt;INT(Y719/20)), "TN Ø32 (Lần " &amp; INT(Y720/20) &amp; ")", IF(AND(F720="ASTM A416", INT(Z720/20)&gt;INT(Z719/20)), "TN Cáp 15.2 (Lần " &amp; INT(Z720/20) &amp; ")", "")))))))))))</f>
        <v/>
      </c>
      <c r="P720" s="20">
        <f>ROUND(P719 + IF(AND(E720&lt;=10, F720&lt;&gt;"ASTM A416"), L720, 0), 3)</f>
        <v/>
      </c>
      <c r="Q720" s="20">
        <f>ROUND(Q719 + IF(AND(E720=12, F720&lt;&gt;"ASTM A416"), L720, 0), 3)</f>
        <v/>
      </c>
      <c r="R720" s="20">
        <f>ROUND(R719 + IF(AND(E720=14, F720&lt;&gt;"ASTM A416"), L720, 0), 3)</f>
        <v/>
      </c>
      <c r="S720" s="20">
        <f>ROUND(S719 + IF(AND(E720=16, F720&lt;&gt;"ASTM A416"), L720, 0), 3)</f>
        <v/>
      </c>
      <c r="T720" s="20">
        <f>ROUND(T719 + IF(AND(E720=18, F720&lt;&gt;"ASTM A416"), L720, 0), 3)</f>
        <v/>
      </c>
      <c r="U720" s="20">
        <f>ROUND(U719 + IF(AND(E720=20, F720&lt;&gt;"ASTM A416"), L720, 0), 3)</f>
        <v/>
      </c>
      <c r="V720" s="20">
        <f>ROUND(V719 + IF(AND(E720=22, F720&lt;&gt;"ASTM A416"), L720, 0), 3)</f>
        <v/>
      </c>
      <c r="W720" s="20">
        <f>ROUND(W719 + IF(AND(E720=25, F720&lt;&gt;"ASTM A416"), L720, 0), 3)</f>
        <v/>
      </c>
      <c r="X720" s="20">
        <f>ROUND(X719 + IF(AND(E720=28, F720&lt;&gt;"ASTM A416"), L720, 0), 3)</f>
        <v/>
      </c>
      <c r="Y720" s="20">
        <f>ROUND(Y719 + IF(AND(E720=32, F720&lt;&gt;"ASTM A416"), L720, 0), 3)</f>
        <v/>
      </c>
      <c r="Z720" s="20">
        <f>ROUND(Z719 + IF(F720="ASTM A416", L720, 0), 3)</f>
        <v/>
      </c>
      <c r="AA720" s="11">
        <f>IF(INT(P720/20)&gt;INT(P719/20), "Lần " &amp; INT(P720/20), "")</f>
        <v/>
      </c>
      <c r="AB720" s="11">
        <f>IF(INT(Q720/20)&gt;INT(Q719/20), "Lần " &amp; INT(Q720/20), "")</f>
        <v/>
      </c>
      <c r="AC720" s="11">
        <f>IF(INT(R720/20)&gt;INT(R719/20), "Lần " &amp; INT(R720/20), "")</f>
        <v/>
      </c>
      <c r="AD720" s="11">
        <f>IF(INT(S720/20)&gt;INT(S719/20), "Lần " &amp; INT(S720/20), "")</f>
        <v/>
      </c>
      <c r="AE720" s="11">
        <f>IF(INT(T720/20)&gt;INT(T719/20), "Lần " &amp; INT(T720/20), "")</f>
        <v/>
      </c>
      <c r="AF720" s="11">
        <f>IF(INT(U720/20)&gt;INT(U719/20), "Lần " &amp; INT(U720/20), "")</f>
        <v/>
      </c>
      <c r="AG720" s="11">
        <f>IF(INT(V720/20)&gt;INT(V719/20), "Lần " &amp; INT(V720/20), "")</f>
        <v/>
      </c>
      <c r="AH720" s="11">
        <f>IF(INT(W720/20)&gt;INT(W719/20), "Lần " &amp; INT(W720/20), "")</f>
        <v/>
      </c>
      <c r="AI720" s="11">
        <f>IF(INT(X720/20)&gt;INT(X719/20), "Lần " &amp; INT(X720/20), "")</f>
        <v/>
      </c>
      <c r="AJ720" s="11">
        <f>IF(INT(Y720/20)&gt;INT(Y719/20), "Lần " &amp; INT(Y720/20), "")</f>
        <v/>
      </c>
      <c r="AK720" s="11">
        <f>IF(INT(Z720/20)&gt;INT(Z719/20), "Lần " &amp; INT(Z720/20), "")</f>
        <v/>
      </c>
      <c r="AL720" s="6" t="inlineStr">
        <is>
          <t>ĐẠT TCVN 1651:2018</t>
        </is>
      </c>
    </row>
    <row r="721" ht="19" customHeight="1">
      <c r="A721" s="6" t="n">
        <v>689</v>
      </c>
      <c r="B721" s="7" t="inlineStr">
        <is>
          <t>Dầm chủ Super-T (15 phiến L=38.2m)</t>
        </is>
      </c>
      <c r="C721" s="7" t="inlineStr">
        <is>
          <t>Sườn dầm / Cánh dầm</t>
        </is>
      </c>
      <c r="D721" s="18" t="inlineStr">
        <is>
          <t>G6b</t>
        </is>
      </c>
      <c r="E721" s="19" t="n">
        <v>32</v>
      </c>
      <c r="F721" s="6" t="inlineStr">
        <is>
          <t>CB400-V</t>
        </is>
      </c>
      <c r="G721" s="7" t="inlineStr">
        <is>
          <t>S06</t>
        </is>
      </c>
      <c r="H721" s="20" t="n">
        <v>6.86</v>
      </c>
      <c r="I721" s="21" t="n">
        <v>45</v>
      </c>
      <c r="J721" s="22" t="n">
        <v>6.31</v>
      </c>
      <c r="K721" s="9">
        <f>ROUND(H721*I721*J721, 2)</f>
        <v/>
      </c>
      <c r="L721" s="23">
        <f>ROUND(K721/1000, 3)</f>
        <v/>
      </c>
      <c r="M721" s="8" t="n"/>
      <c r="N721" s="6" t="n"/>
      <c r="O721" s="24">
        <f>IF(AND(E721&lt;=10, F721&lt;&gt;"ASTM A416", INT(P721/20)&gt;INT(P720/20)), "TN Ø10 (Lần " &amp; INT(P721/20) &amp; ")", IF(AND(E721=12, INT(Q721/20)&gt;INT(Q720/20)), "TN Ø12 (Lần " &amp; INT(Q721/20) &amp; ")", IF(AND(E721=14, INT(R721/20)&gt;INT(R720/20)), "TN Ø14 (Lần " &amp; INT(R721/20) &amp; ")", IF(AND(E721=16, INT(S721/20)&gt;INT(S720/20)), "TN Ø16 (Lần " &amp; INT(S721/20) &amp; ")", IF(AND(E721=18, INT(T721/20)&gt;INT(T720/20)), "TN Ø18 (Lần " &amp; INT(T721/20) &amp; ")", IF(AND(E721=20, INT(U721/20)&gt;INT(U720/20)), "TN Ø20 (Lần " &amp; INT(U721/20) &amp; ")", IF(AND(E721=22, INT(V721/20)&gt;INT(V720/20)), "TN Ø22 (Lần " &amp; INT(V721/20) &amp; ")", IF(AND(E721=25, INT(W721/20)&gt;INT(W720/20)), "TN Ø25 (Lần " &amp; INT(W721/20) &amp; ")", IF(AND(E721=28, INT(X721/20)&gt;INT(X720/20)), "TN Ø28 (Lần " &amp; INT(X721/20) &amp; ")", IF(AND(E721=32, INT(Y721/20)&gt;INT(Y720/20)), "TN Ø32 (Lần " &amp; INT(Y721/20) &amp; ")", IF(AND(F721="ASTM A416", INT(Z721/20)&gt;INT(Z720/20)), "TN Cáp 15.2 (Lần " &amp; INT(Z721/20) &amp; ")", "")))))))))))</f>
        <v/>
      </c>
      <c r="P721" s="20">
        <f>ROUND(P720 + IF(AND(E721&lt;=10, F721&lt;&gt;"ASTM A416"), L721, 0), 3)</f>
        <v/>
      </c>
      <c r="Q721" s="20">
        <f>ROUND(Q720 + IF(AND(E721=12, F721&lt;&gt;"ASTM A416"), L721, 0), 3)</f>
        <v/>
      </c>
      <c r="R721" s="20">
        <f>ROUND(R720 + IF(AND(E721=14, F721&lt;&gt;"ASTM A416"), L721, 0), 3)</f>
        <v/>
      </c>
      <c r="S721" s="20">
        <f>ROUND(S720 + IF(AND(E721=16, F721&lt;&gt;"ASTM A416"), L721, 0), 3)</f>
        <v/>
      </c>
      <c r="T721" s="20">
        <f>ROUND(T720 + IF(AND(E721=18, F721&lt;&gt;"ASTM A416"), L721, 0), 3)</f>
        <v/>
      </c>
      <c r="U721" s="20">
        <f>ROUND(U720 + IF(AND(E721=20, F721&lt;&gt;"ASTM A416"), L721, 0), 3)</f>
        <v/>
      </c>
      <c r="V721" s="20">
        <f>ROUND(V720 + IF(AND(E721=22, F721&lt;&gt;"ASTM A416"), L721, 0), 3)</f>
        <v/>
      </c>
      <c r="W721" s="20">
        <f>ROUND(W720 + IF(AND(E721=25, F721&lt;&gt;"ASTM A416"), L721, 0), 3)</f>
        <v/>
      </c>
      <c r="X721" s="20">
        <f>ROUND(X720 + IF(AND(E721=28, F721&lt;&gt;"ASTM A416"), L721, 0), 3)</f>
        <v/>
      </c>
      <c r="Y721" s="20">
        <f>ROUND(Y720 + IF(AND(E721=32, F721&lt;&gt;"ASTM A416"), L721, 0), 3)</f>
        <v/>
      </c>
      <c r="Z721" s="20">
        <f>ROUND(Z720 + IF(F721="ASTM A416", L721, 0), 3)</f>
        <v/>
      </c>
      <c r="AA721" s="11">
        <f>IF(INT(P721/20)&gt;INT(P720/20), "Lần " &amp; INT(P721/20), "")</f>
        <v/>
      </c>
      <c r="AB721" s="11">
        <f>IF(INT(Q721/20)&gt;INT(Q720/20), "Lần " &amp; INT(Q721/20), "")</f>
        <v/>
      </c>
      <c r="AC721" s="11">
        <f>IF(INT(R721/20)&gt;INT(R720/20), "Lần " &amp; INT(R721/20), "")</f>
        <v/>
      </c>
      <c r="AD721" s="11">
        <f>IF(INT(S721/20)&gt;INT(S720/20), "Lần " &amp; INT(S721/20), "")</f>
        <v/>
      </c>
      <c r="AE721" s="11">
        <f>IF(INT(T721/20)&gt;INT(T720/20), "Lần " &amp; INT(T721/20), "")</f>
        <v/>
      </c>
      <c r="AF721" s="11">
        <f>IF(INT(U721/20)&gt;INT(U720/20), "Lần " &amp; INT(U721/20), "")</f>
        <v/>
      </c>
      <c r="AG721" s="11">
        <f>IF(INT(V721/20)&gt;INT(V720/20), "Lần " &amp; INT(V721/20), "")</f>
        <v/>
      </c>
      <c r="AH721" s="11">
        <f>IF(INT(W721/20)&gt;INT(W720/20), "Lần " &amp; INT(W721/20), "")</f>
        <v/>
      </c>
      <c r="AI721" s="11">
        <f>IF(INT(X721/20)&gt;INT(X720/20), "Lần " &amp; INT(X721/20), "")</f>
        <v/>
      </c>
      <c r="AJ721" s="11">
        <f>IF(INT(Y721/20)&gt;INT(Y720/20), "Lần " &amp; INT(Y721/20), "")</f>
        <v/>
      </c>
      <c r="AK721" s="11">
        <f>IF(INT(Z721/20)&gt;INT(Z720/20), "Lần " &amp; INT(Z721/20), "")</f>
        <v/>
      </c>
      <c r="AL721" s="6" t="inlineStr">
        <is>
          <t>ĐẠT TCVN 1651:2018</t>
        </is>
      </c>
    </row>
    <row r="722" ht="19" customHeight="1">
      <c r="A722" s="6" t="n">
        <v>690</v>
      </c>
      <c r="B722" s="7" t="inlineStr">
        <is>
          <t>Dầm chủ Super-T (15 phiến L=38.2m)</t>
        </is>
      </c>
      <c r="C722" s="7" t="inlineStr">
        <is>
          <t>Sườn dầm / Cánh dầm</t>
        </is>
      </c>
      <c r="D722" s="18" t="inlineStr">
        <is>
          <t>N1a</t>
        </is>
      </c>
      <c r="E722" s="19" t="n">
        <v>12</v>
      </c>
      <c r="F722" s="6" t="inlineStr">
        <is>
          <t>CB400-V</t>
        </is>
      </c>
      <c r="G722" s="7" t="inlineStr">
        <is>
          <t>S06</t>
        </is>
      </c>
      <c r="H722" s="20" t="n">
        <v>1.185</v>
      </c>
      <c r="I722" s="21" t="n">
        <v>555</v>
      </c>
      <c r="J722" s="22" t="n">
        <v>0.888</v>
      </c>
      <c r="K722" s="9">
        <f>ROUND(H722*I722*J722, 2)</f>
        <v/>
      </c>
      <c r="L722" s="23">
        <f>ROUND(K722/1000, 3)</f>
        <v/>
      </c>
      <c r="M722" s="8" t="n"/>
      <c r="N722" s="6" t="n"/>
      <c r="O722" s="24">
        <f>IF(AND(E722&lt;=10, F722&lt;&gt;"ASTM A416", INT(P722/20)&gt;INT(P721/20)), "TN Ø10 (Lần " &amp; INT(P722/20) &amp; ")", IF(AND(E722=12, INT(Q722/20)&gt;INT(Q721/20)), "TN Ø12 (Lần " &amp; INT(Q722/20) &amp; ")", IF(AND(E722=14, INT(R722/20)&gt;INT(R721/20)), "TN Ø14 (Lần " &amp; INT(R722/20) &amp; ")", IF(AND(E722=16, INT(S722/20)&gt;INT(S721/20)), "TN Ø16 (Lần " &amp; INT(S722/20) &amp; ")", IF(AND(E722=18, INT(T722/20)&gt;INT(T721/20)), "TN Ø18 (Lần " &amp; INT(T722/20) &amp; ")", IF(AND(E722=20, INT(U722/20)&gt;INT(U721/20)), "TN Ø20 (Lần " &amp; INT(U722/20) &amp; ")", IF(AND(E722=22, INT(V722/20)&gt;INT(V721/20)), "TN Ø22 (Lần " &amp; INT(V722/20) &amp; ")", IF(AND(E722=25, INT(W722/20)&gt;INT(W721/20)), "TN Ø25 (Lần " &amp; INT(W722/20) &amp; ")", IF(AND(E722=28, INT(X722/20)&gt;INT(X721/20)), "TN Ø28 (Lần " &amp; INT(X722/20) &amp; ")", IF(AND(E722=32, INT(Y722/20)&gt;INT(Y721/20)), "TN Ø32 (Lần " &amp; INT(Y722/20) &amp; ")", IF(AND(F722="ASTM A416", INT(Z722/20)&gt;INT(Z721/20)), "TN Cáp 15.2 (Lần " &amp; INT(Z722/20) &amp; ")", "")))))))))))</f>
        <v/>
      </c>
      <c r="P722" s="20">
        <f>ROUND(P721 + IF(AND(E722&lt;=10, F722&lt;&gt;"ASTM A416"), L722, 0), 3)</f>
        <v/>
      </c>
      <c r="Q722" s="20">
        <f>ROUND(Q721 + IF(AND(E722=12, F722&lt;&gt;"ASTM A416"), L722, 0), 3)</f>
        <v/>
      </c>
      <c r="R722" s="20">
        <f>ROUND(R721 + IF(AND(E722=14, F722&lt;&gt;"ASTM A416"), L722, 0), 3)</f>
        <v/>
      </c>
      <c r="S722" s="20">
        <f>ROUND(S721 + IF(AND(E722=16, F722&lt;&gt;"ASTM A416"), L722, 0), 3)</f>
        <v/>
      </c>
      <c r="T722" s="20">
        <f>ROUND(T721 + IF(AND(E722=18, F722&lt;&gt;"ASTM A416"), L722, 0), 3)</f>
        <v/>
      </c>
      <c r="U722" s="20">
        <f>ROUND(U721 + IF(AND(E722=20, F722&lt;&gt;"ASTM A416"), L722, 0), 3)</f>
        <v/>
      </c>
      <c r="V722" s="20">
        <f>ROUND(V721 + IF(AND(E722=22, F722&lt;&gt;"ASTM A416"), L722, 0), 3)</f>
        <v/>
      </c>
      <c r="W722" s="20">
        <f>ROUND(W721 + IF(AND(E722=25, F722&lt;&gt;"ASTM A416"), L722, 0), 3)</f>
        <v/>
      </c>
      <c r="X722" s="20">
        <f>ROUND(X721 + IF(AND(E722=28, F722&lt;&gt;"ASTM A416"), L722, 0), 3)</f>
        <v/>
      </c>
      <c r="Y722" s="20">
        <f>ROUND(Y721 + IF(AND(E722=32, F722&lt;&gt;"ASTM A416"), L722, 0), 3)</f>
        <v/>
      </c>
      <c r="Z722" s="20">
        <f>ROUND(Z721 + IF(F722="ASTM A416", L722, 0), 3)</f>
        <v/>
      </c>
      <c r="AA722" s="11">
        <f>IF(INT(P722/20)&gt;INT(P721/20), "Lần " &amp; INT(P722/20), "")</f>
        <v/>
      </c>
      <c r="AB722" s="11">
        <f>IF(INT(Q722/20)&gt;INT(Q721/20), "Lần " &amp; INT(Q722/20), "")</f>
        <v/>
      </c>
      <c r="AC722" s="11">
        <f>IF(INT(R722/20)&gt;INT(R721/20), "Lần " &amp; INT(R722/20), "")</f>
        <v/>
      </c>
      <c r="AD722" s="11">
        <f>IF(INT(S722/20)&gt;INT(S721/20), "Lần " &amp; INT(S722/20), "")</f>
        <v/>
      </c>
      <c r="AE722" s="11">
        <f>IF(INT(T722/20)&gt;INT(T721/20), "Lần " &amp; INT(T722/20), "")</f>
        <v/>
      </c>
      <c r="AF722" s="11">
        <f>IF(INT(U722/20)&gt;INT(U721/20), "Lần " &amp; INT(U722/20), "")</f>
        <v/>
      </c>
      <c r="AG722" s="11">
        <f>IF(INT(V722/20)&gt;INT(V721/20), "Lần " &amp; INT(V722/20), "")</f>
        <v/>
      </c>
      <c r="AH722" s="11">
        <f>IF(INT(W722/20)&gt;INT(W721/20), "Lần " &amp; INT(W722/20), "")</f>
        <v/>
      </c>
      <c r="AI722" s="11">
        <f>IF(INT(X722/20)&gt;INT(X721/20), "Lần " &amp; INT(X722/20), "")</f>
        <v/>
      </c>
      <c r="AJ722" s="11">
        <f>IF(INT(Y722/20)&gt;INT(Y721/20), "Lần " &amp; INT(Y722/20), "")</f>
        <v/>
      </c>
      <c r="AK722" s="11">
        <f>IF(INT(Z722/20)&gt;INT(Z721/20), "Lần " &amp; INT(Z722/20), "")</f>
        <v/>
      </c>
      <c r="AL722" s="6" t="inlineStr">
        <is>
          <t>ĐẠT TCVN 1651:2018</t>
        </is>
      </c>
    </row>
    <row r="723" ht="19" customHeight="1">
      <c r="A723" s="6" t="n">
        <v>691</v>
      </c>
      <c r="B723" s="7" t="inlineStr">
        <is>
          <t>Dầm chủ Super-T (15 phiến L=38.2m)</t>
        </is>
      </c>
      <c r="C723" s="7" t="inlineStr">
        <is>
          <t>TRUNG BÌNH</t>
        </is>
      </c>
      <c r="D723" s="18" t="inlineStr">
        <is>
          <t>N1b</t>
        </is>
      </c>
      <c r="E723" s="19" t="n">
        <v>12</v>
      </c>
      <c r="F723" s="6" t="inlineStr">
        <is>
          <t>CB400-V</t>
        </is>
      </c>
      <c r="G723" s="7" t="inlineStr">
        <is>
          <t>S06</t>
        </is>
      </c>
      <c r="H723" s="20" t="n">
        <v>0.93</v>
      </c>
      <c r="I723" s="21" t="n">
        <v>3885</v>
      </c>
      <c r="J723" s="22" t="n">
        <v>0.888</v>
      </c>
      <c r="K723" s="9">
        <f>ROUND(H723*I723*J723, 2)</f>
        <v/>
      </c>
      <c r="L723" s="23">
        <f>ROUND(K723/1000, 3)</f>
        <v/>
      </c>
      <c r="M723" s="8" t="n"/>
      <c r="N723" s="6" t="n"/>
      <c r="O723" s="24">
        <f>IF(AND(E723&lt;=10, F723&lt;&gt;"ASTM A416", INT(P723/20)&gt;INT(P722/20)), "TN Ø10 (Lần " &amp; INT(P723/20) &amp; ")", IF(AND(E723=12, INT(Q723/20)&gt;INT(Q722/20)), "TN Ø12 (Lần " &amp; INT(Q723/20) &amp; ")", IF(AND(E723=14, INT(R723/20)&gt;INT(R722/20)), "TN Ø14 (Lần " &amp; INT(R723/20) &amp; ")", IF(AND(E723=16, INT(S723/20)&gt;INT(S722/20)), "TN Ø16 (Lần " &amp; INT(S723/20) &amp; ")", IF(AND(E723=18, INT(T723/20)&gt;INT(T722/20)), "TN Ø18 (Lần " &amp; INT(T723/20) &amp; ")", IF(AND(E723=20, INT(U723/20)&gt;INT(U722/20)), "TN Ø20 (Lần " &amp; INT(U723/20) &amp; ")", IF(AND(E723=22, INT(V723/20)&gt;INT(V722/20)), "TN Ø22 (Lần " &amp; INT(V723/20) &amp; ")", IF(AND(E723=25, INT(W723/20)&gt;INT(W722/20)), "TN Ø25 (Lần " &amp; INT(W723/20) &amp; ")", IF(AND(E723=28, INT(X723/20)&gt;INT(X722/20)), "TN Ø28 (Lần " &amp; INT(X723/20) &amp; ")", IF(AND(E723=32, INT(Y723/20)&gt;INT(Y722/20)), "TN Ø32 (Lần " &amp; INT(Y723/20) &amp; ")", IF(AND(F723="ASTM A416", INT(Z723/20)&gt;INT(Z722/20)), "TN Cáp 15.2 (Lần " &amp; INT(Z723/20) &amp; ")", "")))))))))))</f>
        <v/>
      </c>
      <c r="P723" s="20">
        <f>ROUND(P722 + IF(AND(E723&lt;=10, F723&lt;&gt;"ASTM A416"), L723, 0), 3)</f>
        <v/>
      </c>
      <c r="Q723" s="20">
        <f>ROUND(Q722 + IF(AND(E723=12, F723&lt;&gt;"ASTM A416"), L723, 0), 3)</f>
        <v/>
      </c>
      <c r="R723" s="20">
        <f>ROUND(R722 + IF(AND(E723=14, F723&lt;&gt;"ASTM A416"), L723, 0), 3)</f>
        <v/>
      </c>
      <c r="S723" s="20">
        <f>ROUND(S722 + IF(AND(E723=16, F723&lt;&gt;"ASTM A416"), L723, 0), 3)</f>
        <v/>
      </c>
      <c r="T723" s="20">
        <f>ROUND(T722 + IF(AND(E723=18, F723&lt;&gt;"ASTM A416"), L723, 0), 3)</f>
        <v/>
      </c>
      <c r="U723" s="20">
        <f>ROUND(U722 + IF(AND(E723=20, F723&lt;&gt;"ASTM A416"), L723, 0), 3)</f>
        <v/>
      </c>
      <c r="V723" s="20">
        <f>ROUND(V722 + IF(AND(E723=22, F723&lt;&gt;"ASTM A416"), L723, 0), 3)</f>
        <v/>
      </c>
      <c r="W723" s="20">
        <f>ROUND(W722 + IF(AND(E723=25, F723&lt;&gt;"ASTM A416"), L723, 0), 3)</f>
        <v/>
      </c>
      <c r="X723" s="20">
        <f>ROUND(X722 + IF(AND(E723=28, F723&lt;&gt;"ASTM A416"), L723, 0), 3)</f>
        <v/>
      </c>
      <c r="Y723" s="20">
        <f>ROUND(Y722 + IF(AND(E723=32, F723&lt;&gt;"ASTM A416"), L723, 0), 3)</f>
        <v/>
      </c>
      <c r="Z723" s="20">
        <f>ROUND(Z722 + IF(F723="ASTM A416", L723, 0), 3)</f>
        <v/>
      </c>
      <c r="AA723" s="11">
        <f>IF(INT(P723/20)&gt;INT(P722/20), "Lần " &amp; INT(P723/20), "")</f>
        <v/>
      </c>
      <c r="AB723" s="11">
        <f>IF(INT(Q723/20)&gt;INT(Q722/20), "Lần " &amp; INT(Q723/20), "")</f>
        <v/>
      </c>
      <c r="AC723" s="11">
        <f>IF(INT(R723/20)&gt;INT(R722/20), "Lần " &amp; INT(R723/20), "")</f>
        <v/>
      </c>
      <c r="AD723" s="11">
        <f>IF(INT(S723/20)&gt;INT(S722/20), "Lần " &amp; INT(S723/20), "")</f>
        <v/>
      </c>
      <c r="AE723" s="11">
        <f>IF(INT(T723/20)&gt;INT(T722/20), "Lần " &amp; INT(T723/20), "")</f>
        <v/>
      </c>
      <c r="AF723" s="11">
        <f>IF(INT(U723/20)&gt;INT(U722/20), "Lần " &amp; INT(U723/20), "")</f>
        <v/>
      </c>
      <c r="AG723" s="11">
        <f>IF(INT(V723/20)&gt;INT(V722/20), "Lần " &amp; INT(V723/20), "")</f>
        <v/>
      </c>
      <c r="AH723" s="11">
        <f>IF(INT(W723/20)&gt;INT(W722/20), "Lần " &amp; INT(W723/20), "")</f>
        <v/>
      </c>
      <c r="AI723" s="11">
        <f>IF(INT(X723/20)&gt;INT(X722/20), "Lần " &amp; INT(X723/20), "")</f>
        <v/>
      </c>
      <c r="AJ723" s="11">
        <f>IF(INT(Y723/20)&gt;INT(Y722/20), "Lần " &amp; INT(Y723/20), "")</f>
        <v/>
      </c>
      <c r="AK723" s="11">
        <f>IF(INT(Z723/20)&gt;INT(Z722/20), "Lần " &amp; INT(Z723/20), "")</f>
        <v/>
      </c>
      <c r="AL723" s="6" t="inlineStr">
        <is>
          <t>ĐẠT TCVN 1651:2018</t>
        </is>
      </c>
    </row>
    <row r="724" ht="19" customHeight="1">
      <c r="A724" s="6" t="n">
        <v>692</v>
      </c>
      <c r="B724" s="7" t="inlineStr">
        <is>
          <t>Dầm chủ Super-T (15 phiến L=38.2m)</t>
        </is>
      </c>
      <c r="C724" s="7" t="inlineStr">
        <is>
          <t>Sườn dầm / Cánh dầm</t>
        </is>
      </c>
      <c r="D724" s="18" t="inlineStr">
        <is>
          <t>N2</t>
        </is>
      </c>
      <c r="E724" s="19" t="n">
        <v>12</v>
      </c>
      <c r="F724" s="6" t="inlineStr">
        <is>
          <t>CB400-V</t>
        </is>
      </c>
      <c r="G724" s="7" t="inlineStr">
        <is>
          <t>S06</t>
        </is>
      </c>
      <c r="H724" s="20" t="n">
        <v>3.664</v>
      </c>
      <c r="I724" s="21" t="n">
        <v>45</v>
      </c>
      <c r="J724" s="22" t="n">
        <v>0.888</v>
      </c>
      <c r="K724" s="9">
        <f>ROUND(H724*I724*J724, 2)</f>
        <v/>
      </c>
      <c r="L724" s="23">
        <f>ROUND(K724/1000, 3)</f>
        <v/>
      </c>
      <c r="M724" s="8" t="n"/>
      <c r="N724" s="6" t="n"/>
      <c r="O724" s="24">
        <f>IF(AND(E724&lt;=10, F724&lt;&gt;"ASTM A416", INT(P724/20)&gt;INT(P723/20)), "TN Ø10 (Lần " &amp; INT(P724/20) &amp; ")", IF(AND(E724=12, INT(Q724/20)&gt;INT(Q723/20)), "TN Ø12 (Lần " &amp; INT(Q724/20) &amp; ")", IF(AND(E724=14, INT(R724/20)&gt;INT(R723/20)), "TN Ø14 (Lần " &amp; INT(R724/20) &amp; ")", IF(AND(E724=16, INT(S724/20)&gt;INT(S723/20)), "TN Ø16 (Lần " &amp; INT(S724/20) &amp; ")", IF(AND(E724=18, INT(T724/20)&gt;INT(T723/20)), "TN Ø18 (Lần " &amp; INT(T724/20) &amp; ")", IF(AND(E724=20, INT(U724/20)&gt;INT(U723/20)), "TN Ø20 (Lần " &amp; INT(U724/20) &amp; ")", IF(AND(E724=22, INT(V724/20)&gt;INT(V723/20)), "TN Ø22 (Lần " &amp; INT(V724/20) &amp; ")", IF(AND(E724=25, INT(W724/20)&gt;INT(W723/20)), "TN Ø25 (Lần " &amp; INT(W724/20) &amp; ")", IF(AND(E724=28, INT(X724/20)&gt;INT(X723/20)), "TN Ø28 (Lần " &amp; INT(X724/20) &amp; ")", IF(AND(E724=32, INT(Y724/20)&gt;INT(Y723/20)), "TN Ø32 (Lần " &amp; INT(Y724/20) &amp; ")", IF(AND(F724="ASTM A416", INT(Z724/20)&gt;INT(Z723/20)), "TN Cáp 15.2 (Lần " &amp; INT(Z724/20) &amp; ")", "")))))))))))</f>
        <v/>
      </c>
      <c r="P724" s="20">
        <f>ROUND(P723 + IF(AND(E724&lt;=10, F724&lt;&gt;"ASTM A416"), L724, 0), 3)</f>
        <v/>
      </c>
      <c r="Q724" s="20">
        <f>ROUND(Q723 + IF(AND(E724=12, F724&lt;&gt;"ASTM A416"), L724, 0), 3)</f>
        <v/>
      </c>
      <c r="R724" s="20">
        <f>ROUND(R723 + IF(AND(E724=14, F724&lt;&gt;"ASTM A416"), L724, 0), 3)</f>
        <v/>
      </c>
      <c r="S724" s="20">
        <f>ROUND(S723 + IF(AND(E724=16, F724&lt;&gt;"ASTM A416"), L724, 0), 3)</f>
        <v/>
      </c>
      <c r="T724" s="20">
        <f>ROUND(T723 + IF(AND(E724=18, F724&lt;&gt;"ASTM A416"), L724, 0), 3)</f>
        <v/>
      </c>
      <c r="U724" s="20">
        <f>ROUND(U723 + IF(AND(E724=20, F724&lt;&gt;"ASTM A416"), L724, 0), 3)</f>
        <v/>
      </c>
      <c r="V724" s="20">
        <f>ROUND(V723 + IF(AND(E724=22, F724&lt;&gt;"ASTM A416"), L724, 0), 3)</f>
        <v/>
      </c>
      <c r="W724" s="20">
        <f>ROUND(W723 + IF(AND(E724=25, F724&lt;&gt;"ASTM A416"), L724, 0), 3)</f>
        <v/>
      </c>
      <c r="X724" s="20">
        <f>ROUND(X723 + IF(AND(E724=28, F724&lt;&gt;"ASTM A416"), L724, 0), 3)</f>
        <v/>
      </c>
      <c r="Y724" s="20">
        <f>ROUND(Y723 + IF(AND(E724=32, F724&lt;&gt;"ASTM A416"), L724, 0), 3)</f>
        <v/>
      </c>
      <c r="Z724" s="20">
        <f>ROUND(Z723 + IF(F724="ASTM A416", L724, 0), 3)</f>
        <v/>
      </c>
      <c r="AA724" s="11">
        <f>IF(INT(P724/20)&gt;INT(P723/20), "Lần " &amp; INT(P724/20), "")</f>
        <v/>
      </c>
      <c r="AB724" s="11">
        <f>IF(INT(Q724/20)&gt;INT(Q723/20), "Lần " &amp; INT(Q724/20), "")</f>
        <v/>
      </c>
      <c r="AC724" s="11">
        <f>IF(INT(R724/20)&gt;INT(R723/20), "Lần " &amp; INT(R724/20), "")</f>
        <v/>
      </c>
      <c r="AD724" s="11">
        <f>IF(INT(S724/20)&gt;INT(S723/20), "Lần " &amp; INT(S724/20), "")</f>
        <v/>
      </c>
      <c r="AE724" s="11">
        <f>IF(INT(T724/20)&gt;INT(T723/20), "Lần " &amp; INT(T724/20), "")</f>
        <v/>
      </c>
      <c r="AF724" s="11">
        <f>IF(INT(U724/20)&gt;INT(U723/20), "Lần " &amp; INT(U724/20), "")</f>
        <v/>
      </c>
      <c r="AG724" s="11">
        <f>IF(INT(V724/20)&gt;INT(V723/20), "Lần " &amp; INT(V724/20), "")</f>
        <v/>
      </c>
      <c r="AH724" s="11">
        <f>IF(INT(W724/20)&gt;INT(W723/20), "Lần " &amp; INT(W724/20), "")</f>
        <v/>
      </c>
      <c r="AI724" s="11">
        <f>IF(INT(X724/20)&gt;INT(X723/20), "Lần " &amp; INT(X724/20), "")</f>
        <v/>
      </c>
      <c r="AJ724" s="11">
        <f>IF(INT(Y724/20)&gt;INT(Y723/20), "Lần " &amp; INT(Y724/20), "")</f>
        <v/>
      </c>
      <c r="AK724" s="11">
        <f>IF(INT(Z724/20)&gt;INT(Z723/20), "Lần " &amp; INT(Z724/20), "")</f>
        <v/>
      </c>
      <c r="AL724" s="6" t="inlineStr">
        <is>
          <t>ĐẠT TCVN 1651:2018</t>
        </is>
      </c>
    </row>
    <row r="725" ht="19" customHeight="1">
      <c r="A725" s="6" t="n">
        <v>693</v>
      </c>
      <c r="B725" s="7" t="inlineStr">
        <is>
          <t>Dầm chủ Super-T (15 phiến L=38.2m)</t>
        </is>
      </c>
      <c r="C725" s="7" t="inlineStr">
        <is>
          <t>Sườn dầm / Cánh dầm</t>
        </is>
      </c>
      <c r="D725" s="18" t="inlineStr">
        <is>
          <t>E1</t>
        </is>
      </c>
      <c r="E725" s="19" t="n">
        <v>16</v>
      </c>
      <c r="F725" s="6" t="inlineStr">
        <is>
          <t>CB400-V</t>
        </is>
      </c>
      <c r="G725" s="7" t="inlineStr">
        <is>
          <t>S06</t>
        </is>
      </c>
      <c r="H725" s="20" t="n">
        <v>2.391</v>
      </c>
      <c r="I725" s="21" t="n">
        <v>3780</v>
      </c>
      <c r="J725" s="22" t="n">
        <v>1.58</v>
      </c>
      <c r="K725" s="9">
        <f>ROUND(H725*I725*J725, 2)</f>
        <v/>
      </c>
      <c r="L725" s="23">
        <f>ROUND(K725/1000, 3)</f>
        <v/>
      </c>
      <c r="M725" s="8" t="n"/>
      <c r="N725" s="6" t="n"/>
      <c r="O725" s="24">
        <f>IF(AND(E725&lt;=10, F725&lt;&gt;"ASTM A416", INT(P725/20)&gt;INT(P724/20)), "TN Ø10 (Lần " &amp; INT(P725/20) &amp; ")", IF(AND(E725=12, INT(Q725/20)&gt;INT(Q724/20)), "TN Ø12 (Lần " &amp; INT(Q725/20) &amp; ")", IF(AND(E725=14, INT(R725/20)&gt;INT(R724/20)), "TN Ø14 (Lần " &amp; INT(R725/20) &amp; ")", IF(AND(E725=16, INT(S725/20)&gt;INT(S724/20)), "TN Ø16 (Lần " &amp; INT(S725/20) &amp; ")", IF(AND(E725=18, INT(T725/20)&gt;INT(T724/20)), "TN Ø18 (Lần " &amp; INT(T725/20) &amp; ")", IF(AND(E725=20, INT(U725/20)&gt;INT(U724/20)), "TN Ø20 (Lần " &amp; INT(U725/20) &amp; ")", IF(AND(E725=22, INT(V725/20)&gt;INT(V724/20)), "TN Ø22 (Lần " &amp; INT(V725/20) &amp; ")", IF(AND(E725=25, INT(W725/20)&gt;INT(W724/20)), "TN Ø25 (Lần " &amp; INT(W725/20) &amp; ")", IF(AND(E725=28, INT(X725/20)&gt;INT(X724/20)), "TN Ø28 (Lần " &amp; INT(X725/20) &amp; ")", IF(AND(E725=32, INT(Y725/20)&gt;INT(Y724/20)), "TN Ø32 (Lần " &amp; INT(Y725/20) &amp; ")", IF(AND(F725="ASTM A416", INT(Z725/20)&gt;INT(Z724/20)), "TN Cáp 15.2 (Lần " &amp; INT(Z725/20) &amp; ")", "")))))))))))</f>
        <v/>
      </c>
      <c r="P725" s="20">
        <f>ROUND(P724 + IF(AND(E725&lt;=10, F725&lt;&gt;"ASTM A416"), L725, 0), 3)</f>
        <v/>
      </c>
      <c r="Q725" s="20">
        <f>ROUND(Q724 + IF(AND(E725=12, F725&lt;&gt;"ASTM A416"), L725, 0), 3)</f>
        <v/>
      </c>
      <c r="R725" s="20">
        <f>ROUND(R724 + IF(AND(E725=14, F725&lt;&gt;"ASTM A416"), L725, 0), 3)</f>
        <v/>
      </c>
      <c r="S725" s="20">
        <f>ROUND(S724 + IF(AND(E725=16, F725&lt;&gt;"ASTM A416"), L725, 0), 3)</f>
        <v/>
      </c>
      <c r="T725" s="20">
        <f>ROUND(T724 + IF(AND(E725=18, F725&lt;&gt;"ASTM A416"), L725, 0), 3)</f>
        <v/>
      </c>
      <c r="U725" s="20">
        <f>ROUND(U724 + IF(AND(E725=20, F725&lt;&gt;"ASTM A416"), L725, 0), 3)</f>
        <v/>
      </c>
      <c r="V725" s="20">
        <f>ROUND(V724 + IF(AND(E725=22, F725&lt;&gt;"ASTM A416"), L725, 0), 3)</f>
        <v/>
      </c>
      <c r="W725" s="20">
        <f>ROUND(W724 + IF(AND(E725=25, F725&lt;&gt;"ASTM A416"), L725, 0), 3)</f>
        <v/>
      </c>
      <c r="X725" s="20">
        <f>ROUND(X724 + IF(AND(E725=28, F725&lt;&gt;"ASTM A416"), L725, 0), 3)</f>
        <v/>
      </c>
      <c r="Y725" s="20">
        <f>ROUND(Y724 + IF(AND(E725=32, F725&lt;&gt;"ASTM A416"), L725, 0), 3)</f>
        <v/>
      </c>
      <c r="Z725" s="20">
        <f>ROUND(Z724 + IF(F725="ASTM A416", L725, 0), 3)</f>
        <v/>
      </c>
      <c r="AA725" s="11">
        <f>IF(INT(P725/20)&gt;INT(P724/20), "Lần " &amp; INT(P725/20), "")</f>
        <v/>
      </c>
      <c r="AB725" s="11">
        <f>IF(INT(Q725/20)&gt;INT(Q724/20), "Lần " &amp; INT(Q725/20), "")</f>
        <v/>
      </c>
      <c r="AC725" s="11">
        <f>IF(INT(R725/20)&gt;INT(R724/20), "Lần " &amp; INT(R725/20), "")</f>
        <v/>
      </c>
      <c r="AD725" s="11">
        <f>IF(INT(S725/20)&gt;INT(S724/20), "Lần " &amp; INT(S725/20), "")</f>
        <v/>
      </c>
      <c r="AE725" s="11">
        <f>IF(INT(T725/20)&gt;INT(T724/20), "Lần " &amp; INT(T725/20), "")</f>
        <v/>
      </c>
      <c r="AF725" s="11">
        <f>IF(INT(U725/20)&gt;INT(U724/20), "Lần " &amp; INT(U725/20), "")</f>
        <v/>
      </c>
      <c r="AG725" s="11">
        <f>IF(INT(V725/20)&gt;INT(V724/20), "Lần " &amp; INT(V725/20), "")</f>
        <v/>
      </c>
      <c r="AH725" s="11">
        <f>IF(INT(W725/20)&gt;INT(W724/20), "Lần " &amp; INT(W725/20), "")</f>
        <v/>
      </c>
      <c r="AI725" s="11">
        <f>IF(INT(X725/20)&gt;INT(X724/20), "Lần " &amp; INT(X725/20), "")</f>
        <v/>
      </c>
      <c r="AJ725" s="11">
        <f>IF(INT(Y725/20)&gt;INT(Y724/20), "Lần " &amp; INT(Y725/20), "")</f>
        <v/>
      </c>
      <c r="AK725" s="11">
        <f>IF(INT(Z725/20)&gt;INT(Z724/20), "Lần " &amp; INT(Z725/20), "")</f>
        <v/>
      </c>
      <c r="AL725" s="6" t="inlineStr">
        <is>
          <t>ĐẠT TCVN 1651:2018</t>
        </is>
      </c>
    </row>
    <row r="726" ht="19" customHeight="1">
      <c r="A726" s="6" t="n">
        <v>694</v>
      </c>
      <c r="B726" s="7" t="inlineStr">
        <is>
          <t>Dầm chủ Super-T (15 phiến L=38.2m)</t>
        </is>
      </c>
      <c r="C726" s="7" t="inlineStr">
        <is>
          <t>Sườn dầm / Cánh dầm</t>
        </is>
      </c>
      <c r="D726" s="18" t="inlineStr">
        <is>
          <t>E2</t>
        </is>
      </c>
      <c r="E726" s="19" t="n">
        <v>16</v>
      </c>
      <c r="F726" s="6" t="inlineStr">
        <is>
          <t>CB400-V</t>
        </is>
      </c>
      <c r="G726" s="7" t="inlineStr">
        <is>
          <t>S06</t>
        </is>
      </c>
      <c r="H726" s="20" t="n">
        <v>3.932</v>
      </c>
      <c r="I726" s="21" t="n">
        <v>300</v>
      </c>
      <c r="J726" s="22" t="n">
        <v>1.58</v>
      </c>
      <c r="K726" s="9">
        <f>ROUND(H726*I726*J726, 2)</f>
        <v/>
      </c>
      <c r="L726" s="23">
        <f>ROUND(K726/1000, 3)</f>
        <v/>
      </c>
      <c r="M726" s="8" t="n"/>
      <c r="N726" s="6" t="n"/>
      <c r="O726" s="24">
        <f>IF(AND(E726&lt;=10, F726&lt;&gt;"ASTM A416", INT(P726/20)&gt;INT(P725/20)), "TN Ø10 (Lần " &amp; INT(P726/20) &amp; ")", IF(AND(E726=12, INT(Q726/20)&gt;INT(Q725/20)), "TN Ø12 (Lần " &amp; INT(Q726/20) &amp; ")", IF(AND(E726=14, INT(R726/20)&gt;INT(R725/20)), "TN Ø14 (Lần " &amp; INT(R726/20) &amp; ")", IF(AND(E726=16, INT(S726/20)&gt;INT(S725/20)), "TN Ø16 (Lần " &amp; INT(S726/20) &amp; ")", IF(AND(E726=18, INT(T726/20)&gt;INT(T725/20)), "TN Ø18 (Lần " &amp; INT(T726/20) &amp; ")", IF(AND(E726=20, INT(U726/20)&gt;INT(U725/20)), "TN Ø20 (Lần " &amp; INT(U726/20) &amp; ")", IF(AND(E726=22, INT(V726/20)&gt;INT(V725/20)), "TN Ø22 (Lần " &amp; INT(V726/20) &amp; ")", IF(AND(E726=25, INT(W726/20)&gt;INT(W725/20)), "TN Ø25 (Lần " &amp; INT(W726/20) &amp; ")", IF(AND(E726=28, INT(X726/20)&gt;INT(X725/20)), "TN Ø28 (Lần " &amp; INT(X726/20) &amp; ")", IF(AND(E726=32, INT(Y726/20)&gt;INT(Y725/20)), "TN Ø32 (Lần " &amp; INT(Y726/20) &amp; ")", IF(AND(F726="ASTM A416", INT(Z726/20)&gt;INT(Z725/20)), "TN Cáp 15.2 (Lần " &amp; INT(Z726/20) &amp; ")", "")))))))))))</f>
        <v/>
      </c>
      <c r="P726" s="20">
        <f>ROUND(P725 + IF(AND(E726&lt;=10, F726&lt;&gt;"ASTM A416"), L726, 0), 3)</f>
        <v/>
      </c>
      <c r="Q726" s="20">
        <f>ROUND(Q725 + IF(AND(E726=12, F726&lt;&gt;"ASTM A416"), L726, 0), 3)</f>
        <v/>
      </c>
      <c r="R726" s="20">
        <f>ROUND(R725 + IF(AND(E726=14, F726&lt;&gt;"ASTM A416"), L726, 0), 3)</f>
        <v/>
      </c>
      <c r="S726" s="20">
        <f>ROUND(S725 + IF(AND(E726=16, F726&lt;&gt;"ASTM A416"), L726, 0), 3)</f>
        <v/>
      </c>
      <c r="T726" s="20">
        <f>ROUND(T725 + IF(AND(E726=18, F726&lt;&gt;"ASTM A416"), L726, 0), 3)</f>
        <v/>
      </c>
      <c r="U726" s="20">
        <f>ROUND(U725 + IF(AND(E726=20, F726&lt;&gt;"ASTM A416"), L726, 0), 3)</f>
        <v/>
      </c>
      <c r="V726" s="20">
        <f>ROUND(V725 + IF(AND(E726=22, F726&lt;&gt;"ASTM A416"), L726, 0), 3)</f>
        <v/>
      </c>
      <c r="W726" s="20">
        <f>ROUND(W725 + IF(AND(E726=25, F726&lt;&gt;"ASTM A416"), L726, 0), 3)</f>
        <v/>
      </c>
      <c r="X726" s="20">
        <f>ROUND(X725 + IF(AND(E726=28, F726&lt;&gt;"ASTM A416"), L726, 0), 3)</f>
        <v/>
      </c>
      <c r="Y726" s="20">
        <f>ROUND(Y725 + IF(AND(E726=32, F726&lt;&gt;"ASTM A416"), L726, 0), 3)</f>
        <v/>
      </c>
      <c r="Z726" s="20">
        <f>ROUND(Z725 + IF(F726="ASTM A416", L726, 0), 3)</f>
        <v/>
      </c>
      <c r="AA726" s="11">
        <f>IF(INT(P726/20)&gt;INT(P725/20), "Lần " &amp; INT(P726/20), "")</f>
        <v/>
      </c>
      <c r="AB726" s="11">
        <f>IF(INT(Q726/20)&gt;INT(Q725/20), "Lần " &amp; INT(Q726/20), "")</f>
        <v/>
      </c>
      <c r="AC726" s="11">
        <f>IF(INT(R726/20)&gt;INT(R725/20), "Lần " &amp; INT(R726/20), "")</f>
        <v/>
      </c>
      <c r="AD726" s="11">
        <f>IF(INT(S726/20)&gt;INT(S725/20), "Lần " &amp; INT(S726/20), "")</f>
        <v/>
      </c>
      <c r="AE726" s="11">
        <f>IF(INT(T726/20)&gt;INT(T725/20), "Lần " &amp; INT(T726/20), "")</f>
        <v/>
      </c>
      <c r="AF726" s="11">
        <f>IF(INT(U726/20)&gt;INT(U725/20), "Lần " &amp; INT(U726/20), "")</f>
        <v/>
      </c>
      <c r="AG726" s="11">
        <f>IF(INT(V726/20)&gt;INT(V725/20), "Lần " &amp; INT(V726/20), "")</f>
        <v/>
      </c>
      <c r="AH726" s="11">
        <f>IF(INT(W726/20)&gt;INT(W725/20), "Lần " &amp; INT(W726/20), "")</f>
        <v/>
      </c>
      <c r="AI726" s="11">
        <f>IF(INT(X726/20)&gt;INT(X725/20), "Lần " &amp; INT(X726/20), "")</f>
        <v/>
      </c>
      <c r="AJ726" s="11">
        <f>IF(INT(Y726/20)&gt;INT(Y725/20), "Lần " &amp; INT(Y726/20), "")</f>
        <v/>
      </c>
      <c r="AK726" s="11">
        <f>IF(INT(Z726/20)&gt;INT(Z725/20), "Lần " &amp; INT(Z726/20), "")</f>
        <v/>
      </c>
      <c r="AL726" s="6" t="inlineStr">
        <is>
          <t>ĐẠT TCVN 1651:2018</t>
        </is>
      </c>
    </row>
    <row r="727" ht="19" customHeight="1">
      <c r="A727" s="6" t="n">
        <v>695</v>
      </c>
      <c r="B727" s="7" t="inlineStr">
        <is>
          <t>Dầm chủ Super-T (15 phiến L=38.2m)</t>
        </is>
      </c>
      <c r="C727" s="7" t="inlineStr">
        <is>
          <t>Sườn dầm / Cánh dầm</t>
        </is>
      </c>
      <c r="D727" s="18" t="inlineStr">
        <is>
          <t>Thanh neo</t>
        </is>
      </c>
      <c r="E727" s="19" t="n">
        <v>20</v>
      </c>
      <c r="F727" s="6" t="inlineStr">
        <is>
          <t>CB400-V</t>
        </is>
      </c>
      <c r="G727" s="7" t="inlineStr">
        <is>
          <t>S06</t>
        </is>
      </c>
      <c r="H727" s="20" t="n">
        <v>0.11</v>
      </c>
      <c r="I727" s="21" t="n">
        <v>120</v>
      </c>
      <c r="J727" s="22" t="n">
        <v>2.47</v>
      </c>
      <c r="K727" s="9">
        <f>ROUND(H727*I727*J727, 2)</f>
        <v/>
      </c>
      <c r="L727" s="23">
        <f>ROUND(K727/1000, 3)</f>
        <v/>
      </c>
      <c r="M727" s="8" t="n"/>
      <c r="N727" s="6" t="n"/>
      <c r="O727" s="24">
        <f>IF(AND(E727&lt;=10, F727&lt;&gt;"ASTM A416", INT(P727/20)&gt;INT(P726/20)), "TN Ø10 (Lần " &amp; INT(P727/20) &amp; ")", IF(AND(E727=12, INT(Q727/20)&gt;INT(Q726/20)), "TN Ø12 (Lần " &amp; INT(Q727/20) &amp; ")", IF(AND(E727=14, INT(R727/20)&gt;INT(R726/20)), "TN Ø14 (Lần " &amp; INT(R727/20) &amp; ")", IF(AND(E727=16, INT(S727/20)&gt;INT(S726/20)), "TN Ø16 (Lần " &amp; INT(S727/20) &amp; ")", IF(AND(E727=18, INT(T727/20)&gt;INT(T726/20)), "TN Ø18 (Lần " &amp; INT(T727/20) &amp; ")", IF(AND(E727=20, INT(U727/20)&gt;INT(U726/20)), "TN Ø20 (Lần " &amp; INT(U727/20) &amp; ")", IF(AND(E727=22, INT(V727/20)&gt;INT(V726/20)), "TN Ø22 (Lần " &amp; INT(V727/20) &amp; ")", IF(AND(E727=25, INT(W727/20)&gt;INT(W726/20)), "TN Ø25 (Lần " &amp; INT(W727/20) &amp; ")", IF(AND(E727=28, INT(X727/20)&gt;INT(X726/20)), "TN Ø28 (Lần " &amp; INT(X727/20) &amp; ")", IF(AND(E727=32, INT(Y727/20)&gt;INT(Y726/20)), "TN Ø32 (Lần " &amp; INT(Y727/20) &amp; ")", IF(AND(F727="ASTM A416", INT(Z727/20)&gt;INT(Z726/20)), "TN Cáp 15.2 (Lần " &amp; INT(Z727/20) &amp; ")", "")))))))))))</f>
        <v/>
      </c>
      <c r="P727" s="20">
        <f>ROUND(P726 + IF(AND(E727&lt;=10, F727&lt;&gt;"ASTM A416"), L727, 0), 3)</f>
        <v/>
      </c>
      <c r="Q727" s="20">
        <f>ROUND(Q726 + IF(AND(E727=12, F727&lt;&gt;"ASTM A416"), L727, 0), 3)</f>
        <v/>
      </c>
      <c r="R727" s="20">
        <f>ROUND(R726 + IF(AND(E727=14, F727&lt;&gt;"ASTM A416"), L727, 0), 3)</f>
        <v/>
      </c>
      <c r="S727" s="20">
        <f>ROUND(S726 + IF(AND(E727=16, F727&lt;&gt;"ASTM A416"), L727, 0), 3)</f>
        <v/>
      </c>
      <c r="T727" s="20">
        <f>ROUND(T726 + IF(AND(E727=18, F727&lt;&gt;"ASTM A416"), L727, 0), 3)</f>
        <v/>
      </c>
      <c r="U727" s="20">
        <f>ROUND(U726 + IF(AND(E727=20, F727&lt;&gt;"ASTM A416"), L727, 0), 3)</f>
        <v/>
      </c>
      <c r="V727" s="20">
        <f>ROUND(V726 + IF(AND(E727=22, F727&lt;&gt;"ASTM A416"), L727, 0), 3)</f>
        <v/>
      </c>
      <c r="W727" s="20">
        <f>ROUND(W726 + IF(AND(E727=25, F727&lt;&gt;"ASTM A416"), L727, 0), 3)</f>
        <v/>
      </c>
      <c r="X727" s="20">
        <f>ROUND(X726 + IF(AND(E727=28, F727&lt;&gt;"ASTM A416"), L727, 0), 3)</f>
        <v/>
      </c>
      <c r="Y727" s="20">
        <f>ROUND(Y726 + IF(AND(E727=32, F727&lt;&gt;"ASTM A416"), L727, 0), 3)</f>
        <v/>
      </c>
      <c r="Z727" s="20">
        <f>ROUND(Z726 + IF(F727="ASTM A416", L727, 0), 3)</f>
        <v/>
      </c>
      <c r="AA727" s="11">
        <f>IF(INT(P727/20)&gt;INT(P726/20), "Lần " &amp; INT(P727/20), "")</f>
        <v/>
      </c>
      <c r="AB727" s="11">
        <f>IF(INT(Q727/20)&gt;INT(Q726/20), "Lần " &amp; INT(Q727/20), "")</f>
        <v/>
      </c>
      <c r="AC727" s="11">
        <f>IF(INT(R727/20)&gt;INT(R726/20), "Lần " &amp; INT(R727/20), "")</f>
        <v/>
      </c>
      <c r="AD727" s="11">
        <f>IF(INT(S727/20)&gt;INT(S726/20), "Lần " &amp; INT(S727/20), "")</f>
        <v/>
      </c>
      <c r="AE727" s="11">
        <f>IF(INT(T727/20)&gt;INT(T726/20), "Lần " &amp; INT(T727/20), "")</f>
        <v/>
      </c>
      <c r="AF727" s="11">
        <f>IF(INT(U727/20)&gt;INT(U726/20), "Lần " &amp; INT(U727/20), "")</f>
        <v/>
      </c>
      <c r="AG727" s="11">
        <f>IF(INT(V727/20)&gt;INT(V726/20), "Lần " &amp; INT(V727/20), "")</f>
        <v/>
      </c>
      <c r="AH727" s="11">
        <f>IF(INT(W727/20)&gt;INT(W726/20), "Lần " &amp; INT(W727/20), "")</f>
        <v/>
      </c>
      <c r="AI727" s="11">
        <f>IF(INT(X727/20)&gt;INT(X726/20), "Lần " &amp; INT(X727/20), "")</f>
        <v/>
      </c>
      <c r="AJ727" s="11">
        <f>IF(INT(Y727/20)&gt;INT(Y726/20), "Lần " &amp; INT(Y727/20), "")</f>
        <v/>
      </c>
      <c r="AK727" s="11">
        <f>IF(INT(Z727/20)&gt;INT(Z726/20), "Lần " &amp; INT(Z727/20), "")</f>
        <v/>
      </c>
      <c r="AL727" s="6" t="inlineStr">
        <is>
          <t>ĐẠT TCVN 1651:2018</t>
        </is>
      </c>
    </row>
    <row r="728" ht="19" customHeight="1">
      <c r="A728" s="6" t="n">
        <v>696</v>
      </c>
      <c r="B728" s="7" t="inlineStr">
        <is>
          <t>Dầm chủ Super-T (15 phiến L=38.2m)</t>
        </is>
      </c>
      <c r="C728" s="7" t="inlineStr">
        <is>
          <t>Sườn dầm / Cánh dầm</t>
        </is>
      </c>
      <c r="D728" s="18" t="inlineStr">
        <is>
          <t>K1a</t>
        </is>
      </c>
      <c r="E728" s="19" t="n">
        <v>16</v>
      </c>
      <c r="F728" s="6" t="inlineStr">
        <is>
          <t>CB400-V</t>
        </is>
      </c>
      <c r="G728" s="7" t="inlineStr">
        <is>
          <t>S06</t>
        </is>
      </c>
      <c r="H728" s="20" t="n">
        <v>1.14</v>
      </c>
      <c r="I728" s="21" t="n">
        <v>120</v>
      </c>
      <c r="J728" s="22" t="n">
        <v>1.58</v>
      </c>
      <c r="K728" s="9">
        <f>ROUND(H728*I728*J728, 2)</f>
        <v/>
      </c>
      <c r="L728" s="23">
        <f>ROUND(K728/1000, 3)</f>
        <v/>
      </c>
      <c r="M728" s="8" t="n"/>
      <c r="N728" s="6" t="n"/>
      <c r="O728" s="24">
        <f>IF(AND(E728&lt;=10, F728&lt;&gt;"ASTM A416", INT(P728/20)&gt;INT(P727/20)), "TN Ø10 (Lần " &amp; INT(P728/20) &amp; ")", IF(AND(E728=12, INT(Q728/20)&gt;INT(Q727/20)), "TN Ø12 (Lần " &amp; INT(Q728/20) &amp; ")", IF(AND(E728=14, INT(R728/20)&gt;INT(R727/20)), "TN Ø14 (Lần " &amp; INT(R728/20) &amp; ")", IF(AND(E728=16, INT(S728/20)&gt;INT(S727/20)), "TN Ø16 (Lần " &amp; INT(S728/20) &amp; ")", IF(AND(E728=18, INT(T728/20)&gt;INT(T727/20)), "TN Ø18 (Lần " &amp; INT(T728/20) &amp; ")", IF(AND(E728=20, INT(U728/20)&gt;INT(U727/20)), "TN Ø20 (Lần " &amp; INT(U728/20) &amp; ")", IF(AND(E728=22, INT(V728/20)&gt;INT(V727/20)), "TN Ø22 (Lần " &amp; INT(V728/20) &amp; ")", IF(AND(E728=25, INT(W728/20)&gt;INT(W727/20)), "TN Ø25 (Lần " &amp; INT(W728/20) &amp; ")", IF(AND(E728=28, INT(X728/20)&gt;INT(X727/20)), "TN Ø28 (Lần " &amp; INT(X728/20) &amp; ")", IF(AND(E728=32, INT(Y728/20)&gt;INT(Y727/20)), "TN Ø32 (Lần " &amp; INT(Y728/20) &amp; ")", IF(AND(F728="ASTM A416", INT(Z728/20)&gt;INT(Z727/20)), "TN Cáp 15.2 (Lần " &amp; INT(Z728/20) &amp; ")", "")))))))))))</f>
        <v/>
      </c>
      <c r="P728" s="20">
        <f>ROUND(P727 + IF(AND(E728&lt;=10, F728&lt;&gt;"ASTM A416"), L728, 0), 3)</f>
        <v/>
      </c>
      <c r="Q728" s="20">
        <f>ROUND(Q727 + IF(AND(E728=12, F728&lt;&gt;"ASTM A416"), L728, 0), 3)</f>
        <v/>
      </c>
      <c r="R728" s="20">
        <f>ROUND(R727 + IF(AND(E728=14, F728&lt;&gt;"ASTM A416"), L728, 0), 3)</f>
        <v/>
      </c>
      <c r="S728" s="20">
        <f>ROUND(S727 + IF(AND(E728=16, F728&lt;&gt;"ASTM A416"), L728, 0), 3)</f>
        <v/>
      </c>
      <c r="T728" s="20">
        <f>ROUND(T727 + IF(AND(E728=18, F728&lt;&gt;"ASTM A416"), L728, 0), 3)</f>
        <v/>
      </c>
      <c r="U728" s="20">
        <f>ROUND(U727 + IF(AND(E728=20, F728&lt;&gt;"ASTM A416"), L728, 0), 3)</f>
        <v/>
      </c>
      <c r="V728" s="20">
        <f>ROUND(V727 + IF(AND(E728=22, F728&lt;&gt;"ASTM A416"), L728, 0), 3)</f>
        <v/>
      </c>
      <c r="W728" s="20">
        <f>ROUND(W727 + IF(AND(E728=25, F728&lt;&gt;"ASTM A416"), L728, 0), 3)</f>
        <v/>
      </c>
      <c r="X728" s="20">
        <f>ROUND(X727 + IF(AND(E728=28, F728&lt;&gt;"ASTM A416"), L728, 0), 3)</f>
        <v/>
      </c>
      <c r="Y728" s="20">
        <f>ROUND(Y727 + IF(AND(E728=32, F728&lt;&gt;"ASTM A416"), L728, 0), 3)</f>
        <v/>
      </c>
      <c r="Z728" s="20">
        <f>ROUND(Z727 + IF(F728="ASTM A416", L728, 0), 3)</f>
        <v/>
      </c>
      <c r="AA728" s="11">
        <f>IF(INT(P728/20)&gt;INT(P727/20), "Lần " &amp; INT(P728/20), "")</f>
        <v/>
      </c>
      <c r="AB728" s="11">
        <f>IF(INT(Q728/20)&gt;INT(Q727/20), "Lần " &amp; INT(Q728/20), "")</f>
        <v/>
      </c>
      <c r="AC728" s="11">
        <f>IF(INT(R728/20)&gt;INT(R727/20), "Lần " &amp; INT(R728/20), "")</f>
        <v/>
      </c>
      <c r="AD728" s="11">
        <f>IF(INT(S728/20)&gt;INT(S727/20), "Lần " &amp; INT(S728/20), "")</f>
        <v/>
      </c>
      <c r="AE728" s="11">
        <f>IF(INT(T728/20)&gt;INT(T727/20), "Lần " &amp; INT(T728/20), "")</f>
        <v/>
      </c>
      <c r="AF728" s="11">
        <f>IF(INT(U728/20)&gt;INT(U727/20), "Lần " &amp; INT(U728/20), "")</f>
        <v/>
      </c>
      <c r="AG728" s="11">
        <f>IF(INT(V728/20)&gt;INT(V727/20), "Lần " &amp; INT(V728/20), "")</f>
        <v/>
      </c>
      <c r="AH728" s="11">
        <f>IF(INT(W728/20)&gt;INT(W727/20), "Lần " &amp; INT(W728/20), "")</f>
        <v/>
      </c>
      <c r="AI728" s="11">
        <f>IF(INT(X728/20)&gt;INT(X727/20), "Lần " &amp; INT(X728/20), "")</f>
        <v/>
      </c>
      <c r="AJ728" s="11">
        <f>IF(INT(Y728/20)&gt;INT(Y727/20), "Lần " &amp; INT(Y728/20), "")</f>
        <v/>
      </c>
      <c r="AK728" s="11">
        <f>IF(INT(Z728/20)&gt;INT(Z727/20), "Lần " &amp; INT(Z728/20), "")</f>
        <v/>
      </c>
      <c r="AL728" s="6" t="inlineStr">
        <is>
          <t>ĐẠT TCVN 1651:2018</t>
        </is>
      </c>
    </row>
    <row r="729" ht="19" customHeight="1">
      <c r="A729" s="6" t="n">
        <v>697</v>
      </c>
      <c r="B729" s="7" t="inlineStr">
        <is>
          <t>Dầm chủ Super-T (15 phiến L=38.2m)</t>
        </is>
      </c>
      <c r="C729" s="7" t="inlineStr">
        <is>
          <t>Sườn dầm / Cánh dầm</t>
        </is>
      </c>
      <c r="D729" s="18" t="inlineStr">
        <is>
          <t>K1b</t>
        </is>
      </c>
      <c r="E729" s="19" t="n">
        <v>16</v>
      </c>
      <c r="F729" s="6" t="inlineStr">
        <is>
          <t>CB400-V</t>
        </is>
      </c>
      <c r="G729" s="7" t="inlineStr">
        <is>
          <t>S06</t>
        </is>
      </c>
      <c r="H729" s="20" t="n">
        <v>0.864</v>
      </c>
      <c r="I729" s="21" t="n">
        <v>120</v>
      </c>
      <c r="J729" s="22" t="n">
        <v>1.58</v>
      </c>
      <c r="K729" s="9">
        <f>ROUND(H729*I729*J729, 2)</f>
        <v/>
      </c>
      <c r="L729" s="23">
        <f>ROUND(K729/1000, 3)</f>
        <v/>
      </c>
      <c r="M729" s="8" t="n"/>
      <c r="N729" s="6" t="n"/>
      <c r="O729" s="24">
        <f>IF(AND(E729&lt;=10, F729&lt;&gt;"ASTM A416", INT(P729/20)&gt;INT(P728/20)), "TN Ø10 (Lần " &amp; INT(P729/20) &amp; ")", IF(AND(E729=12, INT(Q729/20)&gt;INT(Q728/20)), "TN Ø12 (Lần " &amp; INT(Q729/20) &amp; ")", IF(AND(E729=14, INT(R729/20)&gt;INT(R728/20)), "TN Ø14 (Lần " &amp; INT(R729/20) &amp; ")", IF(AND(E729=16, INT(S729/20)&gt;INT(S728/20)), "TN Ø16 (Lần " &amp; INT(S729/20) &amp; ")", IF(AND(E729=18, INT(T729/20)&gt;INT(T728/20)), "TN Ø18 (Lần " &amp; INT(T729/20) &amp; ")", IF(AND(E729=20, INT(U729/20)&gt;INT(U728/20)), "TN Ø20 (Lần " &amp; INT(U729/20) &amp; ")", IF(AND(E729=22, INT(V729/20)&gt;INT(V728/20)), "TN Ø22 (Lần " &amp; INT(V729/20) &amp; ")", IF(AND(E729=25, INT(W729/20)&gt;INT(W728/20)), "TN Ø25 (Lần " &amp; INT(W729/20) &amp; ")", IF(AND(E729=28, INT(X729/20)&gt;INT(X728/20)), "TN Ø28 (Lần " &amp; INT(X729/20) &amp; ")", IF(AND(E729=32, INT(Y729/20)&gt;INT(Y728/20)), "TN Ø32 (Lần " &amp; INT(Y729/20) &amp; ")", IF(AND(F729="ASTM A416", INT(Z729/20)&gt;INT(Z728/20)), "TN Cáp 15.2 (Lần " &amp; INT(Z729/20) &amp; ")", "")))))))))))</f>
        <v/>
      </c>
      <c r="P729" s="20">
        <f>ROUND(P728 + IF(AND(E729&lt;=10, F729&lt;&gt;"ASTM A416"), L729, 0), 3)</f>
        <v/>
      </c>
      <c r="Q729" s="20">
        <f>ROUND(Q728 + IF(AND(E729=12, F729&lt;&gt;"ASTM A416"), L729, 0), 3)</f>
        <v/>
      </c>
      <c r="R729" s="20">
        <f>ROUND(R728 + IF(AND(E729=14, F729&lt;&gt;"ASTM A416"), L729, 0), 3)</f>
        <v/>
      </c>
      <c r="S729" s="20">
        <f>ROUND(S728 + IF(AND(E729=16, F729&lt;&gt;"ASTM A416"), L729, 0), 3)</f>
        <v/>
      </c>
      <c r="T729" s="20">
        <f>ROUND(T728 + IF(AND(E729=18, F729&lt;&gt;"ASTM A416"), L729, 0), 3)</f>
        <v/>
      </c>
      <c r="U729" s="20">
        <f>ROUND(U728 + IF(AND(E729=20, F729&lt;&gt;"ASTM A416"), L729, 0), 3)</f>
        <v/>
      </c>
      <c r="V729" s="20">
        <f>ROUND(V728 + IF(AND(E729=22, F729&lt;&gt;"ASTM A416"), L729, 0), 3)</f>
        <v/>
      </c>
      <c r="W729" s="20">
        <f>ROUND(W728 + IF(AND(E729=25, F729&lt;&gt;"ASTM A416"), L729, 0), 3)</f>
        <v/>
      </c>
      <c r="X729" s="20">
        <f>ROUND(X728 + IF(AND(E729=28, F729&lt;&gt;"ASTM A416"), L729, 0), 3)</f>
        <v/>
      </c>
      <c r="Y729" s="20">
        <f>ROUND(Y728 + IF(AND(E729=32, F729&lt;&gt;"ASTM A416"), L729, 0), 3)</f>
        <v/>
      </c>
      <c r="Z729" s="20">
        <f>ROUND(Z728 + IF(F729="ASTM A416", L729, 0), 3)</f>
        <v/>
      </c>
      <c r="AA729" s="11">
        <f>IF(INT(P729/20)&gt;INT(P728/20), "Lần " &amp; INT(P729/20), "")</f>
        <v/>
      </c>
      <c r="AB729" s="11">
        <f>IF(INT(Q729/20)&gt;INT(Q728/20), "Lần " &amp; INT(Q729/20), "")</f>
        <v/>
      </c>
      <c r="AC729" s="11">
        <f>IF(INT(R729/20)&gt;INT(R728/20), "Lần " &amp; INT(R729/20), "")</f>
        <v/>
      </c>
      <c r="AD729" s="11">
        <f>IF(INT(S729/20)&gt;INT(S728/20), "Lần " &amp; INT(S729/20), "")</f>
        <v/>
      </c>
      <c r="AE729" s="11">
        <f>IF(INT(T729/20)&gt;INT(T728/20), "Lần " &amp; INT(T729/20), "")</f>
        <v/>
      </c>
      <c r="AF729" s="11">
        <f>IF(INT(U729/20)&gt;INT(U728/20), "Lần " &amp; INT(U729/20), "")</f>
        <v/>
      </c>
      <c r="AG729" s="11">
        <f>IF(INT(V729/20)&gt;INT(V728/20), "Lần " &amp; INT(V729/20), "")</f>
        <v/>
      </c>
      <c r="AH729" s="11">
        <f>IF(INT(W729/20)&gt;INT(W728/20), "Lần " &amp; INT(W729/20), "")</f>
        <v/>
      </c>
      <c r="AI729" s="11">
        <f>IF(INT(X729/20)&gt;INT(X728/20), "Lần " &amp; INT(X729/20), "")</f>
        <v/>
      </c>
      <c r="AJ729" s="11">
        <f>IF(INT(Y729/20)&gt;INT(Y728/20), "Lần " &amp; INT(Y729/20), "")</f>
        <v/>
      </c>
      <c r="AK729" s="11">
        <f>IF(INT(Z729/20)&gt;INT(Z728/20), "Lần " &amp; INT(Z729/20), "")</f>
        <v/>
      </c>
      <c r="AL729" s="6" t="inlineStr">
        <is>
          <t>ĐẠT TCVN 1651:2018</t>
        </is>
      </c>
    </row>
    <row r="730" ht="19" customHeight="1">
      <c r="A730" s="6" t="n">
        <v>698</v>
      </c>
      <c r="B730" s="7" t="inlineStr">
        <is>
          <t>Dầm chủ Super-T (15 phiến L=38.2m)</t>
        </is>
      </c>
      <c r="C730" s="7" t="inlineStr">
        <is>
          <t>Sườn dầm / Cánh dầm</t>
        </is>
      </c>
      <c r="D730" s="18" t="inlineStr">
        <is>
          <t>G1a</t>
        </is>
      </c>
      <c r="E730" s="19" t="n">
        <v>16</v>
      </c>
      <c r="F730" s="6" t="inlineStr">
        <is>
          <t>CB400-V</t>
        </is>
      </c>
      <c r="G730" s="7" t="inlineStr">
        <is>
          <t>S06</t>
        </is>
      </c>
      <c r="H730" s="20" t="n">
        <v>5.056</v>
      </c>
      <c r="I730" s="21" t="n">
        <v>2160</v>
      </c>
      <c r="J730" s="22" t="n">
        <v>1.58</v>
      </c>
      <c r="K730" s="9">
        <f>ROUND(H730*I730*J730, 2)</f>
        <v/>
      </c>
      <c r="L730" s="23">
        <f>ROUND(K730/1000, 3)</f>
        <v/>
      </c>
      <c r="M730" s="8" t="n"/>
      <c r="N730" s="6" t="n"/>
      <c r="O730" s="24">
        <f>IF(AND(E730&lt;=10, F730&lt;&gt;"ASTM A416", INT(P730/20)&gt;INT(P729/20)), "TN Ø10 (Lần " &amp; INT(P730/20) &amp; ")", IF(AND(E730=12, INT(Q730/20)&gt;INT(Q729/20)), "TN Ø12 (Lần " &amp; INT(Q730/20) &amp; ")", IF(AND(E730=14, INT(R730/20)&gt;INT(R729/20)), "TN Ø14 (Lần " &amp; INT(R730/20) &amp; ")", IF(AND(E730=16, INT(S730/20)&gt;INT(S729/20)), "TN Ø16 (Lần " &amp; INT(S730/20) &amp; ")", IF(AND(E730=18, INT(T730/20)&gt;INT(T729/20)), "TN Ø18 (Lần " &amp; INT(T730/20) &amp; ")", IF(AND(E730=20, INT(U730/20)&gt;INT(U729/20)), "TN Ø20 (Lần " &amp; INT(U730/20) &amp; ")", IF(AND(E730=22, INT(V730/20)&gt;INT(V729/20)), "TN Ø22 (Lần " &amp; INT(V730/20) &amp; ")", IF(AND(E730=25, INT(W730/20)&gt;INT(W729/20)), "TN Ø25 (Lần " &amp; INT(W730/20) &amp; ")", IF(AND(E730=28, INT(X730/20)&gt;INT(X729/20)), "TN Ø28 (Lần " &amp; INT(X730/20) &amp; ")", IF(AND(E730=32, INT(Y730/20)&gt;INT(Y729/20)), "TN Ø32 (Lần " &amp; INT(Y730/20) &amp; ")", IF(AND(F730="ASTM A416", INT(Z730/20)&gt;INT(Z729/20)), "TN Cáp 15.2 (Lần " &amp; INT(Z730/20) &amp; ")", "")))))))))))</f>
        <v/>
      </c>
      <c r="P730" s="20">
        <f>ROUND(P729 + IF(AND(E730&lt;=10, F730&lt;&gt;"ASTM A416"), L730, 0), 3)</f>
        <v/>
      </c>
      <c r="Q730" s="20">
        <f>ROUND(Q729 + IF(AND(E730=12, F730&lt;&gt;"ASTM A416"), L730, 0), 3)</f>
        <v/>
      </c>
      <c r="R730" s="20">
        <f>ROUND(R729 + IF(AND(E730=14, F730&lt;&gt;"ASTM A416"), L730, 0), 3)</f>
        <v/>
      </c>
      <c r="S730" s="20">
        <f>ROUND(S729 + IF(AND(E730=16, F730&lt;&gt;"ASTM A416"), L730, 0), 3)</f>
        <v/>
      </c>
      <c r="T730" s="20">
        <f>ROUND(T729 + IF(AND(E730=18, F730&lt;&gt;"ASTM A416"), L730, 0), 3)</f>
        <v/>
      </c>
      <c r="U730" s="20">
        <f>ROUND(U729 + IF(AND(E730=20, F730&lt;&gt;"ASTM A416"), L730, 0), 3)</f>
        <v/>
      </c>
      <c r="V730" s="20">
        <f>ROUND(V729 + IF(AND(E730=22, F730&lt;&gt;"ASTM A416"), L730, 0), 3)</f>
        <v/>
      </c>
      <c r="W730" s="20">
        <f>ROUND(W729 + IF(AND(E730=25, F730&lt;&gt;"ASTM A416"), L730, 0), 3)</f>
        <v/>
      </c>
      <c r="X730" s="20">
        <f>ROUND(X729 + IF(AND(E730=28, F730&lt;&gt;"ASTM A416"), L730, 0), 3)</f>
        <v/>
      </c>
      <c r="Y730" s="20">
        <f>ROUND(Y729 + IF(AND(E730=32, F730&lt;&gt;"ASTM A416"), L730, 0), 3)</f>
        <v/>
      </c>
      <c r="Z730" s="20">
        <f>ROUND(Z729 + IF(F730="ASTM A416", L730, 0), 3)</f>
        <v/>
      </c>
      <c r="AA730" s="11">
        <f>IF(INT(P730/20)&gt;INT(P729/20), "Lần " &amp; INT(P730/20), "")</f>
        <v/>
      </c>
      <c r="AB730" s="11">
        <f>IF(INT(Q730/20)&gt;INT(Q729/20), "Lần " &amp; INT(Q730/20), "")</f>
        <v/>
      </c>
      <c r="AC730" s="11">
        <f>IF(INT(R730/20)&gt;INT(R729/20), "Lần " &amp; INT(R730/20), "")</f>
        <v/>
      </c>
      <c r="AD730" s="11">
        <f>IF(INT(S730/20)&gt;INT(S729/20), "Lần " &amp; INT(S730/20), "")</f>
        <v/>
      </c>
      <c r="AE730" s="11">
        <f>IF(INT(T730/20)&gt;INT(T729/20), "Lần " &amp; INT(T730/20), "")</f>
        <v/>
      </c>
      <c r="AF730" s="11">
        <f>IF(INT(U730/20)&gt;INT(U729/20), "Lần " &amp; INT(U730/20), "")</f>
        <v/>
      </c>
      <c r="AG730" s="11">
        <f>IF(INT(V730/20)&gt;INT(V729/20), "Lần " &amp; INT(V730/20), "")</f>
        <v/>
      </c>
      <c r="AH730" s="11">
        <f>IF(INT(W730/20)&gt;INT(W729/20), "Lần " &amp; INT(W730/20), "")</f>
        <v/>
      </c>
      <c r="AI730" s="11">
        <f>IF(INT(X730/20)&gt;INT(X729/20), "Lần " &amp; INT(X730/20), "")</f>
        <v/>
      </c>
      <c r="AJ730" s="11">
        <f>IF(INT(Y730/20)&gt;INT(Y729/20), "Lần " &amp; INT(Y730/20), "")</f>
        <v/>
      </c>
      <c r="AK730" s="11">
        <f>IF(INT(Z730/20)&gt;INT(Z729/20), "Lần " &amp; INT(Z730/20), "")</f>
        <v/>
      </c>
      <c r="AL730" s="6" t="inlineStr">
        <is>
          <t>ĐẠT TCVN 1651:2018</t>
        </is>
      </c>
    </row>
    <row r="731" ht="19" customHeight="1">
      <c r="A731" s="6" t="n">
        <v>699</v>
      </c>
      <c r="B731" s="7" t="inlineStr">
        <is>
          <t>Dầm chủ Super-T (15 phiến L=38.2m)</t>
        </is>
      </c>
      <c r="C731" s="7" t="inlineStr">
        <is>
          <t>Sườn dầm / Cánh dầm</t>
        </is>
      </c>
      <c r="D731" s="18" t="inlineStr">
        <is>
          <t>G1b</t>
        </is>
      </c>
      <c r="E731" s="19" t="n">
        <v>12</v>
      </c>
      <c r="F731" s="6" t="inlineStr">
        <is>
          <t>CB400-V</t>
        </is>
      </c>
      <c r="G731" s="7" t="inlineStr">
        <is>
          <t>S06</t>
        </is>
      </c>
      <c r="H731" s="20" t="n">
        <v>5.075</v>
      </c>
      <c r="I731" s="21" t="n">
        <v>1875</v>
      </c>
      <c r="J731" s="22" t="n">
        <v>0.888</v>
      </c>
      <c r="K731" s="9">
        <f>ROUND(H731*I731*J731, 2)</f>
        <v/>
      </c>
      <c r="L731" s="23">
        <f>ROUND(K731/1000, 3)</f>
        <v/>
      </c>
      <c r="M731" s="8" t="n"/>
      <c r="N731" s="6" t="n"/>
      <c r="O731" s="24">
        <f>IF(AND(E731&lt;=10, F731&lt;&gt;"ASTM A416", INT(P731/20)&gt;INT(P730/20)), "TN Ø10 (Lần " &amp; INT(P731/20) &amp; ")", IF(AND(E731=12, INT(Q731/20)&gt;INT(Q730/20)), "TN Ø12 (Lần " &amp; INT(Q731/20) &amp; ")", IF(AND(E731=14, INT(R731/20)&gt;INT(R730/20)), "TN Ø14 (Lần " &amp; INT(R731/20) &amp; ")", IF(AND(E731=16, INT(S731/20)&gt;INT(S730/20)), "TN Ø16 (Lần " &amp; INT(S731/20) &amp; ")", IF(AND(E731=18, INT(T731/20)&gt;INT(T730/20)), "TN Ø18 (Lần " &amp; INT(T731/20) &amp; ")", IF(AND(E731=20, INT(U731/20)&gt;INT(U730/20)), "TN Ø20 (Lần " &amp; INT(U731/20) &amp; ")", IF(AND(E731=22, INT(V731/20)&gt;INT(V730/20)), "TN Ø22 (Lần " &amp; INT(V731/20) &amp; ")", IF(AND(E731=25, INT(W731/20)&gt;INT(W730/20)), "TN Ø25 (Lần " &amp; INT(W731/20) &amp; ")", IF(AND(E731=28, INT(X731/20)&gt;INT(X730/20)), "TN Ø28 (Lần " &amp; INT(X731/20) &amp; ")", IF(AND(E731=32, INT(Y731/20)&gt;INT(Y730/20)), "TN Ø32 (Lần " &amp; INT(Y731/20) &amp; ")", IF(AND(F731="ASTM A416", INT(Z731/20)&gt;INT(Z730/20)), "TN Cáp 15.2 (Lần " &amp; INT(Z731/20) &amp; ")", "")))))))))))</f>
        <v/>
      </c>
      <c r="P731" s="20">
        <f>ROUND(P730 + IF(AND(E731&lt;=10, F731&lt;&gt;"ASTM A416"), L731, 0), 3)</f>
        <v/>
      </c>
      <c r="Q731" s="20">
        <f>ROUND(Q730 + IF(AND(E731=12, F731&lt;&gt;"ASTM A416"), L731, 0), 3)</f>
        <v/>
      </c>
      <c r="R731" s="20">
        <f>ROUND(R730 + IF(AND(E731=14, F731&lt;&gt;"ASTM A416"), L731, 0), 3)</f>
        <v/>
      </c>
      <c r="S731" s="20">
        <f>ROUND(S730 + IF(AND(E731=16, F731&lt;&gt;"ASTM A416"), L731, 0), 3)</f>
        <v/>
      </c>
      <c r="T731" s="20">
        <f>ROUND(T730 + IF(AND(E731=18, F731&lt;&gt;"ASTM A416"), L731, 0), 3)</f>
        <v/>
      </c>
      <c r="U731" s="20">
        <f>ROUND(U730 + IF(AND(E731=20, F731&lt;&gt;"ASTM A416"), L731, 0), 3)</f>
        <v/>
      </c>
      <c r="V731" s="20">
        <f>ROUND(V730 + IF(AND(E731=22, F731&lt;&gt;"ASTM A416"), L731, 0), 3)</f>
        <v/>
      </c>
      <c r="W731" s="20">
        <f>ROUND(W730 + IF(AND(E731=25, F731&lt;&gt;"ASTM A416"), L731, 0), 3)</f>
        <v/>
      </c>
      <c r="X731" s="20">
        <f>ROUND(X730 + IF(AND(E731=28, F731&lt;&gt;"ASTM A416"), L731, 0), 3)</f>
        <v/>
      </c>
      <c r="Y731" s="20">
        <f>ROUND(Y730 + IF(AND(E731=32, F731&lt;&gt;"ASTM A416"), L731, 0), 3)</f>
        <v/>
      </c>
      <c r="Z731" s="20">
        <f>ROUND(Z730 + IF(F731="ASTM A416", L731, 0), 3)</f>
        <v/>
      </c>
      <c r="AA731" s="11">
        <f>IF(INT(P731/20)&gt;INT(P730/20), "Lần " &amp; INT(P731/20), "")</f>
        <v/>
      </c>
      <c r="AB731" s="11">
        <f>IF(INT(Q731/20)&gt;INT(Q730/20), "Lần " &amp; INT(Q731/20), "")</f>
        <v/>
      </c>
      <c r="AC731" s="11">
        <f>IF(INT(R731/20)&gt;INT(R730/20), "Lần " &amp; INT(R731/20), "")</f>
        <v/>
      </c>
      <c r="AD731" s="11">
        <f>IF(INT(S731/20)&gt;INT(S730/20), "Lần " &amp; INT(S731/20), "")</f>
        <v/>
      </c>
      <c r="AE731" s="11">
        <f>IF(INT(T731/20)&gt;INT(T730/20), "Lần " &amp; INT(T731/20), "")</f>
        <v/>
      </c>
      <c r="AF731" s="11">
        <f>IF(INT(U731/20)&gt;INT(U730/20), "Lần " &amp; INT(U731/20), "")</f>
        <v/>
      </c>
      <c r="AG731" s="11">
        <f>IF(INT(V731/20)&gt;INT(V730/20), "Lần " &amp; INT(V731/20), "")</f>
        <v/>
      </c>
      <c r="AH731" s="11">
        <f>IF(INT(W731/20)&gt;INT(W730/20), "Lần " &amp; INT(W731/20), "")</f>
        <v/>
      </c>
      <c r="AI731" s="11">
        <f>IF(INT(X731/20)&gt;INT(X730/20), "Lần " &amp; INT(X731/20), "")</f>
        <v/>
      </c>
      <c r="AJ731" s="11">
        <f>IF(INT(Y731/20)&gt;INT(Y730/20), "Lần " &amp; INT(Y731/20), "")</f>
        <v/>
      </c>
      <c r="AK731" s="11">
        <f>IF(INT(Z731/20)&gt;INT(Z730/20), "Lần " &amp; INT(Z731/20), "")</f>
        <v/>
      </c>
      <c r="AL731" s="6" t="inlineStr">
        <is>
          <t>ĐẠT TCVN 1651:2018</t>
        </is>
      </c>
    </row>
    <row r="732" ht="19" customHeight="1">
      <c r="A732" s="6" t="n">
        <v>700</v>
      </c>
      <c r="B732" s="7" t="inlineStr">
        <is>
          <t>Dầm chủ Super-T (15 phiến L=38.2m)</t>
        </is>
      </c>
      <c r="C732" s="7" t="inlineStr">
        <is>
          <t>Sườn dầm / Cánh dầm</t>
        </is>
      </c>
      <c r="D732" s="18" t="inlineStr">
        <is>
          <t>G2</t>
        </is>
      </c>
      <c r="E732" s="19" t="n">
        <v>12</v>
      </c>
      <c r="F732" s="6" t="inlineStr">
        <is>
          <t>CB400-V</t>
        </is>
      </c>
      <c r="G732" s="7" t="inlineStr">
        <is>
          <t>S06</t>
        </is>
      </c>
      <c r="H732" s="20" t="n">
        <v>1.184</v>
      </c>
      <c r="I732" s="21" t="n">
        <v>3825</v>
      </c>
      <c r="J732" s="22" t="n">
        <v>0.888</v>
      </c>
      <c r="K732" s="9">
        <f>ROUND(H732*I732*J732, 2)</f>
        <v/>
      </c>
      <c r="L732" s="23">
        <f>ROUND(K732/1000, 3)</f>
        <v/>
      </c>
      <c r="M732" s="8" t="n"/>
      <c r="N732" s="6" t="n"/>
      <c r="O732" s="24">
        <f>IF(AND(E732&lt;=10, F732&lt;&gt;"ASTM A416", INT(P732/20)&gt;INT(P731/20)), "TN Ø10 (Lần " &amp; INT(P732/20) &amp; ")", IF(AND(E732=12, INT(Q732/20)&gt;INT(Q731/20)), "TN Ø12 (Lần " &amp; INT(Q732/20) &amp; ")", IF(AND(E732=14, INT(R732/20)&gt;INT(R731/20)), "TN Ø14 (Lần " &amp; INT(R732/20) &amp; ")", IF(AND(E732=16, INT(S732/20)&gt;INT(S731/20)), "TN Ø16 (Lần " &amp; INT(S732/20) &amp; ")", IF(AND(E732=18, INT(T732/20)&gt;INT(T731/20)), "TN Ø18 (Lần " &amp; INT(T732/20) &amp; ")", IF(AND(E732=20, INT(U732/20)&gt;INT(U731/20)), "TN Ø20 (Lần " &amp; INT(U732/20) &amp; ")", IF(AND(E732=22, INT(V732/20)&gt;INT(V731/20)), "TN Ø22 (Lần " &amp; INT(V732/20) &amp; ")", IF(AND(E732=25, INT(W732/20)&gt;INT(W731/20)), "TN Ø25 (Lần " &amp; INT(W732/20) &amp; ")", IF(AND(E732=28, INT(X732/20)&gt;INT(X731/20)), "TN Ø28 (Lần " &amp; INT(X732/20) &amp; ")", IF(AND(E732=32, INT(Y732/20)&gt;INT(Y731/20)), "TN Ø32 (Lần " &amp; INT(Y732/20) &amp; ")", IF(AND(F732="ASTM A416", INT(Z732/20)&gt;INT(Z731/20)), "TN Cáp 15.2 (Lần " &amp; INT(Z732/20) &amp; ")", "")))))))))))</f>
        <v/>
      </c>
      <c r="P732" s="20">
        <f>ROUND(P731 + IF(AND(E732&lt;=10, F732&lt;&gt;"ASTM A416"), L732, 0), 3)</f>
        <v/>
      </c>
      <c r="Q732" s="20">
        <f>ROUND(Q731 + IF(AND(E732=12, F732&lt;&gt;"ASTM A416"), L732, 0), 3)</f>
        <v/>
      </c>
      <c r="R732" s="20">
        <f>ROUND(R731 + IF(AND(E732=14, F732&lt;&gt;"ASTM A416"), L732, 0), 3)</f>
        <v/>
      </c>
      <c r="S732" s="20">
        <f>ROUND(S731 + IF(AND(E732=16, F732&lt;&gt;"ASTM A416"), L732, 0), 3)</f>
        <v/>
      </c>
      <c r="T732" s="20">
        <f>ROUND(T731 + IF(AND(E732=18, F732&lt;&gt;"ASTM A416"), L732, 0), 3)</f>
        <v/>
      </c>
      <c r="U732" s="20">
        <f>ROUND(U731 + IF(AND(E732=20, F732&lt;&gt;"ASTM A416"), L732, 0), 3)</f>
        <v/>
      </c>
      <c r="V732" s="20">
        <f>ROUND(V731 + IF(AND(E732=22, F732&lt;&gt;"ASTM A416"), L732, 0), 3)</f>
        <v/>
      </c>
      <c r="W732" s="20">
        <f>ROUND(W731 + IF(AND(E732=25, F732&lt;&gt;"ASTM A416"), L732, 0), 3)</f>
        <v/>
      </c>
      <c r="X732" s="20">
        <f>ROUND(X731 + IF(AND(E732=28, F732&lt;&gt;"ASTM A416"), L732, 0), 3)</f>
        <v/>
      </c>
      <c r="Y732" s="20">
        <f>ROUND(Y731 + IF(AND(E732=32, F732&lt;&gt;"ASTM A416"), L732, 0), 3)</f>
        <v/>
      </c>
      <c r="Z732" s="20">
        <f>ROUND(Z731 + IF(F732="ASTM A416", L732, 0), 3)</f>
        <v/>
      </c>
      <c r="AA732" s="11">
        <f>IF(INT(P732/20)&gt;INT(P731/20), "Lần " &amp; INT(P732/20), "")</f>
        <v/>
      </c>
      <c r="AB732" s="11">
        <f>IF(INT(Q732/20)&gt;INT(Q731/20), "Lần " &amp; INT(Q732/20), "")</f>
        <v/>
      </c>
      <c r="AC732" s="11">
        <f>IF(INT(R732/20)&gt;INT(R731/20), "Lần " &amp; INT(R732/20), "")</f>
        <v/>
      </c>
      <c r="AD732" s="11">
        <f>IF(INT(S732/20)&gt;INT(S731/20), "Lần " &amp; INT(S732/20), "")</f>
        <v/>
      </c>
      <c r="AE732" s="11">
        <f>IF(INT(T732/20)&gt;INT(T731/20), "Lần " &amp; INT(T732/20), "")</f>
        <v/>
      </c>
      <c r="AF732" s="11">
        <f>IF(INT(U732/20)&gt;INT(U731/20), "Lần " &amp; INT(U732/20), "")</f>
        <v/>
      </c>
      <c r="AG732" s="11">
        <f>IF(INT(V732/20)&gt;INT(V731/20), "Lần " &amp; INT(V732/20), "")</f>
        <v/>
      </c>
      <c r="AH732" s="11">
        <f>IF(INT(W732/20)&gt;INT(W731/20), "Lần " &amp; INT(W732/20), "")</f>
        <v/>
      </c>
      <c r="AI732" s="11">
        <f>IF(INT(X732/20)&gt;INT(X731/20), "Lần " &amp; INT(X732/20), "")</f>
        <v/>
      </c>
      <c r="AJ732" s="11">
        <f>IF(INT(Y732/20)&gt;INT(Y731/20), "Lần " &amp; INT(Y732/20), "")</f>
        <v/>
      </c>
      <c r="AK732" s="11">
        <f>IF(INT(Z732/20)&gt;INT(Z731/20), "Lần " &amp; INT(Z732/20), "")</f>
        <v/>
      </c>
      <c r="AL732" s="6" t="inlineStr">
        <is>
          <t>ĐẠT TCVN 1651:2018</t>
        </is>
      </c>
    </row>
    <row r="733" ht="19" customHeight="1">
      <c r="A733" s="6" t="n">
        <v>701</v>
      </c>
      <c r="B733" s="7" t="inlineStr">
        <is>
          <t>Dầm chủ Super-T (15 phiến L=38.2m)</t>
        </is>
      </c>
      <c r="C733" s="7" t="inlineStr">
        <is>
          <t>Sườn dầm / Cánh dầm</t>
        </is>
      </c>
      <c r="D733" s="18" t="inlineStr">
        <is>
          <t>G2a</t>
        </is>
      </c>
      <c r="E733" s="19" t="n">
        <v>12</v>
      </c>
      <c r="F733" s="6" t="inlineStr">
        <is>
          <t>CB400-V</t>
        </is>
      </c>
      <c r="G733" s="7" t="inlineStr">
        <is>
          <t>S06</t>
        </is>
      </c>
      <c r="H733" s="20" t="n">
        <v>1.219</v>
      </c>
      <c r="I733" s="21" t="n">
        <v>4035</v>
      </c>
      <c r="J733" s="22" t="n">
        <v>0.888</v>
      </c>
      <c r="K733" s="9">
        <f>ROUND(H733*I733*J733, 2)</f>
        <v/>
      </c>
      <c r="L733" s="23">
        <f>ROUND(K733/1000, 3)</f>
        <v/>
      </c>
      <c r="M733" s="8" t="n"/>
      <c r="N733" s="6" t="n"/>
      <c r="O733" s="24">
        <f>IF(AND(E733&lt;=10, F733&lt;&gt;"ASTM A416", INT(P733/20)&gt;INT(P732/20)), "TN Ø10 (Lần " &amp; INT(P733/20) &amp; ")", IF(AND(E733=12, INT(Q733/20)&gt;INT(Q732/20)), "TN Ø12 (Lần " &amp; INT(Q733/20) &amp; ")", IF(AND(E733=14, INT(R733/20)&gt;INT(R732/20)), "TN Ø14 (Lần " &amp; INT(R733/20) &amp; ")", IF(AND(E733=16, INT(S733/20)&gt;INT(S732/20)), "TN Ø16 (Lần " &amp; INT(S733/20) &amp; ")", IF(AND(E733=18, INT(T733/20)&gt;INT(T732/20)), "TN Ø18 (Lần " &amp; INT(T733/20) &amp; ")", IF(AND(E733=20, INT(U733/20)&gt;INT(U732/20)), "TN Ø20 (Lần " &amp; INT(U733/20) &amp; ")", IF(AND(E733=22, INT(V733/20)&gt;INT(V732/20)), "TN Ø22 (Lần " &amp; INT(V733/20) &amp; ")", IF(AND(E733=25, INT(W733/20)&gt;INT(W732/20)), "TN Ø25 (Lần " &amp; INT(W733/20) &amp; ")", IF(AND(E733=28, INT(X733/20)&gt;INT(X732/20)), "TN Ø28 (Lần " &amp; INT(X733/20) &amp; ")", IF(AND(E733=32, INT(Y733/20)&gt;INT(Y732/20)), "TN Ø32 (Lần " &amp; INT(Y733/20) &amp; ")", IF(AND(F733="ASTM A416", INT(Z733/20)&gt;INT(Z732/20)), "TN Cáp 15.2 (Lần " &amp; INT(Z733/20) &amp; ")", "")))))))))))</f>
        <v/>
      </c>
      <c r="P733" s="20">
        <f>ROUND(P732 + IF(AND(E733&lt;=10, F733&lt;&gt;"ASTM A416"), L733, 0), 3)</f>
        <v/>
      </c>
      <c r="Q733" s="20">
        <f>ROUND(Q732 + IF(AND(E733=12, F733&lt;&gt;"ASTM A416"), L733, 0), 3)</f>
        <v/>
      </c>
      <c r="R733" s="20">
        <f>ROUND(R732 + IF(AND(E733=14, F733&lt;&gt;"ASTM A416"), L733, 0), 3)</f>
        <v/>
      </c>
      <c r="S733" s="20">
        <f>ROUND(S732 + IF(AND(E733=16, F733&lt;&gt;"ASTM A416"), L733, 0), 3)</f>
        <v/>
      </c>
      <c r="T733" s="20">
        <f>ROUND(T732 + IF(AND(E733=18, F733&lt;&gt;"ASTM A416"), L733, 0), 3)</f>
        <v/>
      </c>
      <c r="U733" s="20">
        <f>ROUND(U732 + IF(AND(E733=20, F733&lt;&gt;"ASTM A416"), L733, 0), 3)</f>
        <v/>
      </c>
      <c r="V733" s="20">
        <f>ROUND(V732 + IF(AND(E733=22, F733&lt;&gt;"ASTM A416"), L733, 0), 3)</f>
        <v/>
      </c>
      <c r="W733" s="20">
        <f>ROUND(W732 + IF(AND(E733=25, F733&lt;&gt;"ASTM A416"), L733, 0), 3)</f>
        <v/>
      </c>
      <c r="X733" s="20">
        <f>ROUND(X732 + IF(AND(E733=28, F733&lt;&gt;"ASTM A416"), L733, 0), 3)</f>
        <v/>
      </c>
      <c r="Y733" s="20">
        <f>ROUND(Y732 + IF(AND(E733=32, F733&lt;&gt;"ASTM A416"), L733, 0), 3)</f>
        <v/>
      </c>
      <c r="Z733" s="20">
        <f>ROUND(Z732 + IF(F733="ASTM A416", L733, 0), 3)</f>
        <v/>
      </c>
      <c r="AA733" s="11">
        <f>IF(INT(P733/20)&gt;INT(P732/20), "Lần " &amp; INT(P733/20), "")</f>
        <v/>
      </c>
      <c r="AB733" s="11">
        <f>IF(INT(Q733/20)&gt;INT(Q732/20), "Lần " &amp; INT(Q733/20), "")</f>
        <v/>
      </c>
      <c r="AC733" s="11">
        <f>IF(INT(R733/20)&gt;INT(R732/20), "Lần " &amp; INT(R733/20), "")</f>
        <v/>
      </c>
      <c r="AD733" s="11">
        <f>IF(INT(S733/20)&gt;INT(S732/20), "Lần " &amp; INT(S733/20), "")</f>
        <v/>
      </c>
      <c r="AE733" s="11">
        <f>IF(INT(T733/20)&gt;INT(T732/20), "Lần " &amp; INT(T733/20), "")</f>
        <v/>
      </c>
      <c r="AF733" s="11">
        <f>IF(INT(U733/20)&gt;INT(U732/20), "Lần " &amp; INT(U733/20), "")</f>
        <v/>
      </c>
      <c r="AG733" s="11">
        <f>IF(INT(V733/20)&gt;INT(V732/20), "Lần " &amp; INT(V733/20), "")</f>
        <v/>
      </c>
      <c r="AH733" s="11">
        <f>IF(INT(W733/20)&gt;INT(W732/20), "Lần " &amp; INT(W733/20), "")</f>
        <v/>
      </c>
      <c r="AI733" s="11">
        <f>IF(INT(X733/20)&gt;INT(X732/20), "Lần " &amp; INT(X733/20), "")</f>
        <v/>
      </c>
      <c r="AJ733" s="11">
        <f>IF(INT(Y733/20)&gt;INT(Y732/20), "Lần " &amp; INT(Y733/20), "")</f>
        <v/>
      </c>
      <c r="AK733" s="11">
        <f>IF(INT(Z733/20)&gt;INT(Z732/20), "Lần " &amp; INT(Z733/20), "")</f>
        <v/>
      </c>
      <c r="AL733" s="6" t="inlineStr">
        <is>
          <t>ĐẠT TCVN 1651:2018</t>
        </is>
      </c>
    </row>
    <row r="734" ht="19" customHeight="1">
      <c r="A734" s="6" t="n">
        <v>702</v>
      </c>
      <c r="B734" s="7" t="inlineStr">
        <is>
          <t>Dầm chủ Super-T (15 phiến L=38.2m)</t>
        </is>
      </c>
      <c r="C734" s="7" t="inlineStr">
        <is>
          <t>Sườn dầm / Cánh dầm</t>
        </is>
      </c>
      <c r="D734" s="18" t="inlineStr">
        <is>
          <t>G3</t>
        </is>
      </c>
      <c r="E734" s="19" t="n">
        <v>12</v>
      </c>
      <c r="F734" s="6" t="inlineStr">
        <is>
          <t>CB400-V</t>
        </is>
      </c>
      <c r="G734" s="7" t="inlineStr">
        <is>
          <t>S06</t>
        </is>
      </c>
      <c r="H734" s="20" t="n">
        <v>1.259</v>
      </c>
      <c r="I734" s="21" t="n">
        <v>4035</v>
      </c>
      <c r="J734" s="22" t="n">
        <v>0.888</v>
      </c>
      <c r="K734" s="9">
        <f>ROUND(H734*I734*J734, 2)</f>
        <v/>
      </c>
      <c r="L734" s="23">
        <f>ROUND(K734/1000, 3)</f>
        <v/>
      </c>
      <c r="M734" s="8" t="n"/>
      <c r="N734" s="6" t="n"/>
      <c r="O734" s="24">
        <f>IF(AND(E734&lt;=10, F734&lt;&gt;"ASTM A416", INT(P734/20)&gt;INT(P733/20)), "TN Ø10 (Lần " &amp; INT(P734/20) &amp; ")", IF(AND(E734=12, INT(Q734/20)&gt;INT(Q733/20)), "TN Ø12 (Lần " &amp; INT(Q734/20) &amp; ")", IF(AND(E734=14, INT(R734/20)&gt;INT(R733/20)), "TN Ø14 (Lần " &amp; INT(R734/20) &amp; ")", IF(AND(E734=16, INT(S734/20)&gt;INT(S733/20)), "TN Ø16 (Lần " &amp; INT(S734/20) &amp; ")", IF(AND(E734=18, INT(T734/20)&gt;INT(T733/20)), "TN Ø18 (Lần " &amp; INT(T734/20) &amp; ")", IF(AND(E734=20, INT(U734/20)&gt;INT(U733/20)), "TN Ø20 (Lần " &amp; INT(U734/20) &amp; ")", IF(AND(E734=22, INT(V734/20)&gt;INT(V733/20)), "TN Ø22 (Lần " &amp; INT(V734/20) &amp; ")", IF(AND(E734=25, INT(W734/20)&gt;INT(W733/20)), "TN Ø25 (Lần " &amp; INT(W734/20) &amp; ")", IF(AND(E734=28, INT(X734/20)&gt;INT(X733/20)), "TN Ø28 (Lần " &amp; INT(X734/20) &amp; ")", IF(AND(E734=32, INT(Y734/20)&gt;INT(Y733/20)), "TN Ø32 (Lần " &amp; INT(Y734/20) &amp; ")", IF(AND(F734="ASTM A416", INT(Z734/20)&gt;INT(Z733/20)), "TN Cáp 15.2 (Lần " &amp; INT(Z734/20) &amp; ")", "")))))))))))</f>
        <v/>
      </c>
      <c r="P734" s="20">
        <f>ROUND(P733 + IF(AND(E734&lt;=10, F734&lt;&gt;"ASTM A416"), L734, 0), 3)</f>
        <v/>
      </c>
      <c r="Q734" s="20">
        <f>ROUND(Q733 + IF(AND(E734=12, F734&lt;&gt;"ASTM A416"), L734, 0), 3)</f>
        <v/>
      </c>
      <c r="R734" s="20">
        <f>ROUND(R733 + IF(AND(E734=14, F734&lt;&gt;"ASTM A416"), L734, 0), 3)</f>
        <v/>
      </c>
      <c r="S734" s="20">
        <f>ROUND(S733 + IF(AND(E734=16, F734&lt;&gt;"ASTM A416"), L734, 0), 3)</f>
        <v/>
      </c>
      <c r="T734" s="20">
        <f>ROUND(T733 + IF(AND(E734=18, F734&lt;&gt;"ASTM A416"), L734, 0), 3)</f>
        <v/>
      </c>
      <c r="U734" s="20">
        <f>ROUND(U733 + IF(AND(E734=20, F734&lt;&gt;"ASTM A416"), L734, 0), 3)</f>
        <v/>
      </c>
      <c r="V734" s="20">
        <f>ROUND(V733 + IF(AND(E734=22, F734&lt;&gt;"ASTM A416"), L734, 0), 3)</f>
        <v/>
      </c>
      <c r="W734" s="20">
        <f>ROUND(W733 + IF(AND(E734=25, F734&lt;&gt;"ASTM A416"), L734, 0), 3)</f>
        <v/>
      </c>
      <c r="X734" s="20">
        <f>ROUND(X733 + IF(AND(E734=28, F734&lt;&gt;"ASTM A416"), L734, 0), 3)</f>
        <v/>
      </c>
      <c r="Y734" s="20">
        <f>ROUND(Y733 + IF(AND(E734=32, F734&lt;&gt;"ASTM A416"), L734, 0), 3)</f>
        <v/>
      </c>
      <c r="Z734" s="20">
        <f>ROUND(Z733 + IF(F734="ASTM A416", L734, 0), 3)</f>
        <v/>
      </c>
      <c r="AA734" s="11">
        <f>IF(INT(P734/20)&gt;INT(P733/20), "Lần " &amp; INT(P734/20), "")</f>
        <v/>
      </c>
      <c r="AB734" s="11">
        <f>IF(INT(Q734/20)&gt;INT(Q733/20), "Lần " &amp; INT(Q734/20), "")</f>
        <v/>
      </c>
      <c r="AC734" s="11">
        <f>IF(INT(R734/20)&gt;INT(R733/20), "Lần " &amp; INT(R734/20), "")</f>
        <v/>
      </c>
      <c r="AD734" s="11">
        <f>IF(INT(S734/20)&gt;INT(S733/20), "Lần " &amp; INT(S734/20), "")</f>
        <v/>
      </c>
      <c r="AE734" s="11">
        <f>IF(INT(T734/20)&gt;INT(T733/20), "Lần " &amp; INT(T734/20), "")</f>
        <v/>
      </c>
      <c r="AF734" s="11">
        <f>IF(INT(U734/20)&gt;INT(U733/20), "Lần " &amp; INT(U734/20), "")</f>
        <v/>
      </c>
      <c r="AG734" s="11">
        <f>IF(INT(V734/20)&gt;INT(V733/20), "Lần " &amp; INT(V734/20), "")</f>
        <v/>
      </c>
      <c r="AH734" s="11">
        <f>IF(INT(W734/20)&gt;INT(W733/20), "Lần " &amp; INT(W734/20), "")</f>
        <v/>
      </c>
      <c r="AI734" s="11">
        <f>IF(INT(X734/20)&gt;INT(X733/20), "Lần " &amp; INT(X734/20), "")</f>
        <v/>
      </c>
      <c r="AJ734" s="11">
        <f>IF(INT(Y734/20)&gt;INT(Y733/20), "Lần " &amp; INT(Y734/20), "")</f>
        <v/>
      </c>
      <c r="AK734" s="11">
        <f>IF(INT(Z734/20)&gt;INT(Z733/20), "Lần " &amp; INT(Z734/20), "")</f>
        <v/>
      </c>
      <c r="AL734" s="6" t="inlineStr">
        <is>
          <t>ĐẠT TCVN 1651:2018</t>
        </is>
      </c>
    </row>
    <row r="735" ht="19" customHeight="1">
      <c r="A735" s="6" t="n">
        <v>703</v>
      </c>
      <c r="B735" s="7" t="inlineStr">
        <is>
          <t>Dầm chủ Super-T (15 phiến L=38.2m)</t>
        </is>
      </c>
      <c r="C735" s="7" t="inlineStr">
        <is>
          <t>Sườn dầm / Cánh dầm</t>
        </is>
      </c>
      <c r="D735" s="18" t="inlineStr">
        <is>
          <t>G4a1</t>
        </is>
      </c>
      <c r="E735" s="19" t="n">
        <v>12</v>
      </c>
      <c r="F735" s="6" t="inlineStr">
        <is>
          <t>CB400-V</t>
        </is>
      </c>
      <c r="G735" s="7" t="inlineStr">
        <is>
          <t>S01</t>
        </is>
      </c>
      <c r="H735" s="20" t="n">
        <v>11.7</v>
      </c>
      <c r="I735" s="21" t="n">
        <v>315</v>
      </c>
      <c r="J735" s="22" t="n">
        <v>0.888</v>
      </c>
      <c r="K735" s="9">
        <f>ROUND(H735*I735*J735, 2)</f>
        <v/>
      </c>
      <c r="L735" s="23">
        <f>ROUND(K735/1000, 3)</f>
        <v/>
      </c>
      <c r="M735" s="8" t="n"/>
      <c r="N735" s="6" t="n"/>
      <c r="O735" s="24">
        <f>IF(AND(E735&lt;=10, F735&lt;&gt;"ASTM A416", INT(P735/20)&gt;INT(P734/20)), "TN Ø10 (Lần " &amp; INT(P735/20) &amp; ")", IF(AND(E735=12, INT(Q735/20)&gt;INT(Q734/20)), "TN Ø12 (Lần " &amp; INT(Q735/20) &amp; ")", IF(AND(E735=14, INT(R735/20)&gt;INT(R734/20)), "TN Ø14 (Lần " &amp; INT(R735/20) &amp; ")", IF(AND(E735=16, INT(S735/20)&gt;INT(S734/20)), "TN Ø16 (Lần " &amp; INT(S735/20) &amp; ")", IF(AND(E735=18, INT(T735/20)&gt;INT(T734/20)), "TN Ø18 (Lần " &amp; INT(T735/20) &amp; ")", IF(AND(E735=20, INT(U735/20)&gt;INT(U734/20)), "TN Ø20 (Lần " &amp; INT(U735/20) &amp; ")", IF(AND(E735=22, INT(V735/20)&gt;INT(V734/20)), "TN Ø22 (Lần " &amp; INT(V735/20) &amp; ")", IF(AND(E735=25, INT(W735/20)&gt;INT(W734/20)), "TN Ø25 (Lần " &amp; INT(W735/20) &amp; ")", IF(AND(E735=28, INT(X735/20)&gt;INT(X734/20)), "TN Ø28 (Lần " &amp; INT(X735/20) &amp; ")", IF(AND(E735=32, INT(Y735/20)&gt;INT(Y734/20)), "TN Ø32 (Lần " &amp; INT(Y735/20) &amp; ")", IF(AND(F735="ASTM A416", INT(Z735/20)&gt;INT(Z734/20)), "TN Cáp 15.2 (Lần " &amp; INT(Z735/20) &amp; ")", "")))))))))))</f>
        <v/>
      </c>
      <c r="P735" s="20">
        <f>ROUND(P734 + IF(AND(E735&lt;=10, F735&lt;&gt;"ASTM A416"), L735, 0), 3)</f>
        <v/>
      </c>
      <c r="Q735" s="20">
        <f>ROUND(Q734 + IF(AND(E735=12, F735&lt;&gt;"ASTM A416"), L735, 0), 3)</f>
        <v/>
      </c>
      <c r="R735" s="20">
        <f>ROUND(R734 + IF(AND(E735=14, F735&lt;&gt;"ASTM A416"), L735, 0), 3)</f>
        <v/>
      </c>
      <c r="S735" s="20">
        <f>ROUND(S734 + IF(AND(E735=16, F735&lt;&gt;"ASTM A416"), L735, 0), 3)</f>
        <v/>
      </c>
      <c r="T735" s="20">
        <f>ROUND(T734 + IF(AND(E735=18, F735&lt;&gt;"ASTM A416"), L735, 0), 3)</f>
        <v/>
      </c>
      <c r="U735" s="20">
        <f>ROUND(U734 + IF(AND(E735=20, F735&lt;&gt;"ASTM A416"), L735, 0), 3)</f>
        <v/>
      </c>
      <c r="V735" s="20">
        <f>ROUND(V734 + IF(AND(E735=22, F735&lt;&gt;"ASTM A416"), L735, 0), 3)</f>
        <v/>
      </c>
      <c r="W735" s="20">
        <f>ROUND(W734 + IF(AND(E735=25, F735&lt;&gt;"ASTM A416"), L735, 0), 3)</f>
        <v/>
      </c>
      <c r="X735" s="20">
        <f>ROUND(X734 + IF(AND(E735=28, F735&lt;&gt;"ASTM A416"), L735, 0), 3)</f>
        <v/>
      </c>
      <c r="Y735" s="20">
        <f>ROUND(Y734 + IF(AND(E735=32, F735&lt;&gt;"ASTM A416"), L735, 0), 3)</f>
        <v/>
      </c>
      <c r="Z735" s="20">
        <f>ROUND(Z734 + IF(F735="ASTM A416", L735, 0), 3)</f>
        <v/>
      </c>
      <c r="AA735" s="11">
        <f>IF(INT(P735/20)&gt;INT(P734/20), "Lần " &amp; INT(P735/20), "")</f>
        <v/>
      </c>
      <c r="AB735" s="11">
        <f>IF(INT(Q735/20)&gt;INT(Q734/20), "Lần " &amp; INT(Q735/20), "")</f>
        <v/>
      </c>
      <c r="AC735" s="11">
        <f>IF(INT(R735/20)&gt;INT(R734/20), "Lần " &amp; INT(R735/20), "")</f>
        <v/>
      </c>
      <c r="AD735" s="11">
        <f>IF(INT(S735/20)&gt;INT(S734/20), "Lần " &amp; INT(S735/20), "")</f>
        <v/>
      </c>
      <c r="AE735" s="11">
        <f>IF(INT(T735/20)&gt;INT(T734/20), "Lần " &amp; INT(T735/20), "")</f>
        <v/>
      </c>
      <c r="AF735" s="11">
        <f>IF(INT(U735/20)&gt;INT(U734/20), "Lần " &amp; INT(U735/20), "")</f>
        <v/>
      </c>
      <c r="AG735" s="11">
        <f>IF(INT(V735/20)&gt;INT(V734/20), "Lần " &amp; INT(V735/20), "")</f>
        <v/>
      </c>
      <c r="AH735" s="11">
        <f>IF(INT(W735/20)&gt;INT(W734/20), "Lần " &amp; INT(W735/20), "")</f>
        <v/>
      </c>
      <c r="AI735" s="11">
        <f>IF(INT(X735/20)&gt;INT(X734/20), "Lần " &amp; INT(X735/20), "")</f>
        <v/>
      </c>
      <c r="AJ735" s="11">
        <f>IF(INT(Y735/20)&gt;INT(Y734/20), "Lần " &amp; INT(Y735/20), "")</f>
        <v/>
      </c>
      <c r="AK735" s="11">
        <f>IF(INT(Z735/20)&gt;INT(Z734/20), "Lần " &amp; INT(Z735/20), "")</f>
        <v/>
      </c>
      <c r="AL735" s="6" t="inlineStr">
        <is>
          <t>ĐẠT TCVN 1651:2018</t>
        </is>
      </c>
    </row>
    <row r="736" ht="19" customHeight="1">
      <c r="A736" s="6" t="n">
        <v>704</v>
      </c>
      <c r="B736" s="7" t="inlineStr">
        <is>
          <t>Dầm chủ Super-T (15 phiến L=38.2m)</t>
        </is>
      </c>
      <c r="C736" s="7" t="inlineStr">
        <is>
          <t>Sườn dầm / Cánh dầm</t>
        </is>
      </c>
      <c r="D736" s="18" t="inlineStr">
        <is>
          <t>G4a2</t>
        </is>
      </c>
      <c r="E736" s="19" t="n">
        <v>12</v>
      </c>
      <c r="F736" s="6" t="inlineStr">
        <is>
          <t>CB400-V</t>
        </is>
      </c>
      <c r="G736" s="7" t="inlineStr">
        <is>
          <t>S06</t>
        </is>
      </c>
      <c r="H736" s="20" t="n">
        <v>4.46</v>
      </c>
      <c r="I736" s="21" t="n">
        <v>105</v>
      </c>
      <c r="J736" s="22" t="n">
        <v>0.888</v>
      </c>
      <c r="K736" s="9">
        <f>ROUND(H736*I736*J736, 2)</f>
        <v/>
      </c>
      <c r="L736" s="23">
        <f>ROUND(K736/1000, 3)</f>
        <v/>
      </c>
      <c r="M736" s="8" t="n"/>
      <c r="N736" s="6" t="n"/>
      <c r="O736" s="24">
        <f>IF(AND(E736&lt;=10, F736&lt;&gt;"ASTM A416", INT(P736/20)&gt;INT(P735/20)), "TN Ø10 (Lần " &amp; INT(P736/20) &amp; ")", IF(AND(E736=12, INT(Q736/20)&gt;INT(Q735/20)), "TN Ø12 (Lần " &amp; INT(Q736/20) &amp; ")", IF(AND(E736=14, INT(R736/20)&gt;INT(R735/20)), "TN Ø14 (Lần " &amp; INT(R736/20) &amp; ")", IF(AND(E736=16, INT(S736/20)&gt;INT(S735/20)), "TN Ø16 (Lần " &amp; INT(S736/20) &amp; ")", IF(AND(E736=18, INT(T736/20)&gt;INT(T735/20)), "TN Ø18 (Lần " &amp; INT(T736/20) &amp; ")", IF(AND(E736=20, INT(U736/20)&gt;INT(U735/20)), "TN Ø20 (Lần " &amp; INT(U736/20) &amp; ")", IF(AND(E736=22, INT(V736/20)&gt;INT(V735/20)), "TN Ø22 (Lần " &amp; INT(V736/20) &amp; ")", IF(AND(E736=25, INT(W736/20)&gt;INT(W735/20)), "TN Ø25 (Lần " &amp; INT(W736/20) &amp; ")", IF(AND(E736=28, INT(X736/20)&gt;INT(X735/20)), "TN Ø28 (Lần " &amp; INT(X736/20) &amp; ")", IF(AND(E736=32, INT(Y736/20)&gt;INT(Y735/20)), "TN Ø32 (Lần " &amp; INT(Y736/20) &amp; ")", IF(AND(F736="ASTM A416", INT(Z736/20)&gt;INT(Z735/20)), "TN Cáp 15.2 (Lần " &amp; INT(Z736/20) &amp; ")", "")))))))))))</f>
        <v/>
      </c>
      <c r="P736" s="20">
        <f>ROUND(P735 + IF(AND(E736&lt;=10, F736&lt;&gt;"ASTM A416"), L736, 0), 3)</f>
        <v/>
      </c>
      <c r="Q736" s="20">
        <f>ROUND(Q735 + IF(AND(E736=12, F736&lt;&gt;"ASTM A416"), L736, 0), 3)</f>
        <v/>
      </c>
      <c r="R736" s="20">
        <f>ROUND(R735 + IF(AND(E736=14, F736&lt;&gt;"ASTM A416"), L736, 0), 3)</f>
        <v/>
      </c>
      <c r="S736" s="20">
        <f>ROUND(S735 + IF(AND(E736=16, F736&lt;&gt;"ASTM A416"), L736, 0), 3)</f>
        <v/>
      </c>
      <c r="T736" s="20">
        <f>ROUND(T735 + IF(AND(E736=18, F736&lt;&gt;"ASTM A416"), L736, 0), 3)</f>
        <v/>
      </c>
      <c r="U736" s="20">
        <f>ROUND(U735 + IF(AND(E736=20, F736&lt;&gt;"ASTM A416"), L736, 0), 3)</f>
        <v/>
      </c>
      <c r="V736" s="20">
        <f>ROUND(V735 + IF(AND(E736=22, F736&lt;&gt;"ASTM A416"), L736, 0), 3)</f>
        <v/>
      </c>
      <c r="W736" s="20">
        <f>ROUND(W735 + IF(AND(E736=25, F736&lt;&gt;"ASTM A416"), L736, 0), 3)</f>
        <v/>
      </c>
      <c r="X736" s="20">
        <f>ROUND(X735 + IF(AND(E736=28, F736&lt;&gt;"ASTM A416"), L736, 0), 3)</f>
        <v/>
      </c>
      <c r="Y736" s="20">
        <f>ROUND(Y735 + IF(AND(E736=32, F736&lt;&gt;"ASTM A416"), L736, 0), 3)</f>
        <v/>
      </c>
      <c r="Z736" s="20">
        <f>ROUND(Z735 + IF(F736="ASTM A416", L736, 0), 3)</f>
        <v/>
      </c>
      <c r="AA736" s="11">
        <f>IF(INT(P736/20)&gt;INT(P735/20), "Lần " &amp; INT(P736/20), "")</f>
        <v/>
      </c>
      <c r="AB736" s="11">
        <f>IF(INT(Q736/20)&gt;INT(Q735/20), "Lần " &amp; INT(Q736/20), "")</f>
        <v/>
      </c>
      <c r="AC736" s="11">
        <f>IF(INT(R736/20)&gt;INT(R735/20), "Lần " &amp; INT(R736/20), "")</f>
        <v/>
      </c>
      <c r="AD736" s="11">
        <f>IF(INT(S736/20)&gt;INT(S735/20), "Lần " &amp; INT(S736/20), "")</f>
        <v/>
      </c>
      <c r="AE736" s="11">
        <f>IF(INT(T736/20)&gt;INT(T735/20), "Lần " &amp; INT(T736/20), "")</f>
        <v/>
      </c>
      <c r="AF736" s="11">
        <f>IF(INT(U736/20)&gt;INT(U735/20), "Lần " &amp; INT(U736/20), "")</f>
        <v/>
      </c>
      <c r="AG736" s="11">
        <f>IF(INT(V736/20)&gt;INT(V735/20), "Lần " &amp; INT(V736/20), "")</f>
        <v/>
      </c>
      <c r="AH736" s="11">
        <f>IF(INT(W736/20)&gt;INT(W735/20), "Lần " &amp; INT(W736/20), "")</f>
        <v/>
      </c>
      <c r="AI736" s="11">
        <f>IF(INT(X736/20)&gt;INT(X735/20), "Lần " &amp; INT(X736/20), "")</f>
        <v/>
      </c>
      <c r="AJ736" s="11">
        <f>IF(INT(Y736/20)&gt;INT(Y735/20), "Lần " &amp; INT(Y736/20), "")</f>
        <v/>
      </c>
      <c r="AK736" s="11">
        <f>IF(INT(Z736/20)&gt;INT(Z735/20), "Lần " &amp; INT(Z736/20), "")</f>
        <v/>
      </c>
      <c r="AL736" s="6" t="inlineStr">
        <is>
          <t>ĐẠT TCVN 1651:2018</t>
        </is>
      </c>
    </row>
    <row r="737" ht="19" customHeight="1">
      <c r="A737" s="6" t="n">
        <v>705</v>
      </c>
      <c r="B737" s="7" t="inlineStr">
        <is>
          <t>Dầm chủ Super-T (15 phiến L=38.2m)</t>
        </is>
      </c>
      <c r="C737" s="7" t="inlineStr">
        <is>
          <t>Sườn dầm / Cánh dầm</t>
        </is>
      </c>
      <c r="D737" s="18" t="inlineStr">
        <is>
          <t>G4b1</t>
        </is>
      </c>
      <c r="E737" s="19" t="n">
        <v>12</v>
      </c>
      <c r="F737" s="6" t="inlineStr">
        <is>
          <t>CB400-V</t>
        </is>
      </c>
      <c r="G737" s="7" t="inlineStr">
        <is>
          <t>S01</t>
        </is>
      </c>
      <c r="H737" s="20" t="n">
        <v>11.7</v>
      </c>
      <c r="I737" s="21" t="n">
        <v>180</v>
      </c>
      <c r="J737" s="22" t="n">
        <v>0.888</v>
      </c>
      <c r="K737" s="9">
        <f>ROUND(H737*I737*J737, 2)</f>
        <v/>
      </c>
      <c r="L737" s="23">
        <f>ROUND(K737/1000, 3)</f>
        <v/>
      </c>
      <c r="M737" s="8" t="n"/>
      <c r="N737" s="6" t="n"/>
      <c r="O737" s="24">
        <f>IF(AND(E737&lt;=10, F737&lt;&gt;"ASTM A416", INT(P737/20)&gt;INT(P736/20)), "TN Ø10 (Lần " &amp; INT(P737/20) &amp; ")", IF(AND(E737=12, INT(Q737/20)&gt;INT(Q736/20)), "TN Ø12 (Lần " &amp; INT(Q737/20) &amp; ")", IF(AND(E737=14, INT(R737/20)&gt;INT(R736/20)), "TN Ø14 (Lần " &amp; INT(R737/20) &amp; ")", IF(AND(E737=16, INT(S737/20)&gt;INT(S736/20)), "TN Ø16 (Lần " &amp; INT(S737/20) &amp; ")", IF(AND(E737=18, INT(T737/20)&gt;INT(T736/20)), "TN Ø18 (Lần " &amp; INT(T737/20) &amp; ")", IF(AND(E737=20, INT(U737/20)&gt;INT(U736/20)), "TN Ø20 (Lần " &amp; INT(U737/20) &amp; ")", IF(AND(E737=22, INT(V737/20)&gt;INT(V736/20)), "TN Ø22 (Lần " &amp; INT(V737/20) &amp; ")", IF(AND(E737=25, INT(W737/20)&gt;INT(W736/20)), "TN Ø25 (Lần " &amp; INT(W737/20) &amp; ")", IF(AND(E737=28, INT(X737/20)&gt;INT(X736/20)), "TN Ø28 (Lần " &amp; INT(X737/20) &amp; ")", IF(AND(E737=32, INT(Y737/20)&gt;INT(Y736/20)), "TN Ø32 (Lần " &amp; INT(Y737/20) &amp; ")", IF(AND(F737="ASTM A416", INT(Z737/20)&gt;INT(Z736/20)), "TN Cáp 15.2 (Lần " &amp; INT(Z737/20) &amp; ")", "")))))))))))</f>
        <v/>
      </c>
      <c r="P737" s="20">
        <f>ROUND(P736 + IF(AND(E737&lt;=10, F737&lt;&gt;"ASTM A416"), L737, 0), 3)</f>
        <v/>
      </c>
      <c r="Q737" s="20">
        <f>ROUND(Q736 + IF(AND(E737=12, F737&lt;&gt;"ASTM A416"), L737, 0), 3)</f>
        <v/>
      </c>
      <c r="R737" s="20">
        <f>ROUND(R736 + IF(AND(E737=14, F737&lt;&gt;"ASTM A416"), L737, 0), 3)</f>
        <v/>
      </c>
      <c r="S737" s="20">
        <f>ROUND(S736 + IF(AND(E737=16, F737&lt;&gt;"ASTM A416"), L737, 0), 3)</f>
        <v/>
      </c>
      <c r="T737" s="20">
        <f>ROUND(T736 + IF(AND(E737=18, F737&lt;&gt;"ASTM A416"), L737, 0), 3)</f>
        <v/>
      </c>
      <c r="U737" s="20">
        <f>ROUND(U736 + IF(AND(E737=20, F737&lt;&gt;"ASTM A416"), L737, 0), 3)</f>
        <v/>
      </c>
      <c r="V737" s="20">
        <f>ROUND(V736 + IF(AND(E737=22, F737&lt;&gt;"ASTM A416"), L737, 0), 3)</f>
        <v/>
      </c>
      <c r="W737" s="20">
        <f>ROUND(W736 + IF(AND(E737=25, F737&lt;&gt;"ASTM A416"), L737, 0), 3)</f>
        <v/>
      </c>
      <c r="X737" s="20">
        <f>ROUND(X736 + IF(AND(E737=28, F737&lt;&gt;"ASTM A416"), L737, 0), 3)</f>
        <v/>
      </c>
      <c r="Y737" s="20">
        <f>ROUND(Y736 + IF(AND(E737=32, F737&lt;&gt;"ASTM A416"), L737, 0), 3)</f>
        <v/>
      </c>
      <c r="Z737" s="20">
        <f>ROUND(Z736 + IF(F737="ASTM A416", L737, 0), 3)</f>
        <v/>
      </c>
      <c r="AA737" s="11">
        <f>IF(INT(P737/20)&gt;INT(P736/20), "Lần " &amp; INT(P737/20), "")</f>
        <v/>
      </c>
      <c r="AB737" s="11">
        <f>IF(INT(Q737/20)&gt;INT(Q736/20), "Lần " &amp; INT(Q737/20), "")</f>
        <v/>
      </c>
      <c r="AC737" s="11">
        <f>IF(INT(R737/20)&gt;INT(R736/20), "Lần " &amp; INT(R737/20), "")</f>
        <v/>
      </c>
      <c r="AD737" s="11">
        <f>IF(INT(S737/20)&gt;INT(S736/20), "Lần " &amp; INT(S737/20), "")</f>
        <v/>
      </c>
      <c r="AE737" s="11">
        <f>IF(INT(T737/20)&gt;INT(T736/20), "Lần " &amp; INT(T737/20), "")</f>
        <v/>
      </c>
      <c r="AF737" s="11">
        <f>IF(INT(U737/20)&gt;INT(U736/20), "Lần " &amp; INT(U737/20), "")</f>
        <v/>
      </c>
      <c r="AG737" s="11">
        <f>IF(INT(V737/20)&gt;INT(V736/20), "Lần " &amp; INT(V737/20), "")</f>
        <v/>
      </c>
      <c r="AH737" s="11">
        <f>IF(INT(W737/20)&gt;INT(W736/20), "Lần " &amp; INT(W737/20), "")</f>
        <v/>
      </c>
      <c r="AI737" s="11">
        <f>IF(INT(X737/20)&gt;INT(X736/20), "Lần " &amp; INT(X737/20), "")</f>
        <v/>
      </c>
      <c r="AJ737" s="11">
        <f>IF(INT(Y737/20)&gt;INT(Y736/20), "Lần " &amp; INT(Y737/20), "")</f>
        <v/>
      </c>
      <c r="AK737" s="11">
        <f>IF(INT(Z737/20)&gt;INT(Z736/20), "Lần " &amp; INT(Z737/20), "")</f>
        <v/>
      </c>
      <c r="AL737" s="6" t="inlineStr">
        <is>
          <t>ĐẠT TCVN 1651:2018</t>
        </is>
      </c>
    </row>
    <row r="738" ht="19" customHeight="1">
      <c r="A738" s="6" t="n">
        <v>706</v>
      </c>
      <c r="B738" s="7" t="inlineStr">
        <is>
          <t>Dầm chủ Super-T (15 phiến L=38.2m)</t>
        </is>
      </c>
      <c r="C738" s="7" t="inlineStr">
        <is>
          <t>Sườn dầm / Cánh dầm</t>
        </is>
      </c>
      <c r="D738" s="18" t="inlineStr">
        <is>
          <t>G4b2</t>
        </is>
      </c>
      <c r="E738" s="19" t="n">
        <v>12</v>
      </c>
      <c r="F738" s="6" t="inlineStr">
        <is>
          <t>CB400-V</t>
        </is>
      </c>
      <c r="G738" s="7" t="inlineStr">
        <is>
          <t>S06</t>
        </is>
      </c>
      <c r="H738" s="20" t="n">
        <v>3.06</v>
      </c>
      <c r="I738" s="21" t="n">
        <v>60</v>
      </c>
      <c r="J738" s="22" t="n">
        <v>0.888</v>
      </c>
      <c r="K738" s="9">
        <f>ROUND(H738*I738*J738, 2)</f>
        <v/>
      </c>
      <c r="L738" s="23">
        <f>ROUND(K738/1000, 3)</f>
        <v/>
      </c>
      <c r="M738" s="8" t="n"/>
      <c r="N738" s="6" t="n"/>
      <c r="O738" s="24">
        <f>IF(AND(E738&lt;=10, F738&lt;&gt;"ASTM A416", INT(P738/20)&gt;INT(P737/20)), "TN Ø10 (Lần " &amp; INT(P738/20) &amp; ")", IF(AND(E738=12, INT(Q738/20)&gt;INT(Q737/20)), "TN Ø12 (Lần " &amp; INT(Q738/20) &amp; ")", IF(AND(E738=14, INT(R738/20)&gt;INT(R737/20)), "TN Ø14 (Lần " &amp; INT(R738/20) &amp; ")", IF(AND(E738=16, INT(S738/20)&gt;INT(S737/20)), "TN Ø16 (Lần " &amp; INT(S738/20) &amp; ")", IF(AND(E738=18, INT(T738/20)&gt;INT(T737/20)), "TN Ø18 (Lần " &amp; INT(T738/20) &amp; ")", IF(AND(E738=20, INT(U738/20)&gt;INT(U737/20)), "TN Ø20 (Lần " &amp; INT(U738/20) &amp; ")", IF(AND(E738=22, INT(V738/20)&gt;INT(V737/20)), "TN Ø22 (Lần " &amp; INT(V738/20) &amp; ")", IF(AND(E738=25, INT(W738/20)&gt;INT(W737/20)), "TN Ø25 (Lần " &amp; INT(W738/20) &amp; ")", IF(AND(E738=28, INT(X738/20)&gt;INT(X737/20)), "TN Ø28 (Lần " &amp; INT(X738/20) &amp; ")", IF(AND(E738=32, INT(Y738/20)&gt;INT(Y737/20)), "TN Ø32 (Lần " &amp; INT(Y738/20) &amp; ")", IF(AND(F738="ASTM A416", INT(Z738/20)&gt;INT(Z737/20)), "TN Cáp 15.2 (Lần " &amp; INT(Z738/20) &amp; ")", "")))))))))))</f>
        <v/>
      </c>
      <c r="P738" s="20">
        <f>ROUND(P737 + IF(AND(E738&lt;=10, F738&lt;&gt;"ASTM A416"), L738, 0), 3)</f>
        <v/>
      </c>
      <c r="Q738" s="20">
        <f>ROUND(Q737 + IF(AND(E738=12, F738&lt;&gt;"ASTM A416"), L738, 0), 3)</f>
        <v/>
      </c>
      <c r="R738" s="20">
        <f>ROUND(R737 + IF(AND(E738=14, F738&lt;&gt;"ASTM A416"), L738, 0), 3)</f>
        <v/>
      </c>
      <c r="S738" s="20">
        <f>ROUND(S737 + IF(AND(E738=16, F738&lt;&gt;"ASTM A416"), L738, 0), 3)</f>
        <v/>
      </c>
      <c r="T738" s="20">
        <f>ROUND(T737 + IF(AND(E738=18, F738&lt;&gt;"ASTM A416"), L738, 0), 3)</f>
        <v/>
      </c>
      <c r="U738" s="20">
        <f>ROUND(U737 + IF(AND(E738=20, F738&lt;&gt;"ASTM A416"), L738, 0), 3)</f>
        <v/>
      </c>
      <c r="V738" s="20">
        <f>ROUND(V737 + IF(AND(E738=22, F738&lt;&gt;"ASTM A416"), L738, 0), 3)</f>
        <v/>
      </c>
      <c r="W738" s="20">
        <f>ROUND(W737 + IF(AND(E738=25, F738&lt;&gt;"ASTM A416"), L738, 0), 3)</f>
        <v/>
      </c>
      <c r="X738" s="20">
        <f>ROUND(X737 + IF(AND(E738=28, F738&lt;&gt;"ASTM A416"), L738, 0), 3)</f>
        <v/>
      </c>
      <c r="Y738" s="20">
        <f>ROUND(Y737 + IF(AND(E738=32, F738&lt;&gt;"ASTM A416"), L738, 0), 3)</f>
        <v/>
      </c>
      <c r="Z738" s="20">
        <f>ROUND(Z737 + IF(F738="ASTM A416", L738, 0), 3)</f>
        <v/>
      </c>
      <c r="AA738" s="11">
        <f>IF(INT(P738/20)&gt;INT(P737/20), "Lần " &amp; INT(P738/20), "")</f>
        <v/>
      </c>
      <c r="AB738" s="11">
        <f>IF(INT(Q738/20)&gt;INT(Q737/20), "Lần " &amp; INT(Q738/20), "")</f>
        <v/>
      </c>
      <c r="AC738" s="11">
        <f>IF(INT(R738/20)&gt;INT(R737/20), "Lần " &amp; INT(R738/20), "")</f>
        <v/>
      </c>
      <c r="AD738" s="11">
        <f>IF(INT(S738/20)&gt;INT(S737/20), "Lần " &amp; INT(S738/20), "")</f>
        <v/>
      </c>
      <c r="AE738" s="11">
        <f>IF(INT(T738/20)&gt;INT(T737/20), "Lần " &amp; INT(T738/20), "")</f>
        <v/>
      </c>
      <c r="AF738" s="11">
        <f>IF(INT(U738/20)&gt;INT(U737/20), "Lần " &amp; INT(U738/20), "")</f>
        <v/>
      </c>
      <c r="AG738" s="11">
        <f>IF(INT(V738/20)&gt;INT(V737/20), "Lần " &amp; INT(V738/20), "")</f>
        <v/>
      </c>
      <c r="AH738" s="11">
        <f>IF(INT(W738/20)&gt;INT(W737/20), "Lần " &amp; INT(W738/20), "")</f>
        <v/>
      </c>
      <c r="AI738" s="11">
        <f>IF(INT(X738/20)&gt;INT(X737/20), "Lần " &amp; INT(X738/20), "")</f>
        <v/>
      </c>
      <c r="AJ738" s="11">
        <f>IF(INT(Y738/20)&gt;INT(Y737/20), "Lần " &amp; INT(Y738/20), "")</f>
        <v/>
      </c>
      <c r="AK738" s="11">
        <f>IF(INT(Z738/20)&gt;INT(Z737/20), "Lần " &amp; INT(Z738/20), "")</f>
        <v/>
      </c>
      <c r="AL738" s="6" t="inlineStr">
        <is>
          <t>ĐẠT TCVN 1651:2018</t>
        </is>
      </c>
    </row>
    <row r="739" ht="19" customHeight="1">
      <c r="A739" s="6" t="n">
        <v>707</v>
      </c>
      <c r="B739" s="7" t="inlineStr">
        <is>
          <t>Dầm chủ Super-T (15 phiến L=38.2m)</t>
        </is>
      </c>
      <c r="C739" s="7" t="inlineStr">
        <is>
          <t>Sườn dầm / Cánh dầm</t>
        </is>
      </c>
      <c r="D739" s="18" t="inlineStr">
        <is>
          <t>G5a</t>
        </is>
      </c>
      <c r="E739" s="19" t="n">
        <v>16</v>
      </c>
      <c r="F739" s="6" t="inlineStr">
        <is>
          <t>CB400-V</t>
        </is>
      </c>
      <c r="G739" s="7" t="inlineStr">
        <is>
          <t>S01</t>
        </is>
      </c>
      <c r="H739" s="20" t="n">
        <v>11.7</v>
      </c>
      <c r="I739" s="21" t="n">
        <v>420</v>
      </c>
      <c r="J739" s="22" t="n">
        <v>1.58</v>
      </c>
      <c r="K739" s="9">
        <f>ROUND(H739*I739*J739, 2)</f>
        <v/>
      </c>
      <c r="L739" s="23">
        <f>ROUND(K739/1000, 3)</f>
        <v/>
      </c>
      <c r="M739" s="8" t="n"/>
      <c r="N739" s="6" t="n"/>
      <c r="O739" s="24">
        <f>IF(AND(E739&lt;=10, F739&lt;&gt;"ASTM A416", INT(P739/20)&gt;INT(P738/20)), "TN Ø10 (Lần " &amp; INT(P739/20) &amp; ")", IF(AND(E739=12, INT(Q739/20)&gt;INT(Q738/20)), "TN Ø12 (Lần " &amp; INT(Q739/20) &amp; ")", IF(AND(E739=14, INT(R739/20)&gt;INT(R738/20)), "TN Ø14 (Lần " &amp; INT(R739/20) &amp; ")", IF(AND(E739=16, INT(S739/20)&gt;INT(S738/20)), "TN Ø16 (Lần " &amp; INT(S739/20) &amp; ")", IF(AND(E739=18, INT(T739/20)&gt;INT(T738/20)), "TN Ø18 (Lần " &amp; INT(T739/20) &amp; ")", IF(AND(E739=20, INT(U739/20)&gt;INT(U738/20)), "TN Ø20 (Lần " &amp; INT(U739/20) &amp; ")", IF(AND(E739=22, INT(V739/20)&gt;INT(V738/20)), "TN Ø22 (Lần " &amp; INT(V739/20) &amp; ")", IF(AND(E739=25, INT(W739/20)&gt;INT(W738/20)), "TN Ø25 (Lần " &amp; INT(W739/20) &amp; ")", IF(AND(E739=28, INT(X739/20)&gt;INT(X738/20)), "TN Ø28 (Lần " &amp; INT(X739/20) &amp; ")", IF(AND(E739=32, INT(Y739/20)&gt;INT(Y738/20)), "TN Ø32 (Lần " &amp; INT(Y739/20) &amp; ")", IF(AND(F739="ASTM A416", INT(Z739/20)&gt;INT(Z738/20)), "TN Cáp 15.2 (Lần " &amp; INT(Z739/20) &amp; ")", "")))))))))))</f>
        <v/>
      </c>
      <c r="P739" s="20">
        <f>ROUND(P738 + IF(AND(E739&lt;=10, F739&lt;&gt;"ASTM A416"), L739, 0), 3)</f>
        <v/>
      </c>
      <c r="Q739" s="20">
        <f>ROUND(Q738 + IF(AND(E739=12, F739&lt;&gt;"ASTM A416"), L739, 0), 3)</f>
        <v/>
      </c>
      <c r="R739" s="20">
        <f>ROUND(R738 + IF(AND(E739=14, F739&lt;&gt;"ASTM A416"), L739, 0), 3)</f>
        <v/>
      </c>
      <c r="S739" s="20">
        <f>ROUND(S738 + IF(AND(E739=16, F739&lt;&gt;"ASTM A416"), L739, 0), 3)</f>
        <v/>
      </c>
      <c r="T739" s="20">
        <f>ROUND(T738 + IF(AND(E739=18, F739&lt;&gt;"ASTM A416"), L739, 0), 3)</f>
        <v/>
      </c>
      <c r="U739" s="20">
        <f>ROUND(U738 + IF(AND(E739=20, F739&lt;&gt;"ASTM A416"), L739, 0), 3)</f>
        <v/>
      </c>
      <c r="V739" s="20">
        <f>ROUND(V738 + IF(AND(E739=22, F739&lt;&gt;"ASTM A416"), L739, 0), 3)</f>
        <v/>
      </c>
      <c r="W739" s="20">
        <f>ROUND(W738 + IF(AND(E739=25, F739&lt;&gt;"ASTM A416"), L739, 0), 3)</f>
        <v/>
      </c>
      <c r="X739" s="20">
        <f>ROUND(X738 + IF(AND(E739=28, F739&lt;&gt;"ASTM A416"), L739, 0), 3)</f>
        <v/>
      </c>
      <c r="Y739" s="20">
        <f>ROUND(Y738 + IF(AND(E739=32, F739&lt;&gt;"ASTM A416"), L739, 0), 3)</f>
        <v/>
      </c>
      <c r="Z739" s="20">
        <f>ROUND(Z738 + IF(F739="ASTM A416", L739, 0), 3)</f>
        <v/>
      </c>
      <c r="AA739" s="11">
        <f>IF(INT(P739/20)&gt;INT(P738/20), "Lần " &amp; INT(P739/20), "")</f>
        <v/>
      </c>
      <c r="AB739" s="11">
        <f>IF(INT(Q739/20)&gt;INT(Q738/20), "Lần " &amp; INT(Q739/20), "")</f>
        <v/>
      </c>
      <c r="AC739" s="11">
        <f>IF(INT(R739/20)&gt;INT(R738/20), "Lần " &amp; INT(R739/20), "")</f>
        <v/>
      </c>
      <c r="AD739" s="11">
        <f>IF(INT(S739/20)&gt;INT(S738/20), "Lần " &amp; INT(S739/20), "")</f>
        <v/>
      </c>
      <c r="AE739" s="11">
        <f>IF(INT(T739/20)&gt;INT(T738/20), "Lần " &amp; INT(T739/20), "")</f>
        <v/>
      </c>
      <c r="AF739" s="11">
        <f>IF(INT(U739/20)&gt;INT(U738/20), "Lần " &amp; INT(U739/20), "")</f>
        <v/>
      </c>
      <c r="AG739" s="11">
        <f>IF(INT(V739/20)&gt;INT(V738/20), "Lần " &amp; INT(V739/20), "")</f>
        <v/>
      </c>
      <c r="AH739" s="11">
        <f>IF(INT(W739/20)&gt;INT(W738/20), "Lần " &amp; INT(W739/20), "")</f>
        <v/>
      </c>
      <c r="AI739" s="11">
        <f>IF(INT(X739/20)&gt;INT(X738/20), "Lần " &amp; INT(X739/20), "")</f>
        <v/>
      </c>
      <c r="AJ739" s="11">
        <f>IF(INT(Y739/20)&gt;INT(Y738/20), "Lần " &amp; INT(Y739/20), "")</f>
        <v/>
      </c>
      <c r="AK739" s="11">
        <f>IF(INT(Z739/20)&gt;INT(Z738/20), "Lần " &amp; INT(Z739/20), "")</f>
        <v/>
      </c>
      <c r="AL739" s="6" t="inlineStr">
        <is>
          <t>ĐẠT TCVN 1651:2018</t>
        </is>
      </c>
    </row>
    <row r="740" ht="19" customHeight="1">
      <c r="A740" s="6" t="n">
        <v>708</v>
      </c>
      <c r="B740" s="7" t="inlineStr">
        <is>
          <t>Dầm chủ Super-T (15 phiến L=38.2m)</t>
        </is>
      </c>
      <c r="C740" s="7" t="inlineStr">
        <is>
          <t>Sườn dầm / Cánh dầm</t>
        </is>
      </c>
      <c r="D740" s="18" t="inlineStr">
        <is>
          <t>G5b</t>
        </is>
      </c>
      <c r="E740" s="19" t="n">
        <v>18</v>
      </c>
      <c r="F740" s="6" t="inlineStr">
        <is>
          <t>CB400-V</t>
        </is>
      </c>
      <c r="G740" s="7" t="inlineStr">
        <is>
          <t>S06</t>
        </is>
      </c>
      <c r="H740" s="20" t="n">
        <v>2.86</v>
      </c>
      <c r="I740" s="21" t="n">
        <v>210</v>
      </c>
      <c r="J740" s="22" t="n">
        <v>2</v>
      </c>
      <c r="K740" s="9">
        <f>ROUND(H740*I740*J740, 2)</f>
        <v/>
      </c>
      <c r="L740" s="23">
        <f>ROUND(K740/1000, 3)</f>
        <v/>
      </c>
      <c r="M740" s="8" t="n"/>
      <c r="N740" s="6" t="n"/>
      <c r="O740" s="24">
        <f>IF(AND(E740&lt;=10, F740&lt;&gt;"ASTM A416", INT(P740/20)&gt;INT(P739/20)), "TN Ø10 (Lần " &amp; INT(P740/20) &amp; ")", IF(AND(E740=12, INT(Q740/20)&gt;INT(Q739/20)), "TN Ø12 (Lần " &amp; INT(Q740/20) &amp; ")", IF(AND(E740=14, INT(R740/20)&gt;INT(R739/20)), "TN Ø14 (Lần " &amp; INT(R740/20) &amp; ")", IF(AND(E740=16, INT(S740/20)&gt;INT(S739/20)), "TN Ø16 (Lần " &amp; INT(S740/20) &amp; ")", IF(AND(E740=18, INT(T740/20)&gt;INT(T739/20)), "TN Ø18 (Lần " &amp; INT(T740/20) &amp; ")", IF(AND(E740=20, INT(U740/20)&gt;INT(U739/20)), "TN Ø20 (Lần " &amp; INT(U740/20) &amp; ")", IF(AND(E740=22, INT(V740/20)&gt;INT(V739/20)), "TN Ø22 (Lần " &amp; INT(V740/20) &amp; ")", IF(AND(E740=25, INT(W740/20)&gt;INT(W739/20)), "TN Ø25 (Lần " &amp; INT(W740/20) &amp; ")", IF(AND(E740=28, INT(X740/20)&gt;INT(X739/20)), "TN Ø28 (Lần " &amp; INT(X740/20) &amp; ")", IF(AND(E740=32, INT(Y740/20)&gt;INT(Y739/20)), "TN Ø32 (Lần " &amp; INT(Y740/20) &amp; ")", IF(AND(F740="ASTM A416", INT(Z740/20)&gt;INT(Z739/20)), "TN Cáp 15.2 (Lần " &amp; INT(Z740/20) &amp; ")", "")))))))))))</f>
        <v/>
      </c>
      <c r="P740" s="20">
        <f>ROUND(P739 + IF(AND(E740&lt;=10, F740&lt;&gt;"ASTM A416"), L740, 0), 3)</f>
        <v/>
      </c>
      <c r="Q740" s="20">
        <f>ROUND(Q739 + IF(AND(E740=12, F740&lt;&gt;"ASTM A416"), L740, 0), 3)</f>
        <v/>
      </c>
      <c r="R740" s="20">
        <f>ROUND(R739 + IF(AND(E740=14, F740&lt;&gt;"ASTM A416"), L740, 0), 3)</f>
        <v/>
      </c>
      <c r="S740" s="20">
        <f>ROUND(S739 + IF(AND(E740=16, F740&lt;&gt;"ASTM A416"), L740, 0), 3)</f>
        <v/>
      </c>
      <c r="T740" s="20">
        <f>ROUND(T739 + IF(AND(E740=18, F740&lt;&gt;"ASTM A416"), L740, 0), 3)</f>
        <v/>
      </c>
      <c r="U740" s="20">
        <f>ROUND(U739 + IF(AND(E740=20, F740&lt;&gt;"ASTM A416"), L740, 0), 3)</f>
        <v/>
      </c>
      <c r="V740" s="20">
        <f>ROUND(V739 + IF(AND(E740=22, F740&lt;&gt;"ASTM A416"), L740, 0), 3)</f>
        <v/>
      </c>
      <c r="W740" s="20">
        <f>ROUND(W739 + IF(AND(E740=25, F740&lt;&gt;"ASTM A416"), L740, 0), 3)</f>
        <v/>
      </c>
      <c r="X740" s="20">
        <f>ROUND(X739 + IF(AND(E740=28, F740&lt;&gt;"ASTM A416"), L740, 0), 3)</f>
        <v/>
      </c>
      <c r="Y740" s="20">
        <f>ROUND(Y739 + IF(AND(E740=32, F740&lt;&gt;"ASTM A416"), L740, 0), 3)</f>
        <v/>
      </c>
      <c r="Z740" s="20">
        <f>ROUND(Z739 + IF(F740="ASTM A416", L740, 0), 3)</f>
        <v/>
      </c>
      <c r="AA740" s="11">
        <f>IF(INT(P740/20)&gt;INT(P739/20), "Lần " &amp; INT(P740/20), "")</f>
        <v/>
      </c>
      <c r="AB740" s="11">
        <f>IF(INT(Q740/20)&gt;INT(Q739/20), "Lần " &amp; INT(Q740/20), "")</f>
        <v/>
      </c>
      <c r="AC740" s="11">
        <f>IF(INT(R740/20)&gt;INT(R739/20), "Lần " &amp; INT(R740/20), "")</f>
        <v/>
      </c>
      <c r="AD740" s="11">
        <f>IF(INT(S740/20)&gt;INT(S739/20), "Lần " &amp; INT(S740/20), "")</f>
        <v/>
      </c>
      <c r="AE740" s="11">
        <f>IF(INT(T740/20)&gt;INT(T739/20), "Lần " &amp; INT(T740/20), "")</f>
        <v/>
      </c>
      <c r="AF740" s="11">
        <f>IF(INT(U740/20)&gt;INT(U739/20), "Lần " &amp; INT(U740/20), "")</f>
        <v/>
      </c>
      <c r="AG740" s="11">
        <f>IF(INT(V740/20)&gt;INT(V739/20), "Lần " &amp; INT(V740/20), "")</f>
        <v/>
      </c>
      <c r="AH740" s="11">
        <f>IF(INT(W740/20)&gt;INT(W739/20), "Lần " &amp; INT(W740/20), "")</f>
        <v/>
      </c>
      <c r="AI740" s="11">
        <f>IF(INT(X740/20)&gt;INT(X739/20), "Lần " &amp; INT(X740/20), "")</f>
        <v/>
      </c>
      <c r="AJ740" s="11">
        <f>IF(INT(Y740/20)&gt;INT(Y739/20), "Lần " &amp; INT(Y740/20), "")</f>
        <v/>
      </c>
      <c r="AK740" s="11">
        <f>IF(INT(Z740/20)&gt;INT(Z739/20), "Lần " &amp; INT(Z740/20), "")</f>
        <v/>
      </c>
      <c r="AL740" s="6" t="inlineStr">
        <is>
          <t>ĐẠT TCVN 1651:2018</t>
        </is>
      </c>
    </row>
    <row r="741" ht="19" customHeight="1">
      <c r="A741" s="6" t="n">
        <v>709</v>
      </c>
      <c r="B741" s="7" t="inlineStr">
        <is>
          <t>Dầm chủ Super-T (15 phiến L=38.2m)</t>
        </is>
      </c>
      <c r="C741" s="7" t="inlineStr">
        <is>
          <t>Sườn dầm / Cánh dầm</t>
        </is>
      </c>
      <c r="D741" s="18" t="inlineStr">
        <is>
          <t>G5c</t>
        </is>
      </c>
      <c r="E741" s="19" t="n">
        <v>16</v>
      </c>
      <c r="F741" s="6" t="inlineStr">
        <is>
          <t>CB400-V</t>
        </is>
      </c>
      <c r="G741" s="7" t="inlineStr">
        <is>
          <t>S01</t>
        </is>
      </c>
      <c r="H741" s="20" t="n">
        <v>10.68</v>
      </c>
      <c r="I741" s="21" t="n">
        <v>210</v>
      </c>
      <c r="J741" s="22" t="n">
        <v>1.58</v>
      </c>
      <c r="K741" s="9">
        <f>ROUND(H741*I741*J741, 2)</f>
        <v/>
      </c>
      <c r="L741" s="23">
        <f>ROUND(K741/1000, 3)</f>
        <v/>
      </c>
      <c r="M741" s="8" t="n"/>
      <c r="N741" s="6" t="n"/>
      <c r="O741" s="24">
        <f>IF(AND(E741&lt;=10, F741&lt;&gt;"ASTM A416", INT(P741/20)&gt;INT(P740/20)), "TN Ø10 (Lần " &amp; INT(P741/20) &amp; ")", IF(AND(E741=12, INT(Q741/20)&gt;INT(Q740/20)), "TN Ø12 (Lần " &amp; INT(Q741/20) &amp; ")", IF(AND(E741=14, INT(R741/20)&gt;INT(R740/20)), "TN Ø14 (Lần " &amp; INT(R741/20) &amp; ")", IF(AND(E741=16, INT(S741/20)&gt;INT(S740/20)), "TN Ø16 (Lần " &amp; INT(S741/20) &amp; ")", IF(AND(E741=18, INT(T741/20)&gt;INT(T740/20)), "TN Ø18 (Lần " &amp; INT(T741/20) &amp; ")", IF(AND(E741=20, INT(U741/20)&gt;INT(U740/20)), "TN Ø20 (Lần " &amp; INT(U741/20) &amp; ")", IF(AND(E741=22, INT(V741/20)&gt;INT(V740/20)), "TN Ø22 (Lần " &amp; INT(V741/20) &amp; ")", IF(AND(E741=25, INT(W741/20)&gt;INT(W740/20)), "TN Ø25 (Lần " &amp; INT(W741/20) &amp; ")", IF(AND(E741=28, INT(X741/20)&gt;INT(X740/20)), "TN Ø28 (Lần " &amp; INT(X741/20) &amp; ")", IF(AND(E741=32, INT(Y741/20)&gt;INT(Y740/20)), "TN Ø32 (Lần " &amp; INT(Y741/20) &amp; ")", IF(AND(F741="ASTM A416", INT(Z741/20)&gt;INT(Z740/20)), "TN Cáp 15.2 (Lần " &amp; INT(Z741/20) &amp; ")", "")))))))))))</f>
        <v/>
      </c>
      <c r="P741" s="20">
        <f>ROUND(P740 + IF(AND(E741&lt;=10, F741&lt;&gt;"ASTM A416"), L741, 0), 3)</f>
        <v/>
      </c>
      <c r="Q741" s="20">
        <f>ROUND(Q740 + IF(AND(E741=12, F741&lt;&gt;"ASTM A416"), L741, 0), 3)</f>
        <v/>
      </c>
      <c r="R741" s="20">
        <f>ROUND(R740 + IF(AND(E741=14, F741&lt;&gt;"ASTM A416"), L741, 0), 3)</f>
        <v/>
      </c>
      <c r="S741" s="20">
        <f>ROUND(S740 + IF(AND(E741=16, F741&lt;&gt;"ASTM A416"), L741, 0), 3)</f>
        <v/>
      </c>
      <c r="T741" s="20">
        <f>ROUND(T740 + IF(AND(E741=18, F741&lt;&gt;"ASTM A416"), L741, 0), 3)</f>
        <v/>
      </c>
      <c r="U741" s="20">
        <f>ROUND(U740 + IF(AND(E741=20, F741&lt;&gt;"ASTM A416"), L741, 0), 3)</f>
        <v/>
      </c>
      <c r="V741" s="20">
        <f>ROUND(V740 + IF(AND(E741=22, F741&lt;&gt;"ASTM A416"), L741, 0), 3)</f>
        <v/>
      </c>
      <c r="W741" s="20">
        <f>ROUND(W740 + IF(AND(E741=25, F741&lt;&gt;"ASTM A416"), L741, 0), 3)</f>
        <v/>
      </c>
      <c r="X741" s="20">
        <f>ROUND(X740 + IF(AND(E741=28, F741&lt;&gt;"ASTM A416"), L741, 0), 3)</f>
        <v/>
      </c>
      <c r="Y741" s="20">
        <f>ROUND(Y740 + IF(AND(E741=32, F741&lt;&gt;"ASTM A416"), L741, 0), 3)</f>
        <v/>
      </c>
      <c r="Z741" s="20">
        <f>ROUND(Z740 + IF(F741="ASTM A416", L741, 0), 3)</f>
        <v/>
      </c>
      <c r="AA741" s="11">
        <f>IF(INT(P741/20)&gt;INT(P740/20), "Lần " &amp; INT(P741/20), "")</f>
        <v/>
      </c>
      <c r="AB741" s="11">
        <f>IF(INT(Q741/20)&gt;INT(Q740/20), "Lần " &amp; INT(Q741/20), "")</f>
        <v/>
      </c>
      <c r="AC741" s="11">
        <f>IF(INT(R741/20)&gt;INT(R740/20), "Lần " &amp; INT(R741/20), "")</f>
        <v/>
      </c>
      <c r="AD741" s="11">
        <f>IF(INT(S741/20)&gt;INT(S740/20), "Lần " &amp; INT(S741/20), "")</f>
        <v/>
      </c>
      <c r="AE741" s="11">
        <f>IF(INT(T741/20)&gt;INT(T740/20), "Lần " &amp; INT(T741/20), "")</f>
        <v/>
      </c>
      <c r="AF741" s="11">
        <f>IF(INT(U741/20)&gt;INT(U740/20), "Lần " &amp; INT(U741/20), "")</f>
        <v/>
      </c>
      <c r="AG741" s="11">
        <f>IF(INT(V741/20)&gt;INT(V740/20), "Lần " &amp; INT(V741/20), "")</f>
        <v/>
      </c>
      <c r="AH741" s="11">
        <f>IF(INT(W741/20)&gt;INT(W740/20), "Lần " &amp; INT(W741/20), "")</f>
        <v/>
      </c>
      <c r="AI741" s="11">
        <f>IF(INT(X741/20)&gt;INT(X740/20), "Lần " &amp; INT(X741/20), "")</f>
        <v/>
      </c>
      <c r="AJ741" s="11">
        <f>IF(INT(Y741/20)&gt;INT(Y740/20), "Lần " &amp; INT(Y741/20), "")</f>
        <v/>
      </c>
      <c r="AK741" s="11">
        <f>IF(INT(Z741/20)&gt;INT(Z740/20), "Lần " &amp; INT(Z741/20), "")</f>
        <v/>
      </c>
      <c r="AL741" s="6" t="inlineStr">
        <is>
          <t>ĐẠT TCVN 1651:2018</t>
        </is>
      </c>
    </row>
    <row r="742" ht="19" customHeight="1">
      <c r="A742" s="6" t="n">
        <v>710</v>
      </c>
      <c r="B742" s="7" t="inlineStr">
        <is>
          <t>Dầm chủ Super-T (15 phiến L=38.2m)</t>
        </is>
      </c>
      <c r="C742" s="7" t="inlineStr">
        <is>
          <t>Sườn dầm / Cánh dầm</t>
        </is>
      </c>
      <c r="D742" s="18" t="inlineStr">
        <is>
          <t>G5d</t>
        </is>
      </c>
      <c r="E742" s="19" t="n">
        <v>18</v>
      </c>
      <c r="F742" s="6" t="inlineStr">
        <is>
          <t>CB400-V</t>
        </is>
      </c>
      <c r="G742" s="7" t="inlineStr">
        <is>
          <t>S06</t>
        </is>
      </c>
      <c r="H742" s="20" t="n">
        <v>3.9</v>
      </c>
      <c r="I742" s="21" t="n">
        <v>210</v>
      </c>
      <c r="J742" s="22" t="n">
        <v>2</v>
      </c>
      <c r="K742" s="9">
        <f>ROUND(H742*I742*J742, 2)</f>
        <v/>
      </c>
      <c r="L742" s="23">
        <f>ROUND(K742/1000, 3)</f>
        <v/>
      </c>
      <c r="M742" s="8" t="n"/>
      <c r="N742" s="6" t="n"/>
      <c r="O742" s="24">
        <f>IF(AND(E742&lt;=10, F742&lt;&gt;"ASTM A416", INT(P742/20)&gt;INT(P741/20)), "TN Ø10 (Lần " &amp; INT(P742/20) &amp; ")", IF(AND(E742=12, INT(Q742/20)&gt;INT(Q741/20)), "TN Ø12 (Lần " &amp; INT(Q742/20) &amp; ")", IF(AND(E742=14, INT(R742/20)&gt;INT(R741/20)), "TN Ø14 (Lần " &amp; INT(R742/20) &amp; ")", IF(AND(E742=16, INT(S742/20)&gt;INT(S741/20)), "TN Ø16 (Lần " &amp; INT(S742/20) &amp; ")", IF(AND(E742=18, INT(T742/20)&gt;INT(T741/20)), "TN Ø18 (Lần " &amp; INT(T742/20) &amp; ")", IF(AND(E742=20, INT(U742/20)&gt;INT(U741/20)), "TN Ø20 (Lần " &amp; INT(U742/20) &amp; ")", IF(AND(E742=22, INT(V742/20)&gt;INT(V741/20)), "TN Ø22 (Lần " &amp; INT(V742/20) &amp; ")", IF(AND(E742=25, INT(W742/20)&gt;INT(W741/20)), "TN Ø25 (Lần " &amp; INT(W742/20) &amp; ")", IF(AND(E742=28, INT(X742/20)&gt;INT(X741/20)), "TN Ø28 (Lần " &amp; INT(X742/20) &amp; ")", IF(AND(E742=32, INT(Y742/20)&gt;INT(Y741/20)), "TN Ø32 (Lần " &amp; INT(Y742/20) &amp; ")", IF(AND(F742="ASTM A416", INT(Z742/20)&gt;INT(Z741/20)), "TN Cáp 15.2 (Lần " &amp; INT(Z742/20) &amp; ")", "")))))))))))</f>
        <v/>
      </c>
      <c r="P742" s="20">
        <f>ROUND(P741 + IF(AND(E742&lt;=10, F742&lt;&gt;"ASTM A416"), L742, 0), 3)</f>
        <v/>
      </c>
      <c r="Q742" s="20">
        <f>ROUND(Q741 + IF(AND(E742=12, F742&lt;&gt;"ASTM A416"), L742, 0), 3)</f>
        <v/>
      </c>
      <c r="R742" s="20">
        <f>ROUND(R741 + IF(AND(E742=14, F742&lt;&gt;"ASTM A416"), L742, 0), 3)</f>
        <v/>
      </c>
      <c r="S742" s="20">
        <f>ROUND(S741 + IF(AND(E742=16, F742&lt;&gt;"ASTM A416"), L742, 0), 3)</f>
        <v/>
      </c>
      <c r="T742" s="20">
        <f>ROUND(T741 + IF(AND(E742=18, F742&lt;&gt;"ASTM A416"), L742, 0), 3)</f>
        <v/>
      </c>
      <c r="U742" s="20">
        <f>ROUND(U741 + IF(AND(E742=20, F742&lt;&gt;"ASTM A416"), L742, 0), 3)</f>
        <v/>
      </c>
      <c r="V742" s="20">
        <f>ROUND(V741 + IF(AND(E742=22, F742&lt;&gt;"ASTM A416"), L742, 0), 3)</f>
        <v/>
      </c>
      <c r="W742" s="20">
        <f>ROUND(W741 + IF(AND(E742=25, F742&lt;&gt;"ASTM A416"), L742, 0), 3)</f>
        <v/>
      </c>
      <c r="X742" s="20">
        <f>ROUND(X741 + IF(AND(E742=28, F742&lt;&gt;"ASTM A416"), L742, 0), 3)</f>
        <v/>
      </c>
      <c r="Y742" s="20">
        <f>ROUND(Y741 + IF(AND(E742=32, F742&lt;&gt;"ASTM A416"), L742, 0), 3)</f>
        <v/>
      </c>
      <c r="Z742" s="20">
        <f>ROUND(Z741 + IF(F742="ASTM A416", L742, 0), 3)</f>
        <v/>
      </c>
      <c r="AA742" s="11">
        <f>IF(INT(P742/20)&gt;INT(P741/20), "Lần " &amp; INT(P742/20), "")</f>
        <v/>
      </c>
      <c r="AB742" s="11">
        <f>IF(INT(Q742/20)&gt;INT(Q741/20), "Lần " &amp; INT(Q742/20), "")</f>
        <v/>
      </c>
      <c r="AC742" s="11">
        <f>IF(INT(R742/20)&gt;INT(R741/20), "Lần " &amp; INT(R742/20), "")</f>
        <v/>
      </c>
      <c r="AD742" s="11">
        <f>IF(INT(S742/20)&gt;INT(S741/20), "Lần " &amp; INT(S742/20), "")</f>
        <v/>
      </c>
      <c r="AE742" s="11">
        <f>IF(INT(T742/20)&gt;INT(T741/20), "Lần " &amp; INT(T742/20), "")</f>
        <v/>
      </c>
      <c r="AF742" s="11">
        <f>IF(INT(U742/20)&gt;INT(U741/20), "Lần " &amp; INT(U742/20), "")</f>
        <v/>
      </c>
      <c r="AG742" s="11">
        <f>IF(INT(V742/20)&gt;INT(V741/20), "Lần " &amp; INT(V742/20), "")</f>
        <v/>
      </c>
      <c r="AH742" s="11">
        <f>IF(INT(W742/20)&gt;INT(W741/20), "Lần " &amp; INT(W742/20), "")</f>
        <v/>
      </c>
      <c r="AI742" s="11">
        <f>IF(INT(X742/20)&gt;INT(X741/20), "Lần " &amp; INT(X742/20), "")</f>
        <v/>
      </c>
      <c r="AJ742" s="11">
        <f>IF(INT(Y742/20)&gt;INT(Y741/20), "Lần " &amp; INT(Y742/20), "")</f>
        <v/>
      </c>
      <c r="AK742" s="11">
        <f>IF(INT(Z742/20)&gt;INT(Z741/20), "Lần " &amp; INT(Z742/20), "")</f>
        <v/>
      </c>
      <c r="AL742" s="6" t="inlineStr">
        <is>
          <t>ĐẠT TCVN 1651:2018</t>
        </is>
      </c>
    </row>
    <row r="743" ht="19" customHeight="1">
      <c r="A743" s="6" t="n">
        <v>711</v>
      </c>
      <c r="B743" s="7" t="inlineStr">
        <is>
          <t>Dầm chủ Super-T (15 phiến L=38.2m)</t>
        </is>
      </c>
      <c r="C743" s="7" t="inlineStr">
        <is>
          <t>Sườn dầm / Cánh dầm</t>
        </is>
      </c>
      <c r="D743" s="18" t="inlineStr">
        <is>
          <t>G6a</t>
        </is>
      </c>
      <c r="E743" s="19" t="n">
        <v>32</v>
      </c>
      <c r="F743" s="6" t="inlineStr">
        <is>
          <t>CB400-V</t>
        </is>
      </c>
      <c r="G743" s="7" t="inlineStr">
        <is>
          <t>S01</t>
        </is>
      </c>
      <c r="H743" s="20" t="n">
        <v>11.7</v>
      </c>
      <c r="I743" s="21" t="n">
        <v>135</v>
      </c>
      <c r="J743" s="22" t="n">
        <v>6.31</v>
      </c>
      <c r="K743" s="9">
        <f>ROUND(H743*I743*J743, 2)</f>
        <v/>
      </c>
      <c r="L743" s="23">
        <f>ROUND(K743/1000, 3)</f>
        <v/>
      </c>
      <c r="M743" s="8" t="n"/>
      <c r="N743" s="6" t="n"/>
      <c r="O743" s="24">
        <f>IF(AND(E743&lt;=10, F743&lt;&gt;"ASTM A416", INT(P743/20)&gt;INT(P742/20)), "TN Ø10 (Lần " &amp; INT(P743/20) &amp; ")", IF(AND(E743=12, INT(Q743/20)&gt;INT(Q742/20)), "TN Ø12 (Lần " &amp; INT(Q743/20) &amp; ")", IF(AND(E743=14, INT(R743/20)&gt;INT(R742/20)), "TN Ø14 (Lần " &amp; INT(R743/20) &amp; ")", IF(AND(E743=16, INT(S743/20)&gt;INT(S742/20)), "TN Ø16 (Lần " &amp; INT(S743/20) &amp; ")", IF(AND(E743=18, INT(T743/20)&gt;INT(T742/20)), "TN Ø18 (Lần " &amp; INT(T743/20) &amp; ")", IF(AND(E743=20, INT(U743/20)&gt;INT(U742/20)), "TN Ø20 (Lần " &amp; INT(U743/20) &amp; ")", IF(AND(E743=22, INT(V743/20)&gt;INT(V742/20)), "TN Ø22 (Lần " &amp; INT(V743/20) &amp; ")", IF(AND(E743=25, INT(W743/20)&gt;INT(W742/20)), "TN Ø25 (Lần " &amp; INT(W743/20) &amp; ")", IF(AND(E743=28, INT(X743/20)&gt;INT(X742/20)), "TN Ø28 (Lần " &amp; INT(X743/20) &amp; ")", IF(AND(E743=32, INT(Y743/20)&gt;INT(Y742/20)), "TN Ø32 (Lần " &amp; INT(Y743/20) &amp; ")", IF(AND(F743="ASTM A416", INT(Z743/20)&gt;INT(Z742/20)), "TN Cáp 15.2 (Lần " &amp; INT(Z743/20) &amp; ")", "")))))))))))</f>
        <v/>
      </c>
      <c r="P743" s="20">
        <f>ROUND(P742 + IF(AND(E743&lt;=10, F743&lt;&gt;"ASTM A416"), L743, 0), 3)</f>
        <v/>
      </c>
      <c r="Q743" s="20">
        <f>ROUND(Q742 + IF(AND(E743=12, F743&lt;&gt;"ASTM A416"), L743, 0), 3)</f>
        <v/>
      </c>
      <c r="R743" s="20">
        <f>ROUND(R742 + IF(AND(E743=14, F743&lt;&gt;"ASTM A416"), L743, 0), 3)</f>
        <v/>
      </c>
      <c r="S743" s="20">
        <f>ROUND(S742 + IF(AND(E743=16, F743&lt;&gt;"ASTM A416"), L743, 0), 3)</f>
        <v/>
      </c>
      <c r="T743" s="20">
        <f>ROUND(T742 + IF(AND(E743=18, F743&lt;&gt;"ASTM A416"), L743, 0), 3)</f>
        <v/>
      </c>
      <c r="U743" s="20">
        <f>ROUND(U742 + IF(AND(E743=20, F743&lt;&gt;"ASTM A416"), L743, 0), 3)</f>
        <v/>
      </c>
      <c r="V743" s="20">
        <f>ROUND(V742 + IF(AND(E743=22, F743&lt;&gt;"ASTM A416"), L743, 0), 3)</f>
        <v/>
      </c>
      <c r="W743" s="20">
        <f>ROUND(W742 + IF(AND(E743=25, F743&lt;&gt;"ASTM A416"), L743, 0), 3)</f>
        <v/>
      </c>
      <c r="X743" s="20">
        <f>ROUND(X742 + IF(AND(E743=28, F743&lt;&gt;"ASTM A416"), L743, 0), 3)</f>
        <v/>
      </c>
      <c r="Y743" s="20">
        <f>ROUND(Y742 + IF(AND(E743=32, F743&lt;&gt;"ASTM A416"), L743, 0), 3)</f>
        <v/>
      </c>
      <c r="Z743" s="20">
        <f>ROUND(Z742 + IF(F743="ASTM A416", L743, 0), 3)</f>
        <v/>
      </c>
      <c r="AA743" s="11">
        <f>IF(INT(P743/20)&gt;INT(P742/20), "Lần " &amp; INT(P743/20), "")</f>
        <v/>
      </c>
      <c r="AB743" s="11">
        <f>IF(INT(Q743/20)&gt;INT(Q742/20), "Lần " &amp; INT(Q743/20), "")</f>
        <v/>
      </c>
      <c r="AC743" s="11">
        <f>IF(INT(R743/20)&gt;INT(R742/20), "Lần " &amp; INT(R743/20), "")</f>
        <v/>
      </c>
      <c r="AD743" s="11">
        <f>IF(INT(S743/20)&gt;INT(S742/20), "Lần " &amp; INT(S743/20), "")</f>
        <v/>
      </c>
      <c r="AE743" s="11">
        <f>IF(INT(T743/20)&gt;INT(T742/20), "Lần " &amp; INT(T743/20), "")</f>
        <v/>
      </c>
      <c r="AF743" s="11">
        <f>IF(INT(U743/20)&gt;INT(U742/20), "Lần " &amp; INT(U743/20), "")</f>
        <v/>
      </c>
      <c r="AG743" s="11">
        <f>IF(INT(V743/20)&gt;INT(V742/20), "Lần " &amp; INT(V743/20), "")</f>
        <v/>
      </c>
      <c r="AH743" s="11">
        <f>IF(INT(W743/20)&gt;INT(W742/20), "Lần " &amp; INT(W743/20), "")</f>
        <v/>
      </c>
      <c r="AI743" s="11">
        <f>IF(INT(X743/20)&gt;INT(X742/20), "Lần " &amp; INT(X743/20), "")</f>
        <v/>
      </c>
      <c r="AJ743" s="11">
        <f>IF(INT(Y743/20)&gt;INT(Y742/20), "Lần " &amp; INT(Y743/20), "")</f>
        <v/>
      </c>
      <c r="AK743" s="11">
        <f>IF(INT(Z743/20)&gt;INT(Z742/20), "Lần " &amp; INT(Z743/20), "")</f>
        <v/>
      </c>
      <c r="AL743" s="6" t="inlineStr">
        <is>
          <t>ĐẠT TCVN 1651:2018</t>
        </is>
      </c>
    </row>
    <row r="744" ht="19" customHeight="1">
      <c r="A744" s="6" t="n">
        <v>712</v>
      </c>
      <c r="B744" s="7" t="inlineStr">
        <is>
          <t>Dầm chủ Super-T (15 phiến L=38.2m)</t>
        </is>
      </c>
      <c r="C744" s="7" t="inlineStr">
        <is>
          <t>Sườn dầm / Cánh dầm</t>
        </is>
      </c>
      <c r="D744" s="18" t="inlineStr">
        <is>
          <t>G6b</t>
        </is>
      </c>
      <c r="E744" s="19" t="n">
        <v>32</v>
      </c>
      <c r="F744" s="6" t="inlineStr">
        <is>
          <t>CB400-V</t>
        </is>
      </c>
      <c r="G744" s="7" t="inlineStr">
        <is>
          <t>S06</t>
        </is>
      </c>
      <c r="H744" s="20" t="n">
        <v>6.86</v>
      </c>
      <c r="I744" s="21" t="n">
        <v>45</v>
      </c>
      <c r="J744" s="22" t="n">
        <v>6.31</v>
      </c>
      <c r="K744" s="9">
        <f>ROUND(H744*I744*J744, 2)</f>
        <v/>
      </c>
      <c r="L744" s="23">
        <f>ROUND(K744/1000, 3)</f>
        <v/>
      </c>
      <c r="M744" s="8" t="n"/>
      <c r="N744" s="6" t="n"/>
      <c r="O744" s="24">
        <f>IF(AND(E744&lt;=10, F744&lt;&gt;"ASTM A416", INT(P744/20)&gt;INT(P743/20)), "TN Ø10 (Lần " &amp; INT(P744/20) &amp; ")", IF(AND(E744=12, INT(Q744/20)&gt;INT(Q743/20)), "TN Ø12 (Lần " &amp; INT(Q744/20) &amp; ")", IF(AND(E744=14, INT(R744/20)&gt;INT(R743/20)), "TN Ø14 (Lần " &amp; INT(R744/20) &amp; ")", IF(AND(E744=16, INT(S744/20)&gt;INT(S743/20)), "TN Ø16 (Lần " &amp; INT(S744/20) &amp; ")", IF(AND(E744=18, INT(T744/20)&gt;INT(T743/20)), "TN Ø18 (Lần " &amp; INT(T744/20) &amp; ")", IF(AND(E744=20, INT(U744/20)&gt;INT(U743/20)), "TN Ø20 (Lần " &amp; INT(U744/20) &amp; ")", IF(AND(E744=22, INT(V744/20)&gt;INT(V743/20)), "TN Ø22 (Lần " &amp; INT(V744/20) &amp; ")", IF(AND(E744=25, INT(W744/20)&gt;INT(W743/20)), "TN Ø25 (Lần " &amp; INT(W744/20) &amp; ")", IF(AND(E744=28, INT(X744/20)&gt;INT(X743/20)), "TN Ø28 (Lần " &amp; INT(X744/20) &amp; ")", IF(AND(E744=32, INT(Y744/20)&gt;INT(Y743/20)), "TN Ø32 (Lần " &amp; INT(Y744/20) &amp; ")", IF(AND(F744="ASTM A416", INT(Z744/20)&gt;INT(Z743/20)), "TN Cáp 15.2 (Lần " &amp; INT(Z744/20) &amp; ")", "")))))))))))</f>
        <v/>
      </c>
      <c r="P744" s="20">
        <f>ROUND(P743 + IF(AND(E744&lt;=10, F744&lt;&gt;"ASTM A416"), L744, 0), 3)</f>
        <v/>
      </c>
      <c r="Q744" s="20">
        <f>ROUND(Q743 + IF(AND(E744=12, F744&lt;&gt;"ASTM A416"), L744, 0), 3)</f>
        <v/>
      </c>
      <c r="R744" s="20">
        <f>ROUND(R743 + IF(AND(E744=14, F744&lt;&gt;"ASTM A416"), L744, 0), 3)</f>
        <v/>
      </c>
      <c r="S744" s="20">
        <f>ROUND(S743 + IF(AND(E744=16, F744&lt;&gt;"ASTM A416"), L744, 0), 3)</f>
        <v/>
      </c>
      <c r="T744" s="20">
        <f>ROUND(T743 + IF(AND(E744=18, F744&lt;&gt;"ASTM A416"), L744, 0), 3)</f>
        <v/>
      </c>
      <c r="U744" s="20">
        <f>ROUND(U743 + IF(AND(E744=20, F744&lt;&gt;"ASTM A416"), L744, 0), 3)</f>
        <v/>
      </c>
      <c r="V744" s="20">
        <f>ROUND(V743 + IF(AND(E744=22, F744&lt;&gt;"ASTM A416"), L744, 0), 3)</f>
        <v/>
      </c>
      <c r="W744" s="20">
        <f>ROUND(W743 + IF(AND(E744=25, F744&lt;&gt;"ASTM A416"), L744, 0), 3)</f>
        <v/>
      </c>
      <c r="X744" s="20">
        <f>ROUND(X743 + IF(AND(E744=28, F744&lt;&gt;"ASTM A416"), L744, 0), 3)</f>
        <v/>
      </c>
      <c r="Y744" s="20">
        <f>ROUND(Y743 + IF(AND(E744=32, F744&lt;&gt;"ASTM A416"), L744, 0), 3)</f>
        <v/>
      </c>
      <c r="Z744" s="20">
        <f>ROUND(Z743 + IF(F744="ASTM A416", L744, 0), 3)</f>
        <v/>
      </c>
      <c r="AA744" s="11">
        <f>IF(INT(P744/20)&gt;INT(P743/20), "Lần " &amp; INT(P744/20), "")</f>
        <v/>
      </c>
      <c r="AB744" s="11">
        <f>IF(INT(Q744/20)&gt;INT(Q743/20), "Lần " &amp; INT(Q744/20), "")</f>
        <v/>
      </c>
      <c r="AC744" s="11">
        <f>IF(INT(R744/20)&gt;INT(R743/20), "Lần " &amp; INT(R744/20), "")</f>
        <v/>
      </c>
      <c r="AD744" s="11">
        <f>IF(INT(S744/20)&gt;INT(S743/20), "Lần " &amp; INT(S744/20), "")</f>
        <v/>
      </c>
      <c r="AE744" s="11">
        <f>IF(INT(T744/20)&gt;INT(T743/20), "Lần " &amp; INT(T744/20), "")</f>
        <v/>
      </c>
      <c r="AF744" s="11">
        <f>IF(INT(U744/20)&gt;INT(U743/20), "Lần " &amp; INT(U744/20), "")</f>
        <v/>
      </c>
      <c r="AG744" s="11">
        <f>IF(INT(V744/20)&gt;INT(V743/20), "Lần " &amp; INT(V744/20), "")</f>
        <v/>
      </c>
      <c r="AH744" s="11">
        <f>IF(INT(W744/20)&gt;INT(W743/20), "Lần " &amp; INT(W744/20), "")</f>
        <v/>
      </c>
      <c r="AI744" s="11">
        <f>IF(INT(X744/20)&gt;INT(X743/20), "Lần " &amp; INT(X744/20), "")</f>
        <v/>
      </c>
      <c r="AJ744" s="11">
        <f>IF(INT(Y744/20)&gt;INT(Y743/20), "Lần " &amp; INT(Y744/20), "")</f>
        <v/>
      </c>
      <c r="AK744" s="11">
        <f>IF(INT(Z744/20)&gt;INT(Z743/20), "Lần " &amp; INT(Z744/20), "")</f>
        <v/>
      </c>
      <c r="AL744" s="6" t="inlineStr">
        <is>
          <t>ĐẠT TCVN 1651:2018</t>
        </is>
      </c>
    </row>
    <row r="745" ht="19" customHeight="1">
      <c r="A745" s="6" t="n">
        <v>713</v>
      </c>
      <c r="B745" s="7" t="inlineStr">
        <is>
          <t>Dầm chủ Super-T (15 phiến L=38.2m)</t>
        </is>
      </c>
      <c r="C745" s="7" t="inlineStr">
        <is>
          <t>Sườn dầm / Cánh dầm</t>
        </is>
      </c>
      <c r="D745" s="18" t="inlineStr">
        <is>
          <t>N1a</t>
        </is>
      </c>
      <c r="E745" s="19" t="n">
        <v>12</v>
      </c>
      <c r="F745" s="6" t="inlineStr">
        <is>
          <t>CB400-V</t>
        </is>
      </c>
      <c r="G745" s="7" t="inlineStr">
        <is>
          <t>S06</t>
        </is>
      </c>
      <c r="H745" s="20" t="n">
        <v>1.185</v>
      </c>
      <c r="I745" s="21" t="n">
        <v>555</v>
      </c>
      <c r="J745" s="22" t="n">
        <v>0.888</v>
      </c>
      <c r="K745" s="9">
        <f>ROUND(H745*I745*J745, 2)</f>
        <v/>
      </c>
      <c r="L745" s="23">
        <f>ROUND(K745/1000, 3)</f>
        <v/>
      </c>
      <c r="M745" s="8" t="n"/>
      <c r="N745" s="6" t="n"/>
      <c r="O745" s="24">
        <f>IF(AND(E745&lt;=10, F745&lt;&gt;"ASTM A416", INT(P745/20)&gt;INT(P744/20)), "TN Ø10 (Lần " &amp; INT(P745/20) &amp; ")", IF(AND(E745=12, INT(Q745/20)&gt;INT(Q744/20)), "TN Ø12 (Lần " &amp; INT(Q745/20) &amp; ")", IF(AND(E745=14, INT(R745/20)&gt;INT(R744/20)), "TN Ø14 (Lần " &amp; INT(R745/20) &amp; ")", IF(AND(E745=16, INT(S745/20)&gt;INT(S744/20)), "TN Ø16 (Lần " &amp; INT(S745/20) &amp; ")", IF(AND(E745=18, INT(T745/20)&gt;INT(T744/20)), "TN Ø18 (Lần " &amp; INT(T745/20) &amp; ")", IF(AND(E745=20, INT(U745/20)&gt;INT(U744/20)), "TN Ø20 (Lần " &amp; INT(U745/20) &amp; ")", IF(AND(E745=22, INT(V745/20)&gt;INT(V744/20)), "TN Ø22 (Lần " &amp; INT(V745/20) &amp; ")", IF(AND(E745=25, INT(W745/20)&gt;INT(W744/20)), "TN Ø25 (Lần " &amp; INT(W745/20) &amp; ")", IF(AND(E745=28, INT(X745/20)&gt;INT(X744/20)), "TN Ø28 (Lần " &amp; INT(X745/20) &amp; ")", IF(AND(E745=32, INT(Y745/20)&gt;INT(Y744/20)), "TN Ø32 (Lần " &amp; INT(Y745/20) &amp; ")", IF(AND(F745="ASTM A416", INT(Z745/20)&gt;INT(Z744/20)), "TN Cáp 15.2 (Lần " &amp; INT(Z745/20) &amp; ")", "")))))))))))</f>
        <v/>
      </c>
      <c r="P745" s="20">
        <f>ROUND(P744 + IF(AND(E745&lt;=10, F745&lt;&gt;"ASTM A416"), L745, 0), 3)</f>
        <v/>
      </c>
      <c r="Q745" s="20">
        <f>ROUND(Q744 + IF(AND(E745=12, F745&lt;&gt;"ASTM A416"), L745, 0), 3)</f>
        <v/>
      </c>
      <c r="R745" s="20">
        <f>ROUND(R744 + IF(AND(E745=14, F745&lt;&gt;"ASTM A416"), L745, 0), 3)</f>
        <v/>
      </c>
      <c r="S745" s="20">
        <f>ROUND(S744 + IF(AND(E745=16, F745&lt;&gt;"ASTM A416"), L745, 0), 3)</f>
        <v/>
      </c>
      <c r="T745" s="20">
        <f>ROUND(T744 + IF(AND(E745=18, F745&lt;&gt;"ASTM A416"), L745, 0), 3)</f>
        <v/>
      </c>
      <c r="U745" s="20">
        <f>ROUND(U744 + IF(AND(E745=20, F745&lt;&gt;"ASTM A416"), L745, 0), 3)</f>
        <v/>
      </c>
      <c r="V745" s="20">
        <f>ROUND(V744 + IF(AND(E745=22, F745&lt;&gt;"ASTM A416"), L745, 0), 3)</f>
        <v/>
      </c>
      <c r="W745" s="20">
        <f>ROUND(W744 + IF(AND(E745=25, F745&lt;&gt;"ASTM A416"), L745, 0), 3)</f>
        <v/>
      </c>
      <c r="X745" s="20">
        <f>ROUND(X744 + IF(AND(E745=28, F745&lt;&gt;"ASTM A416"), L745, 0), 3)</f>
        <v/>
      </c>
      <c r="Y745" s="20">
        <f>ROUND(Y744 + IF(AND(E745=32, F745&lt;&gt;"ASTM A416"), L745, 0), 3)</f>
        <v/>
      </c>
      <c r="Z745" s="20">
        <f>ROUND(Z744 + IF(F745="ASTM A416", L745, 0), 3)</f>
        <v/>
      </c>
      <c r="AA745" s="11">
        <f>IF(INT(P745/20)&gt;INT(P744/20), "Lần " &amp; INT(P745/20), "")</f>
        <v/>
      </c>
      <c r="AB745" s="11">
        <f>IF(INT(Q745/20)&gt;INT(Q744/20), "Lần " &amp; INT(Q745/20), "")</f>
        <v/>
      </c>
      <c r="AC745" s="11">
        <f>IF(INT(R745/20)&gt;INT(R744/20), "Lần " &amp; INT(R745/20), "")</f>
        <v/>
      </c>
      <c r="AD745" s="11">
        <f>IF(INT(S745/20)&gt;INT(S744/20), "Lần " &amp; INT(S745/20), "")</f>
        <v/>
      </c>
      <c r="AE745" s="11">
        <f>IF(INT(T745/20)&gt;INT(T744/20), "Lần " &amp; INT(T745/20), "")</f>
        <v/>
      </c>
      <c r="AF745" s="11">
        <f>IF(INT(U745/20)&gt;INT(U744/20), "Lần " &amp; INT(U745/20), "")</f>
        <v/>
      </c>
      <c r="AG745" s="11">
        <f>IF(INT(V745/20)&gt;INT(V744/20), "Lần " &amp; INT(V745/20), "")</f>
        <v/>
      </c>
      <c r="AH745" s="11">
        <f>IF(INT(W745/20)&gt;INT(W744/20), "Lần " &amp; INT(W745/20), "")</f>
        <v/>
      </c>
      <c r="AI745" s="11">
        <f>IF(INT(X745/20)&gt;INT(X744/20), "Lần " &amp; INT(X745/20), "")</f>
        <v/>
      </c>
      <c r="AJ745" s="11">
        <f>IF(INT(Y745/20)&gt;INT(Y744/20), "Lần " &amp; INT(Y745/20), "")</f>
        <v/>
      </c>
      <c r="AK745" s="11">
        <f>IF(INT(Z745/20)&gt;INT(Z744/20), "Lần " &amp; INT(Z745/20), "")</f>
        <v/>
      </c>
      <c r="AL745" s="6" t="inlineStr">
        <is>
          <t>ĐẠT TCVN 1651:2018</t>
        </is>
      </c>
    </row>
    <row r="746" ht="19" customHeight="1">
      <c r="A746" s="6" t="n">
        <v>714</v>
      </c>
      <c r="B746" s="7" t="inlineStr">
        <is>
          <t>Dầm chủ Super-T (15 phiến L=38.2m)</t>
        </is>
      </c>
      <c r="C746" s="7" t="inlineStr">
        <is>
          <t>TRUNG BÌNH</t>
        </is>
      </c>
      <c r="D746" s="18" t="inlineStr">
        <is>
          <t>N1b</t>
        </is>
      </c>
      <c r="E746" s="19" t="n">
        <v>12</v>
      </c>
      <c r="F746" s="6" t="inlineStr">
        <is>
          <t>CB400-V</t>
        </is>
      </c>
      <c r="G746" s="7" t="inlineStr">
        <is>
          <t>S06</t>
        </is>
      </c>
      <c r="H746" s="20" t="n">
        <v>0.93</v>
      </c>
      <c r="I746" s="21" t="n">
        <v>3885</v>
      </c>
      <c r="J746" s="22" t="n">
        <v>0.888</v>
      </c>
      <c r="K746" s="9">
        <f>ROUND(H746*I746*J746, 2)</f>
        <v/>
      </c>
      <c r="L746" s="23">
        <f>ROUND(K746/1000, 3)</f>
        <v/>
      </c>
      <c r="M746" s="8" t="n"/>
      <c r="N746" s="6" t="n"/>
      <c r="O746" s="24">
        <f>IF(AND(E746&lt;=10, F746&lt;&gt;"ASTM A416", INT(P746/20)&gt;INT(P745/20)), "TN Ø10 (Lần " &amp; INT(P746/20) &amp; ")", IF(AND(E746=12, INT(Q746/20)&gt;INT(Q745/20)), "TN Ø12 (Lần " &amp; INT(Q746/20) &amp; ")", IF(AND(E746=14, INT(R746/20)&gt;INT(R745/20)), "TN Ø14 (Lần " &amp; INT(R746/20) &amp; ")", IF(AND(E746=16, INT(S746/20)&gt;INT(S745/20)), "TN Ø16 (Lần " &amp; INT(S746/20) &amp; ")", IF(AND(E746=18, INT(T746/20)&gt;INT(T745/20)), "TN Ø18 (Lần " &amp; INT(T746/20) &amp; ")", IF(AND(E746=20, INT(U746/20)&gt;INT(U745/20)), "TN Ø20 (Lần " &amp; INT(U746/20) &amp; ")", IF(AND(E746=22, INT(V746/20)&gt;INT(V745/20)), "TN Ø22 (Lần " &amp; INT(V746/20) &amp; ")", IF(AND(E746=25, INT(W746/20)&gt;INT(W745/20)), "TN Ø25 (Lần " &amp; INT(W746/20) &amp; ")", IF(AND(E746=28, INT(X746/20)&gt;INT(X745/20)), "TN Ø28 (Lần " &amp; INT(X746/20) &amp; ")", IF(AND(E746=32, INT(Y746/20)&gt;INT(Y745/20)), "TN Ø32 (Lần " &amp; INT(Y746/20) &amp; ")", IF(AND(F746="ASTM A416", INT(Z746/20)&gt;INT(Z745/20)), "TN Cáp 15.2 (Lần " &amp; INT(Z746/20) &amp; ")", "")))))))))))</f>
        <v/>
      </c>
      <c r="P746" s="20">
        <f>ROUND(P745 + IF(AND(E746&lt;=10, F746&lt;&gt;"ASTM A416"), L746, 0), 3)</f>
        <v/>
      </c>
      <c r="Q746" s="20">
        <f>ROUND(Q745 + IF(AND(E746=12, F746&lt;&gt;"ASTM A416"), L746, 0), 3)</f>
        <v/>
      </c>
      <c r="R746" s="20">
        <f>ROUND(R745 + IF(AND(E746=14, F746&lt;&gt;"ASTM A416"), L746, 0), 3)</f>
        <v/>
      </c>
      <c r="S746" s="20">
        <f>ROUND(S745 + IF(AND(E746=16, F746&lt;&gt;"ASTM A416"), L746, 0), 3)</f>
        <v/>
      </c>
      <c r="T746" s="20">
        <f>ROUND(T745 + IF(AND(E746=18, F746&lt;&gt;"ASTM A416"), L746, 0), 3)</f>
        <v/>
      </c>
      <c r="U746" s="20">
        <f>ROUND(U745 + IF(AND(E746=20, F746&lt;&gt;"ASTM A416"), L746, 0), 3)</f>
        <v/>
      </c>
      <c r="V746" s="20">
        <f>ROUND(V745 + IF(AND(E746=22, F746&lt;&gt;"ASTM A416"), L746, 0), 3)</f>
        <v/>
      </c>
      <c r="W746" s="20">
        <f>ROUND(W745 + IF(AND(E746=25, F746&lt;&gt;"ASTM A416"), L746, 0), 3)</f>
        <v/>
      </c>
      <c r="X746" s="20">
        <f>ROUND(X745 + IF(AND(E746=28, F746&lt;&gt;"ASTM A416"), L746, 0), 3)</f>
        <v/>
      </c>
      <c r="Y746" s="20">
        <f>ROUND(Y745 + IF(AND(E746=32, F746&lt;&gt;"ASTM A416"), L746, 0), 3)</f>
        <v/>
      </c>
      <c r="Z746" s="20">
        <f>ROUND(Z745 + IF(F746="ASTM A416", L746, 0), 3)</f>
        <v/>
      </c>
      <c r="AA746" s="11">
        <f>IF(INT(P746/20)&gt;INT(P745/20), "Lần " &amp; INT(P746/20), "")</f>
        <v/>
      </c>
      <c r="AB746" s="11">
        <f>IF(INT(Q746/20)&gt;INT(Q745/20), "Lần " &amp; INT(Q746/20), "")</f>
        <v/>
      </c>
      <c r="AC746" s="11">
        <f>IF(INT(R746/20)&gt;INT(R745/20), "Lần " &amp; INT(R746/20), "")</f>
        <v/>
      </c>
      <c r="AD746" s="11">
        <f>IF(INT(S746/20)&gt;INT(S745/20), "Lần " &amp; INT(S746/20), "")</f>
        <v/>
      </c>
      <c r="AE746" s="11">
        <f>IF(INT(T746/20)&gt;INT(T745/20), "Lần " &amp; INT(T746/20), "")</f>
        <v/>
      </c>
      <c r="AF746" s="11">
        <f>IF(INT(U746/20)&gt;INT(U745/20), "Lần " &amp; INT(U746/20), "")</f>
        <v/>
      </c>
      <c r="AG746" s="11">
        <f>IF(INT(V746/20)&gt;INT(V745/20), "Lần " &amp; INT(V746/20), "")</f>
        <v/>
      </c>
      <c r="AH746" s="11">
        <f>IF(INT(W746/20)&gt;INT(W745/20), "Lần " &amp; INT(W746/20), "")</f>
        <v/>
      </c>
      <c r="AI746" s="11">
        <f>IF(INT(X746/20)&gt;INT(X745/20), "Lần " &amp; INT(X746/20), "")</f>
        <v/>
      </c>
      <c r="AJ746" s="11">
        <f>IF(INT(Y746/20)&gt;INT(Y745/20), "Lần " &amp; INT(Y746/20), "")</f>
        <v/>
      </c>
      <c r="AK746" s="11">
        <f>IF(INT(Z746/20)&gt;INT(Z745/20), "Lần " &amp; INT(Z746/20), "")</f>
        <v/>
      </c>
      <c r="AL746" s="6" t="inlineStr">
        <is>
          <t>ĐẠT TCVN 1651:2018</t>
        </is>
      </c>
    </row>
    <row r="747" ht="19" customHeight="1">
      <c r="A747" s="6" t="n">
        <v>715</v>
      </c>
      <c r="B747" s="7" t="inlineStr">
        <is>
          <t>Dầm chủ Super-T (15 phiến L=38.2m)</t>
        </is>
      </c>
      <c r="C747" s="7" t="inlineStr">
        <is>
          <t>Sườn dầm / Cánh dầm</t>
        </is>
      </c>
      <c r="D747" s="18" t="inlineStr">
        <is>
          <t>N2</t>
        </is>
      </c>
      <c r="E747" s="19" t="n">
        <v>12</v>
      </c>
      <c r="F747" s="6" t="inlineStr">
        <is>
          <t>CB400-V</t>
        </is>
      </c>
      <c r="G747" s="7" t="inlineStr">
        <is>
          <t>S06</t>
        </is>
      </c>
      <c r="H747" s="20" t="n">
        <v>3.664</v>
      </c>
      <c r="I747" s="21" t="n">
        <v>45</v>
      </c>
      <c r="J747" s="22" t="n">
        <v>0.888</v>
      </c>
      <c r="K747" s="9">
        <f>ROUND(H747*I747*J747, 2)</f>
        <v/>
      </c>
      <c r="L747" s="23">
        <f>ROUND(K747/1000, 3)</f>
        <v/>
      </c>
      <c r="M747" s="8" t="n"/>
      <c r="N747" s="6" t="n"/>
      <c r="O747" s="24">
        <f>IF(AND(E747&lt;=10, F747&lt;&gt;"ASTM A416", INT(P747/20)&gt;INT(P746/20)), "TN Ø10 (Lần " &amp; INT(P747/20) &amp; ")", IF(AND(E747=12, INT(Q747/20)&gt;INT(Q746/20)), "TN Ø12 (Lần " &amp; INT(Q747/20) &amp; ")", IF(AND(E747=14, INT(R747/20)&gt;INT(R746/20)), "TN Ø14 (Lần " &amp; INT(R747/20) &amp; ")", IF(AND(E747=16, INT(S747/20)&gt;INT(S746/20)), "TN Ø16 (Lần " &amp; INT(S747/20) &amp; ")", IF(AND(E747=18, INT(T747/20)&gt;INT(T746/20)), "TN Ø18 (Lần " &amp; INT(T747/20) &amp; ")", IF(AND(E747=20, INT(U747/20)&gt;INT(U746/20)), "TN Ø20 (Lần " &amp; INT(U747/20) &amp; ")", IF(AND(E747=22, INT(V747/20)&gt;INT(V746/20)), "TN Ø22 (Lần " &amp; INT(V747/20) &amp; ")", IF(AND(E747=25, INT(W747/20)&gt;INT(W746/20)), "TN Ø25 (Lần " &amp; INT(W747/20) &amp; ")", IF(AND(E747=28, INT(X747/20)&gt;INT(X746/20)), "TN Ø28 (Lần " &amp; INT(X747/20) &amp; ")", IF(AND(E747=32, INT(Y747/20)&gt;INT(Y746/20)), "TN Ø32 (Lần " &amp; INT(Y747/20) &amp; ")", IF(AND(F747="ASTM A416", INT(Z747/20)&gt;INT(Z746/20)), "TN Cáp 15.2 (Lần " &amp; INT(Z747/20) &amp; ")", "")))))))))))</f>
        <v/>
      </c>
      <c r="P747" s="20">
        <f>ROUND(P746 + IF(AND(E747&lt;=10, F747&lt;&gt;"ASTM A416"), L747, 0), 3)</f>
        <v/>
      </c>
      <c r="Q747" s="20">
        <f>ROUND(Q746 + IF(AND(E747=12, F747&lt;&gt;"ASTM A416"), L747, 0), 3)</f>
        <v/>
      </c>
      <c r="R747" s="20">
        <f>ROUND(R746 + IF(AND(E747=14, F747&lt;&gt;"ASTM A416"), L747, 0), 3)</f>
        <v/>
      </c>
      <c r="S747" s="20">
        <f>ROUND(S746 + IF(AND(E747=16, F747&lt;&gt;"ASTM A416"), L747, 0), 3)</f>
        <v/>
      </c>
      <c r="T747" s="20">
        <f>ROUND(T746 + IF(AND(E747=18, F747&lt;&gt;"ASTM A416"), L747, 0), 3)</f>
        <v/>
      </c>
      <c r="U747" s="20">
        <f>ROUND(U746 + IF(AND(E747=20, F747&lt;&gt;"ASTM A416"), L747, 0), 3)</f>
        <v/>
      </c>
      <c r="V747" s="20">
        <f>ROUND(V746 + IF(AND(E747=22, F747&lt;&gt;"ASTM A416"), L747, 0), 3)</f>
        <v/>
      </c>
      <c r="W747" s="20">
        <f>ROUND(W746 + IF(AND(E747=25, F747&lt;&gt;"ASTM A416"), L747, 0), 3)</f>
        <v/>
      </c>
      <c r="X747" s="20">
        <f>ROUND(X746 + IF(AND(E747=28, F747&lt;&gt;"ASTM A416"), L747, 0), 3)</f>
        <v/>
      </c>
      <c r="Y747" s="20">
        <f>ROUND(Y746 + IF(AND(E747=32, F747&lt;&gt;"ASTM A416"), L747, 0), 3)</f>
        <v/>
      </c>
      <c r="Z747" s="20">
        <f>ROUND(Z746 + IF(F747="ASTM A416", L747, 0), 3)</f>
        <v/>
      </c>
      <c r="AA747" s="11">
        <f>IF(INT(P747/20)&gt;INT(P746/20), "Lần " &amp; INT(P747/20), "")</f>
        <v/>
      </c>
      <c r="AB747" s="11">
        <f>IF(INT(Q747/20)&gt;INT(Q746/20), "Lần " &amp; INT(Q747/20), "")</f>
        <v/>
      </c>
      <c r="AC747" s="11">
        <f>IF(INT(R747/20)&gt;INT(R746/20), "Lần " &amp; INT(R747/20), "")</f>
        <v/>
      </c>
      <c r="AD747" s="11">
        <f>IF(INT(S747/20)&gt;INT(S746/20), "Lần " &amp; INT(S747/20), "")</f>
        <v/>
      </c>
      <c r="AE747" s="11">
        <f>IF(INT(T747/20)&gt;INT(T746/20), "Lần " &amp; INT(T747/20), "")</f>
        <v/>
      </c>
      <c r="AF747" s="11">
        <f>IF(INT(U747/20)&gt;INT(U746/20), "Lần " &amp; INT(U747/20), "")</f>
        <v/>
      </c>
      <c r="AG747" s="11">
        <f>IF(INT(V747/20)&gt;INT(V746/20), "Lần " &amp; INT(V747/20), "")</f>
        <v/>
      </c>
      <c r="AH747" s="11">
        <f>IF(INT(W747/20)&gt;INT(W746/20), "Lần " &amp; INT(W747/20), "")</f>
        <v/>
      </c>
      <c r="AI747" s="11">
        <f>IF(INT(X747/20)&gt;INT(X746/20), "Lần " &amp; INT(X747/20), "")</f>
        <v/>
      </c>
      <c r="AJ747" s="11">
        <f>IF(INT(Y747/20)&gt;INT(Y746/20), "Lần " &amp; INT(Y747/20), "")</f>
        <v/>
      </c>
      <c r="AK747" s="11">
        <f>IF(INT(Z747/20)&gt;INT(Z746/20), "Lần " &amp; INT(Z747/20), "")</f>
        <v/>
      </c>
      <c r="AL747" s="6" t="inlineStr">
        <is>
          <t>ĐẠT TCVN 1651:2018</t>
        </is>
      </c>
    </row>
    <row r="748" ht="19" customHeight="1">
      <c r="A748" s="6" t="n">
        <v>716</v>
      </c>
      <c r="B748" s="7" t="inlineStr">
        <is>
          <t>Dầm chủ Super-T (15 phiến L=38.2m)</t>
        </is>
      </c>
      <c r="C748" s="7" t="inlineStr">
        <is>
          <t>Sườn dầm / Cánh dầm</t>
        </is>
      </c>
      <c r="D748" s="18" t="inlineStr">
        <is>
          <t>E1</t>
        </is>
      </c>
      <c r="E748" s="19" t="n">
        <v>16</v>
      </c>
      <c r="F748" s="6" t="inlineStr">
        <is>
          <t>CB400-V</t>
        </is>
      </c>
      <c r="G748" s="7" t="inlineStr">
        <is>
          <t>S06</t>
        </is>
      </c>
      <c r="H748" s="20" t="n">
        <v>2.376</v>
      </c>
      <c r="I748" s="21" t="n">
        <v>3780</v>
      </c>
      <c r="J748" s="22" t="n">
        <v>1.58</v>
      </c>
      <c r="K748" s="9">
        <f>ROUND(H748*I748*J748, 2)</f>
        <v/>
      </c>
      <c r="L748" s="23">
        <f>ROUND(K748/1000, 3)</f>
        <v/>
      </c>
      <c r="M748" s="8" t="n"/>
      <c r="N748" s="6" t="n"/>
      <c r="O748" s="24">
        <f>IF(AND(E748&lt;=10, F748&lt;&gt;"ASTM A416", INT(P748/20)&gt;INT(P747/20)), "TN Ø10 (Lần " &amp; INT(P748/20) &amp; ")", IF(AND(E748=12, INT(Q748/20)&gt;INT(Q747/20)), "TN Ø12 (Lần " &amp; INT(Q748/20) &amp; ")", IF(AND(E748=14, INT(R748/20)&gt;INT(R747/20)), "TN Ø14 (Lần " &amp; INT(R748/20) &amp; ")", IF(AND(E748=16, INT(S748/20)&gt;INT(S747/20)), "TN Ø16 (Lần " &amp; INT(S748/20) &amp; ")", IF(AND(E748=18, INT(T748/20)&gt;INT(T747/20)), "TN Ø18 (Lần " &amp; INT(T748/20) &amp; ")", IF(AND(E748=20, INT(U748/20)&gt;INT(U747/20)), "TN Ø20 (Lần " &amp; INT(U748/20) &amp; ")", IF(AND(E748=22, INT(V748/20)&gt;INT(V747/20)), "TN Ø22 (Lần " &amp; INT(V748/20) &amp; ")", IF(AND(E748=25, INT(W748/20)&gt;INT(W747/20)), "TN Ø25 (Lần " &amp; INT(W748/20) &amp; ")", IF(AND(E748=28, INT(X748/20)&gt;INT(X747/20)), "TN Ø28 (Lần " &amp; INT(X748/20) &amp; ")", IF(AND(E748=32, INT(Y748/20)&gt;INT(Y747/20)), "TN Ø32 (Lần " &amp; INT(Y748/20) &amp; ")", IF(AND(F748="ASTM A416", INT(Z748/20)&gt;INT(Z747/20)), "TN Cáp 15.2 (Lần " &amp; INT(Z748/20) &amp; ")", "")))))))))))</f>
        <v/>
      </c>
      <c r="P748" s="20">
        <f>ROUND(P747 + IF(AND(E748&lt;=10, F748&lt;&gt;"ASTM A416"), L748, 0), 3)</f>
        <v/>
      </c>
      <c r="Q748" s="20">
        <f>ROUND(Q747 + IF(AND(E748=12, F748&lt;&gt;"ASTM A416"), L748, 0), 3)</f>
        <v/>
      </c>
      <c r="R748" s="20">
        <f>ROUND(R747 + IF(AND(E748=14, F748&lt;&gt;"ASTM A416"), L748, 0), 3)</f>
        <v/>
      </c>
      <c r="S748" s="20">
        <f>ROUND(S747 + IF(AND(E748=16, F748&lt;&gt;"ASTM A416"), L748, 0), 3)</f>
        <v/>
      </c>
      <c r="T748" s="20">
        <f>ROUND(T747 + IF(AND(E748=18, F748&lt;&gt;"ASTM A416"), L748, 0), 3)</f>
        <v/>
      </c>
      <c r="U748" s="20">
        <f>ROUND(U747 + IF(AND(E748=20, F748&lt;&gt;"ASTM A416"), L748, 0), 3)</f>
        <v/>
      </c>
      <c r="V748" s="20">
        <f>ROUND(V747 + IF(AND(E748=22, F748&lt;&gt;"ASTM A416"), L748, 0), 3)</f>
        <v/>
      </c>
      <c r="W748" s="20">
        <f>ROUND(W747 + IF(AND(E748=25, F748&lt;&gt;"ASTM A416"), L748, 0), 3)</f>
        <v/>
      </c>
      <c r="X748" s="20">
        <f>ROUND(X747 + IF(AND(E748=28, F748&lt;&gt;"ASTM A416"), L748, 0), 3)</f>
        <v/>
      </c>
      <c r="Y748" s="20">
        <f>ROUND(Y747 + IF(AND(E748=32, F748&lt;&gt;"ASTM A416"), L748, 0), 3)</f>
        <v/>
      </c>
      <c r="Z748" s="20">
        <f>ROUND(Z747 + IF(F748="ASTM A416", L748, 0), 3)</f>
        <v/>
      </c>
      <c r="AA748" s="11">
        <f>IF(INT(P748/20)&gt;INT(P747/20), "Lần " &amp; INT(P748/20), "")</f>
        <v/>
      </c>
      <c r="AB748" s="11">
        <f>IF(INT(Q748/20)&gt;INT(Q747/20), "Lần " &amp; INT(Q748/20), "")</f>
        <v/>
      </c>
      <c r="AC748" s="11">
        <f>IF(INT(R748/20)&gt;INT(R747/20), "Lần " &amp; INT(R748/20), "")</f>
        <v/>
      </c>
      <c r="AD748" s="11">
        <f>IF(INT(S748/20)&gt;INT(S747/20), "Lần " &amp; INT(S748/20), "")</f>
        <v/>
      </c>
      <c r="AE748" s="11">
        <f>IF(INT(T748/20)&gt;INT(T747/20), "Lần " &amp; INT(T748/20), "")</f>
        <v/>
      </c>
      <c r="AF748" s="11">
        <f>IF(INT(U748/20)&gt;INT(U747/20), "Lần " &amp; INT(U748/20), "")</f>
        <v/>
      </c>
      <c r="AG748" s="11">
        <f>IF(INT(V748/20)&gt;INT(V747/20), "Lần " &amp; INT(V748/20), "")</f>
        <v/>
      </c>
      <c r="AH748" s="11">
        <f>IF(INT(W748/20)&gt;INT(W747/20), "Lần " &amp; INT(W748/20), "")</f>
        <v/>
      </c>
      <c r="AI748" s="11">
        <f>IF(INT(X748/20)&gt;INT(X747/20), "Lần " &amp; INT(X748/20), "")</f>
        <v/>
      </c>
      <c r="AJ748" s="11">
        <f>IF(INT(Y748/20)&gt;INT(Y747/20), "Lần " &amp; INT(Y748/20), "")</f>
        <v/>
      </c>
      <c r="AK748" s="11">
        <f>IF(INT(Z748/20)&gt;INT(Z747/20), "Lần " &amp; INT(Z748/20), "")</f>
        <v/>
      </c>
      <c r="AL748" s="6" t="inlineStr">
        <is>
          <t>ĐẠT TCVN 1651:2018</t>
        </is>
      </c>
    </row>
    <row r="749" ht="19" customHeight="1">
      <c r="A749" s="6" t="n">
        <v>717</v>
      </c>
      <c r="B749" s="7" t="inlineStr">
        <is>
          <t>Dầm chủ Super-T (15 phiến L=38.2m)</t>
        </is>
      </c>
      <c r="C749" s="7" t="inlineStr">
        <is>
          <t>Sườn dầm / Cánh dầm</t>
        </is>
      </c>
      <c r="D749" s="18" t="inlineStr">
        <is>
          <t>E2</t>
        </is>
      </c>
      <c r="E749" s="19" t="n">
        <v>16</v>
      </c>
      <c r="F749" s="6" t="inlineStr">
        <is>
          <t>CB400-V</t>
        </is>
      </c>
      <c r="G749" s="7" t="inlineStr">
        <is>
          <t>S06</t>
        </is>
      </c>
      <c r="H749" s="20" t="n">
        <v>3.932</v>
      </c>
      <c r="I749" s="21" t="n">
        <v>300</v>
      </c>
      <c r="J749" s="22" t="n">
        <v>1.58</v>
      </c>
      <c r="K749" s="9">
        <f>ROUND(H749*I749*J749, 2)</f>
        <v/>
      </c>
      <c r="L749" s="23">
        <f>ROUND(K749/1000, 3)</f>
        <v/>
      </c>
      <c r="M749" s="8" t="n"/>
      <c r="N749" s="6" t="n"/>
      <c r="O749" s="24">
        <f>IF(AND(E749&lt;=10, F749&lt;&gt;"ASTM A416", INT(P749/20)&gt;INT(P748/20)), "TN Ø10 (Lần " &amp; INT(P749/20) &amp; ")", IF(AND(E749=12, INT(Q749/20)&gt;INT(Q748/20)), "TN Ø12 (Lần " &amp; INT(Q749/20) &amp; ")", IF(AND(E749=14, INT(R749/20)&gt;INT(R748/20)), "TN Ø14 (Lần " &amp; INT(R749/20) &amp; ")", IF(AND(E749=16, INT(S749/20)&gt;INT(S748/20)), "TN Ø16 (Lần " &amp; INT(S749/20) &amp; ")", IF(AND(E749=18, INT(T749/20)&gt;INT(T748/20)), "TN Ø18 (Lần " &amp; INT(T749/20) &amp; ")", IF(AND(E749=20, INT(U749/20)&gt;INT(U748/20)), "TN Ø20 (Lần " &amp; INT(U749/20) &amp; ")", IF(AND(E749=22, INT(V749/20)&gt;INT(V748/20)), "TN Ø22 (Lần " &amp; INT(V749/20) &amp; ")", IF(AND(E749=25, INT(W749/20)&gt;INT(W748/20)), "TN Ø25 (Lần " &amp; INT(W749/20) &amp; ")", IF(AND(E749=28, INT(X749/20)&gt;INT(X748/20)), "TN Ø28 (Lần " &amp; INT(X749/20) &amp; ")", IF(AND(E749=32, INT(Y749/20)&gt;INT(Y748/20)), "TN Ø32 (Lần " &amp; INT(Y749/20) &amp; ")", IF(AND(F749="ASTM A416", INT(Z749/20)&gt;INT(Z748/20)), "TN Cáp 15.2 (Lần " &amp; INT(Z749/20) &amp; ")", "")))))))))))</f>
        <v/>
      </c>
      <c r="P749" s="20">
        <f>ROUND(P748 + IF(AND(E749&lt;=10, F749&lt;&gt;"ASTM A416"), L749, 0), 3)</f>
        <v/>
      </c>
      <c r="Q749" s="20">
        <f>ROUND(Q748 + IF(AND(E749=12, F749&lt;&gt;"ASTM A416"), L749, 0), 3)</f>
        <v/>
      </c>
      <c r="R749" s="20">
        <f>ROUND(R748 + IF(AND(E749=14, F749&lt;&gt;"ASTM A416"), L749, 0), 3)</f>
        <v/>
      </c>
      <c r="S749" s="20">
        <f>ROUND(S748 + IF(AND(E749=16, F749&lt;&gt;"ASTM A416"), L749, 0), 3)</f>
        <v/>
      </c>
      <c r="T749" s="20">
        <f>ROUND(T748 + IF(AND(E749=18, F749&lt;&gt;"ASTM A416"), L749, 0), 3)</f>
        <v/>
      </c>
      <c r="U749" s="20">
        <f>ROUND(U748 + IF(AND(E749=20, F749&lt;&gt;"ASTM A416"), L749, 0), 3)</f>
        <v/>
      </c>
      <c r="V749" s="20">
        <f>ROUND(V748 + IF(AND(E749=22, F749&lt;&gt;"ASTM A416"), L749, 0), 3)</f>
        <v/>
      </c>
      <c r="W749" s="20">
        <f>ROUND(W748 + IF(AND(E749=25, F749&lt;&gt;"ASTM A416"), L749, 0), 3)</f>
        <v/>
      </c>
      <c r="X749" s="20">
        <f>ROUND(X748 + IF(AND(E749=28, F749&lt;&gt;"ASTM A416"), L749, 0), 3)</f>
        <v/>
      </c>
      <c r="Y749" s="20">
        <f>ROUND(Y748 + IF(AND(E749=32, F749&lt;&gt;"ASTM A416"), L749, 0), 3)</f>
        <v/>
      </c>
      <c r="Z749" s="20">
        <f>ROUND(Z748 + IF(F749="ASTM A416", L749, 0), 3)</f>
        <v/>
      </c>
      <c r="AA749" s="11">
        <f>IF(INT(P749/20)&gt;INT(P748/20), "Lần " &amp; INT(P749/20), "")</f>
        <v/>
      </c>
      <c r="AB749" s="11">
        <f>IF(INT(Q749/20)&gt;INT(Q748/20), "Lần " &amp; INT(Q749/20), "")</f>
        <v/>
      </c>
      <c r="AC749" s="11">
        <f>IF(INT(R749/20)&gt;INT(R748/20), "Lần " &amp; INT(R749/20), "")</f>
        <v/>
      </c>
      <c r="AD749" s="11">
        <f>IF(INT(S749/20)&gt;INT(S748/20), "Lần " &amp; INT(S749/20), "")</f>
        <v/>
      </c>
      <c r="AE749" s="11">
        <f>IF(INT(T749/20)&gt;INT(T748/20), "Lần " &amp; INT(T749/20), "")</f>
        <v/>
      </c>
      <c r="AF749" s="11">
        <f>IF(INT(U749/20)&gt;INT(U748/20), "Lần " &amp; INT(U749/20), "")</f>
        <v/>
      </c>
      <c r="AG749" s="11">
        <f>IF(INT(V749/20)&gt;INT(V748/20), "Lần " &amp; INT(V749/20), "")</f>
        <v/>
      </c>
      <c r="AH749" s="11">
        <f>IF(INT(W749/20)&gt;INT(W748/20), "Lần " &amp; INT(W749/20), "")</f>
        <v/>
      </c>
      <c r="AI749" s="11">
        <f>IF(INT(X749/20)&gt;INT(X748/20), "Lần " &amp; INT(X749/20), "")</f>
        <v/>
      </c>
      <c r="AJ749" s="11">
        <f>IF(INT(Y749/20)&gt;INT(Y748/20), "Lần " &amp; INT(Y749/20), "")</f>
        <v/>
      </c>
      <c r="AK749" s="11">
        <f>IF(INT(Z749/20)&gt;INT(Z748/20), "Lần " &amp; INT(Z749/20), "")</f>
        <v/>
      </c>
      <c r="AL749" s="6" t="inlineStr">
        <is>
          <t>ĐẠT TCVN 1651:2018</t>
        </is>
      </c>
    </row>
    <row r="750" ht="19" customHeight="1">
      <c r="A750" s="6" t="n">
        <v>718</v>
      </c>
      <c r="B750" s="7" t="inlineStr">
        <is>
          <t>Dầm chủ Super-T (15 phiến L=38.2m)</t>
        </is>
      </c>
      <c r="C750" s="7" t="inlineStr">
        <is>
          <t>Sườn dầm / Cánh dầm</t>
        </is>
      </c>
      <c r="D750" s="18" t="inlineStr">
        <is>
          <t>Thanh neo</t>
        </is>
      </c>
      <c r="E750" s="19" t="n">
        <v>20</v>
      </c>
      <c r="F750" s="6" t="inlineStr">
        <is>
          <t>CB400-V</t>
        </is>
      </c>
      <c r="G750" s="7" t="inlineStr">
        <is>
          <t>S06</t>
        </is>
      </c>
      <c r="H750" s="20" t="n">
        <v>0.11</v>
      </c>
      <c r="I750" s="21" t="n">
        <v>120</v>
      </c>
      <c r="J750" s="22" t="n">
        <v>2.47</v>
      </c>
      <c r="K750" s="9">
        <f>ROUND(H750*I750*J750, 2)</f>
        <v/>
      </c>
      <c r="L750" s="23">
        <f>ROUND(K750/1000, 3)</f>
        <v/>
      </c>
      <c r="M750" s="8" t="n"/>
      <c r="N750" s="6" t="n"/>
      <c r="O750" s="24">
        <f>IF(AND(E750&lt;=10, F750&lt;&gt;"ASTM A416", INT(P750/20)&gt;INT(P749/20)), "TN Ø10 (Lần " &amp; INT(P750/20) &amp; ")", IF(AND(E750=12, INT(Q750/20)&gt;INT(Q749/20)), "TN Ø12 (Lần " &amp; INT(Q750/20) &amp; ")", IF(AND(E750=14, INT(R750/20)&gt;INT(R749/20)), "TN Ø14 (Lần " &amp; INT(R750/20) &amp; ")", IF(AND(E750=16, INT(S750/20)&gt;INT(S749/20)), "TN Ø16 (Lần " &amp; INT(S750/20) &amp; ")", IF(AND(E750=18, INT(T750/20)&gt;INT(T749/20)), "TN Ø18 (Lần " &amp; INT(T750/20) &amp; ")", IF(AND(E750=20, INT(U750/20)&gt;INT(U749/20)), "TN Ø20 (Lần " &amp; INT(U750/20) &amp; ")", IF(AND(E750=22, INT(V750/20)&gt;INT(V749/20)), "TN Ø22 (Lần " &amp; INT(V750/20) &amp; ")", IF(AND(E750=25, INT(W750/20)&gt;INT(W749/20)), "TN Ø25 (Lần " &amp; INT(W750/20) &amp; ")", IF(AND(E750=28, INT(X750/20)&gt;INT(X749/20)), "TN Ø28 (Lần " &amp; INT(X750/20) &amp; ")", IF(AND(E750=32, INT(Y750/20)&gt;INT(Y749/20)), "TN Ø32 (Lần " &amp; INT(Y750/20) &amp; ")", IF(AND(F750="ASTM A416", INT(Z750/20)&gt;INT(Z749/20)), "TN Cáp 15.2 (Lần " &amp; INT(Z750/20) &amp; ")", "")))))))))))</f>
        <v/>
      </c>
      <c r="P750" s="20">
        <f>ROUND(P749 + IF(AND(E750&lt;=10, F750&lt;&gt;"ASTM A416"), L750, 0), 3)</f>
        <v/>
      </c>
      <c r="Q750" s="20">
        <f>ROUND(Q749 + IF(AND(E750=12, F750&lt;&gt;"ASTM A416"), L750, 0), 3)</f>
        <v/>
      </c>
      <c r="R750" s="20">
        <f>ROUND(R749 + IF(AND(E750=14, F750&lt;&gt;"ASTM A416"), L750, 0), 3)</f>
        <v/>
      </c>
      <c r="S750" s="20">
        <f>ROUND(S749 + IF(AND(E750=16, F750&lt;&gt;"ASTM A416"), L750, 0), 3)</f>
        <v/>
      </c>
      <c r="T750" s="20">
        <f>ROUND(T749 + IF(AND(E750=18, F750&lt;&gt;"ASTM A416"), L750, 0), 3)</f>
        <v/>
      </c>
      <c r="U750" s="20">
        <f>ROUND(U749 + IF(AND(E750=20, F750&lt;&gt;"ASTM A416"), L750, 0), 3)</f>
        <v/>
      </c>
      <c r="V750" s="20">
        <f>ROUND(V749 + IF(AND(E750=22, F750&lt;&gt;"ASTM A416"), L750, 0), 3)</f>
        <v/>
      </c>
      <c r="W750" s="20">
        <f>ROUND(W749 + IF(AND(E750=25, F750&lt;&gt;"ASTM A416"), L750, 0), 3)</f>
        <v/>
      </c>
      <c r="X750" s="20">
        <f>ROUND(X749 + IF(AND(E750=28, F750&lt;&gt;"ASTM A416"), L750, 0), 3)</f>
        <v/>
      </c>
      <c r="Y750" s="20">
        <f>ROUND(Y749 + IF(AND(E750=32, F750&lt;&gt;"ASTM A416"), L750, 0), 3)</f>
        <v/>
      </c>
      <c r="Z750" s="20">
        <f>ROUND(Z749 + IF(F750="ASTM A416", L750, 0), 3)</f>
        <v/>
      </c>
      <c r="AA750" s="11">
        <f>IF(INT(P750/20)&gt;INT(P749/20), "Lần " &amp; INT(P750/20), "")</f>
        <v/>
      </c>
      <c r="AB750" s="11">
        <f>IF(INT(Q750/20)&gt;INT(Q749/20), "Lần " &amp; INT(Q750/20), "")</f>
        <v/>
      </c>
      <c r="AC750" s="11">
        <f>IF(INT(R750/20)&gt;INT(R749/20), "Lần " &amp; INT(R750/20), "")</f>
        <v/>
      </c>
      <c r="AD750" s="11">
        <f>IF(INT(S750/20)&gt;INT(S749/20), "Lần " &amp; INT(S750/20), "")</f>
        <v/>
      </c>
      <c r="AE750" s="11">
        <f>IF(INT(T750/20)&gt;INT(T749/20), "Lần " &amp; INT(T750/20), "")</f>
        <v/>
      </c>
      <c r="AF750" s="11">
        <f>IF(INT(U750/20)&gt;INT(U749/20), "Lần " &amp; INT(U750/20), "")</f>
        <v/>
      </c>
      <c r="AG750" s="11">
        <f>IF(INT(V750/20)&gt;INT(V749/20), "Lần " &amp; INT(V750/20), "")</f>
        <v/>
      </c>
      <c r="AH750" s="11">
        <f>IF(INT(W750/20)&gt;INT(W749/20), "Lần " &amp; INT(W750/20), "")</f>
        <v/>
      </c>
      <c r="AI750" s="11">
        <f>IF(INT(X750/20)&gt;INT(X749/20), "Lần " &amp; INT(X750/20), "")</f>
        <v/>
      </c>
      <c r="AJ750" s="11">
        <f>IF(INT(Y750/20)&gt;INT(Y749/20), "Lần " &amp; INT(Y750/20), "")</f>
        <v/>
      </c>
      <c r="AK750" s="11">
        <f>IF(INT(Z750/20)&gt;INT(Z749/20), "Lần " &amp; INT(Z750/20), "")</f>
        <v/>
      </c>
      <c r="AL750" s="6" t="inlineStr">
        <is>
          <t>ĐẠT TCVN 1651:2018</t>
        </is>
      </c>
    </row>
    <row r="751" ht="19" customHeight="1">
      <c r="A751" s="6" t="n">
        <v>719</v>
      </c>
      <c r="B751" s="7" t="inlineStr">
        <is>
          <t>Dầm chủ Super-T (15 phiến L=38.2m)</t>
        </is>
      </c>
      <c r="C751" s="7" t="inlineStr">
        <is>
          <t>Sườn dầm / Cánh dầm</t>
        </is>
      </c>
      <c r="D751" s="18" t="inlineStr">
        <is>
          <t>K1a</t>
        </is>
      </c>
      <c r="E751" s="19" t="n">
        <v>16</v>
      </c>
      <c r="F751" s="6" t="inlineStr">
        <is>
          <t>CB400-V</t>
        </is>
      </c>
      <c r="G751" s="7" t="inlineStr">
        <is>
          <t>S06</t>
        </is>
      </c>
      <c r="H751" s="20" t="n">
        <v>0.976</v>
      </c>
      <c r="I751" s="21" t="n">
        <v>120</v>
      </c>
      <c r="J751" s="22" t="n">
        <v>1.58</v>
      </c>
      <c r="K751" s="9">
        <f>ROUND(H751*I751*J751, 2)</f>
        <v/>
      </c>
      <c r="L751" s="23">
        <f>ROUND(K751/1000, 3)</f>
        <v/>
      </c>
      <c r="M751" s="8" t="n"/>
      <c r="N751" s="6" t="n"/>
      <c r="O751" s="24">
        <f>IF(AND(E751&lt;=10, F751&lt;&gt;"ASTM A416", INT(P751/20)&gt;INT(P750/20)), "TN Ø10 (Lần " &amp; INT(P751/20) &amp; ")", IF(AND(E751=12, INT(Q751/20)&gt;INT(Q750/20)), "TN Ø12 (Lần " &amp; INT(Q751/20) &amp; ")", IF(AND(E751=14, INT(R751/20)&gt;INT(R750/20)), "TN Ø14 (Lần " &amp; INT(R751/20) &amp; ")", IF(AND(E751=16, INT(S751/20)&gt;INT(S750/20)), "TN Ø16 (Lần " &amp; INT(S751/20) &amp; ")", IF(AND(E751=18, INT(T751/20)&gt;INT(T750/20)), "TN Ø18 (Lần " &amp; INT(T751/20) &amp; ")", IF(AND(E751=20, INT(U751/20)&gt;INT(U750/20)), "TN Ø20 (Lần " &amp; INT(U751/20) &amp; ")", IF(AND(E751=22, INT(V751/20)&gt;INT(V750/20)), "TN Ø22 (Lần " &amp; INT(V751/20) &amp; ")", IF(AND(E751=25, INT(W751/20)&gt;INT(W750/20)), "TN Ø25 (Lần " &amp; INT(W751/20) &amp; ")", IF(AND(E751=28, INT(X751/20)&gt;INT(X750/20)), "TN Ø28 (Lần " &amp; INT(X751/20) &amp; ")", IF(AND(E751=32, INT(Y751/20)&gt;INT(Y750/20)), "TN Ø32 (Lần " &amp; INT(Y751/20) &amp; ")", IF(AND(F751="ASTM A416", INT(Z751/20)&gt;INT(Z750/20)), "TN Cáp 15.2 (Lần " &amp; INT(Z751/20) &amp; ")", "")))))))))))</f>
        <v/>
      </c>
      <c r="P751" s="20">
        <f>ROUND(P750 + IF(AND(E751&lt;=10, F751&lt;&gt;"ASTM A416"), L751, 0), 3)</f>
        <v/>
      </c>
      <c r="Q751" s="20">
        <f>ROUND(Q750 + IF(AND(E751=12, F751&lt;&gt;"ASTM A416"), L751, 0), 3)</f>
        <v/>
      </c>
      <c r="R751" s="20">
        <f>ROUND(R750 + IF(AND(E751=14, F751&lt;&gt;"ASTM A416"), L751, 0), 3)</f>
        <v/>
      </c>
      <c r="S751" s="20">
        <f>ROUND(S750 + IF(AND(E751=16, F751&lt;&gt;"ASTM A416"), L751, 0), 3)</f>
        <v/>
      </c>
      <c r="T751" s="20">
        <f>ROUND(T750 + IF(AND(E751=18, F751&lt;&gt;"ASTM A416"), L751, 0), 3)</f>
        <v/>
      </c>
      <c r="U751" s="20">
        <f>ROUND(U750 + IF(AND(E751=20, F751&lt;&gt;"ASTM A416"), L751, 0), 3)</f>
        <v/>
      </c>
      <c r="V751" s="20">
        <f>ROUND(V750 + IF(AND(E751=22, F751&lt;&gt;"ASTM A416"), L751, 0), 3)</f>
        <v/>
      </c>
      <c r="W751" s="20">
        <f>ROUND(W750 + IF(AND(E751=25, F751&lt;&gt;"ASTM A416"), L751, 0), 3)</f>
        <v/>
      </c>
      <c r="X751" s="20">
        <f>ROUND(X750 + IF(AND(E751=28, F751&lt;&gt;"ASTM A416"), L751, 0), 3)</f>
        <v/>
      </c>
      <c r="Y751" s="20">
        <f>ROUND(Y750 + IF(AND(E751=32, F751&lt;&gt;"ASTM A416"), L751, 0), 3)</f>
        <v/>
      </c>
      <c r="Z751" s="20">
        <f>ROUND(Z750 + IF(F751="ASTM A416", L751, 0), 3)</f>
        <v/>
      </c>
      <c r="AA751" s="11">
        <f>IF(INT(P751/20)&gt;INT(P750/20), "Lần " &amp; INT(P751/20), "")</f>
        <v/>
      </c>
      <c r="AB751" s="11">
        <f>IF(INT(Q751/20)&gt;INT(Q750/20), "Lần " &amp; INT(Q751/20), "")</f>
        <v/>
      </c>
      <c r="AC751" s="11">
        <f>IF(INT(R751/20)&gt;INT(R750/20), "Lần " &amp; INT(R751/20), "")</f>
        <v/>
      </c>
      <c r="AD751" s="11">
        <f>IF(INT(S751/20)&gt;INT(S750/20), "Lần " &amp; INT(S751/20), "")</f>
        <v/>
      </c>
      <c r="AE751" s="11">
        <f>IF(INT(T751/20)&gt;INT(T750/20), "Lần " &amp; INT(T751/20), "")</f>
        <v/>
      </c>
      <c r="AF751" s="11">
        <f>IF(INT(U751/20)&gt;INT(U750/20), "Lần " &amp; INT(U751/20), "")</f>
        <v/>
      </c>
      <c r="AG751" s="11">
        <f>IF(INT(V751/20)&gt;INT(V750/20), "Lần " &amp; INT(V751/20), "")</f>
        <v/>
      </c>
      <c r="AH751" s="11">
        <f>IF(INT(W751/20)&gt;INT(W750/20), "Lần " &amp; INT(W751/20), "")</f>
        <v/>
      </c>
      <c r="AI751" s="11">
        <f>IF(INT(X751/20)&gt;INT(X750/20), "Lần " &amp; INT(X751/20), "")</f>
        <v/>
      </c>
      <c r="AJ751" s="11">
        <f>IF(INT(Y751/20)&gt;INT(Y750/20), "Lần " &amp; INT(Y751/20), "")</f>
        <v/>
      </c>
      <c r="AK751" s="11">
        <f>IF(INT(Z751/20)&gt;INT(Z750/20), "Lần " &amp; INT(Z751/20), "")</f>
        <v/>
      </c>
      <c r="AL751" s="6" t="inlineStr">
        <is>
          <t>ĐẠT TCVN 1651:2018</t>
        </is>
      </c>
    </row>
    <row r="752" ht="19" customHeight="1">
      <c r="A752" s="6" t="n">
        <v>720</v>
      </c>
      <c r="B752" s="7" t="inlineStr">
        <is>
          <t>Dầm chủ Super-T (15 phiến L=38.2m)</t>
        </is>
      </c>
      <c r="C752" s="7" t="inlineStr">
        <is>
          <t>Sườn dầm / Cánh dầm</t>
        </is>
      </c>
      <c r="D752" s="18" t="inlineStr">
        <is>
          <t>K1b</t>
        </is>
      </c>
      <c r="E752" s="19" t="n">
        <v>16</v>
      </c>
      <c r="F752" s="6" t="inlineStr">
        <is>
          <t>CB400-V</t>
        </is>
      </c>
      <c r="G752" s="7" t="inlineStr">
        <is>
          <t>S06</t>
        </is>
      </c>
      <c r="H752" s="20" t="n">
        <v>0.776</v>
      </c>
      <c r="I752" s="21" t="n">
        <v>120</v>
      </c>
      <c r="J752" s="22" t="n">
        <v>1.58</v>
      </c>
      <c r="K752" s="9">
        <f>ROUND(H752*I752*J752, 2)</f>
        <v/>
      </c>
      <c r="L752" s="23">
        <f>ROUND(K752/1000, 3)</f>
        <v/>
      </c>
      <c r="M752" s="8" t="n"/>
      <c r="N752" s="6" t="n"/>
      <c r="O752" s="24">
        <f>IF(AND(E752&lt;=10, F752&lt;&gt;"ASTM A416", INT(P752/20)&gt;INT(P751/20)), "TN Ø10 (Lần " &amp; INT(P752/20) &amp; ")", IF(AND(E752=12, INT(Q752/20)&gt;INT(Q751/20)), "TN Ø12 (Lần " &amp; INT(Q752/20) &amp; ")", IF(AND(E752=14, INT(R752/20)&gt;INT(R751/20)), "TN Ø14 (Lần " &amp; INT(R752/20) &amp; ")", IF(AND(E752=16, INT(S752/20)&gt;INT(S751/20)), "TN Ø16 (Lần " &amp; INT(S752/20) &amp; ")", IF(AND(E752=18, INT(T752/20)&gt;INT(T751/20)), "TN Ø18 (Lần " &amp; INT(T752/20) &amp; ")", IF(AND(E752=20, INT(U752/20)&gt;INT(U751/20)), "TN Ø20 (Lần " &amp; INT(U752/20) &amp; ")", IF(AND(E752=22, INT(V752/20)&gt;INT(V751/20)), "TN Ø22 (Lần " &amp; INT(V752/20) &amp; ")", IF(AND(E752=25, INT(W752/20)&gt;INT(W751/20)), "TN Ø25 (Lần " &amp; INT(W752/20) &amp; ")", IF(AND(E752=28, INT(X752/20)&gt;INT(X751/20)), "TN Ø28 (Lần " &amp; INT(X752/20) &amp; ")", IF(AND(E752=32, INT(Y752/20)&gt;INT(Y751/20)), "TN Ø32 (Lần " &amp; INT(Y752/20) &amp; ")", IF(AND(F752="ASTM A416", INT(Z752/20)&gt;INT(Z751/20)), "TN Cáp 15.2 (Lần " &amp; INT(Z752/20) &amp; ")", "")))))))))))</f>
        <v/>
      </c>
      <c r="P752" s="20">
        <f>ROUND(P751 + IF(AND(E752&lt;=10, F752&lt;&gt;"ASTM A416"), L752, 0), 3)</f>
        <v/>
      </c>
      <c r="Q752" s="20">
        <f>ROUND(Q751 + IF(AND(E752=12, F752&lt;&gt;"ASTM A416"), L752, 0), 3)</f>
        <v/>
      </c>
      <c r="R752" s="20">
        <f>ROUND(R751 + IF(AND(E752=14, F752&lt;&gt;"ASTM A416"), L752, 0), 3)</f>
        <v/>
      </c>
      <c r="S752" s="20">
        <f>ROUND(S751 + IF(AND(E752=16, F752&lt;&gt;"ASTM A416"), L752, 0), 3)</f>
        <v/>
      </c>
      <c r="T752" s="20">
        <f>ROUND(T751 + IF(AND(E752=18, F752&lt;&gt;"ASTM A416"), L752, 0), 3)</f>
        <v/>
      </c>
      <c r="U752" s="20">
        <f>ROUND(U751 + IF(AND(E752=20, F752&lt;&gt;"ASTM A416"), L752, 0), 3)</f>
        <v/>
      </c>
      <c r="V752" s="20">
        <f>ROUND(V751 + IF(AND(E752=22, F752&lt;&gt;"ASTM A416"), L752, 0), 3)</f>
        <v/>
      </c>
      <c r="W752" s="20">
        <f>ROUND(W751 + IF(AND(E752=25, F752&lt;&gt;"ASTM A416"), L752, 0), 3)</f>
        <v/>
      </c>
      <c r="X752" s="20">
        <f>ROUND(X751 + IF(AND(E752=28, F752&lt;&gt;"ASTM A416"), L752, 0), 3)</f>
        <v/>
      </c>
      <c r="Y752" s="20">
        <f>ROUND(Y751 + IF(AND(E752=32, F752&lt;&gt;"ASTM A416"), L752, 0), 3)</f>
        <v/>
      </c>
      <c r="Z752" s="20">
        <f>ROUND(Z751 + IF(F752="ASTM A416", L752, 0), 3)</f>
        <v/>
      </c>
      <c r="AA752" s="11">
        <f>IF(INT(P752/20)&gt;INT(P751/20), "Lần " &amp; INT(P752/20), "")</f>
        <v/>
      </c>
      <c r="AB752" s="11">
        <f>IF(INT(Q752/20)&gt;INT(Q751/20), "Lần " &amp; INT(Q752/20), "")</f>
        <v/>
      </c>
      <c r="AC752" s="11">
        <f>IF(INT(R752/20)&gt;INT(R751/20), "Lần " &amp; INT(R752/20), "")</f>
        <v/>
      </c>
      <c r="AD752" s="11">
        <f>IF(INT(S752/20)&gt;INT(S751/20), "Lần " &amp; INT(S752/20), "")</f>
        <v/>
      </c>
      <c r="AE752" s="11">
        <f>IF(INT(T752/20)&gt;INT(T751/20), "Lần " &amp; INT(T752/20), "")</f>
        <v/>
      </c>
      <c r="AF752" s="11">
        <f>IF(INT(U752/20)&gt;INT(U751/20), "Lần " &amp; INT(U752/20), "")</f>
        <v/>
      </c>
      <c r="AG752" s="11">
        <f>IF(INT(V752/20)&gt;INT(V751/20), "Lần " &amp; INT(V752/20), "")</f>
        <v/>
      </c>
      <c r="AH752" s="11">
        <f>IF(INT(W752/20)&gt;INT(W751/20), "Lần " &amp; INT(W752/20), "")</f>
        <v/>
      </c>
      <c r="AI752" s="11">
        <f>IF(INT(X752/20)&gt;INT(X751/20), "Lần " &amp; INT(X752/20), "")</f>
        <v/>
      </c>
      <c r="AJ752" s="11">
        <f>IF(INT(Y752/20)&gt;INT(Y751/20), "Lần " &amp; INT(Y752/20), "")</f>
        <v/>
      </c>
      <c r="AK752" s="11">
        <f>IF(INT(Z752/20)&gt;INT(Z751/20), "Lần " &amp; INT(Z752/20), "")</f>
        <v/>
      </c>
      <c r="AL752" s="6" t="inlineStr">
        <is>
          <t>ĐẠT TCVN 1651:2018</t>
        </is>
      </c>
    </row>
    <row r="753" ht="19" customHeight="1">
      <c r="A753" s="6" t="n">
        <v>721</v>
      </c>
      <c r="B753" s="7" t="inlineStr">
        <is>
          <t>Dầm chủ Super-T (15 phiến L=38.2m)</t>
        </is>
      </c>
      <c r="C753" s="7" t="inlineStr">
        <is>
          <t>Cáp DƯL 7 sợi cường độ cao</t>
        </is>
      </c>
      <c r="D753" s="18" t="inlineStr">
        <is>
          <t>CABLE-15.2</t>
        </is>
      </c>
      <c r="E753" s="25" t="n">
        <v>15.2</v>
      </c>
      <c r="F753" s="6" t="inlineStr">
        <is>
          <t>ASTM A416 Gr270 (fpu=1860MPa)</t>
        </is>
      </c>
      <c r="G753" s="7" t="inlineStr">
        <is>
          <t>Tao cáp xoắn 7 sợi</t>
        </is>
      </c>
      <c r="H753" s="20" t="n">
        <v>38.2</v>
      </c>
      <c r="I753" s="21" t="n">
        <v>660</v>
      </c>
      <c r="J753" s="22" t="n">
        <v>1.102</v>
      </c>
      <c r="K753" s="9">
        <f>ROUND(H753*I753*J753, 2)</f>
        <v/>
      </c>
      <c r="L753" s="23">
        <f>ROUND(K753/1000, 3)</f>
        <v/>
      </c>
      <c r="M753" s="8" t="n"/>
      <c r="N753" s="6" t="n"/>
      <c r="O753" s="24">
        <f>IF(AND(E753&lt;=10, F753&lt;&gt;"ASTM A416", INT(P753/20)&gt;INT(P752/20)), "TN Ø10 (Lần " &amp; INT(P753/20) &amp; ")", IF(AND(E753=12, INT(Q753/20)&gt;INT(Q752/20)), "TN Ø12 (Lần " &amp; INT(Q753/20) &amp; ")", IF(AND(E753=14, INT(R753/20)&gt;INT(R752/20)), "TN Ø14 (Lần " &amp; INT(R753/20) &amp; ")", IF(AND(E753=16, INT(S753/20)&gt;INT(S752/20)), "TN Ø16 (Lần " &amp; INT(S753/20) &amp; ")", IF(AND(E753=18, INT(T753/20)&gt;INT(T752/20)), "TN Ø18 (Lần " &amp; INT(T753/20) &amp; ")", IF(AND(E753=20, INT(U753/20)&gt;INT(U752/20)), "TN Ø20 (Lần " &amp; INT(U753/20) &amp; ")", IF(AND(E753=22, INT(V753/20)&gt;INT(V752/20)), "TN Ø22 (Lần " &amp; INT(V753/20) &amp; ")", IF(AND(E753=25, INT(W753/20)&gt;INT(W752/20)), "TN Ø25 (Lần " &amp; INT(W753/20) &amp; ")", IF(AND(E753=28, INT(X753/20)&gt;INT(X752/20)), "TN Ø28 (Lần " &amp; INT(X753/20) &amp; ")", IF(AND(E753=32, INT(Y753/20)&gt;INT(Y752/20)), "TN Ø32 (Lần " &amp; INT(Y753/20) &amp; ")", IF(AND(F753="ASTM A416", INT(Z753/20)&gt;INT(Z752/20)), "TN Cáp 15.2 (Lần " &amp; INT(Z753/20) &amp; ")", "")))))))))))</f>
        <v/>
      </c>
      <c r="P753" s="20">
        <f>ROUND(P752 + IF(AND(E753&lt;=10, F753&lt;&gt;"ASTM A416"), L753, 0), 3)</f>
        <v/>
      </c>
      <c r="Q753" s="20">
        <f>ROUND(Q752 + IF(AND(E753=12, F753&lt;&gt;"ASTM A416"), L753, 0), 3)</f>
        <v/>
      </c>
      <c r="R753" s="20">
        <f>ROUND(R752 + IF(AND(E753=14, F753&lt;&gt;"ASTM A416"), L753, 0), 3)</f>
        <v/>
      </c>
      <c r="S753" s="20">
        <f>ROUND(S752 + IF(AND(E753=16, F753&lt;&gt;"ASTM A416"), L753, 0), 3)</f>
        <v/>
      </c>
      <c r="T753" s="20">
        <f>ROUND(T752 + IF(AND(E753=18, F753&lt;&gt;"ASTM A416"), L753, 0), 3)</f>
        <v/>
      </c>
      <c r="U753" s="20">
        <f>ROUND(U752 + IF(AND(E753=20, F753&lt;&gt;"ASTM A416"), L753, 0), 3)</f>
        <v/>
      </c>
      <c r="V753" s="20">
        <f>ROUND(V752 + IF(AND(E753=22, F753&lt;&gt;"ASTM A416"), L753, 0), 3)</f>
        <v/>
      </c>
      <c r="W753" s="20">
        <f>ROUND(W752 + IF(AND(E753=25, F753&lt;&gt;"ASTM A416"), L753, 0), 3)</f>
        <v/>
      </c>
      <c r="X753" s="20">
        <f>ROUND(X752 + IF(AND(E753=28, F753&lt;&gt;"ASTM A416"), L753, 0), 3)</f>
        <v/>
      </c>
      <c r="Y753" s="20">
        <f>ROUND(Y752 + IF(AND(E753=32, F753&lt;&gt;"ASTM A416"), L753, 0), 3)</f>
        <v/>
      </c>
      <c r="Z753" s="20">
        <f>ROUND(Z752 + IF(F753="ASTM A416", L753, 0), 3)</f>
        <v/>
      </c>
      <c r="AA753" s="11">
        <f>IF(INT(P753/20)&gt;INT(P752/20), "Lần " &amp; INT(P753/20), "")</f>
        <v/>
      </c>
      <c r="AB753" s="11">
        <f>IF(INT(Q753/20)&gt;INT(Q752/20), "Lần " &amp; INT(Q753/20), "")</f>
        <v/>
      </c>
      <c r="AC753" s="11">
        <f>IF(INT(R753/20)&gt;INT(R752/20), "Lần " &amp; INT(R753/20), "")</f>
        <v/>
      </c>
      <c r="AD753" s="11">
        <f>IF(INT(S753/20)&gt;INT(S752/20), "Lần " &amp; INT(S753/20), "")</f>
        <v/>
      </c>
      <c r="AE753" s="11">
        <f>IF(INT(T753/20)&gt;INT(T752/20), "Lần " &amp; INT(T753/20), "")</f>
        <v/>
      </c>
      <c r="AF753" s="11">
        <f>IF(INT(U753/20)&gt;INT(U752/20), "Lần " &amp; INT(U753/20), "")</f>
        <v/>
      </c>
      <c r="AG753" s="11">
        <f>IF(INT(V753/20)&gt;INT(V752/20), "Lần " &amp; INT(V753/20), "")</f>
        <v/>
      </c>
      <c r="AH753" s="11">
        <f>IF(INT(W753/20)&gt;INT(W752/20), "Lần " &amp; INT(W753/20), "")</f>
        <v/>
      </c>
      <c r="AI753" s="11">
        <f>IF(INT(X753/20)&gt;INT(X752/20), "Lần " &amp; INT(X753/20), "")</f>
        <v/>
      </c>
      <c r="AJ753" s="11">
        <f>IF(INT(Y753/20)&gt;INT(Y752/20), "Lần " &amp; INT(Y753/20), "")</f>
        <v/>
      </c>
      <c r="AK753" s="11">
        <f>IF(INT(Z753/20)&gt;INT(Z752/20), "Lần " &amp; INT(Z753/20), "")</f>
        <v/>
      </c>
      <c r="AL753" s="6" t="inlineStr">
        <is>
          <t>ĐẠT TCVN 1651:2018</t>
        </is>
      </c>
    </row>
    <row r="754" ht="19" customHeight="1">
      <c r="A754" s="6" t="n">
        <v>722</v>
      </c>
      <c r="B754" s="7" t="inlineStr">
        <is>
          <t>Dầm ngang (Diaphragm)</t>
        </is>
      </c>
      <c r="C754" s="7" t="inlineStr">
        <is>
          <t>Dầm ngang trên trụ / mố</t>
        </is>
      </c>
      <c r="D754" s="18" t="inlineStr">
        <is>
          <t>16</t>
        </is>
      </c>
      <c r="E754" s="19" t="n">
        <v>16</v>
      </c>
      <c r="F754" s="6" t="inlineStr">
        <is>
          <t>CB400-V</t>
        </is>
      </c>
      <c r="G754" s="7" t="inlineStr">
        <is>
          <t>Thanh uốn chữ U</t>
        </is>
      </c>
      <c r="H754" s="20" t="n">
        <v>0.002</v>
      </c>
      <c r="I754" s="21" t="n">
        <v>525</v>
      </c>
      <c r="J754" s="22" t="n">
        <v>1.578</v>
      </c>
      <c r="K754" s="9">
        <f>ROUND(H754*I754*J754, 2)</f>
        <v/>
      </c>
      <c r="L754" s="23">
        <f>ROUND(K754/1000, 3)</f>
        <v/>
      </c>
      <c r="M754" s="8" t="n"/>
      <c r="N754" s="6" t="n"/>
      <c r="O754" s="24">
        <f>IF(AND(E754&lt;=10, F754&lt;&gt;"ASTM A416", INT(P754/20)&gt;INT(P753/20)), "TN Ø10 (Lần " &amp; INT(P754/20) &amp; ")", IF(AND(E754=12, INT(Q754/20)&gt;INT(Q753/20)), "TN Ø12 (Lần " &amp; INT(Q754/20) &amp; ")", IF(AND(E754=14, INT(R754/20)&gt;INT(R753/20)), "TN Ø14 (Lần " &amp; INT(R754/20) &amp; ")", IF(AND(E754=16, INT(S754/20)&gt;INT(S753/20)), "TN Ø16 (Lần " &amp; INT(S754/20) &amp; ")", IF(AND(E754=18, INT(T754/20)&gt;INT(T753/20)), "TN Ø18 (Lần " &amp; INT(T754/20) &amp; ")", IF(AND(E754=20, INT(U754/20)&gt;INT(U753/20)), "TN Ø20 (Lần " &amp; INT(U754/20) &amp; ")", IF(AND(E754=22, INT(V754/20)&gt;INT(V753/20)), "TN Ø22 (Lần " &amp; INT(V754/20) &amp; ")", IF(AND(E754=25, INT(W754/20)&gt;INT(W753/20)), "TN Ø25 (Lần " &amp; INT(W754/20) &amp; ")", IF(AND(E754=28, INT(X754/20)&gt;INT(X753/20)), "TN Ø28 (Lần " &amp; INT(X754/20) &amp; ")", IF(AND(E754=32, INT(Y754/20)&gt;INT(Y753/20)), "TN Ø32 (Lần " &amp; INT(Y754/20) &amp; ")", IF(AND(F754="ASTM A416", INT(Z754/20)&gt;INT(Z753/20)), "TN Cáp 15.2 (Lần " &amp; INT(Z754/20) &amp; ")", "")))))))))))</f>
        <v/>
      </c>
      <c r="P754" s="20">
        <f>ROUND(P753 + IF(AND(E754&lt;=10, F754&lt;&gt;"ASTM A416"), L754, 0), 3)</f>
        <v/>
      </c>
      <c r="Q754" s="20">
        <f>ROUND(Q753 + IF(AND(E754=12, F754&lt;&gt;"ASTM A416"), L754, 0), 3)</f>
        <v/>
      </c>
      <c r="R754" s="20">
        <f>ROUND(R753 + IF(AND(E754=14, F754&lt;&gt;"ASTM A416"), L754, 0), 3)</f>
        <v/>
      </c>
      <c r="S754" s="20">
        <f>ROUND(S753 + IF(AND(E754=16, F754&lt;&gt;"ASTM A416"), L754, 0), 3)</f>
        <v/>
      </c>
      <c r="T754" s="20">
        <f>ROUND(T753 + IF(AND(E754=18, F754&lt;&gt;"ASTM A416"), L754, 0), 3)</f>
        <v/>
      </c>
      <c r="U754" s="20">
        <f>ROUND(U753 + IF(AND(E754=20, F754&lt;&gt;"ASTM A416"), L754, 0), 3)</f>
        <v/>
      </c>
      <c r="V754" s="20">
        <f>ROUND(V753 + IF(AND(E754=22, F754&lt;&gt;"ASTM A416"), L754, 0), 3)</f>
        <v/>
      </c>
      <c r="W754" s="20">
        <f>ROUND(W753 + IF(AND(E754=25, F754&lt;&gt;"ASTM A416"), L754, 0), 3)</f>
        <v/>
      </c>
      <c r="X754" s="20">
        <f>ROUND(X753 + IF(AND(E754=28, F754&lt;&gt;"ASTM A416"), L754, 0), 3)</f>
        <v/>
      </c>
      <c r="Y754" s="20">
        <f>ROUND(Y753 + IF(AND(E754=32, F754&lt;&gt;"ASTM A416"), L754, 0), 3)</f>
        <v/>
      </c>
      <c r="Z754" s="20">
        <f>ROUND(Z753 + IF(F754="ASTM A416", L754, 0), 3)</f>
        <v/>
      </c>
      <c r="AA754" s="11">
        <f>IF(INT(P754/20)&gt;INT(P753/20), "Lần " &amp; INT(P754/20), "")</f>
        <v/>
      </c>
      <c r="AB754" s="11">
        <f>IF(INT(Q754/20)&gt;INT(Q753/20), "Lần " &amp; INT(Q754/20), "")</f>
        <v/>
      </c>
      <c r="AC754" s="11">
        <f>IF(INT(R754/20)&gt;INT(R753/20), "Lần " &amp; INT(R754/20), "")</f>
        <v/>
      </c>
      <c r="AD754" s="11">
        <f>IF(INT(S754/20)&gt;INT(S753/20), "Lần " &amp; INT(S754/20), "")</f>
        <v/>
      </c>
      <c r="AE754" s="11">
        <f>IF(INT(T754/20)&gt;INT(T753/20), "Lần " &amp; INT(T754/20), "")</f>
        <v/>
      </c>
      <c r="AF754" s="11">
        <f>IF(INT(U754/20)&gt;INT(U753/20), "Lần " &amp; INT(U754/20), "")</f>
        <v/>
      </c>
      <c r="AG754" s="11">
        <f>IF(INT(V754/20)&gt;INT(V753/20), "Lần " &amp; INT(V754/20), "")</f>
        <v/>
      </c>
      <c r="AH754" s="11">
        <f>IF(INT(W754/20)&gt;INT(W753/20), "Lần " &amp; INT(W754/20), "")</f>
        <v/>
      </c>
      <c r="AI754" s="11">
        <f>IF(INT(X754/20)&gt;INT(X753/20), "Lần " &amp; INT(X754/20), "")</f>
        <v/>
      </c>
      <c r="AJ754" s="11">
        <f>IF(INT(Y754/20)&gt;INT(Y753/20), "Lần " &amp; INT(Y754/20), "")</f>
        <v/>
      </c>
      <c r="AK754" s="11">
        <f>IF(INT(Z754/20)&gt;INT(Z753/20), "Lần " &amp; INT(Z754/20), "")</f>
        <v/>
      </c>
      <c r="AL754" s="6" t="inlineStr">
        <is>
          <t>ĐẠT TCVN 1651:2018</t>
        </is>
      </c>
    </row>
    <row r="755" ht="19" customHeight="1">
      <c r="A755" s="6" t="n">
        <v>723</v>
      </c>
      <c r="B755" s="7" t="inlineStr">
        <is>
          <t>Dầm ngang (Diaphragm)</t>
        </is>
      </c>
      <c r="C755" s="7" t="inlineStr">
        <is>
          <t>Dầm ngang trên trụ / mố</t>
        </is>
      </c>
      <c r="D755" s="18" t="inlineStr">
        <is>
          <t>20</t>
        </is>
      </c>
      <c r="E755" s="19" t="n">
        <v>32</v>
      </c>
      <c r="F755" s="6" t="inlineStr">
        <is>
          <t>CB400-V</t>
        </is>
      </c>
      <c r="G755" s="7" t="inlineStr">
        <is>
          <t>S06</t>
        </is>
      </c>
      <c r="H755" s="20" t="n">
        <v>0.002</v>
      </c>
      <c r="I755" s="21" t="n">
        <v>1450</v>
      </c>
      <c r="J755" s="22" t="n">
        <v>114.61</v>
      </c>
      <c r="K755" s="9">
        <f>ROUND(H755*I755*J755, 2)</f>
        <v/>
      </c>
      <c r="L755" s="23">
        <f>ROUND(K755/1000, 3)</f>
        <v/>
      </c>
      <c r="M755" s="8" t="n"/>
      <c r="N755" s="6" t="n"/>
      <c r="O755" s="24">
        <f>IF(AND(E755&lt;=10, F755&lt;&gt;"ASTM A416", INT(P755/20)&gt;INT(P754/20)), "TN Ø10 (Lần " &amp; INT(P755/20) &amp; ")", IF(AND(E755=12, INT(Q755/20)&gt;INT(Q754/20)), "TN Ø12 (Lần " &amp; INT(Q755/20) &amp; ")", IF(AND(E755=14, INT(R755/20)&gt;INT(R754/20)), "TN Ø14 (Lần " &amp; INT(R755/20) &amp; ")", IF(AND(E755=16, INT(S755/20)&gt;INT(S754/20)), "TN Ø16 (Lần " &amp; INT(S755/20) &amp; ")", IF(AND(E755=18, INT(T755/20)&gt;INT(T754/20)), "TN Ø18 (Lần " &amp; INT(T755/20) &amp; ")", IF(AND(E755=20, INT(U755/20)&gt;INT(U754/20)), "TN Ø20 (Lần " &amp; INT(U755/20) &amp; ")", IF(AND(E755=22, INT(V755/20)&gt;INT(V754/20)), "TN Ø22 (Lần " &amp; INT(V755/20) &amp; ")", IF(AND(E755=25, INT(W755/20)&gt;INT(W754/20)), "TN Ø25 (Lần " &amp; INT(W755/20) &amp; ")", IF(AND(E755=28, INT(X755/20)&gt;INT(X754/20)), "TN Ø28 (Lần " &amp; INT(X755/20) &amp; ")", IF(AND(E755=32, INT(Y755/20)&gt;INT(Y754/20)), "TN Ø32 (Lần " &amp; INT(Y755/20) &amp; ")", IF(AND(F755="ASTM A416", INT(Z755/20)&gt;INT(Z754/20)), "TN Cáp 15.2 (Lần " &amp; INT(Z755/20) &amp; ")", "")))))))))))</f>
        <v/>
      </c>
      <c r="P755" s="20">
        <f>ROUND(P754 + IF(AND(E755&lt;=10, F755&lt;&gt;"ASTM A416"), L755, 0), 3)</f>
        <v/>
      </c>
      <c r="Q755" s="20">
        <f>ROUND(Q754 + IF(AND(E755=12, F755&lt;&gt;"ASTM A416"), L755, 0), 3)</f>
        <v/>
      </c>
      <c r="R755" s="20">
        <f>ROUND(R754 + IF(AND(E755=14, F755&lt;&gt;"ASTM A416"), L755, 0), 3)</f>
        <v/>
      </c>
      <c r="S755" s="20">
        <f>ROUND(S754 + IF(AND(E755=16, F755&lt;&gt;"ASTM A416"), L755, 0), 3)</f>
        <v/>
      </c>
      <c r="T755" s="20">
        <f>ROUND(T754 + IF(AND(E755=18, F755&lt;&gt;"ASTM A416"), L755, 0), 3)</f>
        <v/>
      </c>
      <c r="U755" s="20">
        <f>ROUND(U754 + IF(AND(E755=20, F755&lt;&gt;"ASTM A416"), L755, 0), 3)</f>
        <v/>
      </c>
      <c r="V755" s="20">
        <f>ROUND(V754 + IF(AND(E755=22, F755&lt;&gt;"ASTM A416"), L755, 0), 3)</f>
        <v/>
      </c>
      <c r="W755" s="20">
        <f>ROUND(W754 + IF(AND(E755=25, F755&lt;&gt;"ASTM A416"), L755, 0), 3)</f>
        <v/>
      </c>
      <c r="X755" s="20">
        <f>ROUND(X754 + IF(AND(E755=28, F755&lt;&gt;"ASTM A416"), L755, 0), 3)</f>
        <v/>
      </c>
      <c r="Y755" s="20">
        <f>ROUND(Y754 + IF(AND(E755=32, F755&lt;&gt;"ASTM A416"), L755, 0), 3)</f>
        <v/>
      </c>
      <c r="Z755" s="20">
        <f>ROUND(Z754 + IF(F755="ASTM A416", L755, 0), 3)</f>
        <v/>
      </c>
      <c r="AA755" s="11">
        <f>IF(INT(P755/20)&gt;INT(P754/20), "Lần " &amp; INT(P755/20), "")</f>
        <v/>
      </c>
      <c r="AB755" s="11">
        <f>IF(INT(Q755/20)&gt;INT(Q754/20), "Lần " &amp; INT(Q755/20), "")</f>
        <v/>
      </c>
      <c r="AC755" s="11">
        <f>IF(INT(R755/20)&gt;INT(R754/20), "Lần " &amp; INT(R755/20), "")</f>
        <v/>
      </c>
      <c r="AD755" s="11">
        <f>IF(INT(S755/20)&gt;INT(S754/20), "Lần " &amp; INT(S755/20), "")</f>
        <v/>
      </c>
      <c r="AE755" s="11">
        <f>IF(INT(T755/20)&gt;INT(T754/20), "Lần " &amp; INT(T755/20), "")</f>
        <v/>
      </c>
      <c r="AF755" s="11">
        <f>IF(INT(U755/20)&gt;INT(U754/20), "Lần " &amp; INT(U755/20), "")</f>
        <v/>
      </c>
      <c r="AG755" s="11">
        <f>IF(INT(V755/20)&gt;INT(V754/20), "Lần " &amp; INT(V755/20), "")</f>
        <v/>
      </c>
      <c r="AH755" s="11">
        <f>IF(INT(W755/20)&gt;INT(W754/20), "Lần " &amp; INT(W755/20), "")</f>
        <v/>
      </c>
      <c r="AI755" s="11">
        <f>IF(INT(X755/20)&gt;INT(X754/20), "Lần " &amp; INT(X755/20), "")</f>
        <v/>
      </c>
      <c r="AJ755" s="11">
        <f>IF(INT(Y755/20)&gt;INT(Y754/20), "Lần " &amp; INT(Y755/20), "")</f>
        <v/>
      </c>
      <c r="AK755" s="11">
        <f>IF(INT(Z755/20)&gt;INT(Z754/20), "Lần " &amp; INT(Z755/20), "")</f>
        <v/>
      </c>
      <c r="AL755" s="6" t="inlineStr">
        <is>
          <t>ĐẠT TCVN 1651:2018</t>
        </is>
      </c>
    </row>
    <row r="756" ht="19" customHeight="1">
      <c r="A756" s="6" t="n">
        <v>724</v>
      </c>
      <c r="B756" s="7" t="inlineStr">
        <is>
          <t>Dầm ngang (Diaphragm)</t>
        </is>
      </c>
      <c r="C756" s="7" t="inlineStr">
        <is>
          <t>Dầm ngang trên trụ / mố</t>
        </is>
      </c>
      <c r="D756" s="18" t="inlineStr">
        <is>
          <t>16</t>
        </is>
      </c>
      <c r="E756" s="19" t="n">
        <v>16</v>
      </c>
      <c r="F756" s="6" t="inlineStr">
        <is>
          <t>CB400-V</t>
        </is>
      </c>
      <c r="G756" s="7" t="inlineStr">
        <is>
          <t>Thanh uốn chữ U</t>
        </is>
      </c>
      <c r="H756" s="20" t="n">
        <v>0.002</v>
      </c>
      <c r="I756" s="21" t="n">
        <v>1390</v>
      </c>
      <c r="J756" s="22" t="n">
        <v>1.578</v>
      </c>
      <c r="K756" s="9">
        <f>ROUND(H756*I756*J756, 2)</f>
        <v/>
      </c>
      <c r="L756" s="23">
        <f>ROUND(K756/1000, 3)</f>
        <v/>
      </c>
      <c r="M756" s="8" t="n"/>
      <c r="N756" s="6" t="n"/>
      <c r="O756" s="24">
        <f>IF(AND(E756&lt;=10, F756&lt;&gt;"ASTM A416", INT(P756/20)&gt;INT(P755/20)), "TN Ø10 (Lần " &amp; INT(P756/20) &amp; ")", IF(AND(E756=12, INT(Q756/20)&gt;INT(Q755/20)), "TN Ø12 (Lần " &amp; INT(Q756/20) &amp; ")", IF(AND(E756=14, INT(R756/20)&gt;INT(R755/20)), "TN Ø14 (Lần " &amp; INT(R756/20) &amp; ")", IF(AND(E756=16, INT(S756/20)&gt;INT(S755/20)), "TN Ø16 (Lần " &amp; INT(S756/20) &amp; ")", IF(AND(E756=18, INT(T756/20)&gt;INT(T755/20)), "TN Ø18 (Lần " &amp; INT(T756/20) &amp; ")", IF(AND(E756=20, INT(U756/20)&gt;INT(U755/20)), "TN Ø20 (Lần " &amp; INT(U756/20) &amp; ")", IF(AND(E756=22, INT(V756/20)&gt;INT(V755/20)), "TN Ø22 (Lần " &amp; INT(V756/20) &amp; ")", IF(AND(E756=25, INT(W756/20)&gt;INT(W755/20)), "TN Ø25 (Lần " &amp; INT(W756/20) &amp; ")", IF(AND(E756=28, INT(X756/20)&gt;INT(X755/20)), "TN Ø28 (Lần " &amp; INT(X756/20) &amp; ")", IF(AND(E756=32, INT(Y756/20)&gt;INT(Y755/20)), "TN Ø32 (Lần " &amp; INT(Y756/20) &amp; ")", IF(AND(F756="ASTM A416", INT(Z756/20)&gt;INT(Z755/20)), "TN Cáp 15.2 (Lần " &amp; INT(Z756/20) &amp; ")", "")))))))))))</f>
        <v/>
      </c>
      <c r="P756" s="20">
        <f>ROUND(P755 + IF(AND(E756&lt;=10, F756&lt;&gt;"ASTM A416"), L756, 0), 3)</f>
        <v/>
      </c>
      <c r="Q756" s="20">
        <f>ROUND(Q755 + IF(AND(E756=12, F756&lt;&gt;"ASTM A416"), L756, 0), 3)</f>
        <v/>
      </c>
      <c r="R756" s="20">
        <f>ROUND(R755 + IF(AND(E756=14, F756&lt;&gt;"ASTM A416"), L756, 0), 3)</f>
        <v/>
      </c>
      <c r="S756" s="20">
        <f>ROUND(S755 + IF(AND(E756=16, F756&lt;&gt;"ASTM A416"), L756, 0), 3)</f>
        <v/>
      </c>
      <c r="T756" s="20">
        <f>ROUND(T755 + IF(AND(E756=18, F756&lt;&gt;"ASTM A416"), L756, 0), 3)</f>
        <v/>
      </c>
      <c r="U756" s="20">
        <f>ROUND(U755 + IF(AND(E756=20, F756&lt;&gt;"ASTM A416"), L756, 0), 3)</f>
        <v/>
      </c>
      <c r="V756" s="20">
        <f>ROUND(V755 + IF(AND(E756=22, F756&lt;&gt;"ASTM A416"), L756, 0), 3)</f>
        <v/>
      </c>
      <c r="W756" s="20">
        <f>ROUND(W755 + IF(AND(E756=25, F756&lt;&gt;"ASTM A416"), L756, 0), 3)</f>
        <v/>
      </c>
      <c r="X756" s="20">
        <f>ROUND(X755 + IF(AND(E756=28, F756&lt;&gt;"ASTM A416"), L756, 0), 3)</f>
        <v/>
      </c>
      <c r="Y756" s="20">
        <f>ROUND(Y755 + IF(AND(E756=32, F756&lt;&gt;"ASTM A416"), L756, 0), 3)</f>
        <v/>
      </c>
      <c r="Z756" s="20">
        <f>ROUND(Z755 + IF(F756="ASTM A416", L756, 0), 3)</f>
        <v/>
      </c>
      <c r="AA756" s="11">
        <f>IF(INT(P756/20)&gt;INT(P755/20), "Lần " &amp; INT(P756/20), "")</f>
        <v/>
      </c>
      <c r="AB756" s="11">
        <f>IF(INT(Q756/20)&gt;INT(Q755/20), "Lần " &amp; INT(Q756/20), "")</f>
        <v/>
      </c>
      <c r="AC756" s="11">
        <f>IF(INT(R756/20)&gt;INT(R755/20), "Lần " &amp; INT(R756/20), "")</f>
        <v/>
      </c>
      <c r="AD756" s="11">
        <f>IF(INT(S756/20)&gt;INT(S755/20), "Lần " &amp; INT(S756/20), "")</f>
        <v/>
      </c>
      <c r="AE756" s="11">
        <f>IF(INT(T756/20)&gt;INT(T755/20), "Lần " &amp; INT(T756/20), "")</f>
        <v/>
      </c>
      <c r="AF756" s="11">
        <f>IF(INT(U756/20)&gt;INT(U755/20), "Lần " &amp; INT(U756/20), "")</f>
        <v/>
      </c>
      <c r="AG756" s="11">
        <f>IF(INT(V756/20)&gt;INT(V755/20), "Lần " &amp; INT(V756/20), "")</f>
        <v/>
      </c>
      <c r="AH756" s="11">
        <f>IF(INT(W756/20)&gt;INT(W755/20), "Lần " &amp; INT(W756/20), "")</f>
        <v/>
      </c>
      <c r="AI756" s="11">
        <f>IF(INT(X756/20)&gt;INT(X755/20), "Lần " &amp; INT(X756/20), "")</f>
        <v/>
      </c>
      <c r="AJ756" s="11">
        <f>IF(INT(Y756/20)&gt;INT(Y755/20), "Lần " &amp; INT(Y756/20), "")</f>
        <v/>
      </c>
      <c r="AK756" s="11">
        <f>IF(INT(Z756/20)&gt;INT(Z755/20), "Lần " &amp; INT(Z756/20), "")</f>
        <v/>
      </c>
      <c r="AL756" s="6" t="inlineStr">
        <is>
          <t>ĐẠT TCVN 1651:2018</t>
        </is>
      </c>
    </row>
    <row r="757" ht="19" customHeight="1">
      <c r="A757" s="6" t="n">
        <v>725</v>
      </c>
      <c r="B757" s="7" t="inlineStr">
        <is>
          <t>Dầm ngang (Diaphragm)</t>
        </is>
      </c>
      <c r="C757" s="7" t="inlineStr">
        <is>
          <t>Dầm ngang trên trụ / mố</t>
        </is>
      </c>
      <c r="D757" s="18" t="inlineStr">
        <is>
          <t>16</t>
        </is>
      </c>
      <c r="E757" s="19" t="n">
        <v>32</v>
      </c>
      <c r="F757" s="6" t="inlineStr">
        <is>
          <t>CB400-V</t>
        </is>
      </c>
      <c r="G757" s="7" t="inlineStr">
        <is>
          <t>S06</t>
        </is>
      </c>
      <c r="H757" s="20" t="n">
        <v>0.002</v>
      </c>
      <c r="I757" s="21" t="n">
        <v>1140</v>
      </c>
      <c r="J757" s="22" t="n">
        <v>57.64</v>
      </c>
      <c r="K757" s="9">
        <f>ROUND(H757*I757*J757, 2)</f>
        <v/>
      </c>
      <c r="L757" s="23">
        <f>ROUND(K757/1000, 3)</f>
        <v/>
      </c>
      <c r="M757" s="8" t="n"/>
      <c r="N757" s="6" t="n"/>
      <c r="O757" s="24">
        <f>IF(AND(E757&lt;=10, F757&lt;&gt;"ASTM A416", INT(P757/20)&gt;INT(P756/20)), "TN Ø10 (Lần " &amp; INT(P757/20) &amp; ")", IF(AND(E757=12, INT(Q757/20)&gt;INT(Q756/20)), "TN Ø12 (Lần " &amp; INT(Q757/20) &amp; ")", IF(AND(E757=14, INT(R757/20)&gt;INT(R756/20)), "TN Ø14 (Lần " &amp; INT(R757/20) &amp; ")", IF(AND(E757=16, INT(S757/20)&gt;INT(S756/20)), "TN Ø16 (Lần " &amp; INT(S757/20) &amp; ")", IF(AND(E757=18, INT(T757/20)&gt;INT(T756/20)), "TN Ø18 (Lần " &amp; INT(T757/20) &amp; ")", IF(AND(E757=20, INT(U757/20)&gt;INT(U756/20)), "TN Ø20 (Lần " &amp; INT(U757/20) &amp; ")", IF(AND(E757=22, INT(V757/20)&gt;INT(V756/20)), "TN Ø22 (Lần " &amp; INT(V757/20) &amp; ")", IF(AND(E757=25, INT(W757/20)&gt;INT(W756/20)), "TN Ø25 (Lần " &amp; INT(W757/20) &amp; ")", IF(AND(E757=28, INT(X757/20)&gt;INT(X756/20)), "TN Ø28 (Lần " &amp; INT(X757/20) &amp; ")", IF(AND(E757=32, INT(Y757/20)&gt;INT(Y756/20)), "TN Ø32 (Lần " &amp; INT(Y757/20) &amp; ")", IF(AND(F757="ASTM A416", INT(Z757/20)&gt;INT(Z756/20)), "TN Cáp 15.2 (Lần " &amp; INT(Z757/20) &amp; ")", "")))))))))))</f>
        <v/>
      </c>
      <c r="P757" s="20">
        <f>ROUND(P756 + IF(AND(E757&lt;=10, F757&lt;&gt;"ASTM A416"), L757, 0), 3)</f>
        <v/>
      </c>
      <c r="Q757" s="20">
        <f>ROUND(Q756 + IF(AND(E757=12, F757&lt;&gt;"ASTM A416"), L757, 0), 3)</f>
        <v/>
      </c>
      <c r="R757" s="20">
        <f>ROUND(R756 + IF(AND(E757=14, F757&lt;&gt;"ASTM A416"), L757, 0), 3)</f>
        <v/>
      </c>
      <c r="S757" s="20">
        <f>ROUND(S756 + IF(AND(E757=16, F757&lt;&gt;"ASTM A416"), L757, 0), 3)</f>
        <v/>
      </c>
      <c r="T757" s="20">
        <f>ROUND(T756 + IF(AND(E757=18, F757&lt;&gt;"ASTM A416"), L757, 0), 3)</f>
        <v/>
      </c>
      <c r="U757" s="20">
        <f>ROUND(U756 + IF(AND(E757=20, F757&lt;&gt;"ASTM A416"), L757, 0), 3)</f>
        <v/>
      </c>
      <c r="V757" s="20">
        <f>ROUND(V756 + IF(AND(E757=22, F757&lt;&gt;"ASTM A416"), L757, 0), 3)</f>
        <v/>
      </c>
      <c r="W757" s="20">
        <f>ROUND(W756 + IF(AND(E757=25, F757&lt;&gt;"ASTM A416"), L757, 0), 3)</f>
        <v/>
      </c>
      <c r="X757" s="20">
        <f>ROUND(X756 + IF(AND(E757=28, F757&lt;&gt;"ASTM A416"), L757, 0), 3)</f>
        <v/>
      </c>
      <c r="Y757" s="20">
        <f>ROUND(Y756 + IF(AND(E757=32, F757&lt;&gt;"ASTM A416"), L757, 0), 3)</f>
        <v/>
      </c>
      <c r="Z757" s="20">
        <f>ROUND(Z756 + IF(F757="ASTM A416", L757, 0), 3)</f>
        <v/>
      </c>
      <c r="AA757" s="11">
        <f>IF(INT(P757/20)&gt;INT(P756/20), "Lần " &amp; INT(P757/20), "")</f>
        <v/>
      </c>
      <c r="AB757" s="11">
        <f>IF(INT(Q757/20)&gt;INT(Q756/20), "Lần " &amp; INT(Q757/20), "")</f>
        <v/>
      </c>
      <c r="AC757" s="11">
        <f>IF(INT(R757/20)&gt;INT(R756/20), "Lần " &amp; INT(R757/20), "")</f>
        <v/>
      </c>
      <c r="AD757" s="11">
        <f>IF(INT(S757/20)&gt;INT(S756/20), "Lần " &amp; INT(S757/20), "")</f>
        <v/>
      </c>
      <c r="AE757" s="11">
        <f>IF(INT(T757/20)&gt;INT(T756/20), "Lần " &amp; INT(T757/20), "")</f>
        <v/>
      </c>
      <c r="AF757" s="11">
        <f>IF(INT(U757/20)&gt;INT(U756/20), "Lần " &amp; INT(U757/20), "")</f>
        <v/>
      </c>
      <c r="AG757" s="11">
        <f>IF(INT(V757/20)&gt;INT(V756/20), "Lần " &amp; INT(V757/20), "")</f>
        <v/>
      </c>
      <c r="AH757" s="11">
        <f>IF(INT(W757/20)&gt;INT(W756/20), "Lần " &amp; INT(W757/20), "")</f>
        <v/>
      </c>
      <c r="AI757" s="11">
        <f>IF(INT(X757/20)&gt;INT(X756/20), "Lần " &amp; INT(X757/20), "")</f>
        <v/>
      </c>
      <c r="AJ757" s="11">
        <f>IF(INT(Y757/20)&gt;INT(Y756/20), "Lần " &amp; INT(Y757/20), "")</f>
        <v/>
      </c>
      <c r="AK757" s="11">
        <f>IF(INT(Z757/20)&gt;INT(Z756/20), "Lần " &amp; INT(Z757/20), "")</f>
        <v/>
      </c>
      <c r="AL757" s="6" t="inlineStr">
        <is>
          <t>ĐẠT TCVN 1651:2018</t>
        </is>
      </c>
    </row>
    <row r="758" ht="19" customHeight="1">
      <c r="A758" s="6" t="n">
        <v>726</v>
      </c>
      <c r="B758" s="7" t="inlineStr">
        <is>
          <t>Dầm ngang (Diaphragm)</t>
        </is>
      </c>
      <c r="C758" s="7" t="inlineStr">
        <is>
          <t>Dầm ngang trên trụ / mố</t>
        </is>
      </c>
      <c r="D758" s="18" t="inlineStr">
        <is>
          <t>16</t>
        </is>
      </c>
      <c r="E758" s="19" t="n">
        <v>16</v>
      </c>
      <c r="F758" s="6" t="inlineStr">
        <is>
          <t>CB400-V</t>
        </is>
      </c>
      <c r="G758" s="7" t="inlineStr">
        <is>
          <t>Thanh uốn chữ U</t>
        </is>
      </c>
      <c r="H758" s="20" t="n">
        <v>0.002</v>
      </c>
      <c r="I758" s="21" t="n">
        <v>3262</v>
      </c>
      <c r="J758" s="22" t="n">
        <v>1.578</v>
      </c>
      <c r="K758" s="9">
        <f>ROUND(H758*I758*J758, 2)</f>
        <v/>
      </c>
      <c r="L758" s="23">
        <f>ROUND(K758/1000, 3)</f>
        <v/>
      </c>
      <c r="M758" s="8" t="n"/>
      <c r="N758" s="6" t="n"/>
      <c r="O758" s="24">
        <f>IF(AND(E758&lt;=10, F758&lt;&gt;"ASTM A416", INT(P758/20)&gt;INT(P757/20)), "TN Ø10 (Lần " &amp; INT(P758/20) &amp; ")", IF(AND(E758=12, INT(Q758/20)&gt;INT(Q757/20)), "TN Ø12 (Lần " &amp; INT(Q758/20) &amp; ")", IF(AND(E758=14, INT(R758/20)&gt;INT(R757/20)), "TN Ø14 (Lần " &amp; INT(R758/20) &amp; ")", IF(AND(E758=16, INT(S758/20)&gt;INT(S757/20)), "TN Ø16 (Lần " &amp; INT(S758/20) &amp; ")", IF(AND(E758=18, INT(T758/20)&gt;INT(T757/20)), "TN Ø18 (Lần " &amp; INT(T758/20) &amp; ")", IF(AND(E758=20, INT(U758/20)&gt;INT(U757/20)), "TN Ø20 (Lần " &amp; INT(U758/20) &amp; ")", IF(AND(E758=22, INT(V758/20)&gt;INT(V757/20)), "TN Ø22 (Lần " &amp; INT(V758/20) &amp; ")", IF(AND(E758=25, INT(W758/20)&gt;INT(W757/20)), "TN Ø25 (Lần " &amp; INT(W758/20) &amp; ")", IF(AND(E758=28, INT(X758/20)&gt;INT(X757/20)), "TN Ø28 (Lần " &amp; INT(X758/20) &amp; ")", IF(AND(E758=32, INT(Y758/20)&gt;INT(Y757/20)), "TN Ø32 (Lần " &amp; INT(Y758/20) &amp; ")", IF(AND(F758="ASTM A416", INT(Z758/20)&gt;INT(Z757/20)), "TN Cáp 15.2 (Lần " &amp; INT(Z758/20) &amp; ")", "")))))))))))</f>
        <v/>
      </c>
      <c r="P758" s="20">
        <f>ROUND(P757 + IF(AND(E758&lt;=10, F758&lt;&gt;"ASTM A416"), L758, 0), 3)</f>
        <v/>
      </c>
      <c r="Q758" s="20">
        <f>ROUND(Q757 + IF(AND(E758=12, F758&lt;&gt;"ASTM A416"), L758, 0), 3)</f>
        <v/>
      </c>
      <c r="R758" s="20">
        <f>ROUND(R757 + IF(AND(E758=14, F758&lt;&gt;"ASTM A416"), L758, 0), 3)</f>
        <v/>
      </c>
      <c r="S758" s="20">
        <f>ROUND(S757 + IF(AND(E758=16, F758&lt;&gt;"ASTM A416"), L758, 0), 3)</f>
        <v/>
      </c>
      <c r="T758" s="20">
        <f>ROUND(T757 + IF(AND(E758=18, F758&lt;&gt;"ASTM A416"), L758, 0), 3)</f>
        <v/>
      </c>
      <c r="U758" s="20">
        <f>ROUND(U757 + IF(AND(E758=20, F758&lt;&gt;"ASTM A416"), L758, 0), 3)</f>
        <v/>
      </c>
      <c r="V758" s="20">
        <f>ROUND(V757 + IF(AND(E758=22, F758&lt;&gt;"ASTM A416"), L758, 0), 3)</f>
        <v/>
      </c>
      <c r="W758" s="20">
        <f>ROUND(W757 + IF(AND(E758=25, F758&lt;&gt;"ASTM A416"), L758, 0), 3)</f>
        <v/>
      </c>
      <c r="X758" s="20">
        <f>ROUND(X757 + IF(AND(E758=28, F758&lt;&gt;"ASTM A416"), L758, 0), 3)</f>
        <v/>
      </c>
      <c r="Y758" s="20">
        <f>ROUND(Y757 + IF(AND(E758=32, F758&lt;&gt;"ASTM A416"), L758, 0), 3)</f>
        <v/>
      </c>
      <c r="Z758" s="20">
        <f>ROUND(Z757 + IF(F758="ASTM A416", L758, 0), 3)</f>
        <v/>
      </c>
      <c r="AA758" s="11">
        <f>IF(INT(P758/20)&gt;INT(P757/20), "Lần " &amp; INT(P758/20), "")</f>
        <v/>
      </c>
      <c r="AB758" s="11">
        <f>IF(INT(Q758/20)&gt;INT(Q757/20), "Lần " &amp; INT(Q758/20), "")</f>
        <v/>
      </c>
      <c r="AC758" s="11">
        <f>IF(INT(R758/20)&gt;INT(R757/20), "Lần " &amp; INT(R758/20), "")</f>
        <v/>
      </c>
      <c r="AD758" s="11">
        <f>IF(INT(S758/20)&gt;INT(S757/20), "Lần " &amp; INT(S758/20), "")</f>
        <v/>
      </c>
      <c r="AE758" s="11">
        <f>IF(INT(T758/20)&gt;INT(T757/20), "Lần " &amp; INT(T758/20), "")</f>
        <v/>
      </c>
      <c r="AF758" s="11">
        <f>IF(INT(U758/20)&gt;INT(U757/20), "Lần " &amp; INT(U758/20), "")</f>
        <v/>
      </c>
      <c r="AG758" s="11">
        <f>IF(INT(V758/20)&gt;INT(V757/20), "Lần " &amp; INT(V758/20), "")</f>
        <v/>
      </c>
      <c r="AH758" s="11">
        <f>IF(INT(W758/20)&gt;INT(W757/20), "Lần " &amp; INT(W758/20), "")</f>
        <v/>
      </c>
      <c r="AI758" s="11">
        <f>IF(INT(X758/20)&gt;INT(X757/20), "Lần " &amp; INT(X758/20), "")</f>
        <v/>
      </c>
      <c r="AJ758" s="11">
        <f>IF(INT(Y758/20)&gt;INT(Y757/20), "Lần " &amp; INT(Y758/20), "")</f>
        <v/>
      </c>
      <c r="AK758" s="11">
        <f>IF(INT(Z758/20)&gt;INT(Z757/20), "Lần " &amp; INT(Z758/20), "")</f>
        <v/>
      </c>
      <c r="AL758" s="6" t="inlineStr">
        <is>
          <t>ĐẠT TCVN 1651:2018</t>
        </is>
      </c>
    </row>
    <row r="759" ht="19" customHeight="1">
      <c r="A759" s="6" t="n">
        <v>727</v>
      </c>
      <c r="B759" s="7" t="inlineStr">
        <is>
          <t>Dầm ngang (Diaphragm)</t>
        </is>
      </c>
      <c r="C759" s="7" t="inlineStr">
        <is>
          <t>Dầm ngang trên trụ / mố</t>
        </is>
      </c>
      <c r="D759" s="18" t="inlineStr">
        <is>
          <t>16</t>
        </is>
      </c>
      <c r="E759" s="19" t="n">
        <v>16</v>
      </c>
      <c r="F759" s="6" t="inlineStr">
        <is>
          <t>CB400-V</t>
        </is>
      </c>
      <c r="G759" s="7" t="inlineStr">
        <is>
          <t>S06</t>
        </is>
      </c>
      <c r="H759" s="20" t="n">
        <v>0.002</v>
      </c>
      <c r="I759" s="21" t="n">
        <v>2642</v>
      </c>
      <c r="J759" s="22" t="n">
        <v>66.79000000000001</v>
      </c>
      <c r="K759" s="9">
        <f>ROUND(H759*I759*J759, 2)</f>
        <v/>
      </c>
      <c r="L759" s="23">
        <f>ROUND(K759/1000, 3)</f>
        <v/>
      </c>
      <c r="M759" s="8" t="n"/>
      <c r="N759" s="6" t="n"/>
      <c r="O759" s="24">
        <f>IF(AND(E759&lt;=10, F759&lt;&gt;"ASTM A416", INT(P759/20)&gt;INT(P758/20)), "TN Ø10 (Lần " &amp; INT(P759/20) &amp; ")", IF(AND(E759=12, INT(Q759/20)&gt;INT(Q758/20)), "TN Ø12 (Lần " &amp; INT(Q759/20) &amp; ")", IF(AND(E759=14, INT(R759/20)&gt;INT(R758/20)), "TN Ø14 (Lần " &amp; INT(R759/20) &amp; ")", IF(AND(E759=16, INT(S759/20)&gt;INT(S758/20)), "TN Ø16 (Lần " &amp; INT(S759/20) &amp; ")", IF(AND(E759=18, INT(T759/20)&gt;INT(T758/20)), "TN Ø18 (Lần " &amp; INT(T759/20) &amp; ")", IF(AND(E759=20, INT(U759/20)&gt;INT(U758/20)), "TN Ø20 (Lần " &amp; INT(U759/20) &amp; ")", IF(AND(E759=22, INT(V759/20)&gt;INT(V758/20)), "TN Ø22 (Lần " &amp; INT(V759/20) &amp; ")", IF(AND(E759=25, INT(W759/20)&gt;INT(W758/20)), "TN Ø25 (Lần " &amp; INT(W759/20) &amp; ")", IF(AND(E759=28, INT(X759/20)&gt;INT(X758/20)), "TN Ø28 (Lần " &amp; INT(X759/20) &amp; ")", IF(AND(E759=32, INT(Y759/20)&gt;INT(Y758/20)), "TN Ø32 (Lần " &amp; INT(Y759/20) &amp; ")", IF(AND(F759="ASTM A416", INT(Z759/20)&gt;INT(Z758/20)), "TN Cáp 15.2 (Lần " &amp; INT(Z759/20) &amp; ")", "")))))))))))</f>
        <v/>
      </c>
      <c r="P759" s="20">
        <f>ROUND(P758 + IF(AND(E759&lt;=10, F759&lt;&gt;"ASTM A416"), L759, 0), 3)</f>
        <v/>
      </c>
      <c r="Q759" s="20">
        <f>ROUND(Q758 + IF(AND(E759=12, F759&lt;&gt;"ASTM A416"), L759, 0), 3)</f>
        <v/>
      </c>
      <c r="R759" s="20">
        <f>ROUND(R758 + IF(AND(E759=14, F759&lt;&gt;"ASTM A416"), L759, 0), 3)</f>
        <v/>
      </c>
      <c r="S759" s="20">
        <f>ROUND(S758 + IF(AND(E759=16, F759&lt;&gt;"ASTM A416"), L759, 0), 3)</f>
        <v/>
      </c>
      <c r="T759" s="20">
        <f>ROUND(T758 + IF(AND(E759=18, F759&lt;&gt;"ASTM A416"), L759, 0), 3)</f>
        <v/>
      </c>
      <c r="U759" s="20">
        <f>ROUND(U758 + IF(AND(E759=20, F759&lt;&gt;"ASTM A416"), L759, 0), 3)</f>
        <v/>
      </c>
      <c r="V759" s="20">
        <f>ROUND(V758 + IF(AND(E759=22, F759&lt;&gt;"ASTM A416"), L759, 0), 3)</f>
        <v/>
      </c>
      <c r="W759" s="20">
        <f>ROUND(W758 + IF(AND(E759=25, F759&lt;&gt;"ASTM A416"), L759, 0), 3)</f>
        <v/>
      </c>
      <c r="X759" s="20">
        <f>ROUND(X758 + IF(AND(E759=28, F759&lt;&gt;"ASTM A416"), L759, 0), 3)</f>
        <v/>
      </c>
      <c r="Y759" s="20">
        <f>ROUND(Y758 + IF(AND(E759=32, F759&lt;&gt;"ASTM A416"), L759, 0), 3)</f>
        <v/>
      </c>
      <c r="Z759" s="20">
        <f>ROUND(Z758 + IF(F759="ASTM A416", L759, 0), 3)</f>
        <v/>
      </c>
      <c r="AA759" s="11">
        <f>IF(INT(P759/20)&gt;INT(P758/20), "Lần " &amp; INT(P759/20), "")</f>
        <v/>
      </c>
      <c r="AB759" s="11">
        <f>IF(INT(Q759/20)&gt;INT(Q758/20), "Lần " &amp; INT(Q759/20), "")</f>
        <v/>
      </c>
      <c r="AC759" s="11">
        <f>IF(INT(R759/20)&gt;INT(R758/20), "Lần " &amp; INT(R759/20), "")</f>
        <v/>
      </c>
      <c r="AD759" s="11">
        <f>IF(INT(S759/20)&gt;INT(S758/20), "Lần " &amp; INT(S759/20), "")</f>
        <v/>
      </c>
      <c r="AE759" s="11">
        <f>IF(INT(T759/20)&gt;INT(T758/20), "Lần " &amp; INT(T759/20), "")</f>
        <v/>
      </c>
      <c r="AF759" s="11">
        <f>IF(INT(U759/20)&gt;INT(U758/20), "Lần " &amp; INT(U759/20), "")</f>
        <v/>
      </c>
      <c r="AG759" s="11">
        <f>IF(INT(V759/20)&gt;INT(V758/20), "Lần " &amp; INT(V759/20), "")</f>
        <v/>
      </c>
      <c r="AH759" s="11">
        <f>IF(INT(W759/20)&gt;INT(W758/20), "Lần " &amp; INT(W759/20), "")</f>
        <v/>
      </c>
      <c r="AI759" s="11">
        <f>IF(INT(X759/20)&gt;INT(X758/20), "Lần " &amp; INT(X759/20), "")</f>
        <v/>
      </c>
      <c r="AJ759" s="11">
        <f>IF(INT(Y759/20)&gt;INT(Y758/20), "Lần " &amp; INT(Y759/20), "")</f>
        <v/>
      </c>
      <c r="AK759" s="11">
        <f>IF(INT(Z759/20)&gt;INT(Z758/20), "Lần " &amp; INT(Z759/20), "")</f>
        <v/>
      </c>
      <c r="AL759" s="6" t="inlineStr">
        <is>
          <t>ĐẠT TCVN 1651:2018</t>
        </is>
      </c>
    </row>
    <row r="760" ht="19" customHeight="1">
      <c r="A760" s="6" t="n">
        <v>728</v>
      </c>
      <c r="B760" s="7" t="inlineStr">
        <is>
          <t>Bản mặt cầu (Deck Slab)</t>
        </is>
      </c>
      <c r="C760" s="7" t="inlineStr">
        <is>
          <t>Lưới thép BMC đổ bù</t>
        </is>
      </c>
      <c r="D760" s="18" t="inlineStr">
        <is>
          <t>S1</t>
        </is>
      </c>
      <c r="E760" s="19" t="n">
        <v>14</v>
      </c>
      <c r="F760" s="6" t="inlineStr">
        <is>
          <t>CB400-V</t>
        </is>
      </c>
      <c r="G760" s="7" t="inlineStr">
        <is>
          <t>S01</t>
        </is>
      </c>
      <c r="H760" s="20" t="n">
        <v>39.85</v>
      </c>
      <c r="I760" s="21" t="n">
        <v>84</v>
      </c>
      <c r="J760" s="22" t="n">
        <v>1.21</v>
      </c>
      <c r="K760" s="9">
        <f>ROUND(H760*I760*J760, 2)</f>
        <v/>
      </c>
      <c r="L760" s="23">
        <f>ROUND(K760/1000, 3)</f>
        <v/>
      </c>
      <c r="M760" s="8" t="n"/>
      <c r="N760" s="6" t="n"/>
      <c r="O760" s="24">
        <f>IF(AND(E760&lt;=10, F760&lt;&gt;"ASTM A416", INT(P760/20)&gt;INT(P759/20)), "TN Ø10 (Lần " &amp; INT(P760/20) &amp; ")", IF(AND(E760=12, INT(Q760/20)&gt;INT(Q759/20)), "TN Ø12 (Lần " &amp; INT(Q760/20) &amp; ")", IF(AND(E760=14, INT(R760/20)&gt;INT(R759/20)), "TN Ø14 (Lần " &amp; INT(R760/20) &amp; ")", IF(AND(E760=16, INT(S760/20)&gt;INT(S759/20)), "TN Ø16 (Lần " &amp; INT(S760/20) &amp; ")", IF(AND(E760=18, INT(T760/20)&gt;INT(T759/20)), "TN Ø18 (Lần " &amp; INT(T760/20) &amp; ")", IF(AND(E760=20, INT(U760/20)&gt;INT(U759/20)), "TN Ø20 (Lần " &amp; INT(U760/20) &amp; ")", IF(AND(E760=22, INT(V760/20)&gt;INT(V759/20)), "TN Ø22 (Lần " &amp; INT(V760/20) &amp; ")", IF(AND(E760=25, INT(W760/20)&gt;INT(W759/20)), "TN Ø25 (Lần " &amp; INT(W760/20) &amp; ")", IF(AND(E760=28, INT(X760/20)&gt;INT(X759/20)), "TN Ø28 (Lần " &amp; INT(X760/20) &amp; ")", IF(AND(E760=32, INT(Y760/20)&gt;INT(Y759/20)), "TN Ø32 (Lần " &amp; INT(Y760/20) &amp; ")", IF(AND(F760="ASTM A416", INT(Z760/20)&gt;INT(Z759/20)), "TN Cáp 15.2 (Lần " &amp; INT(Z760/20) &amp; ")", "")))))))))))</f>
        <v/>
      </c>
      <c r="P760" s="20">
        <f>ROUND(P759 + IF(AND(E760&lt;=10, F760&lt;&gt;"ASTM A416"), L760, 0), 3)</f>
        <v/>
      </c>
      <c r="Q760" s="20">
        <f>ROUND(Q759 + IF(AND(E760=12, F760&lt;&gt;"ASTM A416"), L760, 0), 3)</f>
        <v/>
      </c>
      <c r="R760" s="20">
        <f>ROUND(R759 + IF(AND(E760=14, F760&lt;&gt;"ASTM A416"), L760, 0), 3)</f>
        <v/>
      </c>
      <c r="S760" s="20">
        <f>ROUND(S759 + IF(AND(E760=16, F760&lt;&gt;"ASTM A416"), L760, 0), 3)</f>
        <v/>
      </c>
      <c r="T760" s="20">
        <f>ROUND(T759 + IF(AND(E760=18, F760&lt;&gt;"ASTM A416"), L760, 0), 3)</f>
        <v/>
      </c>
      <c r="U760" s="20">
        <f>ROUND(U759 + IF(AND(E760=20, F760&lt;&gt;"ASTM A416"), L760, 0), 3)</f>
        <v/>
      </c>
      <c r="V760" s="20">
        <f>ROUND(V759 + IF(AND(E760=22, F760&lt;&gt;"ASTM A416"), L760, 0), 3)</f>
        <v/>
      </c>
      <c r="W760" s="20">
        <f>ROUND(W759 + IF(AND(E760=25, F760&lt;&gt;"ASTM A416"), L760, 0), 3)</f>
        <v/>
      </c>
      <c r="X760" s="20">
        <f>ROUND(X759 + IF(AND(E760=28, F760&lt;&gt;"ASTM A416"), L760, 0), 3)</f>
        <v/>
      </c>
      <c r="Y760" s="20">
        <f>ROUND(Y759 + IF(AND(E760=32, F760&lt;&gt;"ASTM A416"), L760, 0), 3)</f>
        <v/>
      </c>
      <c r="Z760" s="20">
        <f>ROUND(Z759 + IF(F760="ASTM A416", L760, 0), 3)</f>
        <v/>
      </c>
      <c r="AA760" s="11">
        <f>IF(INT(P760/20)&gt;INT(P759/20), "Lần " &amp; INT(P760/20), "")</f>
        <v/>
      </c>
      <c r="AB760" s="11">
        <f>IF(INT(Q760/20)&gt;INT(Q759/20), "Lần " &amp; INT(Q760/20), "")</f>
        <v/>
      </c>
      <c r="AC760" s="11">
        <f>IF(INT(R760/20)&gt;INT(R759/20), "Lần " &amp; INT(R760/20), "")</f>
        <v/>
      </c>
      <c r="AD760" s="11">
        <f>IF(INT(S760/20)&gt;INT(S759/20), "Lần " &amp; INT(S760/20), "")</f>
        <v/>
      </c>
      <c r="AE760" s="11">
        <f>IF(INT(T760/20)&gt;INT(T759/20), "Lần " &amp; INT(T760/20), "")</f>
        <v/>
      </c>
      <c r="AF760" s="11">
        <f>IF(INT(U760/20)&gt;INT(U759/20), "Lần " &amp; INT(U760/20), "")</f>
        <v/>
      </c>
      <c r="AG760" s="11">
        <f>IF(INT(V760/20)&gt;INT(V759/20), "Lần " &amp; INT(V760/20), "")</f>
        <v/>
      </c>
      <c r="AH760" s="11">
        <f>IF(INT(W760/20)&gt;INT(W759/20), "Lần " &amp; INT(W760/20), "")</f>
        <v/>
      </c>
      <c r="AI760" s="11">
        <f>IF(INT(X760/20)&gt;INT(X759/20), "Lần " &amp; INT(X760/20), "")</f>
        <v/>
      </c>
      <c r="AJ760" s="11">
        <f>IF(INT(Y760/20)&gt;INT(Y759/20), "Lần " &amp; INT(Y760/20), "")</f>
        <v/>
      </c>
      <c r="AK760" s="11">
        <f>IF(INT(Z760/20)&gt;INT(Z759/20), "Lần " &amp; INT(Z760/20), "")</f>
        <v/>
      </c>
      <c r="AL760" s="6" t="inlineStr">
        <is>
          <t>ĐẠT TCVN 1651:2018</t>
        </is>
      </c>
    </row>
    <row r="761" ht="19" customHeight="1">
      <c r="A761" s="6" t="n">
        <v>729</v>
      </c>
      <c r="B761" s="7" t="inlineStr">
        <is>
          <t>Bản mặt cầu (Deck Slab)</t>
        </is>
      </c>
      <c r="C761" s="7" t="inlineStr">
        <is>
          <t>Lưới thép BMC đổ bù</t>
        </is>
      </c>
      <c r="D761" s="18" t="inlineStr">
        <is>
          <t>S1a</t>
        </is>
      </c>
      <c r="E761" s="19" t="n">
        <v>14</v>
      </c>
      <c r="F761" s="6" t="inlineStr">
        <is>
          <t>CB400-V</t>
        </is>
      </c>
      <c r="G761" s="7" t="inlineStr">
        <is>
          <t>S01</t>
        </is>
      </c>
      <c r="H761" s="20" t="n">
        <v>39.29</v>
      </c>
      <c r="I761" s="21" t="n">
        <v>84</v>
      </c>
      <c r="J761" s="22" t="n">
        <v>1.21</v>
      </c>
      <c r="K761" s="9">
        <f>ROUND(H761*I761*J761, 2)</f>
        <v/>
      </c>
      <c r="L761" s="23">
        <f>ROUND(K761/1000, 3)</f>
        <v/>
      </c>
      <c r="M761" s="8" t="n"/>
      <c r="N761" s="6" t="n"/>
      <c r="O761" s="24">
        <f>IF(AND(E761&lt;=10, F761&lt;&gt;"ASTM A416", INT(P761/20)&gt;INT(P760/20)), "TN Ø10 (Lần " &amp; INT(P761/20) &amp; ")", IF(AND(E761=12, INT(Q761/20)&gt;INT(Q760/20)), "TN Ø12 (Lần " &amp; INT(Q761/20) &amp; ")", IF(AND(E761=14, INT(R761/20)&gt;INT(R760/20)), "TN Ø14 (Lần " &amp; INT(R761/20) &amp; ")", IF(AND(E761=16, INT(S761/20)&gt;INT(S760/20)), "TN Ø16 (Lần " &amp; INT(S761/20) &amp; ")", IF(AND(E761=18, INT(T761/20)&gt;INT(T760/20)), "TN Ø18 (Lần " &amp; INT(T761/20) &amp; ")", IF(AND(E761=20, INT(U761/20)&gt;INT(U760/20)), "TN Ø20 (Lần " &amp; INT(U761/20) &amp; ")", IF(AND(E761=22, INT(V761/20)&gt;INT(V760/20)), "TN Ø22 (Lần " &amp; INT(V761/20) &amp; ")", IF(AND(E761=25, INT(W761/20)&gt;INT(W760/20)), "TN Ø25 (Lần " &amp; INT(W761/20) &amp; ")", IF(AND(E761=28, INT(X761/20)&gt;INT(X760/20)), "TN Ø28 (Lần " &amp; INT(X761/20) &amp; ")", IF(AND(E761=32, INT(Y761/20)&gt;INT(Y760/20)), "TN Ø32 (Lần " &amp; INT(Y761/20) &amp; ")", IF(AND(F761="ASTM A416", INT(Z761/20)&gt;INT(Z760/20)), "TN Cáp 15.2 (Lần " &amp; INT(Z761/20) &amp; ")", "")))))))))))</f>
        <v/>
      </c>
      <c r="P761" s="20">
        <f>ROUND(P760 + IF(AND(E761&lt;=10, F761&lt;&gt;"ASTM A416"), L761, 0), 3)</f>
        <v/>
      </c>
      <c r="Q761" s="20">
        <f>ROUND(Q760 + IF(AND(E761=12, F761&lt;&gt;"ASTM A416"), L761, 0), 3)</f>
        <v/>
      </c>
      <c r="R761" s="20">
        <f>ROUND(R760 + IF(AND(E761=14, F761&lt;&gt;"ASTM A416"), L761, 0), 3)</f>
        <v/>
      </c>
      <c r="S761" s="20">
        <f>ROUND(S760 + IF(AND(E761=16, F761&lt;&gt;"ASTM A416"), L761, 0), 3)</f>
        <v/>
      </c>
      <c r="T761" s="20">
        <f>ROUND(T760 + IF(AND(E761=18, F761&lt;&gt;"ASTM A416"), L761, 0), 3)</f>
        <v/>
      </c>
      <c r="U761" s="20">
        <f>ROUND(U760 + IF(AND(E761=20, F761&lt;&gt;"ASTM A416"), L761, 0), 3)</f>
        <v/>
      </c>
      <c r="V761" s="20">
        <f>ROUND(V760 + IF(AND(E761=22, F761&lt;&gt;"ASTM A416"), L761, 0), 3)</f>
        <v/>
      </c>
      <c r="W761" s="20">
        <f>ROUND(W760 + IF(AND(E761=25, F761&lt;&gt;"ASTM A416"), L761, 0), 3)</f>
        <v/>
      </c>
      <c r="X761" s="20">
        <f>ROUND(X760 + IF(AND(E761=28, F761&lt;&gt;"ASTM A416"), L761, 0), 3)</f>
        <v/>
      </c>
      <c r="Y761" s="20">
        <f>ROUND(Y760 + IF(AND(E761=32, F761&lt;&gt;"ASTM A416"), L761, 0), 3)</f>
        <v/>
      </c>
      <c r="Z761" s="20">
        <f>ROUND(Z760 + IF(F761="ASTM A416", L761, 0), 3)</f>
        <v/>
      </c>
      <c r="AA761" s="11">
        <f>IF(INT(P761/20)&gt;INT(P760/20), "Lần " &amp; INT(P761/20), "")</f>
        <v/>
      </c>
      <c r="AB761" s="11">
        <f>IF(INT(Q761/20)&gt;INT(Q760/20), "Lần " &amp; INT(Q761/20), "")</f>
        <v/>
      </c>
      <c r="AC761" s="11">
        <f>IF(INT(R761/20)&gt;INT(R760/20), "Lần " &amp; INT(R761/20), "")</f>
        <v/>
      </c>
      <c r="AD761" s="11">
        <f>IF(INT(S761/20)&gt;INT(S760/20), "Lần " &amp; INT(S761/20), "")</f>
        <v/>
      </c>
      <c r="AE761" s="11">
        <f>IF(INT(T761/20)&gt;INT(T760/20), "Lần " &amp; INT(T761/20), "")</f>
        <v/>
      </c>
      <c r="AF761" s="11">
        <f>IF(INT(U761/20)&gt;INT(U760/20), "Lần " &amp; INT(U761/20), "")</f>
        <v/>
      </c>
      <c r="AG761" s="11">
        <f>IF(INT(V761/20)&gt;INT(V760/20), "Lần " &amp; INT(V761/20), "")</f>
        <v/>
      </c>
      <c r="AH761" s="11">
        <f>IF(INT(W761/20)&gt;INT(W760/20), "Lần " &amp; INT(W761/20), "")</f>
        <v/>
      </c>
      <c r="AI761" s="11">
        <f>IF(INT(X761/20)&gt;INT(X760/20), "Lần " &amp; INT(X761/20), "")</f>
        <v/>
      </c>
      <c r="AJ761" s="11">
        <f>IF(INT(Y761/20)&gt;INT(Y760/20), "Lần " &amp; INT(Y761/20), "")</f>
        <v/>
      </c>
      <c r="AK761" s="11">
        <f>IF(INT(Z761/20)&gt;INT(Z760/20), "Lần " &amp; INT(Z761/20), "")</f>
        <v/>
      </c>
      <c r="AL761" s="6" t="inlineStr">
        <is>
          <t>ĐẠT TCVN 1651:2018</t>
        </is>
      </c>
    </row>
    <row r="762" ht="19" customHeight="1">
      <c r="A762" s="6" t="n">
        <v>730</v>
      </c>
      <c r="B762" s="7" t="inlineStr">
        <is>
          <t>Bản mặt cầu (Deck Slab)</t>
        </is>
      </c>
      <c r="C762" s="7" t="inlineStr">
        <is>
          <t>Lưới thép BMC đổ bù</t>
        </is>
      </c>
      <c r="D762" s="18" t="inlineStr">
        <is>
          <t>S2</t>
        </is>
      </c>
      <c r="E762" s="19" t="n">
        <v>18</v>
      </c>
      <c r="F762" s="6" t="inlineStr">
        <is>
          <t>CB400-V</t>
        </is>
      </c>
      <c r="G762" s="7" t="inlineStr">
        <is>
          <t>S01</t>
        </is>
      </c>
      <c r="H762" s="20" t="n">
        <v>13.135</v>
      </c>
      <c r="I762" s="21" t="n">
        <v>490</v>
      </c>
      <c r="J762" s="22" t="n">
        <v>2</v>
      </c>
      <c r="K762" s="9">
        <f>ROUND(H762*I762*J762, 2)</f>
        <v/>
      </c>
      <c r="L762" s="23">
        <f>ROUND(K762/1000, 3)</f>
        <v/>
      </c>
      <c r="M762" s="8" t="n"/>
      <c r="N762" s="6" t="n"/>
      <c r="O762" s="24">
        <f>IF(AND(E762&lt;=10, F762&lt;&gt;"ASTM A416", INT(P762/20)&gt;INT(P761/20)), "TN Ø10 (Lần " &amp; INT(P762/20) &amp; ")", IF(AND(E762=12, INT(Q762/20)&gt;INT(Q761/20)), "TN Ø12 (Lần " &amp; INT(Q762/20) &amp; ")", IF(AND(E762=14, INT(R762/20)&gt;INT(R761/20)), "TN Ø14 (Lần " &amp; INT(R762/20) &amp; ")", IF(AND(E762=16, INT(S762/20)&gt;INT(S761/20)), "TN Ø16 (Lần " &amp; INT(S762/20) &amp; ")", IF(AND(E762=18, INT(T762/20)&gt;INT(T761/20)), "TN Ø18 (Lần " &amp; INT(T762/20) &amp; ")", IF(AND(E762=20, INT(U762/20)&gt;INT(U761/20)), "TN Ø20 (Lần " &amp; INT(U762/20) &amp; ")", IF(AND(E762=22, INT(V762/20)&gt;INT(V761/20)), "TN Ø22 (Lần " &amp; INT(V762/20) &amp; ")", IF(AND(E762=25, INT(W762/20)&gt;INT(W761/20)), "TN Ø25 (Lần " &amp; INT(W762/20) &amp; ")", IF(AND(E762=28, INT(X762/20)&gt;INT(X761/20)), "TN Ø28 (Lần " &amp; INT(X762/20) &amp; ")", IF(AND(E762=32, INT(Y762/20)&gt;INT(Y761/20)), "TN Ø32 (Lần " &amp; INT(Y762/20) &amp; ")", IF(AND(F762="ASTM A416", INT(Z762/20)&gt;INT(Z761/20)), "TN Cáp 15.2 (Lần " &amp; INT(Z762/20) &amp; ")", "")))))))))))</f>
        <v/>
      </c>
      <c r="P762" s="20">
        <f>ROUND(P761 + IF(AND(E762&lt;=10, F762&lt;&gt;"ASTM A416"), L762, 0), 3)</f>
        <v/>
      </c>
      <c r="Q762" s="20">
        <f>ROUND(Q761 + IF(AND(E762=12, F762&lt;&gt;"ASTM A416"), L762, 0), 3)</f>
        <v/>
      </c>
      <c r="R762" s="20">
        <f>ROUND(R761 + IF(AND(E762=14, F762&lt;&gt;"ASTM A416"), L762, 0), 3)</f>
        <v/>
      </c>
      <c r="S762" s="20">
        <f>ROUND(S761 + IF(AND(E762=16, F762&lt;&gt;"ASTM A416"), L762, 0), 3)</f>
        <v/>
      </c>
      <c r="T762" s="20">
        <f>ROUND(T761 + IF(AND(E762=18, F762&lt;&gt;"ASTM A416"), L762, 0), 3)</f>
        <v/>
      </c>
      <c r="U762" s="20">
        <f>ROUND(U761 + IF(AND(E762=20, F762&lt;&gt;"ASTM A416"), L762, 0), 3)</f>
        <v/>
      </c>
      <c r="V762" s="20">
        <f>ROUND(V761 + IF(AND(E762=22, F762&lt;&gt;"ASTM A416"), L762, 0), 3)</f>
        <v/>
      </c>
      <c r="W762" s="20">
        <f>ROUND(W761 + IF(AND(E762=25, F762&lt;&gt;"ASTM A416"), L762, 0), 3)</f>
        <v/>
      </c>
      <c r="X762" s="20">
        <f>ROUND(X761 + IF(AND(E762=28, F762&lt;&gt;"ASTM A416"), L762, 0), 3)</f>
        <v/>
      </c>
      <c r="Y762" s="20">
        <f>ROUND(Y761 + IF(AND(E762=32, F762&lt;&gt;"ASTM A416"), L762, 0), 3)</f>
        <v/>
      </c>
      <c r="Z762" s="20">
        <f>ROUND(Z761 + IF(F762="ASTM A416", L762, 0), 3)</f>
        <v/>
      </c>
      <c r="AA762" s="11">
        <f>IF(INT(P762/20)&gt;INT(P761/20), "Lần " &amp; INT(P762/20), "")</f>
        <v/>
      </c>
      <c r="AB762" s="11">
        <f>IF(INT(Q762/20)&gt;INT(Q761/20), "Lần " &amp; INT(Q762/20), "")</f>
        <v/>
      </c>
      <c r="AC762" s="11">
        <f>IF(INT(R762/20)&gt;INT(R761/20), "Lần " &amp; INT(R762/20), "")</f>
        <v/>
      </c>
      <c r="AD762" s="11">
        <f>IF(INT(S762/20)&gt;INT(S761/20), "Lần " &amp; INT(S762/20), "")</f>
        <v/>
      </c>
      <c r="AE762" s="11">
        <f>IF(INT(T762/20)&gt;INT(T761/20), "Lần " &amp; INT(T762/20), "")</f>
        <v/>
      </c>
      <c r="AF762" s="11">
        <f>IF(INT(U762/20)&gt;INT(U761/20), "Lần " &amp; INT(U762/20), "")</f>
        <v/>
      </c>
      <c r="AG762" s="11">
        <f>IF(INT(V762/20)&gt;INT(V761/20), "Lần " &amp; INT(V762/20), "")</f>
        <v/>
      </c>
      <c r="AH762" s="11">
        <f>IF(INT(W762/20)&gt;INT(W761/20), "Lần " &amp; INT(W762/20), "")</f>
        <v/>
      </c>
      <c r="AI762" s="11">
        <f>IF(INT(X762/20)&gt;INT(X761/20), "Lần " &amp; INT(X762/20), "")</f>
        <v/>
      </c>
      <c r="AJ762" s="11">
        <f>IF(INT(Y762/20)&gt;INT(Y761/20), "Lần " &amp; INT(Y762/20), "")</f>
        <v/>
      </c>
      <c r="AK762" s="11">
        <f>IF(INT(Z762/20)&gt;INT(Z761/20), "Lần " &amp; INT(Z762/20), "")</f>
        <v/>
      </c>
      <c r="AL762" s="6" t="inlineStr">
        <is>
          <t>ĐẠT TCVN 1651:2018</t>
        </is>
      </c>
    </row>
    <row r="763" ht="19" customHeight="1">
      <c r="A763" s="6" t="n">
        <v>731</v>
      </c>
      <c r="B763" s="7" t="inlineStr">
        <is>
          <t>Bản mặt cầu (Deck Slab)</t>
        </is>
      </c>
      <c r="C763" s="7" t="inlineStr">
        <is>
          <t>Lưới thép BMC đổ bù</t>
        </is>
      </c>
      <c r="D763" s="18" t="inlineStr">
        <is>
          <t>S3</t>
        </is>
      </c>
      <c r="E763" s="19" t="n">
        <v>10</v>
      </c>
      <c r="F763" s="6" t="inlineStr">
        <is>
          <t>CB240-T</t>
        </is>
      </c>
      <c r="G763" s="7" t="inlineStr">
        <is>
          <t>S01</t>
        </is>
      </c>
      <c r="H763" s="20" t="n">
        <v>0.33</v>
      </c>
      <c r="I763" s="21" t="n">
        <v>2420</v>
      </c>
      <c r="J763" s="22" t="n">
        <v>0.617</v>
      </c>
      <c r="K763" s="9">
        <f>ROUND(H763*I763*J763, 2)</f>
        <v/>
      </c>
      <c r="L763" s="23">
        <f>ROUND(K763/1000, 3)</f>
        <v/>
      </c>
      <c r="M763" s="8" t="n"/>
      <c r="N763" s="6" t="n"/>
      <c r="O763" s="24">
        <f>IF(AND(E763&lt;=10, F763&lt;&gt;"ASTM A416", INT(P763/20)&gt;INT(P762/20)), "TN Ø10 (Lần " &amp; INT(P763/20) &amp; ")", IF(AND(E763=12, INT(Q763/20)&gt;INT(Q762/20)), "TN Ø12 (Lần " &amp; INT(Q763/20) &amp; ")", IF(AND(E763=14, INT(R763/20)&gt;INT(R762/20)), "TN Ø14 (Lần " &amp; INT(R763/20) &amp; ")", IF(AND(E763=16, INT(S763/20)&gt;INT(S762/20)), "TN Ø16 (Lần " &amp; INT(S763/20) &amp; ")", IF(AND(E763=18, INT(T763/20)&gt;INT(T762/20)), "TN Ø18 (Lần " &amp; INT(T763/20) &amp; ")", IF(AND(E763=20, INT(U763/20)&gt;INT(U762/20)), "TN Ø20 (Lần " &amp; INT(U763/20) &amp; ")", IF(AND(E763=22, INT(V763/20)&gt;INT(V762/20)), "TN Ø22 (Lần " &amp; INT(V763/20) &amp; ")", IF(AND(E763=25, INT(W763/20)&gt;INT(W762/20)), "TN Ø25 (Lần " &amp; INT(W763/20) &amp; ")", IF(AND(E763=28, INT(X763/20)&gt;INT(X762/20)), "TN Ø28 (Lần " &amp; INT(X763/20) &amp; ")", IF(AND(E763=32, INT(Y763/20)&gt;INT(Y762/20)), "TN Ø32 (Lần " &amp; INT(Y763/20) &amp; ")", IF(AND(F763="ASTM A416", INT(Z763/20)&gt;INT(Z762/20)), "TN Cáp 15.2 (Lần " &amp; INT(Z763/20) &amp; ")", "")))))))))))</f>
        <v/>
      </c>
      <c r="P763" s="20">
        <f>ROUND(P762 + IF(AND(E763&lt;=10, F763&lt;&gt;"ASTM A416"), L763, 0), 3)</f>
        <v/>
      </c>
      <c r="Q763" s="20">
        <f>ROUND(Q762 + IF(AND(E763=12, F763&lt;&gt;"ASTM A416"), L763, 0), 3)</f>
        <v/>
      </c>
      <c r="R763" s="20">
        <f>ROUND(R762 + IF(AND(E763=14, F763&lt;&gt;"ASTM A416"), L763, 0), 3)</f>
        <v/>
      </c>
      <c r="S763" s="20">
        <f>ROUND(S762 + IF(AND(E763=16, F763&lt;&gt;"ASTM A416"), L763, 0), 3)</f>
        <v/>
      </c>
      <c r="T763" s="20">
        <f>ROUND(T762 + IF(AND(E763=18, F763&lt;&gt;"ASTM A416"), L763, 0), 3)</f>
        <v/>
      </c>
      <c r="U763" s="20">
        <f>ROUND(U762 + IF(AND(E763=20, F763&lt;&gt;"ASTM A416"), L763, 0), 3)</f>
        <v/>
      </c>
      <c r="V763" s="20">
        <f>ROUND(V762 + IF(AND(E763=22, F763&lt;&gt;"ASTM A416"), L763, 0), 3)</f>
        <v/>
      </c>
      <c r="W763" s="20">
        <f>ROUND(W762 + IF(AND(E763=25, F763&lt;&gt;"ASTM A416"), L763, 0), 3)</f>
        <v/>
      </c>
      <c r="X763" s="20">
        <f>ROUND(X762 + IF(AND(E763=28, F763&lt;&gt;"ASTM A416"), L763, 0), 3)</f>
        <v/>
      </c>
      <c r="Y763" s="20">
        <f>ROUND(Y762 + IF(AND(E763=32, F763&lt;&gt;"ASTM A416"), L763, 0), 3)</f>
        <v/>
      </c>
      <c r="Z763" s="20">
        <f>ROUND(Z762 + IF(F763="ASTM A416", L763, 0), 3)</f>
        <v/>
      </c>
      <c r="AA763" s="11">
        <f>IF(INT(P763/20)&gt;INT(P762/20), "Lần " &amp; INT(P763/20), "")</f>
        <v/>
      </c>
      <c r="AB763" s="11">
        <f>IF(INT(Q763/20)&gt;INT(Q762/20), "Lần " &amp; INT(Q763/20), "")</f>
        <v/>
      </c>
      <c r="AC763" s="11">
        <f>IF(INT(R763/20)&gt;INT(R762/20), "Lần " &amp; INT(R763/20), "")</f>
        <v/>
      </c>
      <c r="AD763" s="11">
        <f>IF(INT(S763/20)&gt;INT(S762/20), "Lần " &amp; INT(S763/20), "")</f>
        <v/>
      </c>
      <c r="AE763" s="11">
        <f>IF(INT(T763/20)&gt;INT(T762/20), "Lần " &amp; INT(T763/20), "")</f>
        <v/>
      </c>
      <c r="AF763" s="11">
        <f>IF(INT(U763/20)&gt;INT(U762/20), "Lần " &amp; INT(U763/20), "")</f>
        <v/>
      </c>
      <c r="AG763" s="11">
        <f>IF(INT(V763/20)&gt;INT(V762/20), "Lần " &amp; INT(V763/20), "")</f>
        <v/>
      </c>
      <c r="AH763" s="11">
        <f>IF(INT(W763/20)&gt;INT(W762/20), "Lần " &amp; INT(W763/20), "")</f>
        <v/>
      </c>
      <c r="AI763" s="11">
        <f>IF(INT(X763/20)&gt;INT(X762/20), "Lần " &amp; INT(X763/20), "")</f>
        <v/>
      </c>
      <c r="AJ763" s="11">
        <f>IF(INT(Y763/20)&gt;INT(Y762/20), "Lần " &amp; INT(Y763/20), "")</f>
        <v/>
      </c>
      <c r="AK763" s="11">
        <f>IF(INT(Z763/20)&gt;INT(Z762/20), "Lần " &amp; INT(Z763/20), "")</f>
        <v/>
      </c>
      <c r="AL763" s="6" t="inlineStr">
        <is>
          <t>ĐẠT TCVN 1651:2018</t>
        </is>
      </c>
    </row>
    <row r="764" ht="19" customHeight="1">
      <c r="A764" s="6" t="n">
        <v>732</v>
      </c>
      <c r="B764" s="7" t="inlineStr">
        <is>
          <t>Bản mặt cầu (Deck Slab)</t>
        </is>
      </c>
      <c r="C764" s="7" t="inlineStr">
        <is>
          <t>Lưới thép BMC đổ bù</t>
        </is>
      </c>
      <c r="D764" s="18" t="inlineStr">
        <is>
          <t>S4</t>
        </is>
      </c>
      <c r="E764" s="19" t="n">
        <v>18</v>
      </c>
      <c r="F764" s="6" t="inlineStr">
        <is>
          <t>CB400-V</t>
        </is>
      </c>
      <c r="G764" s="7" t="inlineStr">
        <is>
          <t>S01</t>
        </is>
      </c>
      <c r="H764" s="20" t="n">
        <v>2.1</v>
      </c>
      <c r="I764" s="21" t="n">
        <v>980</v>
      </c>
      <c r="J764" s="22" t="n">
        <v>2</v>
      </c>
      <c r="K764" s="9">
        <f>ROUND(H764*I764*J764, 2)</f>
        <v/>
      </c>
      <c r="L764" s="23">
        <f>ROUND(K764/1000, 3)</f>
        <v/>
      </c>
      <c r="M764" s="8" t="n"/>
      <c r="N764" s="6" t="n"/>
      <c r="O764" s="24">
        <f>IF(AND(E764&lt;=10, F764&lt;&gt;"ASTM A416", INT(P764/20)&gt;INT(P763/20)), "TN Ø10 (Lần " &amp; INT(P764/20) &amp; ")", IF(AND(E764=12, INT(Q764/20)&gt;INT(Q763/20)), "TN Ø12 (Lần " &amp; INT(Q764/20) &amp; ")", IF(AND(E764=14, INT(R764/20)&gt;INT(R763/20)), "TN Ø14 (Lần " &amp; INT(R764/20) &amp; ")", IF(AND(E764=16, INT(S764/20)&gt;INT(S763/20)), "TN Ø16 (Lần " &amp; INT(S764/20) &amp; ")", IF(AND(E764=18, INT(T764/20)&gt;INT(T763/20)), "TN Ø18 (Lần " &amp; INT(T764/20) &amp; ")", IF(AND(E764=20, INT(U764/20)&gt;INT(U763/20)), "TN Ø20 (Lần " &amp; INT(U764/20) &amp; ")", IF(AND(E764=22, INT(V764/20)&gt;INT(V763/20)), "TN Ø22 (Lần " &amp; INT(V764/20) &amp; ")", IF(AND(E764=25, INT(W764/20)&gt;INT(W763/20)), "TN Ø25 (Lần " &amp; INT(W764/20) &amp; ")", IF(AND(E764=28, INT(X764/20)&gt;INT(X763/20)), "TN Ø28 (Lần " &amp; INT(X764/20) &amp; ")", IF(AND(E764=32, INT(Y764/20)&gt;INT(Y763/20)), "TN Ø32 (Lần " &amp; INT(Y764/20) &amp; ")", IF(AND(F764="ASTM A416", INT(Z764/20)&gt;INT(Z763/20)), "TN Cáp 15.2 (Lần " &amp; INT(Z764/20) &amp; ")", "")))))))))))</f>
        <v/>
      </c>
      <c r="P764" s="20">
        <f>ROUND(P763 + IF(AND(E764&lt;=10, F764&lt;&gt;"ASTM A416"), L764, 0), 3)</f>
        <v/>
      </c>
      <c r="Q764" s="20">
        <f>ROUND(Q763 + IF(AND(E764=12, F764&lt;&gt;"ASTM A416"), L764, 0), 3)</f>
        <v/>
      </c>
      <c r="R764" s="20">
        <f>ROUND(R763 + IF(AND(E764=14, F764&lt;&gt;"ASTM A416"), L764, 0), 3)</f>
        <v/>
      </c>
      <c r="S764" s="20">
        <f>ROUND(S763 + IF(AND(E764=16, F764&lt;&gt;"ASTM A416"), L764, 0), 3)</f>
        <v/>
      </c>
      <c r="T764" s="20">
        <f>ROUND(T763 + IF(AND(E764=18, F764&lt;&gt;"ASTM A416"), L764, 0), 3)</f>
        <v/>
      </c>
      <c r="U764" s="20">
        <f>ROUND(U763 + IF(AND(E764=20, F764&lt;&gt;"ASTM A416"), L764, 0), 3)</f>
        <v/>
      </c>
      <c r="V764" s="20">
        <f>ROUND(V763 + IF(AND(E764=22, F764&lt;&gt;"ASTM A416"), L764, 0), 3)</f>
        <v/>
      </c>
      <c r="W764" s="20">
        <f>ROUND(W763 + IF(AND(E764=25, F764&lt;&gt;"ASTM A416"), L764, 0), 3)</f>
        <v/>
      </c>
      <c r="X764" s="20">
        <f>ROUND(X763 + IF(AND(E764=28, F764&lt;&gt;"ASTM A416"), L764, 0), 3)</f>
        <v/>
      </c>
      <c r="Y764" s="20">
        <f>ROUND(Y763 + IF(AND(E764=32, F764&lt;&gt;"ASTM A416"), L764, 0), 3)</f>
        <v/>
      </c>
      <c r="Z764" s="20">
        <f>ROUND(Z763 + IF(F764="ASTM A416", L764, 0), 3)</f>
        <v/>
      </c>
      <c r="AA764" s="11">
        <f>IF(INT(P764/20)&gt;INT(P763/20), "Lần " &amp; INT(P764/20), "")</f>
        <v/>
      </c>
      <c r="AB764" s="11">
        <f>IF(INT(Q764/20)&gt;INT(Q763/20), "Lần " &amp; INT(Q764/20), "")</f>
        <v/>
      </c>
      <c r="AC764" s="11">
        <f>IF(INT(R764/20)&gt;INT(R763/20), "Lần " &amp; INT(R764/20), "")</f>
        <v/>
      </c>
      <c r="AD764" s="11">
        <f>IF(INT(S764/20)&gt;INT(S763/20), "Lần " &amp; INT(S764/20), "")</f>
        <v/>
      </c>
      <c r="AE764" s="11">
        <f>IF(INT(T764/20)&gt;INT(T763/20), "Lần " &amp; INT(T764/20), "")</f>
        <v/>
      </c>
      <c r="AF764" s="11">
        <f>IF(INT(U764/20)&gt;INT(U763/20), "Lần " &amp; INT(U764/20), "")</f>
        <v/>
      </c>
      <c r="AG764" s="11">
        <f>IF(INT(V764/20)&gt;INT(V763/20), "Lần " &amp; INT(V764/20), "")</f>
        <v/>
      </c>
      <c r="AH764" s="11">
        <f>IF(INT(W764/20)&gt;INT(W763/20), "Lần " &amp; INT(W764/20), "")</f>
        <v/>
      </c>
      <c r="AI764" s="11">
        <f>IF(INT(X764/20)&gt;INT(X763/20), "Lần " &amp; INT(X764/20), "")</f>
        <v/>
      </c>
      <c r="AJ764" s="11">
        <f>IF(INT(Y764/20)&gt;INT(Y763/20), "Lần " &amp; INT(Y764/20), "")</f>
        <v/>
      </c>
      <c r="AK764" s="11">
        <f>IF(INT(Z764/20)&gt;INT(Z763/20), "Lần " &amp; INT(Z764/20), "")</f>
        <v/>
      </c>
      <c r="AL764" s="6" t="inlineStr">
        <is>
          <t>ĐẠT TCVN 1651:2018</t>
        </is>
      </c>
    </row>
    <row r="765" ht="19" customHeight="1">
      <c r="A765" s="6" t="n">
        <v>733</v>
      </c>
      <c r="B765" s="7" t="inlineStr">
        <is>
          <t>Bản mặt cầu (Deck Slab)</t>
        </is>
      </c>
      <c r="C765" s="7" t="inlineStr">
        <is>
          <t>Lưới thép BMC đổ bù</t>
        </is>
      </c>
      <c r="D765" s="18" t="inlineStr">
        <is>
          <t>DR1</t>
        </is>
      </c>
      <c r="E765" s="19" t="n">
        <v>14</v>
      </c>
      <c r="F765" s="6" t="inlineStr">
        <is>
          <t>CB400-V</t>
        </is>
      </c>
      <c r="G765" s="7" t="inlineStr">
        <is>
          <t>S01</t>
        </is>
      </c>
      <c r="H765" s="20" t="n">
        <v>0.6</v>
      </c>
      <c r="I765" s="21" t="n">
        <v>64</v>
      </c>
      <c r="J765" s="22" t="n">
        <v>1.21</v>
      </c>
      <c r="K765" s="9">
        <f>ROUND(H765*I765*J765, 2)</f>
        <v/>
      </c>
      <c r="L765" s="23">
        <f>ROUND(K765/1000, 3)</f>
        <v/>
      </c>
      <c r="M765" s="8" t="n"/>
      <c r="N765" s="6" t="n"/>
      <c r="O765" s="24">
        <f>IF(AND(E765&lt;=10, F765&lt;&gt;"ASTM A416", INT(P765/20)&gt;INT(P764/20)), "TN Ø10 (Lần " &amp; INT(P765/20) &amp; ")", IF(AND(E765=12, INT(Q765/20)&gt;INT(Q764/20)), "TN Ø12 (Lần " &amp; INT(Q765/20) &amp; ")", IF(AND(E765=14, INT(R765/20)&gt;INT(R764/20)), "TN Ø14 (Lần " &amp; INT(R765/20) &amp; ")", IF(AND(E765=16, INT(S765/20)&gt;INT(S764/20)), "TN Ø16 (Lần " &amp; INT(S765/20) &amp; ")", IF(AND(E765=18, INT(T765/20)&gt;INT(T764/20)), "TN Ø18 (Lần " &amp; INT(T765/20) &amp; ")", IF(AND(E765=20, INT(U765/20)&gt;INT(U764/20)), "TN Ø20 (Lần " &amp; INT(U765/20) &amp; ")", IF(AND(E765=22, INT(V765/20)&gt;INT(V764/20)), "TN Ø22 (Lần " &amp; INT(V765/20) &amp; ")", IF(AND(E765=25, INT(W765/20)&gt;INT(W764/20)), "TN Ø25 (Lần " &amp; INT(W765/20) &amp; ")", IF(AND(E765=28, INT(X765/20)&gt;INT(X764/20)), "TN Ø28 (Lần " &amp; INT(X765/20) &amp; ")", IF(AND(E765=32, INT(Y765/20)&gt;INT(Y764/20)), "TN Ø32 (Lần " &amp; INT(Y765/20) &amp; ")", IF(AND(F765="ASTM A416", INT(Z765/20)&gt;INT(Z764/20)), "TN Cáp 15.2 (Lần " &amp; INT(Z765/20) &amp; ")", "")))))))))))</f>
        <v/>
      </c>
      <c r="P765" s="20">
        <f>ROUND(P764 + IF(AND(E765&lt;=10, F765&lt;&gt;"ASTM A416"), L765, 0), 3)</f>
        <v/>
      </c>
      <c r="Q765" s="20">
        <f>ROUND(Q764 + IF(AND(E765=12, F765&lt;&gt;"ASTM A416"), L765, 0), 3)</f>
        <v/>
      </c>
      <c r="R765" s="20">
        <f>ROUND(R764 + IF(AND(E765=14, F765&lt;&gt;"ASTM A416"), L765, 0), 3)</f>
        <v/>
      </c>
      <c r="S765" s="20">
        <f>ROUND(S764 + IF(AND(E765=16, F765&lt;&gt;"ASTM A416"), L765, 0), 3)</f>
        <v/>
      </c>
      <c r="T765" s="20">
        <f>ROUND(T764 + IF(AND(E765=18, F765&lt;&gt;"ASTM A416"), L765, 0), 3)</f>
        <v/>
      </c>
      <c r="U765" s="20">
        <f>ROUND(U764 + IF(AND(E765=20, F765&lt;&gt;"ASTM A416"), L765, 0), 3)</f>
        <v/>
      </c>
      <c r="V765" s="20">
        <f>ROUND(V764 + IF(AND(E765=22, F765&lt;&gt;"ASTM A416"), L765, 0), 3)</f>
        <v/>
      </c>
      <c r="W765" s="20">
        <f>ROUND(W764 + IF(AND(E765=25, F765&lt;&gt;"ASTM A416"), L765, 0), 3)</f>
        <v/>
      </c>
      <c r="X765" s="20">
        <f>ROUND(X764 + IF(AND(E765=28, F765&lt;&gt;"ASTM A416"), L765, 0), 3)</f>
        <v/>
      </c>
      <c r="Y765" s="20">
        <f>ROUND(Y764 + IF(AND(E765=32, F765&lt;&gt;"ASTM A416"), L765, 0), 3)</f>
        <v/>
      </c>
      <c r="Z765" s="20">
        <f>ROUND(Z764 + IF(F765="ASTM A416", L765, 0), 3)</f>
        <v/>
      </c>
      <c r="AA765" s="11">
        <f>IF(INT(P765/20)&gt;INT(P764/20), "Lần " &amp; INT(P765/20), "")</f>
        <v/>
      </c>
      <c r="AB765" s="11">
        <f>IF(INT(Q765/20)&gt;INT(Q764/20), "Lần " &amp; INT(Q765/20), "")</f>
        <v/>
      </c>
      <c r="AC765" s="11">
        <f>IF(INT(R765/20)&gt;INT(R764/20), "Lần " &amp; INT(R765/20), "")</f>
        <v/>
      </c>
      <c r="AD765" s="11">
        <f>IF(INT(S765/20)&gt;INT(S764/20), "Lần " &amp; INT(S765/20), "")</f>
        <v/>
      </c>
      <c r="AE765" s="11">
        <f>IF(INT(T765/20)&gt;INT(T764/20), "Lần " &amp; INT(T765/20), "")</f>
        <v/>
      </c>
      <c r="AF765" s="11">
        <f>IF(INT(U765/20)&gt;INT(U764/20), "Lần " &amp; INT(U765/20), "")</f>
        <v/>
      </c>
      <c r="AG765" s="11">
        <f>IF(INT(V765/20)&gt;INT(V764/20), "Lần " &amp; INT(V765/20), "")</f>
        <v/>
      </c>
      <c r="AH765" s="11">
        <f>IF(INT(W765/20)&gt;INT(W764/20), "Lần " &amp; INT(W765/20), "")</f>
        <v/>
      </c>
      <c r="AI765" s="11">
        <f>IF(INT(X765/20)&gt;INT(X764/20), "Lần " &amp; INT(X765/20), "")</f>
        <v/>
      </c>
      <c r="AJ765" s="11">
        <f>IF(INT(Y765/20)&gt;INT(Y764/20), "Lần " &amp; INT(Y765/20), "")</f>
        <v/>
      </c>
      <c r="AK765" s="11">
        <f>IF(INT(Z765/20)&gt;INT(Z764/20), "Lần " &amp; INT(Z765/20), "")</f>
        <v/>
      </c>
      <c r="AL765" s="6" t="inlineStr">
        <is>
          <t>ĐẠT TCVN 1651:2018</t>
        </is>
      </c>
    </row>
    <row r="766" ht="19" customHeight="1">
      <c r="A766" s="6" t="n">
        <v>734</v>
      </c>
      <c r="B766" s="7" t="inlineStr">
        <is>
          <t>Bản mặt cầu (Deck Slab)</t>
        </is>
      </c>
      <c r="C766" s="7" t="inlineStr">
        <is>
          <t>Lưới thép BMC đổ bù</t>
        </is>
      </c>
      <c r="D766" s="18" t="inlineStr">
        <is>
          <t>DR2</t>
        </is>
      </c>
      <c r="E766" s="19" t="n">
        <v>14</v>
      </c>
      <c r="F766" s="6" t="inlineStr">
        <is>
          <t>CB400-V</t>
        </is>
      </c>
      <c r="G766" s="7" t="inlineStr">
        <is>
          <t>S01</t>
        </is>
      </c>
      <c r="H766" s="20" t="n">
        <v>1.3</v>
      </c>
      <c r="I766" s="21" t="n">
        <v>32</v>
      </c>
      <c r="J766" s="22" t="n">
        <v>1.21</v>
      </c>
      <c r="K766" s="9">
        <f>ROUND(H766*I766*J766, 2)</f>
        <v/>
      </c>
      <c r="L766" s="23">
        <f>ROUND(K766/1000, 3)</f>
        <v/>
      </c>
      <c r="M766" s="8" t="n"/>
      <c r="N766" s="6" t="n"/>
      <c r="O766" s="24">
        <f>IF(AND(E766&lt;=10, F766&lt;&gt;"ASTM A416", INT(P766/20)&gt;INT(P765/20)), "TN Ø10 (Lần " &amp; INT(P766/20) &amp; ")", IF(AND(E766=12, INT(Q766/20)&gt;INT(Q765/20)), "TN Ø12 (Lần " &amp; INT(Q766/20) &amp; ")", IF(AND(E766=14, INT(R766/20)&gt;INT(R765/20)), "TN Ø14 (Lần " &amp; INT(R766/20) &amp; ")", IF(AND(E766=16, INT(S766/20)&gt;INT(S765/20)), "TN Ø16 (Lần " &amp; INT(S766/20) &amp; ")", IF(AND(E766=18, INT(T766/20)&gt;INT(T765/20)), "TN Ø18 (Lần " &amp; INT(T766/20) &amp; ")", IF(AND(E766=20, INT(U766/20)&gt;INT(U765/20)), "TN Ø20 (Lần " &amp; INT(U766/20) &amp; ")", IF(AND(E766=22, INT(V766/20)&gt;INT(V765/20)), "TN Ø22 (Lần " &amp; INT(V766/20) &amp; ")", IF(AND(E766=25, INT(W766/20)&gt;INT(W765/20)), "TN Ø25 (Lần " &amp; INT(W766/20) &amp; ")", IF(AND(E766=28, INT(X766/20)&gt;INT(X765/20)), "TN Ø28 (Lần " &amp; INT(X766/20) &amp; ")", IF(AND(E766=32, INT(Y766/20)&gt;INT(Y765/20)), "TN Ø32 (Lần " &amp; INT(Y766/20) &amp; ")", IF(AND(F766="ASTM A416", INT(Z766/20)&gt;INT(Z765/20)), "TN Cáp 15.2 (Lần " &amp; INT(Z766/20) &amp; ")", "")))))))))))</f>
        <v/>
      </c>
      <c r="P766" s="20">
        <f>ROUND(P765 + IF(AND(E766&lt;=10, F766&lt;&gt;"ASTM A416"), L766, 0), 3)</f>
        <v/>
      </c>
      <c r="Q766" s="20">
        <f>ROUND(Q765 + IF(AND(E766=12, F766&lt;&gt;"ASTM A416"), L766, 0), 3)</f>
        <v/>
      </c>
      <c r="R766" s="20">
        <f>ROUND(R765 + IF(AND(E766=14, F766&lt;&gt;"ASTM A416"), L766, 0), 3)</f>
        <v/>
      </c>
      <c r="S766" s="20">
        <f>ROUND(S765 + IF(AND(E766=16, F766&lt;&gt;"ASTM A416"), L766, 0), 3)</f>
        <v/>
      </c>
      <c r="T766" s="20">
        <f>ROUND(T765 + IF(AND(E766=18, F766&lt;&gt;"ASTM A416"), L766, 0), 3)</f>
        <v/>
      </c>
      <c r="U766" s="20">
        <f>ROUND(U765 + IF(AND(E766=20, F766&lt;&gt;"ASTM A416"), L766, 0), 3)</f>
        <v/>
      </c>
      <c r="V766" s="20">
        <f>ROUND(V765 + IF(AND(E766=22, F766&lt;&gt;"ASTM A416"), L766, 0), 3)</f>
        <v/>
      </c>
      <c r="W766" s="20">
        <f>ROUND(W765 + IF(AND(E766=25, F766&lt;&gt;"ASTM A416"), L766, 0), 3)</f>
        <v/>
      </c>
      <c r="X766" s="20">
        <f>ROUND(X765 + IF(AND(E766=28, F766&lt;&gt;"ASTM A416"), L766, 0), 3)</f>
        <v/>
      </c>
      <c r="Y766" s="20">
        <f>ROUND(Y765 + IF(AND(E766=32, F766&lt;&gt;"ASTM A416"), L766, 0), 3)</f>
        <v/>
      </c>
      <c r="Z766" s="20">
        <f>ROUND(Z765 + IF(F766="ASTM A416", L766, 0), 3)</f>
        <v/>
      </c>
      <c r="AA766" s="11">
        <f>IF(INT(P766/20)&gt;INT(P765/20), "Lần " &amp; INT(P766/20), "")</f>
        <v/>
      </c>
      <c r="AB766" s="11">
        <f>IF(INT(Q766/20)&gt;INT(Q765/20), "Lần " &amp; INT(Q766/20), "")</f>
        <v/>
      </c>
      <c r="AC766" s="11">
        <f>IF(INT(R766/20)&gt;INT(R765/20), "Lần " &amp; INT(R766/20), "")</f>
        <v/>
      </c>
      <c r="AD766" s="11">
        <f>IF(INT(S766/20)&gt;INT(S765/20), "Lần " &amp; INT(S766/20), "")</f>
        <v/>
      </c>
      <c r="AE766" s="11">
        <f>IF(INT(T766/20)&gt;INT(T765/20), "Lần " &amp; INT(T766/20), "")</f>
        <v/>
      </c>
      <c r="AF766" s="11">
        <f>IF(INT(U766/20)&gt;INT(U765/20), "Lần " &amp; INT(U766/20), "")</f>
        <v/>
      </c>
      <c r="AG766" s="11">
        <f>IF(INT(V766/20)&gt;INT(V765/20), "Lần " &amp; INT(V766/20), "")</f>
        <v/>
      </c>
      <c r="AH766" s="11">
        <f>IF(INT(W766/20)&gt;INT(W765/20), "Lần " &amp; INT(W766/20), "")</f>
        <v/>
      </c>
      <c r="AI766" s="11">
        <f>IF(INT(X766/20)&gt;INT(X765/20), "Lần " &amp; INT(X766/20), "")</f>
        <v/>
      </c>
      <c r="AJ766" s="11">
        <f>IF(INT(Y766/20)&gt;INT(Y765/20), "Lần " &amp; INT(Y766/20), "")</f>
        <v/>
      </c>
      <c r="AK766" s="11">
        <f>IF(INT(Z766/20)&gt;INT(Z765/20), "Lần " &amp; INT(Z766/20), "")</f>
        <v/>
      </c>
      <c r="AL766" s="6" t="inlineStr">
        <is>
          <t>ĐẠT TCVN 1651:2018</t>
        </is>
      </c>
    </row>
    <row r="767" ht="19" customHeight="1">
      <c r="A767" s="6" t="n">
        <v>735</v>
      </c>
      <c r="B767" s="7" t="inlineStr">
        <is>
          <t>Bản mặt cầu (Deck Slab)</t>
        </is>
      </c>
      <c r="C767" s="7" t="inlineStr">
        <is>
          <t>Lưới thép BMC đổ bù</t>
        </is>
      </c>
      <c r="D767" s="18" t="inlineStr">
        <is>
          <t>DR3</t>
        </is>
      </c>
      <c r="E767" s="19" t="n">
        <v>14</v>
      </c>
      <c r="F767" s="6" t="inlineStr">
        <is>
          <t>CB400-V</t>
        </is>
      </c>
      <c r="G767" s="7" t="inlineStr">
        <is>
          <t>S01</t>
        </is>
      </c>
      <c r="H767" s="20" t="n">
        <v>0.9</v>
      </c>
      <c r="I767" s="21" t="n">
        <v>64</v>
      </c>
      <c r="J767" s="22" t="n">
        <v>1.21</v>
      </c>
      <c r="K767" s="9">
        <f>ROUND(H767*I767*J767, 2)</f>
        <v/>
      </c>
      <c r="L767" s="23">
        <f>ROUND(K767/1000, 3)</f>
        <v/>
      </c>
      <c r="M767" s="8" t="n"/>
      <c r="N767" s="6" t="n"/>
      <c r="O767" s="24">
        <f>IF(AND(E767&lt;=10, F767&lt;&gt;"ASTM A416", INT(P767/20)&gt;INT(P766/20)), "TN Ø10 (Lần " &amp; INT(P767/20) &amp; ")", IF(AND(E767=12, INT(Q767/20)&gt;INT(Q766/20)), "TN Ø12 (Lần " &amp; INT(Q767/20) &amp; ")", IF(AND(E767=14, INT(R767/20)&gt;INT(R766/20)), "TN Ø14 (Lần " &amp; INT(R767/20) &amp; ")", IF(AND(E767=16, INT(S767/20)&gt;INT(S766/20)), "TN Ø16 (Lần " &amp; INT(S767/20) &amp; ")", IF(AND(E767=18, INT(T767/20)&gt;INT(T766/20)), "TN Ø18 (Lần " &amp; INT(T767/20) &amp; ")", IF(AND(E767=20, INT(U767/20)&gt;INT(U766/20)), "TN Ø20 (Lần " &amp; INT(U767/20) &amp; ")", IF(AND(E767=22, INT(V767/20)&gt;INT(V766/20)), "TN Ø22 (Lần " &amp; INT(V767/20) &amp; ")", IF(AND(E767=25, INT(W767/20)&gt;INT(W766/20)), "TN Ø25 (Lần " &amp; INT(W767/20) &amp; ")", IF(AND(E767=28, INT(X767/20)&gt;INT(X766/20)), "TN Ø28 (Lần " &amp; INT(X767/20) &amp; ")", IF(AND(E767=32, INT(Y767/20)&gt;INT(Y766/20)), "TN Ø32 (Lần " &amp; INT(Y767/20) &amp; ")", IF(AND(F767="ASTM A416", INT(Z767/20)&gt;INT(Z766/20)), "TN Cáp 15.2 (Lần " &amp; INT(Z767/20) &amp; ")", "")))))))))))</f>
        <v/>
      </c>
      <c r="P767" s="20">
        <f>ROUND(P766 + IF(AND(E767&lt;=10, F767&lt;&gt;"ASTM A416"), L767, 0), 3)</f>
        <v/>
      </c>
      <c r="Q767" s="20">
        <f>ROUND(Q766 + IF(AND(E767=12, F767&lt;&gt;"ASTM A416"), L767, 0), 3)</f>
        <v/>
      </c>
      <c r="R767" s="20">
        <f>ROUND(R766 + IF(AND(E767=14, F767&lt;&gt;"ASTM A416"), L767, 0), 3)</f>
        <v/>
      </c>
      <c r="S767" s="20">
        <f>ROUND(S766 + IF(AND(E767=16, F767&lt;&gt;"ASTM A416"), L767, 0), 3)</f>
        <v/>
      </c>
      <c r="T767" s="20">
        <f>ROUND(T766 + IF(AND(E767=18, F767&lt;&gt;"ASTM A416"), L767, 0), 3)</f>
        <v/>
      </c>
      <c r="U767" s="20">
        <f>ROUND(U766 + IF(AND(E767=20, F767&lt;&gt;"ASTM A416"), L767, 0), 3)</f>
        <v/>
      </c>
      <c r="V767" s="20">
        <f>ROUND(V766 + IF(AND(E767=22, F767&lt;&gt;"ASTM A416"), L767, 0), 3)</f>
        <v/>
      </c>
      <c r="W767" s="20">
        <f>ROUND(W766 + IF(AND(E767=25, F767&lt;&gt;"ASTM A416"), L767, 0), 3)</f>
        <v/>
      </c>
      <c r="X767" s="20">
        <f>ROUND(X766 + IF(AND(E767=28, F767&lt;&gt;"ASTM A416"), L767, 0), 3)</f>
        <v/>
      </c>
      <c r="Y767" s="20">
        <f>ROUND(Y766 + IF(AND(E767=32, F767&lt;&gt;"ASTM A416"), L767, 0), 3)</f>
        <v/>
      </c>
      <c r="Z767" s="20">
        <f>ROUND(Z766 + IF(F767="ASTM A416", L767, 0), 3)</f>
        <v/>
      </c>
      <c r="AA767" s="11">
        <f>IF(INT(P767/20)&gt;INT(P766/20), "Lần " &amp; INT(P767/20), "")</f>
        <v/>
      </c>
      <c r="AB767" s="11">
        <f>IF(INT(Q767/20)&gt;INT(Q766/20), "Lần " &amp; INT(Q767/20), "")</f>
        <v/>
      </c>
      <c r="AC767" s="11">
        <f>IF(INT(R767/20)&gt;INT(R766/20), "Lần " &amp; INT(R767/20), "")</f>
        <v/>
      </c>
      <c r="AD767" s="11">
        <f>IF(INT(S767/20)&gt;INT(S766/20), "Lần " &amp; INT(S767/20), "")</f>
        <v/>
      </c>
      <c r="AE767" s="11">
        <f>IF(INT(T767/20)&gt;INT(T766/20), "Lần " &amp; INT(T767/20), "")</f>
        <v/>
      </c>
      <c r="AF767" s="11">
        <f>IF(INT(U767/20)&gt;INT(U766/20), "Lần " &amp; INT(U767/20), "")</f>
        <v/>
      </c>
      <c r="AG767" s="11">
        <f>IF(INT(V767/20)&gt;INT(V766/20), "Lần " &amp; INT(V767/20), "")</f>
        <v/>
      </c>
      <c r="AH767" s="11">
        <f>IF(INT(W767/20)&gt;INT(W766/20), "Lần " &amp; INT(W767/20), "")</f>
        <v/>
      </c>
      <c r="AI767" s="11">
        <f>IF(INT(X767/20)&gt;INT(X766/20), "Lần " &amp; INT(X767/20), "")</f>
        <v/>
      </c>
      <c r="AJ767" s="11">
        <f>IF(INT(Y767/20)&gt;INT(Y766/20), "Lần " &amp; INT(Y767/20), "")</f>
        <v/>
      </c>
      <c r="AK767" s="11">
        <f>IF(INT(Z767/20)&gt;INT(Z766/20), "Lần " &amp; INT(Z767/20), "")</f>
        <v/>
      </c>
      <c r="AL767" s="6" t="inlineStr">
        <is>
          <t>ĐẠT TCVN 1651:2018</t>
        </is>
      </c>
    </row>
    <row r="768" ht="19" customHeight="1">
      <c r="A768" s="6" t="n">
        <v>736</v>
      </c>
      <c r="B768" s="7" t="inlineStr">
        <is>
          <t>Bản mặt cầu (Deck Slab)</t>
        </is>
      </c>
      <c r="C768" s="7" t="inlineStr">
        <is>
          <t>Lưới thép BMC đổ bù</t>
        </is>
      </c>
      <c r="D768" s="18" t="inlineStr">
        <is>
          <t>S1</t>
        </is>
      </c>
      <c r="E768" s="19" t="n">
        <v>14</v>
      </c>
      <c r="F768" s="6" t="inlineStr">
        <is>
          <t>CB400-V</t>
        </is>
      </c>
      <c r="G768" s="7" t="inlineStr">
        <is>
          <t>S01</t>
        </is>
      </c>
      <c r="H768" s="20" t="n">
        <v>39.36</v>
      </c>
      <c r="I768" s="21" t="n">
        <v>168</v>
      </c>
      <c r="J768" s="22" t="n">
        <v>1.21</v>
      </c>
      <c r="K768" s="9">
        <f>ROUND(H768*I768*J768, 2)</f>
        <v/>
      </c>
      <c r="L768" s="23">
        <f>ROUND(K768/1000, 3)</f>
        <v/>
      </c>
      <c r="M768" s="8" t="n"/>
      <c r="N768" s="6" t="n"/>
      <c r="O768" s="24">
        <f>IF(AND(E768&lt;=10, F768&lt;&gt;"ASTM A416", INT(P768/20)&gt;INT(P767/20)), "TN Ø10 (Lần " &amp; INT(P768/20) &amp; ")", IF(AND(E768=12, INT(Q768/20)&gt;INT(Q767/20)), "TN Ø12 (Lần " &amp; INT(Q768/20) &amp; ")", IF(AND(E768=14, INT(R768/20)&gt;INT(R767/20)), "TN Ø14 (Lần " &amp; INT(R768/20) &amp; ")", IF(AND(E768=16, INT(S768/20)&gt;INT(S767/20)), "TN Ø16 (Lần " &amp; INT(S768/20) &amp; ")", IF(AND(E768=18, INT(T768/20)&gt;INT(T767/20)), "TN Ø18 (Lần " &amp; INT(T768/20) &amp; ")", IF(AND(E768=20, INT(U768/20)&gt;INT(U767/20)), "TN Ø20 (Lần " &amp; INT(U768/20) &amp; ")", IF(AND(E768=22, INT(V768/20)&gt;INT(V767/20)), "TN Ø22 (Lần " &amp; INT(V768/20) &amp; ")", IF(AND(E768=25, INT(W768/20)&gt;INT(W767/20)), "TN Ø25 (Lần " &amp; INT(W768/20) &amp; ")", IF(AND(E768=28, INT(X768/20)&gt;INT(X767/20)), "TN Ø28 (Lần " &amp; INT(X768/20) &amp; ")", IF(AND(E768=32, INT(Y768/20)&gt;INT(Y767/20)), "TN Ø32 (Lần " &amp; INT(Y768/20) &amp; ")", IF(AND(F768="ASTM A416", INT(Z768/20)&gt;INT(Z767/20)), "TN Cáp 15.2 (Lần " &amp; INT(Z768/20) &amp; ")", "")))))))))))</f>
        <v/>
      </c>
      <c r="P768" s="20">
        <f>ROUND(P767 + IF(AND(E768&lt;=10, F768&lt;&gt;"ASTM A416"), L768, 0), 3)</f>
        <v/>
      </c>
      <c r="Q768" s="20">
        <f>ROUND(Q767 + IF(AND(E768=12, F768&lt;&gt;"ASTM A416"), L768, 0), 3)</f>
        <v/>
      </c>
      <c r="R768" s="20">
        <f>ROUND(R767 + IF(AND(E768=14, F768&lt;&gt;"ASTM A416"), L768, 0), 3)</f>
        <v/>
      </c>
      <c r="S768" s="20">
        <f>ROUND(S767 + IF(AND(E768=16, F768&lt;&gt;"ASTM A416"), L768, 0), 3)</f>
        <v/>
      </c>
      <c r="T768" s="20">
        <f>ROUND(T767 + IF(AND(E768=18, F768&lt;&gt;"ASTM A416"), L768, 0), 3)</f>
        <v/>
      </c>
      <c r="U768" s="20">
        <f>ROUND(U767 + IF(AND(E768=20, F768&lt;&gt;"ASTM A416"), L768, 0), 3)</f>
        <v/>
      </c>
      <c r="V768" s="20">
        <f>ROUND(V767 + IF(AND(E768=22, F768&lt;&gt;"ASTM A416"), L768, 0), 3)</f>
        <v/>
      </c>
      <c r="W768" s="20">
        <f>ROUND(W767 + IF(AND(E768=25, F768&lt;&gt;"ASTM A416"), L768, 0), 3)</f>
        <v/>
      </c>
      <c r="X768" s="20">
        <f>ROUND(X767 + IF(AND(E768=28, F768&lt;&gt;"ASTM A416"), L768, 0), 3)</f>
        <v/>
      </c>
      <c r="Y768" s="20">
        <f>ROUND(Y767 + IF(AND(E768=32, F768&lt;&gt;"ASTM A416"), L768, 0), 3)</f>
        <v/>
      </c>
      <c r="Z768" s="20">
        <f>ROUND(Z767 + IF(F768="ASTM A416", L768, 0), 3)</f>
        <v/>
      </c>
      <c r="AA768" s="11">
        <f>IF(INT(P768/20)&gt;INT(P767/20), "Lần " &amp; INT(P768/20), "")</f>
        <v/>
      </c>
      <c r="AB768" s="11">
        <f>IF(INT(Q768/20)&gt;INT(Q767/20), "Lần " &amp; INT(Q768/20), "")</f>
        <v/>
      </c>
      <c r="AC768" s="11">
        <f>IF(INT(R768/20)&gt;INT(R767/20), "Lần " &amp; INT(R768/20), "")</f>
        <v/>
      </c>
      <c r="AD768" s="11">
        <f>IF(INT(S768/20)&gt;INT(S767/20), "Lần " &amp; INT(S768/20), "")</f>
        <v/>
      </c>
      <c r="AE768" s="11">
        <f>IF(INT(T768/20)&gt;INT(T767/20), "Lần " &amp; INT(T768/20), "")</f>
        <v/>
      </c>
      <c r="AF768" s="11">
        <f>IF(INT(U768/20)&gt;INT(U767/20), "Lần " &amp; INT(U768/20), "")</f>
        <v/>
      </c>
      <c r="AG768" s="11">
        <f>IF(INT(V768/20)&gt;INT(V767/20), "Lần " &amp; INT(V768/20), "")</f>
        <v/>
      </c>
      <c r="AH768" s="11">
        <f>IF(INT(W768/20)&gt;INT(W767/20), "Lần " &amp; INT(W768/20), "")</f>
        <v/>
      </c>
      <c r="AI768" s="11">
        <f>IF(INT(X768/20)&gt;INT(X767/20), "Lần " &amp; INT(X768/20), "")</f>
        <v/>
      </c>
      <c r="AJ768" s="11">
        <f>IF(INT(Y768/20)&gt;INT(Y767/20), "Lần " &amp; INT(Y768/20), "")</f>
        <v/>
      </c>
      <c r="AK768" s="11">
        <f>IF(INT(Z768/20)&gt;INT(Z767/20), "Lần " &amp; INT(Z768/20), "")</f>
        <v/>
      </c>
      <c r="AL768" s="6" t="inlineStr">
        <is>
          <t>ĐẠT TCVN 1651:2018</t>
        </is>
      </c>
    </row>
    <row r="769" ht="19" customHeight="1">
      <c r="A769" s="6" t="n">
        <v>737</v>
      </c>
      <c r="B769" s="7" t="inlineStr">
        <is>
          <t>Bản mặt cầu (Deck Slab)</t>
        </is>
      </c>
      <c r="C769" s="7" t="inlineStr">
        <is>
          <t>Lưới thép BMC đổ bù</t>
        </is>
      </c>
      <c r="D769" s="18" t="inlineStr">
        <is>
          <t>S2</t>
        </is>
      </c>
      <c r="E769" s="19" t="n">
        <v>18</v>
      </c>
      <c r="F769" s="6" t="inlineStr">
        <is>
          <t>CB400-V</t>
        </is>
      </c>
      <c r="G769" s="7" t="inlineStr">
        <is>
          <t>S01</t>
        </is>
      </c>
      <c r="H769" s="20" t="n">
        <v>13.135</v>
      </c>
      <c r="I769" s="21" t="n">
        <v>480</v>
      </c>
      <c r="J769" s="22" t="n">
        <v>2</v>
      </c>
      <c r="K769" s="9">
        <f>ROUND(H769*I769*J769, 2)</f>
        <v/>
      </c>
      <c r="L769" s="23">
        <f>ROUND(K769/1000, 3)</f>
        <v/>
      </c>
      <c r="M769" s="8" t="n"/>
      <c r="N769" s="6" t="n"/>
      <c r="O769" s="24">
        <f>IF(AND(E769&lt;=10, F769&lt;&gt;"ASTM A416", INT(P769/20)&gt;INT(P768/20)), "TN Ø10 (Lần " &amp; INT(P769/20) &amp; ")", IF(AND(E769=12, INT(Q769/20)&gt;INT(Q768/20)), "TN Ø12 (Lần " &amp; INT(Q769/20) &amp; ")", IF(AND(E769=14, INT(R769/20)&gt;INT(R768/20)), "TN Ø14 (Lần " &amp; INT(R769/20) &amp; ")", IF(AND(E769=16, INT(S769/20)&gt;INT(S768/20)), "TN Ø16 (Lần " &amp; INT(S769/20) &amp; ")", IF(AND(E769=18, INT(T769/20)&gt;INT(T768/20)), "TN Ø18 (Lần " &amp; INT(T769/20) &amp; ")", IF(AND(E769=20, INT(U769/20)&gt;INT(U768/20)), "TN Ø20 (Lần " &amp; INT(U769/20) &amp; ")", IF(AND(E769=22, INT(V769/20)&gt;INT(V768/20)), "TN Ø22 (Lần " &amp; INT(V769/20) &amp; ")", IF(AND(E769=25, INT(W769/20)&gt;INT(W768/20)), "TN Ø25 (Lần " &amp; INT(W769/20) &amp; ")", IF(AND(E769=28, INT(X769/20)&gt;INT(X768/20)), "TN Ø28 (Lần " &amp; INT(X769/20) &amp; ")", IF(AND(E769=32, INT(Y769/20)&gt;INT(Y768/20)), "TN Ø32 (Lần " &amp; INT(Y769/20) &amp; ")", IF(AND(F769="ASTM A416", INT(Z769/20)&gt;INT(Z768/20)), "TN Cáp 15.2 (Lần " &amp; INT(Z769/20) &amp; ")", "")))))))))))</f>
        <v/>
      </c>
      <c r="P769" s="20">
        <f>ROUND(P768 + IF(AND(E769&lt;=10, F769&lt;&gt;"ASTM A416"), L769, 0), 3)</f>
        <v/>
      </c>
      <c r="Q769" s="20">
        <f>ROUND(Q768 + IF(AND(E769=12, F769&lt;&gt;"ASTM A416"), L769, 0), 3)</f>
        <v/>
      </c>
      <c r="R769" s="20">
        <f>ROUND(R768 + IF(AND(E769=14, F769&lt;&gt;"ASTM A416"), L769, 0), 3)</f>
        <v/>
      </c>
      <c r="S769" s="20">
        <f>ROUND(S768 + IF(AND(E769=16, F769&lt;&gt;"ASTM A416"), L769, 0), 3)</f>
        <v/>
      </c>
      <c r="T769" s="20">
        <f>ROUND(T768 + IF(AND(E769=18, F769&lt;&gt;"ASTM A416"), L769, 0), 3)</f>
        <v/>
      </c>
      <c r="U769" s="20">
        <f>ROUND(U768 + IF(AND(E769=20, F769&lt;&gt;"ASTM A416"), L769, 0), 3)</f>
        <v/>
      </c>
      <c r="V769" s="20">
        <f>ROUND(V768 + IF(AND(E769=22, F769&lt;&gt;"ASTM A416"), L769, 0), 3)</f>
        <v/>
      </c>
      <c r="W769" s="20">
        <f>ROUND(W768 + IF(AND(E769=25, F769&lt;&gt;"ASTM A416"), L769, 0), 3)</f>
        <v/>
      </c>
      <c r="X769" s="20">
        <f>ROUND(X768 + IF(AND(E769=28, F769&lt;&gt;"ASTM A416"), L769, 0), 3)</f>
        <v/>
      </c>
      <c r="Y769" s="20">
        <f>ROUND(Y768 + IF(AND(E769=32, F769&lt;&gt;"ASTM A416"), L769, 0), 3)</f>
        <v/>
      </c>
      <c r="Z769" s="20">
        <f>ROUND(Z768 + IF(F769="ASTM A416", L769, 0), 3)</f>
        <v/>
      </c>
      <c r="AA769" s="11">
        <f>IF(INT(P769/20)&gt;INT(P768/20), "Lần " &amp; INT(P769/20), "")</f>
        <v/>
      </c>
      <c r="AB769" s="11">
        <f>IF(INT(Q769/20)&gt;INT(Q768/20), "Lần " &amp; INT(Q769/20), "")</f>
        <v/>
      </c>
      <c r="AC769" s="11">
        <f>IF(INT(R769/20)&gt;INT(R768/20), "Lần " &amp; INT(R769/20), "")</f>
        <v/>
      </c>
      <c r="AD769" s="11">
        <f>IF(INT(S769/20)&gt;INT(S768/20), "Lần " &amp; INT(S769/20), "")</f>
        <v/>
      </c>
      <c r="AE769" s="11">
        <f>IF(INT(T769/20)&gt;INT(T768/20), "Lần " &amp; INT(T769/20), "")</f>
        <v/>
      </c>
      <c r="AF769" s="11">
        <f>IF(INT(U769/20)&gt;INT(U768/20), "Lần " &amp; INT(U769/20), "")</f>
        <v/>
      </c>
      <c r="AG769" s="11">
        <f>IF(INT(V769/20)&gt;INT(V768/20), "Lần " &amp; INT(V769/20), "")</f>
        <v/>
      </c>
      <c r="AH769" s="11">
        <f>IF(INT(W769/20)&gt;INT(W768/20), "Lần " &amp; INT(W769/20), "")</f>
        <v/>
      </c>
      <c r="AI769" s="11">
        <f>IF(INT(X769/20)&gt;INT(X768/20), "Lần " &amp; INT(X769/20), "")</f>
        <v/>
      </c>
      <c r="AJ769" s="11">
        <f>IF(INT(Y769/20)&gt;INT(Y768/20), "Lần " &amp; INT(Y769/20), "")</f>
        <v/>
      </c>
      <c r="AK769" s="11">
        <f>IF(INT(Z769/20)&gt;INT(Z768/20), "Lần " &amp; INT(Z769/20), "")</f>
        <v/>
      </c>
      <c r="AL769" s="6" t="inlineStr">
        <is>
          <t>ĐẠT TCVN 1651:2018</t>
        </is>
      </c>
    </row>
    <row r="770" ht="19" customHeight="1">
      <c r="A770" s="6" t="n">
        <v>738</v>
      </c>
      <c r="B770" s="7" t="inlineStr">
        <is>
          <t>Bản mặt cầu (Deck Slab)</t>
        </is>
      </c>
      <c r="C770" s="7" t="inlineStr">
        <is>
          <t>Lưới thép BMC đổ bù</t>
        </is>
      </c>
      <c r="D770" s="18" t="inlineStr">
        <is>
          <t>S3</t>
        </is>
      </c>
      <c r="E770" s="19" t="n">
        <v>10</v>
      </c>
      <c r="F770" s="6" t="inlineStr">
        <is>
          <t>CB240-T</t>
        </is>
      </c>
      <c r="G770" s="7" t="inlineStr">
        <is>
          <t>S01</t>
        </is>
      </c>
      <c r="H770" s="20" t="n">
        <v>0.33</v>
      </c>
      <c r="I770" s="21" t="n">
        <v>2380</v>
      </c>
      <c r="J770" s="22" t="n">
        <v>0.617</v>
      </c>
      <c r="K770" s="9">
        <f>ROUND(H770*I770*J770, 2)</f>
        <v/>
      </c>
      <c r="L770" s="23">
        <f>ROUND(K770/1000, 3)</f>
        <v/>
      </c>
      <c r="M770" s="8" t="n"/>
      <c r="N770" s="6" t="n"/>
      <c r="O770" s="24">
        <f>IF(AND(E770&lt;=10, F770&lt;&gt;"ASTM A416", INT(P770/20)&gt;INT(P769/20)), "TN Ø10 (Lần " &amp; INT(P770/20) &amp; ")", IF(AND(E770=12, INT(Q770/20)&gt;INT(Q769/20)), "TN Ø12 (Lần " &amp; INT(Q770/20) &amp; ")", IF(AND(E770=14, INT(R770/20)&gt;INT(R769/20)), "TN Ø14 (Lần " &amp; INT(R770/20) &amp; ")", IF(AND(E770=16, INT(S770/20)&gt;INT(S769/20)), "TN Ø16 (Lần " &amp; INT(S770/20) &amp; ")", IF(AND(E770=18, INT(T770/20)&gt;INT(T769/20)), "TN Ø18 (Lần " &amp; INT(T770/20) &amp; ")", IF(AND(E770=20, INT(U770/20)&gt;INT(U769/20)), "TN Ø20 (Lần " &amp; INT(U770/20) &amp; ")", IF(AND(E770=22, INT(V770/20)&gt;INT(V769/20)), "TN Ø22 (Lần " &amp; INT(V770/20) &amp; ")", IF(AND(E770=25, INT(W770/20)&gt;INT(W769/20)), "TN Ø25 (Lần " &amp; INT(W770/20) &amp; ")", IF(AND(E770=28, INT(X770/20)&gt;INT(X769/20)), "TN Ø28 (Lần " &amp; INT(X770/20) &amp; ")", IF(AND(E770=32, INT(Y770/20)&gt;INT(Y769/20)), "TN Ø32 (Lần " &amp; INT(Y770/20) &amp; ")", IF(AND(F770="ASTM A416", INT(Z770/20)&gt;INT(Z769/20)), "TN Cáp 15.2 (Lần " &amp; INT(Z770/20) &amp; ")", "")))))))))))</f>
        <v/>
      </c>
      <c r="P770" s="20">
        <f>ROUND(P769 + IF(AND(E770&lt;=10, F770&lt;&gt;"ASTM A416"), L770, 0), 3)</f>
        <v/>
      </c>
      <c r="Q770" s="20">
        <f>ROUND(Q769 + IF(AND(E770=12, F770&lt;&gt;"ASTM A416"), L770, 0), 3)</f>
        <v/>
      </c>
      <c r="R770" s="20">
        <f>ROUND(R769 + IF(AND(E770=14, F770&lt;&gt;"ASTM A416"), L770, 0), 3)</f>
        <v/>
      </c>
      <c r="S770" s="20">
        <f>ROUND(S769 + IF(AND(E770=16, F770&lt;&gt;"ASTM A416"), L770, 0), 3)</f>
        <v/>
      </c>
      <c r="T770" s="20">
        <f>ROUND(T769 + IF(AND(E770=18, F770&lt;&gt;"ASTM A416"), L770, 0), 3)</f>
        <v/>
      </c>
      <c r="U770" s="20">
        <f>ROUND(U769 + IF(AND(E770=20, F770&lt;&gt;"ASTM A416"), L770, 0), 3)</f>
        <v/>
      </c>
      <c r="V770" s="20">
        <f>ROUND(V769 + IF(AND(E770=22, F770&lt;&gt;"ASTM A416"), L770, 0), 3)</f>
        <v/>
      </c>
      <c r="W770" s="20">
        <f>ROUND(W769 + IF(AND(E770=25, F770&lt;&gt;"ASTM A416"), L770, 0), 3)</f>
        <v/>
      </c>
      <c r="X770" s="20">
        <f>ROUND(X769 + IF(AND(E770=28, F770&lt;&gt;"ASTM A416"), L770, 0), 3)</f>
        <v/>
      </c>
      <c r="Y770" s="20">
        <f>ROUND(Y769 + IF(AND(E770=32, F770&lt;&gt;"ASTM A416"), L770, 0), 3)</f>
        <v/>
      </c>
      <c r="Z770" s="20">
        <f>ROUND(Z769 + IF(F770="ASTM A416", L770, 0), 3)</f>
        <v/>
      </c>
      <c r="AA770" s="11">
        <f>IF(INT(P770/20)&gt;INT(P769/20), "Lần " &amp; INT(P770/20), "")</f>
        <v/>
      </c>
      <c r="AB770" s="11">
        <f>IF(INT(Q770/20)&gt;INT(Q769/20), "Lần " &amp; INT(Q770/20), "")</f>
        <v/>
      </c>
      <c r="AC770" s="11">
        <f>IF(INT(R770/20)&gt;INT(R769/20), "Lần " &amp; INT(R770/20), "")</f>
        <v/>
      </c>
      <c r="AD770" s="11">
        <f>IF(INT(S770/20)&gt;INT(S769/20), "Lần " &amp; INT(S770/20), "")</f>
        <v/>
      </c>
      <c r="AE770" s="11">
        <f>IF(INT(T770/20)&gt;INT(T769/20), "Lần " &amp; INT(T770/20), "")</f>
        <v/>
      </c>
      <c r="AF770" s="11">
        <f>IF(INT(U770/20)&gt;INT(U769/20), "Lần " &amp; INT(U770/20), "")</f>
        <v/>
      </c>
      <c r="AG770" s="11">
        <f>IF(INT(V770/20)&gt;INT(V769/20), "Lần " &amp; INT(V770/20), "")</f>
        <v/>
      </c>
      <c r="AH770" s="11">
        <f>IF(INT(W770/20)&gt;INT(W769/20), "Lần " &amp; INT(W770/20), "")</f>
        <v/>
      </c>
      <c r="AI770" s="11">
        <f>IF(INT(X770/20)&gt;INT(X769/20), "Lần " &amp; INT(X770/20), "")</f>
        <v/>
      </c>
      <c r="AJ770" s="11">
        <f>IF(INT(Y770/20)&gt;INT(Y769/20), "Lần " &amp; INT(Y770/20), "")</f>
        <v/>
      </c>
      <c r="AK770" s="11">
        <f>IF(INT(Z770/20)&gt;INT(Z769/20), "Lần " &amp; INT(Z770/20), "")</f>
        <v/>
      </c>
      <c r="AL770" s="6" t="inlineStr">
        <is>
          <t>ĐẠT TCVN 1651:2018</t>
        </is>
      </c>
    </row>
    <row r="771" ht="19" customHeight="1">
      <c r="A771" s="6" t="n">
        <v>739</v>
      </c>
      <c r="B771" s="7" t="inlineStr">
        <is>
          <t>Bản mặt cầu (Deck Slab)</t>
        </is>
      </c>
      <c r="C771" s="7" t="inlineStr">
        <is>
          <t>Lưới thép BMC đổ bù</t>
        </is>
      </c>
      <c r="D771" s="18" t="inlineStr">
        <is>
          <t>S4</t>
        </is>
      </c>
      <c r="E771" s="19" t="n">
        <v>18</v>
      </c>
      <c r="F771" s="6" t="inlineStr">
        <is>
          <t>CB400-V</t>
        </is>
      </c>
      <c r="G771" s="7" t="inlineStr">
        <is>
          <t>S01</t>
        </is>
      </c>
      <c r="H771" s="20" t="n">
        <v>2.1</v>
      </c>
      <c r="I771" s="21" t="n">
        <v>960</v>
      </c>
      <c r="J771" s="22" t="n">
        <v>2</v>
      </c>
      <c r="K771" s="9">
        <f>ROUND(H771*I771*J771, 2)</f>
        <v/>
      </c>
      <c r="L771" s="23">
        <f>ROUND(K771/1000, 3)</f>
        <v/>
      </c>
      <c r="M771" s="8" t="n"/>
      <c r="N771" s="6" t="n"/>
      <c r="O771" s="24">
        <f>IF(AND(E771&lt;=10, F771&lt;&gt;"ASTM A416", INT(P771/20)&gt;INT(P770/20)), "TN Ø10 (Lần " &amp; INT(P771/20) &amp; ")", IF(AND(E771=12, INT(Q771/20)&gt;INT(Q770/20)), "TN Ø12 (Lần " &amp; INT(Q771/20) &amp; ")", IF(AND(E771=14, INT(R771/20)&gt;INT(R770/20)), "TN Ø14 (Lần " &amp; INT(R771/20) &amp; ")", IF(AND(E771=16, INT(S771/20)&gt;INT(S770/20)), "TN Ø16 (Lần " &amp; INT(S771/20) &amp; ")", IF(AND(E771=18, INT(T771/20)&gt;INT(T770/20)), "TN Ø18 (Lần " &amp; INT(T771/20) &amp; ")", IF(AND(E771=20, INT(U771/20)&gt;INT(U770/20)), "TN Ø20 (Lần " &amp; INT(U771/20) &amp; ")", IF(AND(E771=22, INT(V771/20)&gt;INT(V770/20)), "TN Ø22 (Lần " &amp; INT(V771/20) &amp; ")", IF(AND(E771=25, INT(W771/20)&gt;INT(W770/20)), "TN Ø25 (Lần " &amp; INT(W771/20) &amp; ")", IF(AND(E771=28, INT(X771/20)&gt;INT(X770/20)), "TN Ø28 (Lần " &amp; INT(X771/20) &amp; ")", IF(AND(E771=32, INT(Y771/20)&gt;INT(Y770/20)), "TN Ø32 (Lần " &amp; INT(Y771/20) &amp; ")", IF(AND(F771="ASTM A416", INT(Z771/20)&gt;INT(Z770/20)), "TN Cáp 15.2 (Lần " &amp; INT(Z771/20) &amp; ")", "")))))))))))</f>
        <v/>
      </c>
      <c r="P771" s="20">
        <f>ROUND(P770 + IF(AND(E771&lt;=10, F771&lt;&gt;"ASTM A416"), L771, 0), 3)</f>
        <v/>
      </c>
      <c r="Q771" s="20">
        <f>ROUND(Q770 + IF(AND(E771=12, F771&lt;&gt;"ASTM A416"), L771, 0), 3)</f>
        <v/>
      </c>
      <c r="R771" s="20">
        <f>ROUND(R770 + IF(AND(E771=14, F771&lt;&gt;"ASTM A416"), L771, 0), 3)</f>
        <v/>
      </c>
      <c r="S771" s="20">
        <f>ROUND(S770 + IF(AND(E771=16, F771&lt;&gt;"ASTM A416"), L771, 0), 3)</f>
        <v/>
      </c>
      <c r="T771" s="20">
        <f>ROUND(T770 + IF(AND(E771=18, F771&lt;&gt;"ASTM A416"), L771, 0), 3)</f>
        <v/>
      </c>
      <c r="U771" s="20">
        <f>ROUND(U770 + IF(AND(E771=20, F771&lt;&gt;"ASTM A416"), L771, 0), 3)</f>
        <v/>
      </c>
      <c r="V771" s="20">
        <f>ROUND(V770 + IF(AND(E771=22, F771&lt;&gt;"ASTM A416"), L771, 0), 3)</f>
        <v/>
      </c>
      <c r="W771" s="20">
        <f>ROUND(W770 + IF(AND(E771=25, F771&lt;&gt;"ASTM A416"), L771, 0), 3)</f>
        <v/>
      </c>
      <c r="X771" s="20">
        <f>ROUND(X770 + IF(AND(E771=28, F771&lt;&gt;"ASTM A416"), L771, 0), 3)</f>
        <v/>
      </c>
      <c r="Y771" s="20">
        <f>ROUND(Y770 + IF(AND(E771=32, F771&lt;&gt;"ASTM A416"), L771, 0), 3)</f>
        <v/>
      </c>
      <c r="Z771" s="20">
        <f>ROUND(Z770 + IF(F771="ASTM A416", L771, 0), 3)</f>
        <v/>
      </c>
      <c r="AA771" s="11">
        <f>IF(INT(P771/20)&gt;INT(P770/20), "Lần " &amp; INT(P771/20), "")</f>
        <v/>
      </c>
      <c r="AB771" s="11">
        <f>IF(INT(Q771/20)&gt;INT(Q770/20), "Lần " &amp; INT(Q771/20), "")</f>
        <v/>
      </c>
      <c r="AC771" s="11">
        <f>IF(INT(R771/20)&gt;INT(R770/20), "Lần " &amp; INT(R771/20), "")</f>
        <v/>
      </c>
      <c r="AD771" s="11">
        <f>IF(INT(S771/20)&gt;INT(S770/20), "Lần " &amp; INT(S771/20), "")</f>
        <v/>
      </c>
      <c r="AE771" s="11">
        <f>IF(INT(T771/20)&gt;INT(T770/20), "Lần " &amp; INT(T771/20), "")</f>
        <v/>
      </c>
      <c r="AF771" s="11">
        <f>IF(INT(U771/20)&gt;INT(U770/20), "Lần " &amp; INT(U771/20), "")</f>
        <v/>
      </c>
      <c r="AG771" s="11">
        <f>IF(INT(V771/20)&gt;INT(V770/20), "Lần " &amp; INT(V771/20), "")</f>
        <v/>
      </c>
      <c r="AH771" s="11">
        <f>IF(INT(W771/20)&gt;INT(W770/20), "Lần " &amp; INT(W771/20), "")</f>
        <v/>
      </c>
      <c r="AI771" s="11">
        <f>IF(INT(X771/20)&gt;INT(X770/20), "Lần " &amp; INT(X771/20), "")</f>
        <v/>
      </c>
      <c r="AJ771" s="11">
        <f>IF(INT(Y771/20)&gt;INT(Y770/20), "Lần " &amp; INT(Y771/20), "")</f>
        <v/>
      </c>
      <c r="AK771" s="11">
        <f>IF(INT(Z771/20)&gt;INT(Z770/20), "Lần " &amp; INT(Z771/20), "")</f>
        <v/>
      </c>
      <c r="AL771" s="6" t="inlineStr">
        <is>
          <t>ĐẠT TCVN 1651:2018</t>
        </is>
      </c>
    </row>
    <row r="772" ht="19" customHeight="1">
      <c r="A772" s="6" t="n">
        <v>740</v>
      </c>
      <c r="B772" s="7" t="inlineStr">
        <is>
          <t>Bản mặt cầu (Deck Slab)</t>
        </is>
      </c>
      <c r="C772" s="7" t="inlineStr">
        <is>
          <t>Lưới thép BMC đổ bù</t>
        </is>
      </c>
      <c r="D772" s="18" t="inlineStr">
        <is>
          <t>DR1</t>
        </is>
      </c>
      <c r="E772" s="19" t="n">
        <v>14</v>
      </c>
      <c r="F772" s="6" t="inlineStr">
        <is>
          <t>CB400-V</t>
        </is>
      </c>
      <c r="G772" s="7" t="inlineStr">
        <is>
          <t>S01</t>
        </is>
      </c>
      <c r="H772" s="20" t="n">
        <v>0.6</v>
      </c>
      <c r="I772" s="21" t="n">
        <v>64</v>
      </c>
      <c r="J772" s="22" t="n">
        <v>1.21</v>
      </c>
      <c r="K772" s="9">
        <f>ROUND(H772*I772*J772, 2)</f>
        <v/>
      </c>
      <c r="L772" s="23">
        <f>ROUND(K772/1000, 3)</f>
        <v/>
      </c>
      <c r="M772" s="8" t="n"/>
      <c r="N772" s="6" t="n"/>
      <c r="O772" s="24">
        <f>IF(AND(E772&lt;=10, F772&lt;&gt;"ASTM A416", INT(P772/20)&gt;INT(P771/20)), "TN Ø10 (Lần " &amp; INT(P772/20) &amp; ")", IF(AND(E772=12, INT(Q772/20)&gt;INT(Q771/20)), "TN Ø12 (Lần " &amp; INT(Q772/20) &amp; ")", IF(AND(E772=14, INT(R772/20)&gt;INT(R771/20)), "TN Ø14 (Lần " &amp; INT(R772/20) &amp; ")", IF(AND(E772=16, INT(S772/20)&gt;INT(S771/20)), "TN Ø16 (Lần " &amp; INT(S772/20) &amp; ")", IF(AND(E772=18, INT(T772/20)&gt;INT(T771/20)), "TN Ø18 (Lần " &amp; INT(T772/20) &amp; ")", IF(AND(E772=20, INT(U772/20)&gt;INT(U771/20)), "TN Ø20 (Lần " &amp; INT(U772/20) &amp; ")", IF(AND(E772=22, INT(V772/20)&gt;INT(V771/20)), "TN Ø22 (Lần " &amp; INT(V772/20) &amp; ")", IF(AND(E772=25, INT(W772/20)&gt;INT(W771/20)), "TN Ø25 (Lần " &amp; INT(W772/20) &amp; ")", IF(AND(E772=28, INT(X772/20)&gt;INT(X771/20)), "TN Ø28 (Lần " &amp; INT(X772/20) &amp; ")", IF(AND(E772=32, INT(Y772/20)&gt;INT(Y771/20)), "TN Ø32 (Lần " &amp; INT(Y772/20) &amp; ")", IF(AND(F772="ASTM A416", INT(Z772/20)&gt;INT(Z771/20)), "TN Cáp 15.2 (Lần " &amp; INT(Z772/20) &amp; ")", "")))))))))))</f>
        <v/>
      </c>
      <c r="P772" s="20">
        <f>ROUND(P771 + IF(AND(E772&lt;=10, F772&lt;&gt;"ASTM A416"), L772, 0), 3)</f>
        <v/>
      </c>
      <c r="Q772" s="20">
        <f>ROUND(Q771 + IF(AND(E772=12, F772&lt;&gt;"ASTM A416"), L772, 0), 3)</f>
        <v/>
      </c>
      <c r="R772" s="20">
        <f>ROUND(R771 + IF(AND(E772=14, F772&lt;&gt;"ASTM A416"), L772, 0), 3)</f>
        <v/>
      </c>
      <c r="S772" s="20">
        <f>ROUND(S771 + IF(AND(E772=16, F772&lt;&gt;"ASTM A416"), L772, 0), 3)</f>
        <v/>
      </c>
      <c r="T772" s="20">
        <f>ROUND(T771 + IF(AND(E772=18, F772&lt;&gt;"ASTM A416"), L772, 0), 3)</f>
        <v/>
      </c>
      <c r="U772" s="20">
        <f>ROUND(U771 + IF(AND(E772=20, F772&lt;&gt;"ASTM A416"), L772, 0), 3)</f>
        <v/>
      </c>
      <c r="V772" s="20">
        <f>ROUND(V771 + IF(AND(E772=22, F772&lt;&gt;"ASTM A416"), L772, 0), 3)</f>
        <v/>
      </c>
      <c r="W772" s="20">
        <f>ROUND(W771 + IF(AND(E772=25, F772&lt;&gt;"ASTM A416"), L772, 0), 3)</f>
        <v/>
      </c>
      <c r="X772" s="20">
        <f>ROUND(X771 + IF(AND(E772=28, F772&lt;&gt;"ASTM A416"), L772, 0), 3)</f>
        <v/>
      </c>
      <c r="Y772" s="20">
        <f>ROUND(Y771 + IF(AND(E772=32, F772&lt;&gt;"ASTM A416"), L772, 0), 3)</f>
        <v/>
      </c>
      <c r="Z772" s="20">
        <f>ROUND(Z771 + IF(F772="ASTM A416", L772, 0), 3)</f>
        <v/>
      </c>
      <c r="AA772" s="11">
        <f>IF(INT(P772/20)&gt;INT(P771/20), "Lần " &amp; INT(P772/20), "")</f>
        <v/>
      </c>
      <c r="AB772" s="11">
        <f>IF(INT(Q772/20)&gt;INT(Q771/20), "Lần " &amp; INT(Q772/20), "")</f>
        <v/>
      </c>
      <c r="AC772" s="11">
        <f>IF(INT(R772/20)&gt;INT(R771/20), "Lần " &amp; INT(R772/20), "")</f>
        <v/>
      </c>
      <c r="AD772" s="11">
        <f>IF(INT(S772/20)&gt;INT(S771/20), "Lần " &amp; INT(S772/20), "")</f>
        <v/>
      </c>
      <c r="AE772" s="11">
        <f>IF(INT(T772/20)&gt;INT(T771/20), "Lần " &amp; INT(T772/20), "")</f>
        <v/>
      </c>
      <c r="AF772" s="11">
        <f>IF(INT(U772/20)&gt;INT(U771/20), "Lần " &amp; INT(U772/20), "")</f>
        <v/>
      </c>
      <c r="AG772" s="11">
        <f>IF(INT(V772/20)&gt;INT(V771/20), "Lần " &amp; INT(V772/20), "")</f>
        <v/>
      </c>
      <c r="AH772" s="11">
        <f>IF(INT(W772/20)&gt;INT(W771/20), "Lần " &amp; INT(W772/20), "")</f>
        <v/>
      </c>
      <c r="AI772" s="11">
        <f>IF(INT(X772/20)&gt;INT(X771/20), "Lần " &amp; INT(X772/20), "")</f>
        <v/>
      </c>
      <c r="AJ772" s="11">
        <f>IF(INT(Y772/20)&gt;INT(Y771/20), "Lần " &amp; INT(Y772/20), "")</f>
        <v/>
      </c>
      <c r="AK772" s="11">
        <f>IF(INT(Z772/20)&gt;INT(Z771/20), "Lần " &amp; INT(Z772/20), "")</f>
        <v/>
      </c>
      <c r="AL772" s="6" t="inlineStr">
        <is>
          <t>ĐẠT TCVN 1651:2018</t>
        </is>
      </c>
    </row>
    <row r="773" ht="19" customHeight="1">
      <c r="A773" s="6" t="n">
        <v>741</v>
      </c>
      <c r="B773" s="7" t="inlineStr">
        <is>
          <t>Bản mặt cầu (Deck Slab)</t>
        </is>
      </c>
      <c r="C773" s="7" t="inlineStr">
        <is>
          <t>Lưới thép BMC đổ bù</t>
        </is>
      </c>
      <c r="D773" s="18" t="inlineStr">
        <is>
          <t>DR2</t>
        </is>
      </c>
      <c r="E773" s="19" t="n">
        <v>14</v>
      </c>
      <c r="F773" s="6" t="inlineStr">
        <is>
          <t>CB400-V</t>
        </is>
      </c>
      <c r="G773" s="7" t="inlineStr">
        <is>
          <t>S01</t>
        </is>
      </c>
      <c r="H773" s="20" t="n">
        <v>1.3</v>
      </c>
      <c r="I773" s="21" t="n">
        <v>32</v>
      </c>
      <c r="J773" s="22" t="n">
        <v>1.21</v>
      </c>
      <c r="K773" s="9">
        <f>ROUND(H773*I773*J773, 2)</f>
        <v/>
      </c>
      <c r="L773" s="23">
        <f>ROUND(K773/1000, 3)</f>
        <v/>
      </c>
      <c r="M773" s="8" t="n"/>
      <c r="N773" s="6" t="n"/>
      <c r="O773" s="24">
        <f>IF(AND(E773&lt;=10, F773&lt;&gt;"ASTM A416", INT(P773/20)&gt;INT(P772/20)), "TN Ø10 (Lần " &amp; INT(P773/20) &amp; ")", IF(AND(E773=12, INT(Q773/20)&gt;INT(Q772/20)), "TN Ø12 (Lần " &amp; INT(Q773/20) &amp; ")", IF(AND(E773=14, INT(R773/20)&gt;INT(R772/20)), "TN Ø14 (Lần " &amp; INT(R773/20) &amp; ")", IF(AND(E773=16, INT(S773/20)&gt;INT(S772/20)), "TN Ø16 (Lần " &amp; INT(S773/20) &amp; ")", IF(AND(E773=18, INT(T773/20)&gt;INT(T772/20)), "TN Ø18 (Lần " &amp; INT(T773/20) &amp; ")", IF(AND(E773=20, INT(U773/20)&gt;INT(U772/20)), "TN Ø20 (Lần " &amp; INT(U773/20) &amp; ")", IF(AND(E773=22, INT(V773/20)&gt;INT(V772/20)), "TN Ø22 (Lần " &amp; INT(V773/20) &amp; ")", IF(AND(E773=25, INT(W773/20)&gt;INT(W772/20)), "TN Ø25 (Lần " &amp; INT(W773/20) &amp; ")", IF(AND(E773=28, INT(X773/20)&gt;INT(X772/20)), "TN Ø28 (Lần " &amp; INT(X773/20) &amp; ")", IF(AND(E773=32, INT(Y773/20)&gt;INT(Y772/20)), "TN Ø32 (Lần " &amp; INT(Y773/20) &amp; ")", IF(AND(F773="ASTM A416", INT(Z773/20)&gt;INT(Z772/20)), "TN Cáp 15.2 (Lần " &amp; INT(Z773/20) &amp; ")", "")))))))))))</f>
        <v/>
      </c>
      <c r="P773" s="20">
        <f>ROUND(P772 + IF(AND(E773&lt;=10, F773&lt;&gt;"ASTM A416"), L773, 0), 3)</f>
        <v/>
      </c>
      <c r="Q773" s="20">
        <f>ROUND(Q772 + IF(AND(E773=12, F773&lt;&gt;"ASTM A416"), L773, 0), 3)</f>
        <v/>
      </c>
      <c r="R773" s="20">
        <f>ROUND(R772 + IF(AND(E773=14, F773&lt;&gt;"ASTM A416"), L773, 0), 3)</f>
        <v/>
      </c>
      <c r="S773" s="20">
        <f>ROUND(S772 + IF(AND(E773=16, F773&lt;&gt;"ASTM A416"), L773, 0), 3)</f>
        <v/>
      </c>
      <c r="T773" s="20">
        <f>ROUND(T772 + IF(AND(E773=18, F773&lt;&gt;"ASTM A416"), L773, 0), 3)</f>
        <v/>
      </c>
      <c r="U773" s="20">
        <f>ROUND(U772 + IF(AND(E773=20, F773&lt;&gt;"ASTM A416"), L773, 0), 3)</f>
        <v/>
      </c>
      <c r="V773" s="20">
        <f>ROUND(V772 + IF(AND(E773=22, F773&lt;&gt;"ASTM A416"), L773, 0), 3)</f>
        <v/>
      </c>
      <c r="W773" s="20">
        <f>ROUND(W772 + IF(AND(E773=25, F773&lt;&gt;"ASTM A416"), L773, 0), 3)</f>
        <v/>
      </c>
      <c r="X773" s="20">
        <f>ROUND(X772 + IF(AND(E773=28, F773&lt;&gt;"ASTM A416"), L773, 0), 3)</f>
        <v/>
      </c>
      <c r="Y773" s="20">
        <f>ROUND(Y772 + IF(AND(E773=32, F773&lt;&gt;"ASTM A416"), L773, 0), 3)</f>
        <v/>
      </c>
      <c r="Z773" s="20">
        <f>ROUND(Z772 + IF(F773="ASTM A416", L773, 0), 3)</f>
        <v/>
      </c>
      <c r="AA773" s="11">
        <f>IF(INT(P773/20)&gt;INT(P772/20), "Lần " &amp; INT(P773/20), "")</f>
        <v/>
      </c>
      <c r="AB773" s="11">
        <f>IF(INT(Q773/20)&gt;INT(Q772/20), "Lần " &amp; INT(Q773/20), "")</f>
        <v/>
      </c>
      <c r="AC773" s="11">
        <f>IF(INT(R773/20)&gt;INT(R772/20), "Lần " &amp; INT(R773/20), "")</f>
        <v/>
      </c>
      <c r="AD773" s="11">
        <f>IF(INT(S773/20)&gt;INT(S772/20), "Lần " &amp; INT(S773/20), "")</f>
        <v/>
      </c>
      <c r="AE773" s="11">
        <f>IF(INT(T773/20)&gt;INT(T772/20), "Lần " &amp; INT(T773/20), "")</f>
        <v/>
      </c>
      <c r="AF773" s="11">
        <f>IF(INT(U773/20)&gt;INT(U772/20), "Lần " &amp; INT(U773/20), "")</f>
        <v/>
      </c>
      <c r="AG773" s="11">
        <f>IF(INT(V773/20)&gt;INT(V772/20), "Lần " &amp; INT(V773/20), "")</f>
        <v/>
      </c>
      <c r="AH773" s="11">
        <f>IF(INT(W773/20)&gt;INT(W772/20), "Lần " &amp; INT(W773/20), "")</f>
        <v/>
      </c>
      <c r="AI773" s="11">
        <f>IF(INT(X773/20)&gt;INT(X772/20), "Lần " &amp; INT(X773/20), "")</f>
        <v/>
      </c>
      <c r="AJ773" s="11">
        <f>IF(INT(Y773/20)&gt;INT(Y772/20), "Lần " &amp; INT(Y773/20), "")</f>
        <v/>
      </c>
      <c r="AK773" s="11">
        <f>IF(INT(Z773/20)&gt;INT(Z772/20), "Lần " &amp; INT(Z773/20), "")</f>
        <v/>
      </c>
      <c r="AL773" s="6" t="inlineStr">
        <is>
          <t>ĐẠT TCVN 1651:2018</t>
        </is>
      </c>
    </row>
    <row r="774" ht="19" customHeight="1">
      <c r="A774" s="6" t="n">
        <v>742</v>
      </c>
      <c r="B774" s="7" t="inlineStr">
        <is>
          <t>Bản mặt cầu (Deck Slab)</t>
        </is>
      </c>
      <c r="C774" s="7" t="inlineStr">
        <is>
          <t>Lưới thép BMC đổ bù</t>
        </is>
      </c>
      <c r="D774" s="18" t="inlineStr">
        <is>
          <t>DR3</t>
        </is>
      </c>
      <c r="E774" s="19" t="n">
        <v>14</v>
      </c>
      <c r="F774" s="6" t="inlineStr">
        <is>
          <t>CB400-V</t>
        </is>
      </c>
      <c r="G774" s="7" t="inlineStr">
        <is>
          <t>S01</t>
        </is>
      </c>
      <c r="H774" s="20" t="n">
        <v>0.9</v>
      </c>
      <c r="I774" s="21" t="n">
        <v>64</v>
      </c>
      <c r="J774" s="22" t="n">
        <v>1.21</v>
      </c>
      <c r="K774" s="9">
        <f>ROUND(H774*I774*J774, 2)</f>
        <v/>
      </c>
      <c r="L774" s="23">
        <f>ROUND(K774/1000, 3)</f>
        <v/>
      </c>
      <c r="M774" s="8" t="n"/>
      <c r="N774" s="6" t="n"/>
      <c r="O774" s="24">
        <f>IF(AND(E774&lt;=10, F774&lt;&gt;"ASTM A416", INT(P774/20)&gt;INT(P773/20)), "TN Ø10 (Lần " &amp; INT(P774/20) &amp; ")", IF(AND(E774=12, INT(Q774/20)&gt;INT(Q773/20)), "TN Ø12 (Lần " &amp; INT(Q774/20) &amp; ")", IF(AND(E774=14, INT(R774/20)&gt;INT(R773/20)), "TN Ø14 (Lần " &amp; INT(R774/20) &amp; ")", IF(AND(E774=16, INT(S774/20)&gt;INT(S773/20)), "TN Ø16 (Lần " &amp; INT(S774/20) &amp; ")", IF(AND(E774=18, INT(T774/20)&gt;INT(T773/20)), "TN Ø18 (Lần " &amp; INT(T774/20) &amp; ")", IF(AND(E774=20, INT(U774/20)&gt;INT(U773/20)), "TN Ø20 (Lần " &amp; INT(U774/20) &amp; ")", IF(AND(E774=22, INT(V774/20)&gt;INT(V773/20)), "TN Ø22 (Lần " &amp; INT(V774/20) &amp; ")", IF(AND(E774=25, INT(W774/20)&gt;INT(W773/20)), "TN Ø25 (Lần " &amp; INT(W774/20) &amp; ")", IF(AND(E774=28, INT(X774/20)&gt;INT(X773/20)), "TN Ø28 (Lần " &amp; INT(X774/20) &amp; ")", IF(AND(E774=32, INT(Y774/20)&gt;INT(Y773/20)), "TN Ø32 (Lần " &amp; INT(Y774/20) &amp; ")", IF(AND(F774="ASTM A416", INT(Z774/20)&gt;INT(Z773/20)), "TN Cáp 15.2 (Lần " &amp; INT(Z774/20) &amp; ")", "")))))))))))</f>
        <v/>
      </c>
      <c r="P774" s="20">
        <f>ROUND(P773 + IF(AND(E774&lt;=10, F774&lt;&gt;"ASTM A416"), L774, 0), 3)</f>
        <v/>
      </c>
      <c r="Q774" s="20">
        <f>ROUND(Q773 + IF(AND(E774=12, F774&lt;&gt;"ASTM A416"), L774, 0), 3)</f>
        <v/>
      </c>
      <c r="R774" s="20">
        <f>ROUND(R773 + IF(AND(E774=14, F774&lt;&gt;"ASTM A416"), L774, 0), 3)</f>
        <v/>
      </c>
      <c r="S774" s="20">
        <f>ROUND(S773 + IF(AND(E774=16, F774&lt;&gt;"ASTM A416"), L774, 0), 3)</f>
        <v/>
      </c>
      <c r="T774" s="20">
        <f>ROUND(T773 + IF(AND(E774=18, F774&lt;&gt;"ASTM A416"), L774, 0), 3)</f>
        <v/>
      </c>
      <c r="U774" s="20">
        <f>ROUND(U773 + IF(AND(E774=20, F774&lt;&gt;"ASTM A416"), L774, 0), 3)</f>
        <v/>
      </c>
      <c r="V774" s="20">
        <f>ROUND(V773 + IF(AND(E774=22, F774&lt;&gt;"ASTM A416"), L774, 0), 3)</f>
        <v/>
      </c>
      <c r="W774" s="20">
        <f>ROUND(W773 + IF(AND(E774=25, F774&lt;&gt;"ASTM A416"), L774, 0), 3)</f>
        <v/>
      </c>
      <c r="X774" s="20">
        <f>ROUND(X773 + IF(AND(E774=28, F774&lt;&gt;"ASTM A416"), L774, 0), 3)</f>
        <v/>
      </c>
      <c r="Y774" s="20">
        <f>ROUND(Y773 + IF(AND(E774=32, F774&lt;&gt;"ASTM A416"), L774, 0), 3)</f>
        <v/>
      </c>
      <c r="Z774" s="20">
        <f>ROUND(Z773 + IF(F774="ASTM A416", L774, 0), 3)</f>
        <v/>
      </c>
      <c r="AA774" s="11">
        <f>IF(INT(P774/20)&gt;INT(P773/20), "Lần " &amp; INT(P774/20), "")</f>
        <v/>
      </c>
      <c r="AB774" s="11">
        <f>IF(INT(Q774/20)&gt;INT(Q773/20), "Lần " &amp; INT(Q774/20), "")</f>
        <v/>
      </c>
      <c r="AC774" s="11">
        <f>IF(INT(R774/20)&gt;INT(R773/20), "Lần " &amp; INT(R774/20), "")</f>
        <v/>
      </c>
      <c r="AD774" s="11">
        <f>IF(INT(S774/20)&gt;INT(S773/20), "Lần " &amp; INT(S774/20), "")</f>
        <v/>
      </c>
      <c r="AE774" s="11">
        <f>IF(INT(T774/20)&gt;INT(T773/20), "Lần " &amp; INT(T774/20), "")</f>
        <v/>
      </c>
      <c r="AF774" s="11">
        <f>IF(INT(U774/20)&gt;INT(U773/20), "Lần " &amp; INT(U774/20), "")</f>
        <v/>
      </c>
      <c r="AG774" s="11">
        <f>IF(INT(V774/20)&gt;INT(V773/20), "Lần " &amp; INT(V774/20), "")</f>
        <v/>
      </c>
      <c r="AH774" s="11">
        <f>IF(INT(W774/20)&gt;INT(W773/20), "Lần " &amp; INT(W774/20), "")</f>
        <v/>
      </c>
      <c r="AI774" s="11">
        <f>IF(INT(X774/20)&gt;INT(X773/20), "Lần " &amp; INT(X774/20), "")</f>
        <v/>
      </c>
      <c r="AJ774" s="11">
        <f>IF(INT(Y774/20)&gt;INT(Y773/20), "Lần " &amp; INT(Y774/20), "")</f>
        <v/>
      </c>
      <c r="AK774" s="11">
        <f>IF(INT(Z774/20)&gt;INT(Z773/20), "Lần " &amp; INT(Z774/20), "")</f>
        <v/>
      </c>
      <c r="AL774" s="6" t="inlineStr">
        <is>
          <t>ĐẠT TCVN 1651:2018</t>
        </is>
      </c>
    </row>
    <row r="775" ht="19" customHeight="1">
      <c r="A775" s="6" t="n">
        <v>743</v>
      </c>
      <c r="B775" s="7" t="inlineStr">
        <is>
          <t>Bản mặt cầu (Deck Slab)</t>
        </is>
      </c>
      <c r="C775" s="7" t="inlineStr">
        <is>
          <t>Lưới thép BMC đổ bù</t>
        </is>
      </c>
      <c r="D775" s="18" t="inlineStr">
        <is>
          <t>S1</t>
        </is>
      </c>
      <c r="E775" s="19" t="n">
        <v>14</v>
      </c>
      <c r="F775" s="6" t="inlineStr">
        <is>
          <t>CB400-V</t>
        </is>
      </c>
      <c r="G775" s="7" t="inlineStr">
        <is>
          <t>S01</t>
        </is>
      </c>
      <c r="H775" s="20" t="n">
        <v>39.85</v>
      </c>
      <c r="I775" s="21" t="n">
        <v>84</v>
      </c>
      <c r="J775" s="22" t="n">
        <v>1.21</v>
      </c>
      <c r="K775" s="9">
        <f>ROUND(H775*I775*J775, 2)</f>
        <v/>
      </c>
      <c r="L775" s="23">
        <f>ROUND(K775/1000, 3)</f>
        <v/>
      </c>
      <c r="M775" s="8" t="n"/>
      <c r="N775" s="6" t="n"/>
      <c r="O775" s="24">
        <f>IF(AND(E775&lt;=10, F775&lt;&gt;"ASTM A416", INT(P775/20)&gt;INT(P774/20)), "TN Ø10 (Lần " &amp; INT(P775/20) &amp; ")", IF(AND(E775=12, INT(Q775/20)&gt;INT(Q774/20)), "TN Ø12 (Lần " &amp; INT(Q775/20) &amp; ")", IF(AND(E775=14, INT(R775/20)&gt;INT(R774/20)), "TN Ø14 (Lần " &amp; INT(R775/20) &amp; ")", IF(AND(E775=16, INT(S775/20)&gt;INT(S774/20)), "TN Ø16 (Lần " &amp; INT(S775/20) &amp; ")", IF(AND(E775=18, INT(T775/20)&gt;INT(T774/20)), "TN Ø18 (Lần " &amp; INT(T775/20) &amp; ")", IF(AND(E775=20, INT(U775/20)&gt;INT(U774/20)), "TN Ø20 (Lần " &amp; INT(U775/20) &amp; ")", IF(AND(E775=22, INT(V775/20)&gt;INT(V774/20)), "TN Ø22 (Lần " &amp; INT(V775/20) &amp; ")", IF(AND(E775=25, INT(W775/20)&gt;INT(W774/20)), "TN Ø25 (Lần " &amp; INT(W775/20) &amp; ")", IF(AND(E775=28, INT(X775/20)&gt;INT(X774/20)), "TN Ø28 (Lần " &amp; INT(X775/20) &amp; ")", IF(AND(E775=32, INT(Y775/20)&gt;INT(Y774/20)), "TN Ø32 (Lần " &amp; INT(Y775/20) &amp; ")", IF(AND(F775="ASTM A416", INT(Z775/20)&gt;INT(Z774/20)), "TN Cáp 15.2 (Lần " &amp; INT(Z775/20) &amp; ")", "")))))))))))</f>
        <v/>
      </c>
      <c r="P775" s="20">
        <f>ROUND(P774 + IF(AND(E775&lt;=10, F775&lt;&gt;"ASTM A416"), L775, 0), 3)</f>
        <v/>
      </c>
      <c r="Q775" s="20">
        <f>ROUND(Q774 + IF(AND(E775=12, F775&lt;&gt;"ASTM A416"), L775, 0), 3)</f>
        <v/>
      </c>
      <c r="R775" s="20">
        <f>ROUND(R774 + IF(AND(E775=14, F775&lt;&gt;"ASTM A416"), L775, 0), 3)</f>
        <v/>
      </c>
      <c r="S775" s="20">
        <f>ROUND(S774 + IF(AND(E775=16, F775&lt;&gt;"ASTM A416"), L775, 0), 3)</f>
        <v/>
      </c>
      <c r="T775" s="20">
        <f>ROUND(T774 + IF(AND(E775=18, F775&lt;&gt;"ASTM A416"), L775, 0), 3)</f>
        <v/>
      </c>
      <c r="U775" s="20">
        <f>ROUND(U774 + IF(AND(E775=20, F775&lt;&gt;"ASTM A416"), L775, 0), 3)</f>
        <v/>
      </c>
      <c r="V775" s="20">
        <f>ROUND(V774 + IF(AND(E775=22, F775&lt;&gt;"ASTM A416"), L775, 0), 3)</f>
        <v/>
      </c>
      <c r="W775" s="20">
        <f>ROUND(W774 + IF(AND(E775=25, F775&lt;&gt;"ASTM A416"), L775, 0), 3)</f>
        <v/>
      </c>
      <c r="X775" s="20">
        <f>ROUND(X774 + IF(AND(E775=28, F775&lt;&gt;"ASTM A416"), L775, 0), 3)</f>
        <v/>
      </c>
      <c r="Y775" s="20">
        <f>ROUND(Y774 + IF(AND(E775=32, F775&lt;&gt;"ASTM A416"), L775, 0), 3)</f>
        <v/>
      </c>
      <c r="Z775" s="20">
        <f>ROUND(Z774 + IF(F775="ASTM A416", L775, 0), 3)</f>
        <v/>
      </c>
      <c r="AA775" s="11">
        <f>IF(INT(P775/20)&gt;INT(P774/20), "Lần " &amp; INT(P775/20), "")</f>
        <v/>
      </c>
      <c r="AB775" s="11">
        <f>IF(INT(Q775/20)&gt;INT(Q774/20), "Lần " &amp; INT(Q775/20), "")</f>
        <v/>
      </c>
      <c r="AC775" s="11">
        <f>IF(INT(R775/20)&gt;INT(R774/20), "Lần " &amp; INT(R775/20), "")</f>
        <v/>
      </c>
      <c r="AD775" s="11">
        <f>IF(INT(S775/20)&gt;INT(S774/20), "Lần " &amp; INT(S775/20), "")</f>
        <v/>
      </c>
      <c r="AE775" s="11">
        <f>IF(INT(T775/20)&gt;INT(T774/20), "Lần " &amp; INT(T775/20), "")</f>
        <v/>
      </c>
      <c r="AF775" s="11">
        <f>IF(INT(U775/20)&gt;INT(U774/20), "Lần " &amp; INT(U775/20), "")</f>
        <v/>
      </c>
      <c r="AG775" s="11">
        <f>IF(INT(V775/20)&gt;INT(V774/20), "Lần " &amp; INT(V775/20), "")</f>
        <v/>
      </c>
      <c r="AH775" s="11">
        <f>IF(INT(W775/20)&gt;INT(W774/20), "Lần " &amp; INT(W775/20), "")</f>
        <v/>
      </c>
      <c r="AI775" s="11">
        <f>IF(INT(X775/20)&gt;INT(X774/20), "Lần " &amp; INT(X775/20), "")</f>
        <v/>
      </c>
      <c r="AJ775" s="11">
        <f>IF(INT(Y775/20)&gt;INT(Y774/20), "Lần " &amp; INT(Y775/20), "")</f>
        <v/>
      </c>
      <c r="AK775" s="11">
        <f>IF(INT(Z775/20)&gt;INT(Z774/20), "Lần " &amp; INT(Z775/20), "")</f>
        <v/>
      </c>
      <c r="AL775" s="6" t="inlineStr">
        <is>
          <t>ĐẠT TCVN 1651:2018</t>
        </is>
      </c>
    </row>
    <row r="776" ht="19" customHeight="1">
      <c r="A776" s="6" t="n">
        <v>744</v>
      </c>
      <c r="B776" s="7" t="inlineStr">
        <is>
          <t>Bản mặt cầu (Deck Slab)</t>
        </is>
      </c>
      <c r="C776" s="7" t="inlineStr">
        <is>
          <t>Lưới thép BMC đổ bù</t>
        </is>
      </c>
      <c r="D776" s="18" t="inlineStr">
        <is>
          <t>S1a</t>
        </is>
      </c>
      <c r="E776" s="19" t="n">
        <v>14</v>
      </c>
      <c r="F776" s="6" t="inlineStr">
        <is>
          <t>CB400-V</t>
        </is>
      </c>
      <c r="G776" s="7" t="inlineStr">
        <is>
          <t>S01</t>
        </is>
      </c>
      <c r="H776" s="20" t="n">
        <v>39.29</v>
      </c>
      <c r="I776" s="21" t="n">
        <v>84</v>
      </c>
      <c r="J776" s="22" t="n">
        <v>1.21</v>
      </c>
      <c r="K776" s="9">
        <f>ROUND(H776*I776*J776, 2)</f>
        <v/>
      </c>
      <c r="L776" s="23">
        <f>ROUND(K776/1000, 3)</f>
        <v/>
      </c>
      <c r="M776" s="8" t="n"/>
      <c r="N776" s="6" t="n"/>
      <c r="O776" s="24">
        <f>IF(AND(E776&lt;=10, F776&lt;&gt;"ASTM A416", INT(P776/20)&gt;INT(P775/20)), "TN Ø10 (Lần " &amp; INT(P776/20) &amp; ")", IF(AND(E776=12, INT(Q776/20)&gt;INT(Q775/20)), "TN Ø12 (Lần " &amp; INT(Q776/20) &amp; ")", IF(AND(E776=14, INT(R776/20)&gt;INT(R775/20)), "TN Ø14 (Lần " &amp; INT(R776/20) &amp; ")", IF(AND(E776=16, INT(S776/20)&gt;INT(S775/20)), "TN Ø16 (Lần " &amp; INT(S776/20) &amp; ")", IF(AND(E776=18, INT(T776/20)&gt;INT(T775/20)), "TN Ø18 (Lần " &amp; INT(T776/20) &amp; ")", IF(AND(E776=20, INT(U776/20)&gt;INT(U775/20)), "TN Ø20 (Lần " &amp; INT(U776/20) &amp; ")", IF(AND(E776=22, INT(V776/20)&gt;INT(V775/20)), "TN Ø22 (Lần " &amp; INT(V776/20) &amp; ")", IF(AND(E776=25, INT(W776/20)&gt;INT(W775/20)), "TN Ø25 (Lần " &amp; INT(W776/20) &amp; ")", IF(AND(E776=28, INT(X776/20)&gt;INT(X775/20)), "TN Ø28 (Lần " &amp; INT(X776/20) &amp; ")", IF(AND(E776=32, INT(Y776/20)&gt;INT(Y775/20)), "TN Ø32 (Lần " &amp; INT(Y776/20) &amp; ")", IF(AND(F776="ASTM A416", INT(Z776/20)&gt;INT(Z775/20)), "TN Cáp 15.2 (Lần " &amp; INT(Z776/20) &amp; ")", "")))))))))))</f>
        <v/>
      </c>
      <c r="P776" s="20">
        <f>ROUND(P775 + IF(AND(E776&lt;=10, F776&lt;&gt;"ASTM A416"), L776, 0), 3)</f>
        <v/>
      </c>
      <c r="Q776" s="20">
        <f>ROUND(Q775 + IF(AND(E776=12, F776&lt;&gt;"ASTM A416"), L776, 0), 3)</f>
        <v/>
      </c>
      <c r="R776" s="20">
        <f>ROUND(R775 + IF(AND(E776=14, F776&lt;&gt;"ASTM A416"), L776, 0), 3)</f>
        <v/>
      </c>
      <c r="S776" s="20">
        <f>ROUND(S775 + IF(AND(E776=16, F776&lt;&gt;"ASTM A416"), L776, 0), 3)</f>
        <v/>
      </c>
      <c r="T776" s="20">
        <f>ROUND(T775 + IF(AND(E776=18, F776&lt;&gt;"ASTM A416"), L776, 0), 3)</f>
        <v/>
      </c>
      <c r="U776" s="20">
        <f>ROUND(U775 + IF(AND(E776=20, F776&lt;&gt;"ASTM A416"), L776, 0), 3)</f>
        <v/>
      </c>
      <c r="V776" s="20">
        <f>ROUND(V775 + IF(AND(E776=22, F776&lt;&gt;"ASTM A416"), L776, 0), 3)</f>
        <v/>
      </c>
      <c r="W776" s="20">
        <f>ROUND(W775 + IF(AND(E776=25, F776&lt;&gt;"ASTM A416"), L776, 0), 3)</f>
        <v/>
      </c>
      <c r="X776" s="20">
        <f>ROUND(X775 + IF(AND(E776=28, F776&lt;&gt;"ASTM A416"), L776, 0), 3)</f>
        <v/>
      </c>
      <c r="Y776" s="20">
        <f>ROUND(Y775 + IF(AND(E776=32, F776&lt;&gt;"ASTM A416"), L776, 0), 3)</f>
        <v/>
      </c>
      <c r="Z776" s="20">
        <f>ROUND(Z775 + IF(F776="ASTM A416", L776, 0), 3)</f>
        <v/>
      </c>
      <c r="AA776" s="11">
        <f>IF(INT(P776/20)&gt;INT(P775/20), "Lần " &amp; INT(P776/20), "")</f>
        <v/>
      </c>
      <c r="AB776" s="11">
        <f>IF(INT(Q776/20)&gt;INT(Q775/20), "Lần " &amp; INT(Q776/20), "")</f>
        <v/>
      </c>
      <c r="AC776" s="11">
        <f>IF(INT(R776/20)&gt;INT(R775/20), "Lần " &amp; INT(R776/20), "")</f>
        <v/>
      </c>
      <c r="AD776" s="11">
        <f>IF(INT(S776/20)&gt;INT(S775/20), "Lần " &amp; INT(S776/20), "")</f>
        <v/>
      </c>
      <c r="AE776" s="11">
        <f>IF(INT(T776/20)&gt;INT(T775/20), "Lần " &amp; INT(T776/20), "")</f>
        <v/>
      </c>
      <c r="AF776" s="11">
        <f>IF(INT(U776/20)&gt;INT(U775/20), "Lần " &amp; INT(U776/20), "")</f>
        <v/>
      </c>
      <c r="AG776" s="11">
        <f>IF(INT(V776/20)&gt;INT(V775/20), "Lần " &amp; INT(V776/20), "")</f>
        <v/>
      </c>
      <c r="AH776" s="11">
        <f>IF(INT(W776/20)&gt;INT(W775/20), "Lần " &amp; INT(W776/20), "")</f>
        <v/>
      </c>
      <c r="AI776" s="11">
        <f>IF(INT(X776/20)&gt;INT(X775/20), "Lần " &amp; INT(X776/20), "")</f>
        <v/>
      </c>
      <c r="AJ776" s="11">
        <f>IF(INT(Y776/20)&gt;INT(Y775/20), "Lần " &amp; INT(Y776/20), "")</f>
        <v/>
      </c>
      <c r="AK776" s="11">
        <f>IF(INT(Z776/20)&gt;INT(Z775/20), "Lần " &amp; INT(Z776/20), "")</f>
        <v/>
      </c>
      <c r="AL776" s="6" t="inlineStr">
        <is>
          <t>ĐẠT TCVN 1651:2018</t>
        </is>
      </c>
    </row>
    <row r="777" ht="19" customHeight="1">
      <c r="A777" s="6" t="n">
        <v>745</v>
      </c>
      <c r="B777" s="7" t="inlineStr">
        <is>
          <t>Bản mặt cầu (Deck Slab)</t>
        </is>
      </c>
      <c r="C777" s="7" t="inlineStr">
        <is>
          <t>Lưới thép BMC đổ bù</t>
        </is>
      </c>
      <c r="D777" s="18" t="inlineStr">
        <is>
          <t>S2</t>
        </is>
      </c>
      <c r="E777" s="19" t="n">
        <v>18</v>
      </c>
      <c r="F777" s="6" t="inlineStr">
        <is>
          <t>CB400-V</t>
        </is>
      </c>
      <c r="G777" s="7" t="inlineStr">
        <is>
          <t>S01</t>
        </is>
      </c>
      <c r="H777" s="20" t="n">
        <v>13.135</v>
      </c>
      <c r="I777" s="21" t="n">
        <v>490</v>
      </c>
      <c r="J777" s="22" t="n">
        <v>2</v>
      </c>
      <c r="K777" s="9">
        <f>ROUND(H777*I777*J777, 2)</f>
        <v/>
      </c>
      <c r="L777" s="23">
        <f>ROUND(K777/1000, 3)</f>
        <v/>
      </c>
      <c r="M777" s="8" t="n"/>
      <c r="N777" s="6" t="n"/>
      <c r="O777" s="24">
        <f>IF(AND(E777&lt;=10, F777&lt;&gt;"ASTM A416", INT(P777/20)&gt;INT(P776/20)), "TN Ø10 (Lần " &amp; INT(P777/20) &amp; ")", IF(AND(E777=12, INT(Q777/20)&gt;INT(Q776/20)), "TN Ø12 (Lần " &amp; INT(Q777/20) &amp; ")", IF(AND(E777=14, INT(R777/20)&gt;INT(R776/20)), "TN Ø14 (Lần " &amp; INT(R777/20) &amp; ")", IF(AND(E777=16, INT(S777/20)&gt;INT(S776/20)), "TN Ø16 (Lần " &amp; INT(S777/20) &amp; ")", IF(AND(E777=18, INT(T777/20)&gt;INT(T776/20)), "TN Ø18 (Lần " &amp; INT(T777/20) &amp; ")", IF(AND(E777=20, INT(U777/20)&gt;INT(U776/20)), "TN Ø20 (Lần " &amp; INT(U777/20) &amp; ")", IF(AND(E777=22, INT(V777/20)&gt;INT(V776/20)), "TN Ø22 (Lần " &amp; INT(V777/20) &amp; ")", IF(AND(E777=25, INT(W777/20)&gt;INT(W776/20)), "TN Ø25 (Lần " &amp; INT(W777/20) &amp; ")", IF(AND(E777=28, INT(X777/20)&gt;INT(X776/20)), "TN Ø28 (Lần " &amp; INT(X777/20) &amp; ")", IF(AND(E777=32, INT(Y777/20)&gt;INT(Y776/20)), "TN Ø32 (Lần " &amp; INT(Y777/20) &amp; ")", IF(AND(F777="ASTM A416", INT(Z777/20)&gt;INT(Z776/20)), "TN Cáp 15.2 (Lần " &amp; INT(Z777/20) &amp; ")", "")))))))))))</f>
        <v/>
      </c>
      <c r="P777" s="20">
        <f>ROUND(P776 + IF(AND(E777&lt;=10, F777&lt;&gt;"ASTM A416"), L777, 0), 3)</f>
        <v/>
      </c>
      <c r="Q777" s="20">
        <f>ROUND(Q776 + IF(AND(E777=12, F777&lt;&gt;"ASTM A416"), L777, 0), 3)</f>
        <v/>
      </c>
      <c r="R777" s="20">
        <f>ROUND(R776 + IF(AND(E777=14, F777&lt;&gt;"ASTM A416"), L777, 0), 3)</f>
        <v/>
      </c>
      <c r="S777" s="20">
        <f>ROUND(S776 + IF(AND(E777=16, F777&lt;&gt;"ASTM A416"), L777, 0), 3)</f>
        <v/>
      </c>
      <c r="T777" s="20">
        <f>ROUND(T776 + IF(AND(E777=18, F777&lt;&gt;"ASTM A416"), L777, 0), 3)</f>
        <v/>
      </c>
      <c r="U777" s="20">
        <f>ROUND(U776 + IF(AND(E777=20, F777&lt;&gt;"ASTM A416"), L777, 0), 3)</f>
        <v/>
      </c>
      <c r="V777" s="20">
        <f>ROUND(V776 + IF(AND(E777=22, F777&lt;&gt;"ASTM A416"), L777, 0), 3)</f>
        <v/>
      </c>
      <c r="W777" s="20">
        <f>ROUND(W776 + IF(AND(E777=25, F777&lt;&gt;"ASTM A416"), L777, 0), 3)</f>
        <v/>
      </c>
      <c r="X777" s="20">
        <f>ROUND(X776 + IF(AND(E777=28, F777&lt;&gt;"ASTM A416"), L777, 0), 3)</f>
        <v/>
      </c>
      <c r="Y777" s="20">
        <f>ROUND(Y776 + IF(AND(E777=32, F777&lt;&gt;"ASTM A416"), L777, 0), 3)</f>
        <v/>
      </c>
      <c r="Z777" s="20">
        <f>ROUND(Z776 + IF(F777="ASTM A416", L777, 0), 3)</f>
        <v/>
      </c>
      <c r="AA777" s="11">
        <f>IF(INT(P777/20)&gt;INT(P776/20), "Lần " &amp; INT(P777/20), "")</f>
        <v/>
      </c>
      <c r="AB777" s="11">
        <f>IF(INT(Q777/20)&gt;INT(Q776/20), "Lần " &amp; INT(Q777/20), "")</f>
        <v/>
      </c>
      <c r="AC777" s="11">
        <f>IF(INT(R777/20)&gt;INT(R776/20), "Lần " &amp; INT(R777/20), "")</f>
        <v/>
      </c>
      <c r="AD777" s="11">
        <f>IF(INT(S777/20)&gt;INT(S776/20), "Lần " &amp; INT(S777/20), "")</f>
        <v/>
      </c>
      <c r="AE777" s="11">
        <f>IF(INT(T777/20)&gt;INT(T776/20), "Lần " &amp; INT(T777/20), "")</f>
        <v/>
      </c>
      <c r="AF777" s="11">
        <f>IF(INT(U777/20)&gt;INT(U776/20), "Lần " &amp; INT(U777/20), "")</f>
        <v/>
      </c>
      <c r="AG777" s="11">
        <f>IF(INT(V777/20)&gt;INT(V776/20), "Lần " &amp; INT(V777/20), "")</f>
        <v/>
      </c>
      <c r="AH777" s="11">
        <f>IF(INT(W777/20)&gt;INT(W776/20), "Lần " &amp; INT(W777/20), "")</f>
        <v/>
      </c>
      <c r="AI777" s="11">
        <f>IF(INT(X777/20)&gt;INT(X776/20), "Lần " &amp; INT(X777/20), "")</f>
        <v/>
      </c>
      <c r="AJ777" s="11">
        <f>IF(INT(Y777/20)&gt;INT(Y776/20), "Lần " &amp; INT(Y777/20), "")</f>
        <v/>
      </c>
      <c r="AK777" s="11">
        <f>IF(INT(Z777/20)&gt;INT(Z776/20), "Lần " &amp; INT(Z777/20), "")</f>
        <v/>
      </c>
      <c r="AL777" s="6" t="inlineStr">
        <is>
          <t>ĐẠT TCVN 1651:2018</t>
        </is>
      </c>
    </row>
    <row r="778" ht="19" customHeight="1">
      <c r="A778" s="6" t="n">
        <v>746</v>
      </c>
      <c r="B778" s="7" t="inlineStr">
        <is>
          <t>Bản mặt cầu (Deck Slab)</t>
        </is>
      </c>
      <c r="C778" s="7" t="inlineStr">
        <is>
          <t>Lưới thép BMC đổ bù</t>
        </is>
      </c>
      <c r="D778" s="18" t="inlineStr">
        <is>
          <t>S3</t>
        </is>
      </c>
      <c r="E778" s="19" t="n">
        <v>10</v>
      </c>
      <c r="F778" s="6" t="inlineStr">
        <is>
          <t>CB240-T</t>
        </is>
      </c>
      <c r="G778" s="7" t="inlineStr">
        <is>
          <t>S01</t>
        </is>
      </c>
      <c r="H778" s="20" t="n">
        <v>0.33</v>
      </c>
      <c r="I778" s="21" t="n">
        <v>2420</v>
      </c>
      <c r="J778" s="22" t="n">
        <v>0.617</v>
      </c>
      <c r="K778" s="9">
        <f>ROUND(H778*I778*J778, 2)</f>
        <v/>
      </c>
      <c r="L778" s="23">
        <f>ROUND(K778/1000, 3)</f>
        <v/>
      </c>
      <c r="M778" s="8" t="n"/>
      <c r="N778" s="6" t="n"/>
      <c r="O778" s="24">
        <f>IF(AND(E778&lt;=10, F778&lt;&gt;"ASTM A416", INT(P778/20)&gt;INT(P777/20)), "TN Ø10 (Lần " &amp; INT(P778/20) &amp; ")", IF(AND(E778=12, INT(Q778/20)&gt;INT(Q777/20)), "TN Ø12 (Lần " &amp; INT(Q778/20) &amp; ")", IF(AND(E778=14, INT(R778/20)&gt;INT(R777/20)), "TN Ø14 (Lần " &amp; INT(R778/20) &amp; ")", IF(AND(E778=16, INT(S778/20)&gt;INT(S777/20)), "TN Ø16 (Lần " &amp; INT(S778/20) &amp; ")", IF(AND(E778=18, INT(T778/20)&gt;INT(T777/20)), "TN Ø18 (Lần " &amp; INT(T778/20) &amp; ")", IF(AND(E778=20, INT(U778/20)&gt;INT(U777/20)), "TN Ø20 (Lần " &amp; INT(U778/20) &amp; ")", IF(AND(E778=22, INT(V778/20)&gt;INT(V777/20)), "TN Ø22 (Lần " &amp; INT(V778/20) &amp; ")", IF(AND(E778=25, INT(W778/20)&gt;INT(W777/20)), "TN Ø25 (Lần " &amp; INT(W778/20) &amp; ")", IF(AND(E778=28, INT(X778/20)&gt;INT(X777/20)), "TN Ø28 (Lần " &amp; INT(X778/20) &amp; ")", IF(AND(E778=32, INT(Y778/20)&gt;INT(Y777/20)), "TN Ø32 (Lần " &amp; INT(Y778/20) &amp; ")", IF(AND(F778="ASTM A416", INT(Z778/20)&gt;INT(Z777/20)), "TN Cáp 15.2 (Lần " &amp; INT(Z778/20) &amp; ")", "")))))))))))</f>
        <v/>
      </c>
      <c r="P778" s="20">
        <f>ROUND(P777 + IF(AND(E778&lt;=10, F778&lt;&gt;"ASTM A416"), L778, 0), 3)</f>
        <v/>
      </c>
      <c r="Q778" s="20">
        <f>ROUND(Q777 + IF(AND(E778=12, F778&lt;&gt;"ASTM A416"), L778, 0), 3)</f>
        <v/>
      </c>
      <c r="R778" s="20">
        <f>ROUND(R777 + IF(AND(E778=14, F778&lt;&gt;"ASTM A416"), L778, 0), 3)</f>
        <v/>
      </c>
      <c r="S778" s="20">
        <f>ROUND(S777 + IF(AND(E778=16, F778&lt;&gt;"ASTM A416"), L778, 0), 3)</f>
        <v/>
      </c>
      <c r="T778" s="20">
        <f>ROUND(T777 + IF(AND(E778=18, F778&lt;&gt;"ASTM A416"), L778, 0), 3)</f>
        <v/>
      </c>
      <c r="U778" s="20">
        <f>ROUND(U777 + IF(AND(E778=20, F778&lt;&gt;"ASTM A416"), L778, 0), 3)</f>
        <v/>
      </c>
      <c r="V778" s="20">
        <f>ROUND(V777 + IF(AND(E778=22, F778&lt;&gt;"ASTM A416"), L778, 0), 3)</f>
        <v/>
      </c>
      <c r="W778" s="20">
        <f>ROUND(W777 + IF(AND(E778=25, F778&lt;&gt;"ASTM A416"), L778, 0), 3)</f>
        <v/>
      </c>
      <c r="X778" s="20">
        <f>ROUND(X777 + IF(AND(E778=28, F778&lt;&gt;"ASTM A416"), L778, 0), 3)</f>
        <v/>
      </c>
      <c r="Y778" s="20">
        <f>ROUND(Y777 + IF(AND(E778=32, F778&lt;&gt;"ASTM A416"), L778, 0), 3)</f>
        <v/>
      </c>
      <c r="Z778" s="20">
        <f>ROUND(Z777 + IF(F778="ASTM A416", L778, 0), 3)</f>
        <v/>
      </c>
      <c r="AA778" s="11">
        <f>IF(INT(P778/20)&gt;INT(P777/20), "Lần " &amp; INT(P778/20), "")</f>
        <v/>
      </c>
      <c r="AB778" s="11">
        <f>IF(INT(Q778/20)&gt;INT(Q777/20), "Lần " &amp; INT(Q778/20), "")</f>
        <v/>
      </c>
      <c r="AC778" s="11">
        <f>IF(INT(R778/20)&gt;INT(R777/20), "Lần " &amp; INT(R778/20), "")</f>
        <v/>
      </c>
      <c r="AD778" s="11">
        <f>IF(INT(S778/20)&gt;INT(S777/20), "Lần " &amp; INT(S778/20), "")</f>
        <v/>
      </c>
      <c r="AE778" s="11">
        <f>IF(INT(T778/20)&gt;INT(T777/20), "Lần " &amp; INT(T778/20), "")</f>
        <v/>
      </c>
      <c r="AF778" s="11">
        <f>IF(INT(U778/20)&gt;INT(U777/20), "Lần " &amp; INT(U778/20), "")</f>
        <v/>
      </c>
      <c r="AG778" s="11">
        <f>IF(INT(V778/20)&gt;INT(V777/20), "Lần " &amp; INT(V778/20), "")</f>
        <v/>
      </c>
      <c r="AH778" s="11">
        <f>IF(INT(W778/20)&gt;INT(W777/20), "Lần " &amp; INT(W778/20), "")</f>
        <v/>
      </c>
      <c r="AI778" s="11">
        <f>IF(INT(X778/20)&gt;INT(X777/20), "Lần " &amp; INT(X778/20), "")</f>
        <v/>
      </c>
      <c r="AJ778" s="11">
        <f>IF(INT(Y778/20)&gt;INT(Y777/20), "Lần " &amp; INT(Y778/20), "")</f>
        <v/>
      </c>
      <c r="AK778" s="11">
        <f>IF(INT(Z778/20)&gt;INT(Z777/20), "Lần " &amp; INT(Z778/20), "")</f>
        <v/>
      </c>
      <c r="AL778" s="6" t="inlineStr">
        <is>
          <t>ĐẠT TCVN 1651:2018</t>
        </is>
      </c>
    </row>
    <row r="779" ht="19" customHeight="1">
      <c r="A779" s="6" t="n">
        <v>747</v>
      </c>
      <c r="B779" s="7" t="inlineStr">
        <is>
          <t>Bản mặt cầu (Deck Slab)</t>
        </is>
      </c>
      <c r="C779" s="7" t="inlineStr">
        <is>
          <t>Lưới thép BMC đổ bù</t>
        </is>
      </c>
      <c r="D779" s="18" t="inlineStr">
        <is>
          <t>S4</t>
        </is>
      </c>
      <c r="E779" s="19" t="n">
        <v>18</v>
      </c>
      <c r="F779" s="6" t="inlineStr">
        <is>
          <t>CB400-V</t>
        </is>
      </c>
      <c r="G779" s="7" t="inlineStr">
        <is>
          <t>S01</t>
        </is>
      </c>
      <c r="H779" s="20" t="n">
        <v>2.1</v>
      </c>
      <c r="I779" s="21" t="n">
        <v>980</v>
      </c>
      <c r="J779" s="22" t="n">
        <v>2</v>
      </c>
      <c r="K779" s="9">
        <f>ROUND(H779*I779*J779, 2)</f>
        <v/>
      </c>
      <c r="L779" s="23">
        <f>ROUND(K779/1000, 3)</f>
        <v/>
      </c>
      <c r="M779" s="8" t="n"/>
      <c r="N779" s="6" t="n"/>
      <c r="O779" s="24">
        <f>IF(AND(E779&lt;=10, F779&lt;&gt;"ASTM A416", INT(P779/20)&gt;INT(P778/20)), "TN Ø10 (Lần " &amp; INT(P779/20) &amp; ")", IF(AND(E779=12, INT(Q779/20)&gt;INT(Q778/20)), "TN Ø12 (Lần " &amp; INT(Q779/20) &amp; ")", IF(AND(E779=14, INT(R779/20)&gt;INT(R778/20)), "TN Ø14 (Lần " &amp; INT(R779/20) &amp; ")", IF(AND(E779=16, INT(S779/20)&gt;INT(S778/20)), "TN Ø16 (Lần " &amp; INT(S779/20) &amp; ")", IF(AND(E779=18, INT(T779/20)&gt;INT(T778/20)), "TN Ø18 (Lần " &amp; INT(T779/20) &amp; ")", IF(AND(E779=20, INT(U779/20)&gt;INT(U778/20)), "TN Ø20 (Lần " &amp; INT(U779/20) &amp; ")", IF(AND(E779=22, INT(V779/20)&gt;INT(V778/20)), "TN Ø22 (Lần " &amp; INT(V779/20) &amp; ")", IF(AND(E779=25, INT(W779/20)&gt;INT(W778/20)), "TN Ø25 (Lần " &amp; INT(W779/20) &amp; ")", IF(AND(E779=28, INT(X779/20)&gt;INT(X778/20)), "TN Ø28 (Lần " &amp; INT(X779/20) &amp; ")", IF(AND(E779=32, INT(Y779/20)&gt;INT(Y778/20)), "TN Ø32 (Lần " &amp; INT(Y779/20) &amp; ")", IF(AND(F779="ASTM A416", INT(Z779/20)&gt;INT(Z778/20)), "TN Cáp 15.2 (Lần " &amp; INT(Z779/20) &amp; ")", "")))))))))))</f>
        <v/>
      </c>
      <c r="P779" s="20">
        <f>ROUND(P778 + IF(AND(E779&lt;=10, F779&lt;&gt;"ASTM A416"), L779, 0), 3)</f>
        <v/>
      </c>
      <c r="Q779" s="20">
        <f>ROUND(Q778 + IF(AND(E779=12, F779&lt;&gt;"ASTM A416"), L779, 0), 3)</f>
        <v/>
      </c>
      <c r="R779" s="20">
        <f>ROUND(R778 + IF(AND(E779=14, F779&lt;&gt;"ASTM A416"), L779, 0), 3)</f>
        <v/>
      </c>
      <c r="S779" s="20">
        <f>ROUND(S778 + IF(AND(E779=16, F779&lt;&gt;"ASTM A416"), L779, 0), 3)</f>
        <v/>
      </c>
      <c r="T779" s="20">
        <f>ROUND(T778 + IF(AND(E779=18, F779&lt;&gt;"ASTM A416"), L779, 0), 3)</f>
        <v/>
      </c>
      <c r="U779" s="20">
        <f>ROUND(U778 + IF(AND(E779=20, F779&lt;&gt;"ASTM A416"), L779, 0), 3)</f>
        <v/>
      </c>
      <c r="V779" s="20">
        <f>ROUND(V778 + IF(AND(E779=22, F779&lt;&gt;"ASTM A416"), L779, 0), 3)</f>
        <v/>
      </c>
      <c r="W779" s="20">
        <f>ROUND(W778 + IF(AND(E779=25, F779&lt;&gt;"ASTM A416"), L779, 0), 3)</f>
        <v/>
      </c>
      <c r="X779" s="20">
        <f>ROUND(X778 + IF(AND(E779=28, F779&lt;&gt;"ASTM A416"), L779, 0), 3)</f>
        <v/>
      </c>
      <c r="Y779" s="20">
        <f>ROUND(Y778 + IF(AND(E779=32, F779&lt;&gt;"ASTM A416"), L779, 0), 3)</f>
        <v/>
      </c>
      <c r="Z779" s="20">
        <f>ROUND(Z778 + IF(F779="ASTM A416", L779, 0), 3)</f>
        <v/>
      </c>
      <c r="AA779" s="11">
        <f>IF(INT(P779/20)&gt;INT(P778/20), "Lần " &amp; INT(P779/20), "")</f>
        <v/>
      </c>
      <c r="AB779" s="11">
        <f>IF(INT(Q779/20)&gt;INT(Q778/20), "Lần " &amp; INT(Q779/20), "")</f>
        <v/>
      </c>
      <c r="AC779" s="11">
        <f>IF(INT(R779/20)&gt;INT(R778/20), "Lần " &amp; INT(R779/20), "")</f>
        <v/>
      </c>
      <c r="AD779" s="11">
        <f>IF(INT(S779/20)&gt;INT(S778/20), "Lần " &amp; INT(S779/20), "")</f>
        <v/>
      </c>
      <c r="AE779" s="11">
        <f>IF(INT(T779/20)&gt;INT(T778/20), "Lần " &amp; INT(T779/20), "")</f>
        <v/>
      </c>
      <c r="AF779" s="11">
        <f>IF(INT(U779/20)&gt;INT(U778/20), "Lần " &amp; INT(U779/20), "")</f>
        <v/>
      </c>
      <c r="AG779" s="11">
        <f>IF(INT(V779/20)&gt;INT(V778/20), "Lần " &amp; INT(V779/20), "")</f>
        <v/>
      </c>
      <c r="AH779" s="11">
        <f>IF(INT(W779/20)&gt;INT(W778/20), "Lần " &amp; INT(W779/20), "")</f>
        <v/>
      </c>
      <c r="AI779" s="11">
        <f>IF(INT(X779/20)&gt;INT(X778/20), "Lần " &amp; INT(X779/20), "")</f>
        <v/>
      </c>
      <c r="AJ779" s="11">
        <f>IF(INT(Y779/20)&gt;INT(Y778/20), "Lần " &amp; INT(Y779/20), "")</f>
        <v/>
      </c>
      <c r="AK779" s="11">
        <f>IF(INT(Z779/20)&gt;INT(Z778/20), "Lần " &amp; INT(Z779/20), "")</f>
        <v/>
      </c>
      <c r="AL779" s="6" t="inlineStr">
        <is>
          <t>ĐẠT TCVN 1651:2018</t>
        </is>
      </c>
    </row>
    <row r="780" ht="19" customHeight="1">
      <c r="A780" s="6" t="n">
        <v>748</v>
      </c>
      <c r="B780" s="7" t="inlineStr">
        <is>
          <t>Bản mặt cầu (Deck Slab)</t>
        </is>
      </c>
      <c r="C780" s="7" t="inlineStr">
        <is>
          <t>Lưới thép BMC đổ bù</t>
        </is>
      </c>
      <c r="D780" s="18" t="inlineStr">
        <is>
          <t>DR1</t>
        </is>
      </c>
      <c r="E780" s="19" t="n">
        <v>14</v>
      </c>
      <c r="F780" s="6" t="inlineStr">
        <is>
          <t>CB400-V</t>
        </is>
      </c>
      <c r="G780" s="7" t="inlineStr">
        <is>
          <t>S01</t>
        </is>
      </c>
      <c r="H780" s="20" t="n">
        <v>0.6</v>
      </c>
      <c r="I780" s="21" t="n">
        <v>64</v>
      </c>
      <c r="J780" s="22" t="n">
        <v>1.21</v>
      </c>
      <c r="K780" s="9">
        <f>ROUND(H780*I780*J780, 2)</f>
        <v/>
      </c>
      <c r="L780" s="23">
        <f>ROUND(K780/1000, 3)</f>
        <v/>
      </c>
      <c r="M780" s="8" t="n"/>
      <c r="N780" s="6" t="n"/>
      <c r="O780" s="24">
        <f>IF(AND(E780&lt;=10, F780&lt;&gt;"ASTM A416", INT(P780/20)&gt;INT(P779/20)), "TN Ø10 (Lần " &amp; INT(P780/20) &amp; ")", IF(AND(E780=12, INT(Q780/20)&gt;INT(Q779/20)), "TN Ø12 (Lần " &amp; INT(Q780/20) &amp; ")", IF(AND(E780=14, INT(R780/20)&gt;INT(R779/20)), "TN Ø14 (Lần " &amp; INT(R780/20) &amp; ")", IF(AND(E780=16, INT(S780/20)&gt;INT(S779/20)), "TN Ø16 (Lần " &amp; INT(S780/20) &amp; ")", IF(AND(E780=18, INT(T780/20)&gt;INT(T779/20)), "TN Ø18 (Lần " &amp; INT(T780/20) &amp; ")", IF(AND(E780=20, INT(U780/20)&gt;INT(U779/20)), "TN Ø20 (Lần " &amp; INT(U780/20) &amp; ")", IF(AND(E780=22, INT(V780/20)&gt;INT(V779/20)), "TN Ø22 (Lần " &amp; INT(V780/20) &amp; ")", IF(AND(E780=25, INT(W780/20)&gt;INT(W779/20)), "TN Ø25 (Lần " &amp; INT(W780/20) &amp; ")", IF(AND(E780=28, INT(X780/20)&gt;INT(X779/20)), "TN Ø28 (Lần " &amp; INT(X780/20) &amp; ")", IF(AND(E780=32, INT(Y780/20)&gt;INT(Y779/20)), "TN Ø32 (Lần " &amp; INT(Y780/20) &amp; ")", IF(AND(F780="ASTM A416", INT(Z780/20)&gt;INT(Z779/20)), "TN Cáp 15.2 (Lần " &amp; INT(Z780/20) &amp; ")", "")))))))))))</f>
        <v/>
      </c>
      <c r="P780" s="20">
        <f>ROUND(P779 + IF(AND(E780&lt;=10, F780&lt;&gt;"ASTM A416"), L780, 0), 3)</f>
        <v/>
      </c>
      <c r="Q780" s="20">
        <f>ROUND(Q779 + IF(AND(E780=12, F780&lt;&gt;"ASTM A416"), L780, 0), 3)</f>
        <v/>
      </c>
      <c r="R780" s="20">
        <f>ROUND(R779 + IF(AND(E780=14, F780&lt;&gt;"ASTM A416"), L780, 0), 3)</f>
        <v/>
      </c>
      <c r="S780" s="20">
        <f>ROUND(S779 + IF(AND(E780=16, F780&lt;&gt;"ASTM A416"), L780, 0), 3)</f>
        <v/>
      </c>
      <c r="T780" s="20">
        <f>ROUND(T779 + IF(AND(E780=18, F780&lt;&gt;"ASTM A416"), L780, 0), 3)</f>
        <v/>
      </c>
      <c r="U780" s="20">
        <f>ROUND(U779 + IF(AND(E780=20, F780&lt;&gt;"ASTM A416"), L780, 0), 3)</f>
        <v/>
      </c>
      <c r="V780" s="20">
        <f>ROUND(V779 + IF(AND(E780=22, F780&lt;&gt;"ASTM A416"), L780, 0), 3)</f>
        <v/>
      </c>
      <c r="W780" s="20">
        <f>ROUND(W779 + IF(AND(E780=25, F780&lt;&gt;"ASTM A416"), L780, 0), 3)</f>
        <v/>
      </c>
      <c r="X780" s="20">
        <f>ROUND(X779 + IF(AND(E780=28, F780&lt;&gt;"ASTM A416"), L780, 0), 3)</f>
        <v/>
      </c>
      <c r="Y780" s="20">
        <f>ROUND(Y779 + IF(AND(E780=32, F780&lt;&gt;"ASTM A416"), L780, 0), 3)</f>
        <v/>
      </c>
      <c r="Z780" s="20">
        <f>ROUND(Z779 + IF(F780="ASTM A416", L780, 0), 3)</f>
        <v/>
      </c>
      <c r="AA780" s="11">
        <f>IF(INT(P780/20)&gt;INT(P779/20), "Lần " &amp; INT(P780/20), "")</f>
        <v/>
      </c>
      <c r="AB780" s="11">
        <f>IF(INT(Q780/20)&gt;INT(Q779/20), "Lần " &amp; INT(Q780/20), "")</f>
        <v/>
      </c>
      <c r="AC780" s="11">
        <f>IF(INT(R780/20)&gt;INT(R779/20), "Lần " &amp; INT(R780/20), "")</f>
        <v/>
      </c>
      <c r="AD780" s="11">
        <f>IF(INT(S780/20)&gt;INT(S779/20), "Lần " &amp; INT(S780/20), "")</f>
        <v/>
      </c>
      <c r="AE780" s="11">
        <f>IF(INT(T780/20)&gt;INT(T779/20), "Lần " &amp; INT(T780/20), "")</f>
        <v/>
      </c>
      <c r="AF780" s="11">
        <f>IF(INT(U780/20)&gt;INT(U779/20), "Lần " &amp; INT(U780/20), "")</f>
        <v/>
      </c>
      <c r="AG780" s="11">
        <f>IF(INT(V780/20)&gt;INT(V779/20), "Lần " &amp; INT(V780/20), "")</f>
        <v/>
      </c>
      <c r="AH780" s="11">
        <f>IF(INT(W780/20)&gt;INT(W779/20), "Lần " &amp; INT(W780/20), "")</f>
        <v/>
      </c>
      <c r="AI780" s="11">
        <f>IF(INT(X780/20)&gt;INT(X779/20), "Lần " &amp; INT(X780/20), "")</f>
        <v/>
      </c>
      <c r="AJ780" s="11">
        <f>IF(INT(Y780/20)&gt;INT(Y779/20), "Lần " &amp; INT(Y780/20), "")</f>
        <v/>
      </c>
      <c r="AK780" s="11">
        <f>IF(INT(Z780/20)&gt;INT(Z779/20), "Lần " &amp; INT(Z780/20), "")</f>
        <v/>
      </c>
      <c r="AL780" s="6" t="inlineStr">
        <is>
          <t>ĐẠT TCVN 1651:2018</t>
        </is>
      </c>
    </row>
    <row r="781" ht="19" customHeight="1">
      <c r="A781" s="6" t="n">
        <v>749</v>
      </c>
      <c r="B781" s="7" t="inlineStr">
        <is>
          <t>Bản mặt cầu (Deck Slab)</t>
        </is>
      </c>
      <c r="C781" s="7" t="inlineStr">
        <is>
          <t>Lưới thép BMC đổ bù</t>
        </is>
      </c>
      <c r="D781" s="18" t="inlineStr">
        <is>
          <t>DR2</t>
        </is>
      </c>
      <c r="E781" s="19" t="n">
        <v>14</v>
      </c>
      <c r="F781" s="6" t="inlineStr">
        <is>
          <t>CB400-V</t>
        </is>
      </c>
      <c r="G781" s="7" t="inlineStr">
        <is>
          <t>S01</t>
        </is>
      </c>
      <c r="H781" s="20" t="n">
        <v>1.3</v>
      </c>
      <c r="I781" s="21" t="n">
        <v>32</v>
      </c>
      <c r="J781" s="22" t="n">
        <v>1.21</v>
      </c>
      <c r="K781" s="9">
        <f>ROUND(H781*I781*J781, 2)</f>
        <v/>
      </c>
      <c r="L781" s="23">
        <f>ROUND(K781/1000, 3)</f>
        <v/>
      </c>
      <c r="M781" s="8" t="n"/>
      <c r="N781" s="6" t="n"/>
      <c r="O781" s="24">
        <f>IF(AND(E781&lt;=10, F781&lt;&gt;"ASTM A416", INT(P781/20)&gt;INT(P780/20)), "TN Ø10 (Lần " &amp; INT(P781/20) &amp; ")", IF(AND(E781=12, INT(Q781/20)&gt;INT(Q780/20)), "TN Ø12 (Lần " &amp; INT(Q781/20) &amp; ")", IF(AND(E781=14, INT(R781/20)&gt;INT(R780/20)), "TN Ø14 (Lần " &amp; INT(R781/20) &amp; ")", IF(AND(E781=16, INT(S781/20)&gt;INT(S780/20)), "TN Ø16 (Lần " &amp; INT(S781/20) &amp; ")", IF(AND(E781=18, INT(T781/20)&gt;INT(T780/20)), "TN Ø18 (Lần " &amp; INT(T781/20) &amp; ")", IF(AND(E781=20, INT(U781/20)&gt;INT(U780/20)), "TN Ø20 (Lần " &amp; INT(U781/20) &amp; ")", IF(AND(E781=22, INT(V781/20)&gt;INT(V780/20)), "TN Ø22 (Lần " &amp; INT(V781/20) &amp; ")", IF(AND(E781=25, INT(W781/20)&gt;INT(W780/20)), "TN Ø25 (Lần " &amp; INT(W781/20) &amp; ")", IF(AND(E781=28, INT(X781/20)&gt;INT(X780/20)), "TN Ø28 (Lần " &amp; INT(X781/20) &amp; ")", IF(AND(E781=32, INT(Y781/20)&gt;INT(Y780/20)), "TN Ø32 (Lần " &amp; INT(Y781/20) &amp; ")", IF(AND(F781="ASTM A416", INT(Z781/20)&gt;INT(Z780/20)), "TN Cáp 15.2 (Lần " &amp; INT(Z781/20) &amp; ")", "")))))))))))</f>
        <v/>
      </c>
      <c r="P781" s="20">
        <f>ROUND(P780 + IF(AND(E781&lt;=10, F781&lt;&gt;"ASTM A416"), L781, 0), 3)</f>
        <v/>
      </c>
      <c r="Q781" s="20">
        <f>ROUND(Q780 + IF(AND(E781=12, F781&lt;&gt;"ASTM A416"), L781, 0), 3)</f>
        <v/>
      </c>
      <c r="R781" s="20">
        <f>ROUND(R780 + IF(AND(E781=14, F781&lt;&gt;"ASTM A416"), L781, 0), 3)</f>
        <v/>
      </c>
      <c r="S781" s="20">
        <f>ROUND(S780 + IF(AND(E781=16, F781&lt;&gt;"ASTM A416"), L781, 0), 3)</f>
        <v/>
      </c>
      <c r="T781" s="20">
        <f>ROUND(T780 + IF(AND(E781=18, F781&lt;&gt;"ASTM A416"), L781, 0), 3)</f>
        <v/>
      </c>
      <c r="U781" s="20">
        <f>ROUND(U780 + IF(AND(E781=20, F781&lt;&gt;"ASTM A416"), L781, 0), 3)</f>
        <v/>
      </c>
      <c r="V781" s="20">
        <f>ROUND(V780 + IF(AND(E781=22, F781&lt;&gt;"ASTM A416"), L781, 0), 3)</f>
        <v/>
      </c>
      <c r="W781" s="20">
        <f>ROUND(W780 + IF(AND(E781=25, F781&lt;&gt;"ASTM A416"), L781, 0), 3)</f>
        <v/>
      </c>
      <c r="X781" s="20">
        <f>ROUND(X780 + IF(AND(E781=28, F781&lt;&gt;"ASTM A416"), L781, 0), 3)</f>
        <v/>
      </c>
      <c r="Y781" s="20">
        <f>ROUND(Y780 + IF(AND(E781=32, F781&lt;&gt;"ASTM A416"), L781, 0), 3)</f>
        <v/>
      </c>
      <c r="Z781" s="20">
        <f>ROUND(Z780 + IF(F781="ASTM A416", L781, 0), 3)</f>
        <v/>
      </c>
      <c r="AA781" s="11">
        <f>IF(INT(P781/20)&gt;INT(P780/20), "Lần " &amp; INT(P781/20), "")</f>
        <v/>
      </c>
      <c r="AB781" s="11">
        <f>IF(INT(Q781/20)&gt;INT(Q780/20), "Lần " &amp; INT(Q781/20), "")</f>
        <v/>
      </c>
      <c r="AC781" s="11">
        <f>IF(INT(R781/20)&gt;INT(R780/20), "Lần " &amp; INT(R781/20), "")</f>
        <v/>
      </c>
      <c r="AD781" s="11">
        <f>IF(INT(S781/20)&gt;INT(S780/20), "Lần " &amp; INT(S781/20), "")</f>
        <v/>
      </c>
      <c r="AE781" s="11">
        <f>IF(INT(T781/20)&gt;INT(T780/20), "Lần " &amp; INT(T781/20), "")</f>
        <v/>
      </c>
      <c r="AF781" s="11">
        <f>IF(INT(U781/20)&gt;INT(U780/20), "Lần " &amp; INT(U781/20), "")</f>
        <v/>
      </c>
      <c r="AG781" s="11">
        <f>IF(INT(V781/20)&gt;INT(V780/20), "Lần " &amp; INT(V781/20), "")</f>
        <v/>
      </c>
      <c r="AH781" s="11">
        <f>IF(INT(W781/20)&gt;INT(W780/20), "Lần " &amp; INT(W781/20), "")</f>
        <v/>
      </c>
      <c r="AI781" s="11">
        <f>IF(INT(X781/20)&gt;INT(X780/20), "Lần " &amp; INT(X781/20), "")</f>
        <v/>
      </c>
      <c r="AJ781" s="11">
        <f>IF(INT(Y781/20)&gt;INT(Y780/20), "Lần " &amp; INT(Y781/20), "")</f>
        <v/>
      </c>
      <c r="AK781" s="11">
        <f>IF(INT(Z781/20)&gt;INT(Z780/20), "Lần " &amp; INT(Z781/20), "")</f>
        <v/>
      </c>
      <c r="AL781" s="6" t="inlineStr">
        <is>
          <t>ĐẠT TCVN 1651:2018</t>
        </is>
      </c>
    </row>
    <row r="782" ht="19" customHeight="1">
      <c r="A782" s="6" t="n">
        <v>750</v>
      </c>
      <c r="B782" s="7" t="inlineStr">
        <is>
          <t>Bản mặt cầu (Deck Slab)</t>
        </is>
      </c>
      <c r="C782" s="7" t="inlineStr">
        <is>
          <t>Lưới thép BMC đổ bù</t>
        </is>
      </c>
      <c r="D782" s="18" t="inlineStr">
        <is>
          <t>DR3</t>
        </is>
      </c>
      <c r="E782" s="19" t="n">
        <v>14</v>
      </c>
      <c r="F782" s="6" t="inlineStr">
        <is>
          <t>CB400-V</t>
        </is>
      </c>
      <c r="G782" s="7" t="inlineStr">
        <is>
          <t>S01</t>
        </is>
      </c>
      <c r="H782" s="20" t="n">
        <v>0.9</v>
      </c>
      <c r="I782" s="21" t="n">
        <v>64</v>
      </c>
      <c r="J782" s="22" t="n">
        <v>1.21</v>
      </c>
      <c r="K782" s="9">
        <f>ROUND(H782*I782*J782, 2)</f>
        <v/>
      </c>
      <c r="L782" s="23">
        <f>ROUND(K782/1000, 3)</f>
        <v/>
      </c>
      <c r="M782" s="8" t="n"/>
      <c r="N782" s="6" t="n"/>
      <c r="O782" s="24">
        <f>IF(AND(E782&lt;=10, F782&lt;&gt;"ASTM A416", INT(P782/20)&gt;INT(P781/20)), "TN Ø10 (Lần " &amp; INT(P782/20) &amp; ")", IF(AND(E782=12, INT(Q782/20)&gt;INT(Q781/20)), "TN Ø12 (Lần " &amp; INT(Q782/20) &amp; ")", IF(AND(E782=14, INT(R782/20)&gt;INT(R781/20)), "TN Ø14 (Lần " &amp; INT(R782/20) &amp; ")", IF(AND(E782=16, INT(S782/20)&gt;INT(S781/20)), "TN Ø16 (Lần " &amp; INT(S782/20) &amp; ")", IF(AND(E782=18, INT(T782/20)&gt;INT(T781/20)), "TN Ø18 (Lần " &amp; INT(T782/20) &amp; ")", IF(AND(E782=20, INT(U782/20)&gt;INT(U781/20)), "TN Ø20 (Lần " &amp; INT(U782/20) &amp; ")", IF(AND(E782=22, INT(V782/20)&gt;INT(V781/20)), "TN Ø22 (Lần " &amp; INT(V782/20) &amp; ")", IF(AND(E782=25, INT(W782/20)&gt;INT(W781/20)), "TN Ø25 (Lần " &amp; INT(W782/20) &amp; ")", IF(AND(E782=28, INT(X782/20)&gt;INT(X781/20)), "TN Ø28 (Lần " &amp; INT(X782/20) &amp; ")", IF(AND(E782=32, INT(Y782/20)&gt;INT(Y781/20)), "TN Ø32 (Lần " &amp; INT(Y782/20) &amp; ")", IF(AND(F782="ASTM A416", INT(Z782/20)&gt;INT(Z781/20)), "TN Cáp 15.2 (Lần " &amp; INT(Z782/20) &amp; ")", "")))))))))))</f>
        <v/>
      </c>
      <c r="P782" s="20">
        <f>ROUND(P781 + IF(AND(E782&lt;=10, F782&lt;&gt;"ASTM A416"), L782, 0), 3)</f>
        <v/>
      </c>
      <c r="Q782" s="20">
        <f>ROUND(Q781 + IF(AND(E782=12, F782&lt;&gt;"ASTM A416"), L782, 0), 3)</f>
        <v/>
      </c>
      <c r="R782" s="20">
        <f>ROUND(R781 + IF(AND(E782=14, F782&lt;&gt;"ASTM A416"), L782, 0), 3)</f>
        <v/>
      </c>
      <c r="S782" s="20">
        <f>ROUND(S781 + IF(AND(E782=16, F782&lt;&gt;"ASTM A416"), L782, 0), 3)</f>
        <v/>
      </c>
      <c r="T782" s="20">
        <f>ROUND(T781 + IF(AND(E782=18, F782&lt;&gt;"ASTM A416"), L782, 0), 3)</f>
        <v/>
      </c>
      <c r="U782" s="20">
        <f>ROUND(U781 + IF(AND(E782=20, F782&lt;&gt;"ASTM A416"), L782, 0), 3)</f>
        <v/>
      </c>
      <c r="V782" s="20">
        <f>ROUND(V781 + IF(AND(E782=22, F782&lt;&gt;"ASTM A416"), L782, 0), 3)</f>
        <v/>
      </c>
      <c r="W782" s="20">
        <f>ROUND(W781 + IF(AND(E782=25, F782&lt;&gt;"ASTM A416"), L782, 0), 3)</f>
        <v/>
      </c>
      <c r="X782" s="20">
        <f>ROUND(X781 + IF(AND(E782=28, F782&lt;&gt;"ASTM A416"), L782, 0), 3)</f>
        <v/>
      </c>
      <c r="Y782" s="20">
        <f>ROUND(Y781 + IF(AND(E782=32, F782&lt;&gt;"ASTM A416"), L782, 0), 3)</f>
        <v/>
      </c>
      <c r="Z782" s="20">
        <f>ROUND(Z781 + IF(F782="ASTM A416", L782, 0), 3)</f>
        <v/>
      </c>
      <c r="AA782" s="11">
        <f>IF(INT(P782/20)&gt;INT(P781/20), "Lần " &amp; INT(P782/20), "")</f>
        <v/>
      </c>
      <c r="AB782" s="11">
        <f>IF(INT(Q782/20)&gt;INT(Q781/20), "Lần " &amp; INT(Q782/20), "")</f>
        <v/>
      </c>
      <c r="AC782" s="11">
        <f>IF(INT(R782/20)&gt;INT(R781/20), "Lần " &amp; INT(R782/20), "")</f>
        <v/>
      </c>
      <c r="AD782" s="11">
        <f>IF(INT(S782/20)&gt;INT(S781/20), "Lần " &amp; INT(S782/20), "")</f>
        <v/>
      </c>
      <c r="AE782" s="11">
        <f>IF(INT(T782/20)&gt;INT(T781/20), "Lần " &amp; INT(T782/20), "")</f>
        <v/>
      </c>
      <c r="AF782" s="11">
        <f>IF(INT(U782/20)&gt;INT(U781/20), "Lần " &amp; INT(U782/20), "")</f>
        <v/>
      </c>
      <c r="AG782" s="11">
        <f>IF(INT(V782/20)&gt;INT(V781/20), "Lần " &amp; INT(V782/20), "")</f>
        <v/>
      </c>
      <c r="AH782" s="11">
        <f>IF(INT(W782/20)&gt;INT(W781/20), "Lần " &amp; INT(W782/20), "")</f>
        <v/>
      </c>
      <c r="AI782" s="11">
        <f>IF(INT(X782/20)&gt;INT(X781/20), "Lần " &amp; INT(X782/20), "")</f>
        <v/>
      </c>
      <c r="AJ782" s="11">
        <f>IF(INT(Y782/20)&gt;INT(Y781/20), "Lần " &amp; INT(Y782/20), "")</f>
        <v/>
      </c>
      <c r="AK782" s="11">
        <f>IF(INT(Z782/20)&gt;INT(Z781/20), "Lần " &amp; INT(Z782/20), "")</f>
        <v/>
      </c>
      <c r="AL782" s="6" t="inlineStr">
        <is>
          <t>ĐẠT TCVN 1651:2018</t>
        </is>
      </c>
    </row>
    <row r="783" ht="19" customHeight="1">
      <c r="A783" s="6" t="n">
        <v>751</v>
      </c>
      <c r="B783" s="7" t="inlineStr">
        <is>
          <t>Bản liên tục nhiệt (Link Slab)</t>
        </is>
      </c>
      <c r="C783" s="7" t="inlineStr">
        <is>
          <t>Liên tục nhiệt trên đỉnh trụ T1, T2</t>
        </is>
      </c>
      <c r="D783" s="18" t="inlineStr">
        <is>
          <t>18</t>
        </is>
      </c>
      <c r="E783" s="19" t="n">
        <v>16</v>
      </c>
      <c r="F783" s="6" t="inlineStr">
        <is>
          <t>CB400-V</t>
        </is>
      </c>
      <c r="G783" s="7" t="inlineStr">
        <is>
          <t>Thanh uốn chữ U</t>
        </is>
      </c>
      <c r="H783" s="20" t="n">
        <v>0.002</v>
      </c>
      <c r="I783" s="21" t="n">
        <v>13135</v>
      </c>
      <c r="J783" s="22" t="n">
        <v>1.578</v>
      </c>
      <c r="K783" s="9">
        <f>ROUND(H783*I783*J783, 2)</f>
        <v/>
      </c>
      <c r="L783" s="23">
        <f>ROUND(K783/1000, 3)</f>
        <v/>
      </c>
      <c r="M783" s="8" t="n"/>
      <c r="N783" s="6" t="n"/>
      <c r="O783" s="24">
        <f>IF(AND(E783&lt;=10, F783&lt;&gt;"ASTM A416", INT(P783/20)&gt;INT(P782/20)), "TN Ø10 (Lần " &amp; INT(P783/20) &amp; ")", IF(AND(E783=12, INT(Q783/20)&gt;INT(Q782/20)), "TN Ø12 (Lần " &amp; INT(Q783/20) &amp; ")", IF(AND(E783=14, INT(R783/20)&gt;INT(R782/20)), "TN Ø14 (Lần " &amp; INT(R783/20) &amp; ")", IF(AND(E783=16, INT(S783/20)&gt;INT(S782/20)), "TN Ø16 (Lần " &amp; INT(S783/20) &amp; ")", IF(AND(E783=18, INT(T783/20)&gt;INT(T782/20)), "TN Ø18 (Lần " &amp; INT(T783/20) &amp; ")", IF(AND(E783=20, INT(U783/20)&gt;INT(U782/20)), "TN Ø20 (Lần " &amp; INT(U783/20) &amp; ")", IF(AND(E783=22, INT(V783/20)&gt;INT(V782/20)), "TN Ø22 (Lần " &amp; INT(V783/20) &amp; ")", IF(AND(E783=25, INT(W783/20)&gt;INT(W782/20)), "TN Ø25 (Lần " &amp; INT(W783/20) &amp; ")", IF(AND(E783=28, INT(X783/20)&gt;INT(X782/20)), "TN Ø28 (Lần " &amp; INT(X783/20) &amp; ")", IF(AND(E783=32, INT(Y783/20)&gt;INT(Y782/20)), "TN Ø32 (Lần " &amp; INT(Y783/20) &amp; ")", IF(AND(F783="ASTM A416", INT(Z783/20)&gt;INT(Z782/20)), "TN Cáp 15.2 (Lần " &amp; INT(Z783/20) &amp; ")", "")))))))))))</f>
        <v/>
      </c>
      <c r="P783" s="20">
        <f>ROUND(P782 + IF(AND(E783&lt;=10, F783&lt;&gt;"ASTM A416"), L783, 0), 3)</f>
        <v/>
      </c>
      <c r="Q783" s="20">
        <f>ROUND(Q782 + IF(AND(E783=12, F783&lt;&gt;"ASTM A416"), L783, 0), 3)</f>
        <v/>
      </c>
      <c r="R783" s="20">
        <f>ROUND(R782 + IF(AND(E783=14, F783&lt;&gt;"ASTM A416"), L783, 0), 3)</f>
        <v/>
      </c>
      <c r="S783" s="20">
        <f>ROUND(S782 + IF(AND(E783=16, F783&lt;&gt;"ASTM A416"), L783, 0), 3)</f>
        <v/>
      </c>
      <c r="T783" s="20">
        <f>ROUND(T782 + IF(AND(E783=18, F783&lt;&gt;"ASTM A416"), L783, 0), 3)</f>
        <v/>
      </c>
      <c r="U783" s="20">
        <f>ROUND(U782 + IF(AND(E783=20, F783&lt;&gt;"ASTM A416"), L783, 0), 3)</f>
        <v/>
      </c>
      <c r="V783" s="20">
        <f>ROUND(V782 + IF(AND(E783=22, F783&lt;&gt;"ASTM A416"), L783, 0), 3)</f>
        <v/>
      </c>
      <c r="W783" s="20">
        <f>ROUND(W782 + IF(AND(E783=25, F783&lt;&gt;"ASTM A416"), L783, 0), 3)</f>
        <v/>
      </c>
      <c r="X783" s="20">
        <f>ROUND(X782 + IF(AND(E783=28, F783&lt;&gt;"ASTM A416"), L783, 0), 3)</f>
        <v/>
      </c>
      <c r="Y783" s="20">
        <f>ROUND(Y782 + IF(AND(E783=32, F783&lt;&gt;"ASTM A416"), L783, 0), 3)</f>
        <v/>
      </c>
      <c r="Z783" s="20">
        <f>ROUND(Z782 + IF(F783="ASTM A416", L783, 0), 3)</f>
        <v/>
      </c>
      <c r="AA783" s="11">
        <f>IF(INT(P783/20)&gt;INT(P782/20), "Lần " &amp; INT(P783/20), "")</f>
        <v/>
      </c>
      <c r="AB783" s="11">
        <f>IF(INT(Q783/20)&gt;INT(Q782/20), "Lần " &amp; INT(Q783/20), "")</f>
        <v/>
      </c>
      <c r="AC783" s="11">
        <f>IF(INT(R783/20)&gt;INT(R782/20), "Lần " &amp; INT(R783/20), "")</f>
        <v/>
      </c>
      <c r="AD783" s="11">
        <f>IF(INT(S783/20)&gt;INT(S782/20), "Lần " &amp; INT(S783/20), "")</f>
        <v/>
      </c>
      <c r="AE783" s="11">
        <f>IF(INT(T783/20)&gt;INT(T782/20), "Lần " &amp; INT(T783/20), "")</f>
        <v/>
      </c>
      <c r="AF783" s="11">
        <f>IF(INT(U783/20)&gt;INT(U782/20), "Lần " &amp; INT(U783/20), "")</f>
        <v/>
      </c>
      <c r="AG783" s="11">
        <f>IF(INT(V783/20)&gt;INT(V782/20), "Lần " &amp; INT(V783/20), "")</f>
        <v/>
      </c>
      <c r="AH783" s="11">
        <f>IF(INT(W783/20)&gt;INT(W782/20), "Lần " &amp; INT(W783/20), "")</f>
        <v/>
      </c>
      <c r="AI783" s="11">
        <f>IF(INT(X783/20)&gt;INT(X782/20), "Lần " &amp; INT(X783/20), "")</f>
        <v/>
      </c>
      <c r="AJ783" s="11">
        <f>IF(INT(Y783/20)&gt;INT(Y782/20), "Lần " &amp; INT(Y783/20), "")</f>
        <v/>
      </c>
      <c r="AK783" s="11">
        <f>IF(INT(Z783/20)&gt;INT(Z782/20), "Lần " &amp; INT(Z783/20), "")</f>
        <v/>
      </c>
      <c r="AL783" s="6" t="inlineStr">
        <is>
          <t>ĐẠT TCVN 1651:2018</t>
        </is>
      </c>
    </row>
    <row r="784" ht="19" customHeight="1">
      <c r="A784" s="6" t="n">
        <v>752</v>
      </c>
      <c r="B784" s="7" t="inlineStr">
        <is>
          <t>Bản liên tục nhiệt (Link Slab)</t>
        </is>
      </c>
      <c r="C784" s="7" t="inlineStr">
        <is>
          <t>Liên tục nhiệt trên đỉnh trụ T1, T2</t>
        </is>
      </c>
      <c r="D784" s="18" t="inlineStr">
        <is>
          <t>25</t>
        </is>
      </c>
      <c r="E784" s="19" t="n">
        <v>16</v>
      </c>
      <c r="F784" s="6" t="inlineStr">
        <is>
          <t>CB400-V</t>
        </is>
      </c>
      <c r="G784" s="7" t="inlineStr">
        <is>
          <t>Thanh uốn chữ U</t>
        </is>
      </c>
      <c r="H784" s="20" t="n">
        <v>0.004</v>
      </c>
      <c r="I784" s="21" t="n">
        <v>3920</v>
      </c>
      <c r="J784" s="22" t="n">
        <v>1.578</v>
      </c>
      <c r="K784" s="9">
        <f>ROUND(H784*I784*J784, 2)</f>
        <v/>
      </c>
      <c r="L784" s="23">
        <f>ROUND(K784/1000, 3)</f>
        <v/>
      </c>
      <c r="M784" s="8" t="n"/>
      <c r="N784" s="6" t="n"/>
      <c r="O784" s="24">
        <f>IF(AND(E784&lt;=10, F784&lt;&gt;"ASTM A416", INT(P784/20)&gt;INT(P783/20)), "TN Ø10 (Lần " &amp; INT(P784/20) &amp; ")", IF(AND(E784=12, INT(Q784/20)&gt;INT(Q783/20)), "TN Ø12 (Lần " &amp; INT(Q784/20) &amp; ")", IF(AND(E784=14, INT(R784/20)&gt;INT(R783/20)), "TN Ø14 (Lần " &amp; INT(R784/20) &amp; ")", IF(AND(E784=16, INT(S784/20)&gt;INT(S783/20)), "TN Ø16 (Lần " &amp; INT(S784/20) &amp; ")", IF(AND(E784=18, INT(T784/20)&gt;INT(T783/20)), "TN Ø18 (Lần " &amp; INT(T784/20) &amp; ")", IF(AND(E784=20, INT(U784/20)&gt;INT(U783/20)), "TN Ø20 (Lần " &amp; INT(U784/20) &amp; ")", IF(AND(E784=22, INT(V784/20)&gt;INT(V783/20)), "TN Ø22 (Lần " &amp; INT(V784/20) &amp; ")", IF(AND(E784=25, INT(W784/20)&gt;INT(W783/20)), "TN Ø25 (Lần " &amp; INT(W784/20) &amp; ")", IF(AND(E784=28, INT(X784/20)&gt;INT(X783/20)), "TN Ø28 (Lần " &amp; INT(X784/20) &amp; ")", IF(AND(E784=32, INT(Y784/20)&gt;INT(Y783/20)), "TN Ø32 (Lần " &amp; INT(Y784/20) &amp; ")", IF(AND(F784="ASTM A416", INT(Z784/20)&gt;INT(Z783/20)), "TN Cáp 15.2 (Lần " &amp; INT(Z784/20) &amp; ")", "")))))))))))</f>
        <v/>
      </c>
      <c r="P784" s="20">
        <f>ROUND(P783 + IF(AND(E784&lt;=10, F784&lt;&gt;"ASTM A416"), L784, 0), 3)</f>
        <v/>
      </c>
      <c r="Q784" s="20">
        <f>ROUND(Q783 + IF(AND(E784=12, F784&lt;&gt;"ASTM A416"), L784, 0), 3)</f>
        <v/>
      </c>
      <c r="R784" s="20">
        <f>ROUND(R783 + IF(AND(E784=14, F784&lt;&gt;"ASTM A416"), L784, 0), 3)</f>
        <v/>
      </c>
      <c r="S784" s="20">
        <f>ROUND(S783 + IF(AND(E784=16, F784&lt;&gt;"ASTM A416"), L784, 0), 3)</f>
        <v/>
      </c>
      <c r="T784" s="20">
        <f>ROUND(T783 + IF(AND(E784=18, F784&lt;&gt;"ASTM A416"), L784, 0), 3)</f>
        <v/>
      </c>
      <c r="U784" s="20">
        <f>ROUND(U783 + IF(AND(E784=20, F784&lt;&gt;"ASTM A416"), L784, 0), 3)</f>
        <v/>
      </c>
      <c r="V784" s="20">
        <f>ROUND(V783 + IF(AND(E784=22, F784&lt;&gt;"ASTM A416"), L784, 0), 3)</f>
        <v/>
      </c>
      <c r="W784" s="20">
        <f>ROUND(W783 + IF(AND(E784=25, F784&lt;&gt;"ASTM A416"), L784, 0), 3)</f>
        <v/>
      </c>
      <c r="X784" s="20">
        <f>ROUND(X783 + IF(AND(E784=28, F784&lt;&gt;"ASTM A416"), L784, 0), 3)</f>
        <v/>
      </c>
      <c r="Y784" s="20">
        <f>ROUND(Y783 + IF(AND(E784=32, F784&lt;&gt;"ASTM A416"), L784, 0), 3)</f>
        <v/>
      </c>
      <c r="Z784" s="20">
        <f>ROUND(Z783 + IF(F784="ASTM A416", L784, 0), 3)</f>
        <v/>
      </c>
      <c r="AA784" s="11">
        <f>IF(INT(P784/20)&gt;INT(P783/20), "Lần " &amp; INT(P784/20), "")</f>
        <v/>
      </c>
      <c r="AB784" s="11">
        <f>IF(INT(Q784/20)&gt;INT(Q783/20), "Lần " &amp; INT(Q784/20), "")</f>
        <v/>
      </c>
      <c r="AC784" s="11">
        <f>IF(INT(R784/20)&gt;INT(R783/20), "Lần " &amp; INT(R784/20), "")</f>
        <v/>
      </c>
      <c r="AD784" s="11">
        <f>IF(INT(S784/20)&gt;INT(S783/20), "Lần " &amp; INT(S784/20), "")</f>
        <v/>
      </c>
      <c r="AE784" s="11">
        <f>IF(INT(T784/20)&gt;INT(T783/20), "Lần " &amp; INT(T784/20), "")</f>
        <v/>
      </c>
      <c r="AF784" s="11">
        <f>IF(INT(U784/20)&gt;INT(U783/20), "Lần " &amp; INT(U784/20), "")</f>
        <v/>
      </c>
      <c r="AG784" s="11">
        <f>IF(INT(V784/20)&gt;INT(V783/20), "Lần " &amp; INT(V784/20), "")</f>
        <v/>
      </c>
      <c r="AH784" s="11">
        <f>IF(INT(W784/20)&gt;INT(W783/20), "Lần " &amp; INT(W784/20), "")</f>
        <v/>
      </c>
      <c r="AI784" s="11">
        <f>IF(INT(X784/20)&gt;INT(X783/20), "Lần " &amp; INT(X784/20), "")</f>
        <v/>
      </c>
      <c r="AJ784" s="11">
        <f>IF(INT(Y784/20)&gt;INT(Y783/20), "Lần " &amp; INT(Y784/20), "")</f>
        <v/>
      </c>
      <c r="AK784" s="11">
        <f>IF(INT(Z784/20)&gt;INT(Z783/20), "Lần " &amp; INT(Z784/20), "")</f>
        <v/>
      </c>
      <c r="AL784" s="6" t="inlineStr">
        <is>
          <t>ĐẠT TCVN 1651:2018</t>
        </is>
      </c>
    </row>
    <row r="785" ht="19" customHeight="1">
      <c r="A785" s="6" t="n">
        <v>753</v>
      </c>
      <c r="B785" s="7" t="inlineStr">
        <is>
          <t>Bản liên tục nhiệt (Link Slab)</t>
        </is>
      </c>
      <c r="C785" s="7" t="inlineStr">
        <is>
          <t>Liên tục nhiệt trên đỉnh trụ T1, T2</t>
        </is>
      </c>
      <c r="D785" s="18" t="inlineStr">
        <is>
          <t>10</t>
        </is>
      </c>
      <c r="E785" s="19" t="n">
        <v>16</v>
      </c>
      <c r="F785" s="6" t="inlineStr">
        <is>
          <t>CB400-V</t>
        </is>
      </c>
      <c r="G785" s="7" t="inlineStr">
        <is>
          <t>Thanh uốn chữ U</t>
        </is>
      </c>
      <c r="H785" s="20" t="n">
        <v>0.001</v>
      </c>
      <c r="I785" s="21" t="n">
        <v>320</v>
      </c>
      <c r="J785" s="22" t="n">
        <v>1.578</v>
      </c>
      <c r="K785" s="9">
        <f>ROUND(H785*I785*J785, 2)</f>
        <v/>
      </c>
      <c r="L785" s="23">
        <f>ROUND(K785/1000, 3)</f>
        <v/>
      </c>
      <c r="M785" s="8" t="n"/>
      <c r="N785" s="6" t="n"/>
      <c r="O785" s="24">
        <f>IF(AND(E785&lt;=10, F785&lt;&gt;"ASTM A416", INT(P785/20)&gt;INT(P784/20)), "TN Ø10 (Lần " &amp; INT(P785/20) &amp; ")", IF(AND(E785=12, INT(Q785/20)&gt;INT(Q784/20)), "TN Ø12 (Lần " &amp; INT(Q785/20) &amp; ")", IF(AND(E785=14, INT(R785/20)&gt;INT(R784/20)), "TN Ø14 (Lần " &amp; INT(R785/20) &amp; ")", IF(AND(E785=16, INT(S785/20)&gt;INT(S784/20)), "TN Ø16 (Lần " &amp; INT(S785/20) &amp; ")", IF(AND(E785=18, INT(T785/20)&gt;INT(T784/20)), "TN Ø18 (Lần " &amp; INT(T785/20) &amp; ")", IF(AND(E785=20, INT(U785/20)&gt;INT(U784/20)), "TN Ø20 (Lần " &amp; INT(U785/20) &amp; ")", IF(AND(E785=22, INT(V785/20)&gt;INT(V784/20)), "TN Ø22 (Lần " &amp; INT(V785/20) &amp; ")", IF(AND(E785=25, INT(W785/20)&gt;INT(W784/20)), "TN Ø25 (Lần " &amp; INT(W785/20) &amp; ")", IF(AND(E785=28, INT(X785/20)&gt;INT(X784/20)), "TN Ø28 (Lần " &amp; INT(X785/20) &amp; ")", IF(AND(E785=32, INT(Y785/20)&gt;INT(Y784/20)), "TN Ø32 (Lần " &amp; INT(Y785/20) &amp; ")", IF(AND(F785="ASTM A416", INT(Z785/20)&gt;INT(Z784/20)), "TN Cáp 15.2 (Lần " &amp; INT(Z785/20) &amp; ")", "")))))))))))</f>
        <v/>
      </c>
      <c r="P785" s="20">
        <f>ROUND(P784 + IF(AND(E785&lt;=10, F785&lt;&gt;"ASTM A416"), L785, 0), 3)</f>
        <v/>
      </c>
      <c r="Q785" s="20">
        <f>ROUND(Q784 + IF(AND(E785=12, F785&lt;&gt;"ASTM A416"), L785, 0), 3)</f>
        <v/>
      </c>
      <c r="R785" s="20">
        <f>ROUND(R784 + IF(AND(E785=14, F785&lt;&gt;"ASTM A416"), L785, 0), 3)</f>
        <v/>
      </c>
      <c r="S785" s="20">
        <f>ROUND(S784 + IF(AND(E785=16, F785&lt;&gt;"ASTM A416"), L785, 0), 3)</f>
        <v/>
      </c>
      <c r="T785" s="20">
        <f>ROUND(T784 + IF(AND(E785=18, F785&lt;&gt;"ASTM A416"), L785, 0), 3)</f>
        <v/>
      </c>
      <c r="U785" s="20">
        <f>ROUND(U784 + IF(AND(E785=20, F785&lt;&gt;"ASTM A416"), L785, 0), 3)</f>
        <v/>
      </c>
      <c r="V785" s="20">
        <f>ROUND(V784 + IF(AND(E785=22, F785&lt;&gt;"ASTM A416"), L785, 0), 3)</f>
        <v/>
      </c>
      <c r="W785" s="20">
        <f>ROUND(W784 + IF(AND(E785=25, F785&lt;&gt;"ASTM A416"), L785, 0), 3)</f>
        <v/>
      </c>
      <c r="X785" s="20">
        <f>ROUND(X784 + IF(AND(E785=28, F785&lt;&gt;"ASTM A416"), L785, 0), 3)</f>
        <v/>
      </c>
      <c r="Y785" s="20">
        <f>ROUND(Y784 + IF(AND(E785=32, F785&lt;&gt;"ASTM A416"), L785, 0), 3)</f>
        <v/>
      </c>
      <c r="Z785" s="20">
        <f>ROUND(Z784 + IF(F785="ASTM A416", L785, 0), 3)</f>
        <v/>
      </c>
      <c r="AA785" s="11">
        <f>IF(INT(P785/20)&gt;INT(P784/20), "Lần " &amp; INT(P785/20), "")</f>
        <v/>
      </c>
      <c r="AB785" s="11">
        <f>IF(INT(Q785/20)&gt;INT(Q784/20), "Lần " &amp; INT(Q785/20), "")</f>
        <v/>
      </c>
      <c r="AC785" s="11">
        <f>IF(INT(R785/20)&gt;INT(R784/20), "Lần " &amp; INT(R785/20), "")</f>
        <v/>
      </c>
      <c r="AD785" s="11">
        <f>IF(INT(S785/20)&gt;INT(S784/20), "Lần " &amp; INT(S785/20), "")</f>
        <v/>
      </c>
      <c r="AE785" s="11">
        <f>IF(INT(T785/20)&gt;INT(T784/20), "Lần " &amp; INT(T785/20), "")</f>
        <v/>
      </c>
      <c r="AF785" s="11">
        <f>IF(INT(U785/20)&gt;INT(U784/20), "Lần " &amp; INT(U785/20), "")</f>
        <v/>
      </c>
      <c r="AG785" s="11">
        <f>IF(INT(V785/20)&gt;INT(V784/20), "Lần " &amp; INT(V785/20), "")</f>
        <v/>
      </c>
      <c r="AH785" s="11">
        <f>IF(INT(W785/20)&gt;INT(W784/20), "Lần " &amp; INT(W785/20), "")</f>
        <v/>
      </c>
      <c r="AI785" s="11">
        <f>IF(INT(X785/20)&gt;INT(X784/20), "Lần " &amp; INT(X785/20), "")</f>
        <v/>
      </c>
      <c r="AJ785" s="11">
        <f>IF(INT(Y785/20)&gt;INT(Y784/20), "Lần " &amp; INT(Y785/20), "")</f>
        <v/>
      </c>
      <c r="AK785" s="11">
        <f>IF(INT(Z785/20)&gt;INT(Z784/20), "Lần " &amp; INT(Z785/20), "")</f>
        <v/>
      </c>
      <c r="AL785" s="6" t="inlineStr">
        <is>
          <t>ĐẠT TCVN 1651:2018</t>
        </is>
      </c>
    </row>
    <row r="786" ht="19" customHeight="1">
      <c r="A786" s="6" t="n">
        <v>754</v>
      </c>
      <c r="B786" s="7" t="inlineStr">
        <is>
          <t>Bản liên tục nhiệt (Link Slab)</t>
        </is>
      </c>
      <c r="C786" s="7" t="inlineStr">
        <is>
          <t>Liên tục nhiệt trên đỉnh trụ T1, T2</t>
        </is>
      </c>
      <c r="D786" s="18" t="inlineStr">
        <is>
          <t>18</t>
        </is>
      </c>
      <c r="E786" s="19" t="n">
        <v>16</v>
      </c>
      <c r="F786" s="6" t="inlineStr">
        <is>
          <t>CB400-V</t>
        </is>
      </c>
      <c r="G786" s="7" t="inlineStr">
        <is>
          <t>Thanh uốn chữ U</t>
        </is>
      </c>
      <c r="H786" s="20" t="n">
        <v>0.002</v>
      </c>
      <c r="I786" s="21" t="n">
        <v>2100</v>
      </c>
      <c r="J786" s="22" t="n">
        <v>1.578</v>
      </c>
      <c r="K786" s="9">
        <f>ROUND(H786*I786*J786, 2)</f>
        <v/>
      </c>
      <c r="L786" s="23">
        <f>ROUND(K786/1000, 3)</f>
        <v/>
      </c>
      <c r="M786" s="8" t="n"/>
      <c r="N786" s="6" t="n"/>
      <c r="O786" s="24">
        <f>IF(AND(E786&lt;=10, F786&lt;&gt;"ASTM A416", INT(P786/20)&gt;INT(P785/20)), "TN Ø10 (Lần " &amp; INT(P786/20) &amp; ")", IF(AND(E786=12, INT(Q786/20)&gt;INT(Q785/20)), "TN Ø12 (Lần " &amp; INT(Q786/20) &amp; ")", IF(AND(E786=14, INT(R786/20)&gt;INT(R785/20)), "TN Ø14 (Lần " &amp; INT(R786/20) &amp; ")", IF(AND(E786=16, INT(S786/20)&gt;INT(S785/20)), "TN Ø16 (Lần " &amp; INT(S786/20) &amp; ")", IF(AND(E786=18, INT(T786/20)&gt;INT(T785/20)), "TN Ø18 (Lần " &amp; INT(T786/20) &amp; ")", IF(AND(E786=20, INT(U786/20)&gt;INT(U785/20)), "TN Ø20 (Lần " &amp; INT(U786/20) &amp; ")", IF(AND(E786=22, INT(V786/20)&gt;INT(V785/20)), "TN Ø22 (Lần " &amp; INT(V786/20) &amp; ")", IF(AND(E786=25, INT(W786/20)&gt;INT(W785/20)), "TN Ø25 (Lần " &amp; INT(W786/20) &amp; ")", IF(AND(E786=28, INT(X786/20)&gt;INT(X785/20)), "TN Ø28 (Lần " &amp; INT(X786/20) &amp; ")", IF(AND(E786=32, INT(Y786/20)&gt;INT(Y785/20)), "TN Ø32 (Lần " &amp; INT(Y786/20) &amp; ")", IF(AND(F786="ASTM A416", INT(Z786/20)&gt;INT(Z785/20)), "TN Cáp 15.2 (Lần " &amp; INT(Z786/20) &amp; ")", "")))))))))))</f>
        <v/>
      </c>
      <c r="P786" s="20">
        <f>ROUND(P785 + IF(AND(E786&lt;=10, F786&lt;&gt;"ASTM A416"), L786, 0), 3)</f>
        <v/>
      </c>
      <c r="Q786" s="20">
        <f>ROUND(Q785 + IF(AND(E786=12, F786&lt;&gt;"ASTM A416"), L786, 0), 3)</f>
        <v/>
      </c>
      <c r="R786" s="20">
        <f>ROUND(R785 + IF(AND(E786=14, F786&lt;&gt;"ASTM A416"), L786, 0), 3)</f>
        <v/>
      </c>
      <c r="S786" s="20">
        <f>ROUND(S785 + IF(AND(E786=16, F786&lt;&gt;"ASTM A416"), L786, 0), 3)</f>
        <v/>
      </c>
      <c r="T786" s="20">
        <f>ROUND(T785 + IF(AND(E786=18, F786&lt;&gt;"ASTM A416"), L786, 0), 3)</f>
        <v/>
      </c>
      <c r="U786" s="20">
        <f>ROUND(U785 + IF(AND(E786=20, F786&lt;&gt;"ASTM A416"), L786, 0), 3)</f>
        <v/>
      </c>
      <c r="V786" s="20">
        <f>ROUND(V785 + IF(AND(E786=22, F786&lt;&gt;"ASTM A416"), L786, 0), 3)</f>
        <v/>
      </c>
      <c r="W786" s="20">
        <f>ROUND(W785 + IF(AND(E786=25, F786&lt;&gt;"ASTM A416"), L786, 0), 3)</f>
        <v/>
      </c>
      <c r="X786" s="20">
        <f>ROUND(X785 + IF(AND(E786=28, F786&lt;&gt;"ASTM A416"), L786, 0), 3)</f>
        <v/>
      </c>
      <c r="Y786" s="20">
        <f>ROUND(Y785 + IF(AND(E786=32, F786&lt;&gt;"ASTM A416"), L786, 0), 3)</f>
        <v/>
      </c>
      <c r="Z786" s="20">
        <f>ROUND(Z785 + IF(F786="ASTM A416", L786, 0), 3)</f>
        <v/>
      </c>
      <c r="AA786" s="11">
        <f>IF(INT(P786/20)&gt;INT(P785/20), "Lần " &amp; INT(P786/20), "")</f>
        <v/>
      </c>
      <c r="AB786" s="11">
        <f>IF(INT(Q786/20)&gt;INT(Q785/20), "Lần " &amp; INT(Q786/20), "")</f>
        <v/>
      </c>
      <c r="AC786" s="11">
        <f>IF(INT(R786/20)&gt;INT(R785/20), "Lần " &amp; INT(R786/20), "")</f>
        <v/>
      </c>
      <c r="AD786" s="11">
        <f>IF(INT(S786/20)&gt;INT(S785/20), "Lần " &amp; INT(S786/20), "")</f>
        <v/>
      </c>
      <c r="AE786" s="11">
        <f>IF(INT(T786/20)&gt;INT(T785/20), "Lần " &amp; INT(T786/20), "")</f>
        <v/>
      </c>
      <c r="AF786" s="11">
        <f>IF(INT(U786/20)&gt;INT(U785/20), "Lần " &amp; INT(U786/20), "")</f>
        <v/>
      </c>
      <c r="AG786" s="11">
        <f>IF(INT(V786/20)&gt;INT(V785/20), "Lần " &amp; INT(V786/20), "")</f>
        <v/>
      </c>
      <c r="AH786" s="11">
        <f>IF(INT(W786/20)&gt;INT(W785/20), "Lần " &amp; INT(W786/20), "")</f>
        <v/>
      </c>
      <c r="AI786" s="11">
        <f>IF(INT(X786/20)&gt;INT(X785/20), "Lần " &amp; INT(X786/20), "")</f>
        <v/>
      </c>
      <c r="AJ786" s="11">
        <f>IF(INT(Y786/20)&gt;INT(Y785/20), "Lần " &amp; INT(Y786/20), "")</f>
        <v/>
      </c>
      <c r="AK786" s="11">
        <f>IF(INT(Z786/20)&gt;INT(Z785/20), "Lần " &amp; INT(Z786/20), "")</f>
        <v/>
      </c>
      <c r="AL786" s="6" t="inlineStr">
        <is>
          <t>ĐẠT TCVN 1651:2018</t>
        </is>
      </c>
    </row>
    <row r="787" ht="23" customHeight="1">
      <c r="A787" s="16" t="inlineStr">
        <is>
          <t>04. CÔNG TRÌNH PHỤ TRỢ (MISCELLANEOUS)</t>
        </is>
      </c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  <c r="AD787" s="5" t="n"/>
      <c r="AE787" s="5" t="n"/>
      <c r="AF787" s="5" t="n"/>
      <c r="AG787" s="5" t="n"/>
      <c r="AH787" s="5" t="n"/>
      <c r="AI787" s="5" t="n"/>
      <c r="AJ787" s="5" t="n"/>
      <c r="AK787" s="5" t="n"/>
      <c r="AL787" s="5" t="n"/>
    </row>
    <row r="788" ht="19" customHeight="1">
      <c r="A788" s="6" t="n">
        <v>755</v>
      </c>
      <c r="B788" s="7" t="inlineStr">
        <is>
          <t>Bản quá độ Mố M1</t>
        </is>
      </c>
      <c r="C788" s="7" t="inlineStr">
        <is>
          <t>Bản quá độ tiếp giáp mố</t>
        </is>
      </c>
      <c r="D788" s="18" t="inlineStr">
        <is>
          <t>A1</t>
        </is>
      </c>
      <c r="E788" s="19" t="n">
        <v>16</v>
      </c>
      <c r="F788" s="6" t="inlineStr">
        <is>
          <t>CB400-V</t>
        </is>
      </c>
      <c r="G788" s="7" t="inlineStr">
        <is>
          <t>S06</t>
        </is>
      </c>
      <c r="H788" s="20" t="n">
        <v>6.332</v>
      </c>
      <c r="I788" s="21" t="n">
        <v>57</v>
      </c>
      <c r="J788" s="22" t="n">
        <v>1.58</v>
      </c>
      <c r="K788" s="9">
        <f>ROUND(H788*I788*J788, 2)</f>
        <v/>
      </c>
      <c r="L788" s="23">
        <f>ROUND(K788/1000, 3)</f>
        <v/>
      </c>
      <c r="M788" s="8" t="n"/>
      <c r="N788" s="6" t="n"/>
      <c r="O788" s="24">
        <f>IF(AND(E788&lt;=10, F788&lt;&gt;"ASTM A416", INT(P788/20)&gt;INT(P786/20)), "TN Ø10 (Lần " &amp; INT(P788/20) &amp; ")", IF(AND(E788=12, INT(Q788/20)&gt;INT(Q786/20)), "TN Ø12 (Lần " &amp; INT(Q788/20) &amp; ")", IF(AND(E788=14, INT(R788/20)&gt;INT(R786/20)), "TN Ø14 (Lần " &amp; INT(R788/20) &amp; ")", IF(AND(E788=16, INT(S788/20)&gt;INT(S786/20)), "TN Ø16 (Lần " &amp; INT(S788/20) &amp; ")", IF(AND(E788=18, INT(T788/20)&gt;INT(T786/20)), "TN Ø18 (Lần " &amp; INT(T788/20) &amp; ")", IF(AND(E788=20, INT(U788/20)&gt;INT(U786/20)), "TN Ø20 (Lần " &amp; INT(U788/20) &amp; ")", IF(AND(E788=22, INT(V788/20)&gt;INT(V786/20)), "TN Ø22 (Lần " &amp; INT(V788/20) &amp; ")", IF(AND(E788=25, INT(W788/20)&gt;INT(W786/20)), "TN Ø25 (Lần " &amp; INT(W788/20) &amp; ")", IF(AND(E788=28, INT(X788/20)&gt;INT(X786/20)), "TN Ø28 (Lần " &amp; INT(X788/20) &amp; ")", IF(AND(E788=32, INT(Y788/20)&gt;INT(Y786/20)), "TN Ø32 (Lần " &amp; INT(Y788/20) &amp; ")", IF(AND(F788="ASTM A416", INT(Z788/20)&gt;INT(Z786/20)), "TN Cáp 15.2 (Lần " &amp; INT(Z788/20) &amp; ")", "")))))))))))</f>
        <v/>
      </c>
      <c r="P788" s="20">
        <f>ROUND(P786 + IF(AND(E788&lt;=10, F788&lt;&gt;"ASTM A416"), L788, 0), 3)</f>
        <v/>
      </c>
      <c r="Q788" s="20">
        <f>ROUND(Q786 + IF(AND(E788=12, F788&lt;&gt;"ASTM A416"), L788, 0), 3)</f>
        <v/>
      </c>
      <c r="R788" s="20">
        <f>ROUND(R786 + IF(AND(E788=14, F788&lt;&gt;"ASTM A416"), L788, 0), 3)</f>
        <v/>
      </c>
      <c r="S788" s="20">
        <f>ROUND(S786 + IF(AND(E788=16, F788&lt;&gt;"ASTM A416"), L788, 0), 3)</f>
        <v/>
      </c>
      <c r="T788" s="20">
        <f>ROUND(T786 + IF(AND(E788=18, F788&lt;&gt;"ASTM A416"), L788, 0), 3)</f>
        <v/>
      </c>
      <c r="U788" s="20">
        <f>ROUND(U786 + IF(AND(E788=20, F788&lt;&gt;"ASTM A416"), L788, 0), 3)</f>
        <v/>
      </c>
      <c r="V788" s="20">
        <f>ROUND(V786 + IF(AND(E788=22, F788&lt;&gt;"ASTM A416"), L788, 0), 3)</f>
        <v/>
      </c>
      <c r="W788" s="20">
        <f>ROUND(W786 + IF(AND(E788=25, F788&lt;&gt;"ASTM A416"), L788, 0), 3)</f>
        <v/>
      </c>
      <c r="X788" s="20">
        <f>ROUND(X786 + IF(AND(E788=28, F788&lt;&gt;"ASTM A416"), L788, 0), 3)</f>
        <v/>
      </c>
      <c r="Y788" s="20">
        <f>ROUND(Y786 + IF(AND(E788=32, F788&lt;&gt;"ASTM A416"), L788, 0), 3)</f>
        <v/>
      </c>
      <c r="Z788" s="20">
        <f>ROUND(Z786 + IF(F788="ASTM A416", L788, 0), 3)</f>
        <v/>
      </c>
      <c r="AA788" s="11">
        <f>IF(INT(P788/20)&gt;INT(P786/20), "Lần " &amp; INT(P788/20), "")</f>
        <v/>
      </c>
      <c r="AB788" s="11">
        <f>IF(INT(Q788/20)&gt;INT(Q786/20), "Lần " &amp; INT(Q788/20), "")</f>
        <v/>
      </c>
      <c r="AC788" s="11">
        <f>IF(INT(R788/20)&gt;INT(R786/20), "Lần " &amp; INT(R788/20), "")</f>
        <v/>
      </c>
      <c r="AD788" s="11">
        <f>IF(INT(S788/20)&gt;INT(S786/20), "Lần " &amp; INT(S788/20), "")</f>
        <v/>
      </c>
      <c r="AE788" s="11">
        <f>IF(INT(T788/20)&gt;INT(T786/20), "Lần " &amp; INT(T788/20), "")</f>
        <v/>
      </c>
      <c r="AF788" s="11">
        <f>IF(INT(U788/20)&gt;INT(U786/20), "Lần " &amp; INT(U788/20), "")</f>
        <v/>
      </c>
      <c r="AG788" s="11">
        <f>IF(INT(V788/20)&gt;INT(V786/20), "Lần " &amp; INT(V788/20), "")</f>
        <v/>
      </c>
      <c r="AH788" s="11">
        <f>IF(INT(W788/20)&gt;INT(W786/20), "Lần " &amp; INT(W788/20), "")</f>
        <v/>
      </c>
      <c r="AI788" s="11">
        <f>IF(INT(X788/20)&gt;INT(X786/20), "Lần " &amp; INT(X788/20), "")</f>
        <v/>
      </c>
      <c r="AJ788" s="11">
        <f>IF(INT(Y788/20)&gt;INT(Y786/20), "Lần " &amp; INT(Y788/20), "")</f>
        <v/>
      </c>
      <c r="AK788" s="11">
        <f>IF(INT(Z788/20)&gt;INT(Z786/20), "Lần " &amp; INT(Z788/20), "")</f>
        <v/>
      </c>
      <c r="AL788" s="6" t="inlineStr">
        <is>
          <t>ĐẠT TCVN 1651:2018</t>
        </is>
      </c>
    </row>
    <row r="789" ht="19" customHeight="1">
      <c r="A789" s="6" t="n">
        <v>756</v>
      </c>
      <c r="B789" s="7" t="inlineStr">
        <is>
          <t>Bản quá độ Mố M1</t>
        </is>
      </c>
      <c r="C789" s="7" t="inlineStr">
        <is>
          <t>Bản quá độ tiếp giáp mố</t>
        </is>
      </c>
      <c r="D789" s="18" t="inlineStr">
        <is>
          <t>A2</t>
        </is>
      </c>
      <c r="E789" s="19" t="n">
        <v>16</v>
      </c>
      <c r="F789" s="6" t="inlineStr">
        <is>
          <t>CB400-V</t>
        </is>
      </c>
      <c r="G789" s="7" t="inlineStr">
        <is>
          <t>S06</t>
        </is>
      </c>
      <c r="H789" s="20" t="n">
        <v>12.447</v>
      </c>
      <c r="I789" s="21" t="n">
        <v>30</v>
      </c>
      <c r="J789" s="22" t="n">
        <v>1.58</v>
      </c>
      <c r="K789" s="9">
        <f>ROUND(H789*I789*J789, 2)</f>
        <v/>
      </c>
      <c r="L789" s="23">
        <f>ROUND(K789/1000, 3)</f>
        <v/>
      </c>
      <c r="M789" s="8" t="n"/>
      <c r="N789" s="6" t="n"/>
      <c r="O789" s="24">
        <f>IF(AND(E789&lt;=10, F789&lt;&gt;"ASTM A416", INT(P789/20)&gt;INT(P788/20)), "TN Ø10 (Lần " &amp; INT(P789/20) &amp; ")", IF(AND(E789=12, INT(Q789/20)&gt;INT(Q788/20)), "TN Ø12 (Lần " &amp; INT(Q789/20) &amp; ")", IF(AND(E789=14, INT(R789/20)&gt;INT(R788/20)), "TN Ø14 (Lần " &amp; INT(R789/20) &amp; ")", IF(AND(E789=16, INT(S789/20)&gt;INT(S788/20)), "TN Ø16 (Lần " &amp; INT(S789/20) &amp; ")", IF(AND(E789=18, INT(T789/20)&gt;INT(T788/20)), "TN Ø18 (Lần " &amp; INT(T789/20) &amp; ")", IF(AND(E789=20, INT(U789/20)&gt;INT(U788/20)), "TN Ø20 (Lần " &amp; INT(U789/20) &amp; ")", IF(AND(E789=22, INT(V789/20)&gt;INT(V788/20)), "TN Ø22 (Lần " &amp; INT(V789/20) &amp; ")", IF(AND(E789=25, INT(W789/20)&gt;INT(W788/20)), "TN Ø25 (Lần " &amp; INT(W789/20) &amp; ")", IF(AND(E789=28, INT(X789/20)&gt;INT(X788/20)), "TN Ø28 (Lần " &amp; INT(X789/20) &amp; ")", IF(AND(E789=32, INT(Y789/20)&gt;INT(Y788/20)), "TN Ø32 (Lần " &amp; INT(Y789/20) &amp; ")", IF(AND(F789="ASTM A416", INT(Z789/20)&gt;INT(Z788/20)), "TN Cáp 15.2 (Lần " &amp; INT(Z789/20) &amp; ")", "")))))))))))</f>
        <v/>
      </c>
      <c r="P789" s="20">
        <f>ROUND(P788 + IF(AND(E789&lt;=10, F789&lt;&gt;"ASTM A416"), L789, 0), 3)</f>
        <v/>
      </c>
      <c r="Q789" s="20">
        <f>ROUND(Q788 + IF(AND(E789=12, F789&lt;&gt;"ASTM A416"), L789, 0), 3)</f>
        <v/>
      </c>
      <c r="R789" s="20">
        <f>ROUND(R788 + IF(AND(E789=14, F789&lt;&gt;"ASTM A416"), L789, 0), 3)</f>
        <v/>
      </c>
      <c r="S789" s="20">
        <f>ROUND(S788 + IF(AND(E789=16, F789&lt;&gt;"ASTM A416"), L789, 0), 3)</f>
        <v/>
      </c>
      <c r="T789" s="20">
        <f>ROUND(T788 + IF(AND(E789=18, F789&lt;&gt;"ASTM A416"), L789, 0), 3)</f>
        <v/>
      </c>
      <c r="U789" s="20">
        <f>ROUND(U788 + IF(AND(E789=20, F789&lt;&gt;"ASTM A416"), L789, 0), 3)</f>
        <v/>
      </c>
      <c r="V789" s="20">
        <f>ROUND(V788 + IF(AND(E789=22, F789&lt;&gt;"ASTM A416"), L789, 0), 3)</f>
        <v/>
      </c>
      <c r="W789" s="20">
        <f>ROUND(W788 + IF(AND(E789=25, F789&lt;&gt;"ASTM A416"), L789, 0), 3)</f>
        <v/>
      </c>
      <c r="X789" s="20">
        <f>ROUND(X788 + IF(AND(E789=28, F789&lt;&gt;"ASTM A416"), L789, 0), 3)</f>
        <v/>
      </c>
      <c r="Y789" s="20">
        <f>ROUND(Y788 + IF(AND(E789=32, F789&lt;&gt;"ASTM A416"), L789, 0), 3)</f>
        <v/>
      </c>
      <c r="Z789" s="20">
        <f>ROUND(Z788 + IF(F789="ASTM A416", L789, 0), 3)</f>
        <v/>
      </c>
      <c r="AA789" s="11">
        <f>IF(INT(P789/20)&gt;INT(P788/20), "Lần " &amp; INT(P789/20), "")</f>
        <v/>
      </c>
      <c r="AB789" s="11">
        <f>IF(INT(Q789/20)&gt;INT(Q788/20), "Lần " &amp; INT(Q789/20), "")</f>
        <v/>
      </c>
      <c r="AC789" s="11">
        <f>IF(INT(R789/20)&gt;INT(R788/20), "Lần " &amp; INT(R789/20), "")</f>
        <v/>
      </c>
      <c r="AD789" s="11">
        <f>IF(INT(S789/20)&gt;INT(S788/20), "Lần " &amp; INT(S789/20), "")</f>
        <v/>
      </c>
      <c r="AE789" s="11">
        <f>IF(INT(T789/20)&gt;INT(T788/20), "Lần " &amp; INT(T789/20), "")</f>
        <v/>
      </c>
      <c r="AF789" s="11">
        <f>IF(INT(U789/20)&gt;INT(U788/20), "Lần " &amp; INT(U789/20), "")</f>
        <v/>
      </c>
      <c r="AG789" s="11">
        <f>IF(INT(V789/20)&gt;INT(V788/20), "Lần " &amp; INT(V789/20), "")</f>
        <v/>
      </c>
      <c r="AH789" s="11">
        <f>IF(INT(W789/20)&gt;INT(W788/20), "Lần " &amp; INT(W789/20), "")</f>
        <v/>
      </c>
      <c r="AI789" s="11">
        <f>IF(INT(X789/20)&gt;INT(X788/20), "Lần " &amp; INT(X789/20), "")</f>
        <v/>
      </c>
      <c r="AJ789" s="11">
        <f>IF(INT(Y789/20)&gt;INT(Y788/20), "Lần " &amp; INT(Y789/20), "")</f>
        <v/>
      </c>
      <c r="AK789" s="11">
        <f>IF(INT(Z789/20)&gt;INT(Z788/20), "Lần " &amp; INT(Z789/20), "")</f>
        <v/>
      </c>
      <c r="AL789" s="6" t="inlineStr">
        <is>
          <t>ĐẠT TCVN 1651:2018</t>
        </is>
      </c>
    </row>
    <row r="790" ht="19" customHeight="1">
      <c r="A790" s="6" t="n">
        <v>757</v>
      </c>
      <c r="B790" s="7" t="inlineStr">
        <is>
          <t>Bản quá độ Mố M1</t>
        </is>
      </c>
      <c r="C790" s="7" t="inlineStr">
        <is>
          <t>Bản quá độ tiếp giáp mố</t>
        </is>
      </c>
      <c r="D790" s="18" t="inlineStr">
        <is>
          <t>A3</t>
        </is>
      </c>
      <c r="E790" s="19" t="n">
        <v>20</v>
      </c>
      <c r="F790" s="6" t="inlineStr">
        <is>
          <t>CB400-V</t>
        </is>
      </c>
      <c r="G790" s="7" t="inlineStr">
        <is>
          <t>S06</t>
        </is>
      </c>
      <c r="H790" s="20" t="n">
        <v>6.3</v>
      </c>
      <c r="I790" s="21" t="n">
        <v>113</v>
      </c>
      <c r="J790" s="22" t="n">
        <v>2.47</v>
      </c>
      <c r="K790" s="9">
        <f>ROUND(H790*I790*J790, 2)</f>
        <v/>
      </c>
      <c r="L790" s="23">
        <f>ROUND(K790/1000, 3)</f>
        <v/>
      </c>
      <c r="M790" s="8" t="n"/>
      <c r="N790" s="6" t="n"/>
      <c r="O790" s="24">
        <f>IF(AND(E790&lt;=10, F790&lt;&gt;"ASTM A416", INT(P790/20)&gt;INT(P789/20)), "TN Ø10 (Lần " &amp; INT(P790/20) &amp; ")", IF(AND(E790=12, INT(Q790/20)&gt;INT(Q789/20)), "TN Ø12 (Lần " &amp; INT(Q790/20) &amp; ")", IF(AND(E790=14, INT(R790/20)&gt;INT(R789/20)), "TN Ø14 (Lần " &amp; INT(R790/20) &amp; ")", IF(AND(E790=16, INT(S790/20)&gt;INT(S789/20)), "TN Ø16 (Lần " &amp; INT(S790/20) &amp; ")", IF(AND(E790=18, INT(T790/20)&gt;INT(T789/20)), "TN Ø18 (Lần " &amp; INT(T790/20) &amp; ")", IF(AND(E790=20, INT(U790/20)&gt;INT(U789/20)), "TN Ø20 (Lần " &amp; INT(U790/20) &amp; ")", IF(AND(E790=22, INT(V790/20)&gt;INT(V789/20)), "TN Ø22 (Lần " &amp; INT(V790/20) &amp; ")", IF(AND(E790=25, INT(W790/20)&gt;INT(W789/20)), "TN Ø25 (Lần " &amp; INT(W790/20) &amp; ")", IF(AND(E790=28, INT(X790/20)&gt;INT(X789/20)), "TN Ø28 (Lần " &amp; INT(X790/20) &amp; ")", IF(AND(E790=32, INT(Y790/20)&gt;INT(Y789/20)), "TN Ø32 (Lần " &amp; INT(Y790/20) &amp; ")", IF(AND(F790="ASTM A416", INT(Z790/20)&gt;INT(Z789/20)), "TN Cáp 15.2 (Lần " &amp; INT(Z790/20) &amp; ")", "")))))))))))</f>
        <v/>
      </c>
      <c r="P790" s="20">
        <f>ROUND(P789 + IF(AND(E790&lt;=10, F790&lt;&gt;"ASTM A416"), L790, 0), 3)</f>
        <v/>
      </c>
      <c r="Q790" s="20">
        <f>ROUND(Q789 + IF(AND(E790=12, F790&lt;&gt;"ASTM A416"), L790, 0), 3)</f>
        <v/>
      </c>
      <c r="R790" s="20">
        <f>ROUND(R789 + IF(AND(E790=14, F790&lt;&gt;"ASTM A416"), L790, 0), 3)</f>
        <v/>
      </c>
      <c r="S790" s="20">
        <f>ROUND(S789 + IF(AND(E790=16, F790&lt;&gt;"ASTM A416"), L790, 0), 3)</f>
        <v/>
      </c>
      <c r="T790" s="20">
        <f>ROUND(T789 + IF(AND(E790=18, F790&lt;&gt;"ASTM A416"), L790, 0), 3)</f>
        <v/>
      </c>
      <c r="U790" s="20">
        <f>ROUND(U789 + IF(AND(E790=20, F790&lt;&gt;"ASTM A416"), L790, 0), 3)</f>
        <v/>
      </c>
      <c r="V790" s="20">
        <f>ROUND(V789 + IF(AND(E790=22, F790&lt;&gt;"ASTM A416"), L790, 0), 3)</f>
        <v/>
      </c>
      <c r="W790" s="20">
        <f>ROUND(W789 + IF(AND(E790=25, F790&lt;&gt;"ASTM A416"), L790, 0), 3)</f>
        <v/>
      </c>
      <c r="X790" s="20">
        <f>ROUND(X789 + IF(AND(E790=28, F790&lt;&gt;"ASTM A416"), L790, 0), 3)</f>
        <v/>
      </c>
      <c r="Y790" s="20">
        <f>ROUND(Y789 + IF(AND(E790=32, F790&lt;&gt;"ASTM A416"), L790, 0), 3)</f>
        <v/>
      </c>
      <c r="Z790" s="20">
        <f>ROUND(Z789 + IF(F790="ASTM A416", L790, 0), 3)</f>
        <v/>
      </c>
      <c r="AA790" s="11">
        <f>IF(INT(P790/20)&gt;INT(P789/20), "Lần " &amp; INT(P790/20), "")</f>
        <v/>
      </c>
      <c r="AB790" s="11">
        <f>IF(INT(Q790/20)&gt;INT(Q789/20), "Lần " &amp; INT(Q790/20), "")</f>
        <v/>
      </c>
      <c r="AC790" s="11">
        <f>IF(INT(R790/20)&gt;INT(R789/20), "Lần " &amp; INT(R790/20), "")</f>
        <v/>
      </c>
      <c r="AD790" s="11">
        <f>IF(INT(S790/20)&gt;INT(S789/20), "Lần " &amp; INT(S790/20), "")</f>
        <v/>
      </c>
      <c r="AE790" s="11">
        <f>IF(INT(T790/20)&gt;INT(T789/20), "Lần " &amp; INT(T790/20), "")</f>
        <v/>
      </c>
      <c r="AF790" s="11">
        <f>IF(INT(U790/20)&gt;INT(U789/20), "Lần " &amp; INT(U790/20), "")</f>
        <v/>
      </c>
      <c r="AG790" s="11">
        <f>IF(INT(V790/20)&gt;INT(V789/20), "Lần " &amp; INT(V790/20), "")</f>
        <v/>
      </c>
      <c r="AH790" s="11">
        <f>IF(INT(W790/20)&gt;INT(W789/20), "Lần " &amp; INT(W790/20), "")</f>
        <v/>
      </c>
      <c r="AI790" s="11">
        <f>IF(INT(X790/20)&gt;INT(X789/20), "Lần " &amp; INT(X790/20), "")</f>
        <v/>
      </c>
      <c r="AJ790" s="11">
        <f>IF(INT(Y790/20)&gt;INT(Y789/20), "Lần " &amp; INT(Y790/20), "")</f>
        <v/>
      </c>
      <c r="AK790" s="11">
        <f>IF(INT(Z790/20)&gt;INT(Z789/20), "Lần " &amp; INT(Z790/20), "")</f>
        <v/>
      </c>
      <c r="AL790" s="6" t="inlineStr">
        <is>
          <t>ĐẠT TCVN 1651:2018</t>
        </is>
      </c>
    </row>
    <row r="791" ht="19" customHeight="1">
      <c r="A791" s="6" t="n">
        <v>758</v>
      </c>
      <c r="B791" s="7" t="inlineStr">
        <is>
          <t>Bản quá độ Mố M1</t>
        </is>
      </c>
      <c r="C791" s="7" t="inlineStr">
        <is>
          <t>Bản quá độ tiếp giáp mố</t>
        </is>
      </c>
      <c r="D791" s="18" t="inlineStr">
        <is>
          <t>A4</t>
        </is>
      </c>
      <c r="E791" s="19" t="n">
        <v>16</v>
      </c>
      <c r="F791" s="6" t="inlineStr">
        <is>
          <t>CB400-V</t>
        </is>
      </c>
      <c r="G791" s="7" t="inlineStr">
        <is>
          <t>S06</t>
        </is>
      </c>
      <c r="H791" s="20" t="n">
        <v>12.447</v>
      </c>
      <c r="I791" s="21" t="n">
        <v>30</v>
      </c>
      <c r="J791" s="22" t="n">
        <v>1.58</v>
      </c>
      <c r="K791" s="9">
        <f>ROUND(H791*I791*J791, 2)</f>
        <v/>
      </c>
      <c r="L791" s="23">
        <f>ROUND(K791/1000, 3)</f>
        <v/>
      </c>
      <c r="M791" s="8" t="n"/>
      <c r="N791" s="6" t="n"/>
      <c r="O791" s="24">
        <f>IF(AND(E791&lt;=10, F791&lt;&gt;"ASTM A416", INT(P791/20)&gt;INT(P790/20)), "TN Ø10 (Lần " &amp; INT(P791/20) &amp; ")", IF(AND(E791=12, INT(Q791/20)&gt;INT(Q790/20)), "TN Ø12 (Lần " &amp; INT(Q791/20) &amp; ")", IF(AND(E791=14, INT(R791/20)&gt;INT(R790/20)), "TN Ø14 (Lần " &amp; INT(R791/20) &amp; ")", IF(AND(E791=16, INT(S791/20)&gt;INT(S790/20)), "TN Ø16 (Lần " &amp; INT(S791/20) &amp; ")", IF(AND(E791=18, INT(T791/20)&gt;INT(T790/20)), "TN Ø18 (Lần " &amp; INT(T791/20) &amp; ")", IF(AND(E791=20, INT(U791/20)&gt;INT(U790/20)), "TN Ø20 (Lần " &amp; INT(U791/20) &amp; ")", IF(AND(E791=22, INT(V791/20)&gt;INT(V790/20)), "TN Ø22 (Lần " &amp; INT(V791/20) &amp; ")", IF(AND(E791=25, INT(W791/20)&gt;INT(W790/20)), "TN Ø25 (Lần " &amp; INT(W791/20) &amp; ")", IF(AND(E791=28, INT(X791/20)&gt;INT(X790/20)), "TN Ø28 (Lần " &amp; INT(X791/20) &amp; ")", IF(AND(E791=32, INT(Y791/20)&gt;INT(Y790/20)), "TN Ø32 (Lần " &amp; INT(Y791/20) &amp; ")", IF(AND(F791="ASTM A416", INT(Z791/20)&gt;INT(Z790/20)), "TN Cáp 15.2 (Lần " &amp; INT(Z791/20) &amp; ")", "")))))))))))</f>
        <v/>
      </c>
      <c r="P791" s="20">
        <f>ROUND(P790 + IF(AND(E791&lt;=10, F791&lt;&gt;"ASTM A416"), L791, 0), 3)</f>
        <v/>
      </c>
      <c r="Q791" s="20">
        <f>ROUND(Q790 + IF(AND(E791=12, F791&lt;&gt;"ASTM A416"), L791, 0), 3)</f>
        <v/>
      </c>
      <c r="R791" s="20">
        <f>ROUND(R790 + IF(AND(E791=14, F791&lt;&gt;"ASTM A416"), L791, 0), 3)</f>
        <v/>
      </c>
      <c r="S791" s="20">
        <f>ROUND(S790 + IF(AND(E791=16, F791&lt;&gt;"ASTM A416"), L791, 0), 3)</f>
        <v/>
      </c>
      <c r="T791" s="20">
        <f>ROUND(T790 + IF(AND(E791=18, F791&lt;&gt;"ASTM A416"), L791, 0), 3)</f>
        <v/>
      </c>
      <c r="U791" s="20">
        <f>ROUND(U790 + IF(AND(E791=20, F791&lt;&gt;"ASTM A416"), L791, 0), 3)</f>
        <v/>
      </c>
      <c r="V791" s="20">
        <f>ROUND(V790 + IF(AND(E791=22, F791&lt;&gt;"ASTM A416"), L791, 0), 3)</f>
        <v/>
      </c>
      <c r="W791" s="20">
        <f>ROUND(W790 + IF(AND(E791=25, F791&lt;&gt;"ASTM A416"), L791, 0), 3)</f>
        <v/>
      </c>
      <c r="X791" s="20">
        <f>ROUND(X790 + IF(AND(E791=28, F791&lt;&gt;"ASTM A416"), L791, 0), 3)</f>
        <v/>
      </c>
      <c r="Y791" s="20">
        <f>ROUND(Y790 + IF(AND(E791=32, F791&lt;&gt;"ASTM A416"), L791, 0), 3)</f>
        <v/>
      </c>
      <c r="Z791" s="20">
        <f>ROUND(Z790 + IF(F791="ASTM A416", L791, 0), 3)</f>
        <v/>
      </c>
      <c r="AA791" s="11">
        <f>IF(INT(P791/20)&gt;INT(P790/20), "Lần " &amp; INT(P791/20), "")</f>
        <v/>
      </c>
      <c r="AB791" s="11">
        <f>IF(INT(Q791/20)&gt;INT(Q790/20), "Lần " &amp; INT(Q791/20), "")</f>
        <v/>
      </c>
      <c r="AC791" s="11">
        <f>IF(INT(R791/20)&gt;INT(R790/20), "Lần " &amp; INT(R791/20), "")</f>
        <v/>
      </c>
      <c r="AD791" s="11">
        <f>IF(INT(S791/20)&gt;INT(S790/20), "Lần " &amp; INT(S791/20), "")</f>
        <v/>
      </c>
      <c r="AE791" s="11">
        <f>IF(INT(T791/20)&gt;INT(T790/20), "Lần " &amp; INT(T791/20), "")</f>
        <v/>
      </c>
      <c r="AF791" s="11">
        <f>IF(INT(U791/20)&gt;INT(U790/20), "Lần " &amp; INT(U791/20), "")</f>
        <v/>
      </c>
      <c r="AG791" s="11">
        <f>IF(INT(V791/20)&gt;INT(V790/20), "Lần " &amp; INT(V791/20), "")</f>
        <v/>
      </c>
      <c r="AH791" s="11">
        <f>IF(INT(W791/20)&gt;INT(W790/20), "Lần " &amp; INT(W791/20), "")</f>
        <v/>
      </c>
      <c r="AI791" s="11">
        <f>IF(INT(X791/20)&gt;INT(X790/20), "Lần " &amp; INT(X791/20), "")</f>
        <v/>
      </c>
      <c r="AJ791" s="11">
        <f>IF(INT(Y791/20)&gt;INT(Y790/20), "Lần " &amp; INT(Y791/20), "")</f>
        <v/>
      </c>
      <c r="AK791" s="11">
        <f>IF(INT(Z791/20)&gt;INT(Z790/20), "Lần " &amp; INT(Z791/20), "")</f>
        <v/>
      </c>
      <c r="AL791" s="6" t="inlineStr">
        <is>
          <t>ĐẠT TCVN 1651:2018</t>
        </is>
      </c>
    </row>
    <row r="792" ht="19" customHeight="1">
      <c r="A792" s="6" t="n">
        <v>759</v>
      </c>
      <c r="B792" s="7" t="inlineStr">
        <is>
          <t>Bản quá độ Mố M1</t>
        </is>
      </c>
      <c r="C792" s="7" t="inlineStr">
        <is>
          <t>Bản quá độ tiếp giáp mố</t>
        </is>
      </c>
      <c r="D792" s="18" t="inlineStr">
        <is>
          <t>A5</t>
        </is>
      </c>
      <c r="E792" s="19" t="n">
        <v>18</v>
      </c>
      <c r="F792" s="6" t="inlineStr">
        <is>
          <t>CB400-V</t>
        </is>
      </c>
      <c r="G792" s="7" t="inlineStr">
        <is>
          <t>S29</t>
        </is>
      </c>
      <c r="H792" s="20" t="n">
        <v>1.629</v>
      </c>
      <c r="I792" s="21" t="n">
        <v>113</v>
      </c>
      <c r="J792" s="22" t="n">
        <v>2</v>
      </c>
      <c r="K792" s="9">
        <f>ROUND(H792*I792*J792, 2)</f>
        <v/>
      </c>
      <c r="L792" s="23">
        <f>ROUND(K792/1000, 3)</f>
        <v/>
      </c>
      <c r="M792" s="8" t="n"/>
      <c r="N792" s="6" t="n"/>
      <c r="O792" s="24">
        <f>IF(AND(E792&lt;=10, F792&lt;&gt;"ASTM A416", INT(P792/20)&gt;INT(P791/20)), "TN Ø10 (Lần " &amp; INT(P792/20) &amp; ")", IF(AND(E792=12, INT(Q792/20)&gt;INT(Q791/20)), "TN Ø12 (Lần " &amp; INT(Q792/20) &amp; ")", IF(AND(E792=14, INT(R792/20)&gt;INT(R791/20)), "TN Ø14 (Lần " &amp; INT(R792/20) &amp; ")", IF(AND(E792=16, INT(S792/20)&gt;INT(S791/20)), "TN Ø16 (Lần " &amp; INT(S792/20) &amp; ")", IF(AND(E792=18, INT(T792/20)&gt;INT(T791/20)), "TN Ø18 (Lần " &amp; INT(T792/20) &amp; ")", IF(AND(E792=20, INT(U792/20)&gt;INT(U791/20)), "TN Ø20 (Lần " &amp; INT(U792/20) &amp; ")", IF(AND(E792=22, INT(V792/20)&gt;INT(V791/20)), "TN Ø22 (Lần " &amp; INT(V792/20) &amp; ")", IF(AND(E792=25, INT(W792/20)&gt;INT(W791/20)), "TN Ø25 (Lần " &amp; INT(W792/20) &amp; ")", IF(AND(E792=28, INT(X792/20)&gt;INT(X791/20)), "TN Ø28 (Lần " &amp; INT(X792/20) &amp; ")", IF(AND(E792=32, INT(Y792/20)&gt;INT(Y791/20)), "TN Ø32 (Lần " &amp; INT(Y792/20) &amp; ")", IF(AND(F792="ASTM A416", INT(Z792/20)&gt;INT(Z791/20)), "TN Cáp 15.2 (Lần " &amp; INT(Z792/20) &amp; ")", "")))))))))))</f>
        <v/>
      </c>
      <c r="P792" s="20">
        <f>ROUND(P791 + IF(AND(E792&lt;=10, F792&lt;&gt;"ASTM A416"), L792, 0), 3)</f>
        <v/>
      </c>
      <c r="Q792" s="20">
        <f>ROUND(Q791 + IF(AND(E792=12, F792&lt;&gt;"ASTM A416"), L792, 0), 3)</f>
        <v/>
      </c>
      <c r="R792" s="20">
        <f>ROUND(R791 + IF(AND(E792=14, F792&lt;&gt;"ASTM A416"), L792, 0), 3)</f>
        <v/>
      </c>
      <c r="S792" s="20">
        <f>ROUND(S791 + IF(AND(E792=16, F792&lt;&gt;"ASTM A416"), L792, 0), 3)</f>
        <v/>
      </c>
      <c r="T792" s="20">
        <f>ROUND(T791 + IF(AND(E792=18, F792&lt;&gt;"ASTM A416"), L792, 0), 3)</f>
        <v/>
      </c>
      <c r="U792" s="20">
        <f>ROUND(U791 + IF(AND(E792=20, F792&lt;&gt;"ASTM A416"), L792, 0), 3)</f>
        <v/>
      </c>
      <c r="V792" s="20">
        <f>ROUND(V791 + IF(AND(E792=22, F792&lt;&gt;"ASTM A416"), L792, 0), 3)</f>
        <v/>
      </c>
      <c r="W792" s="20">
        <f>ROUND(W791 + IF(AND(E792=25, F792&lt;&gt;"ASTM A416"), L792, 0), 3)</f>
        <v/>
      </c>
      <c r="X792" s="20">
        <f>ROUND(X791 + IF(AND(E792=28, F792&lt;&gt;"ASTM A416"), L792, 0), 3)</f>
        <v/>
      </c>
      <c r="Y792" s="20">
        <f>ROUND(Y791 + IF(AND(E792=32, F792&lt;&gt;"ASTM A416"), L792, 0), 3)</f>
        <v/>
      </c>
      <c r="Z792" s="20">
        <f>ROUND(Z791 + IF(F792="ASTM A416", L792, 0), 3)</f>
        <v/>
      </c>
      <c r="AA792" s="11">
        <f>IF(INT(P792/20)&gt;INT(P791/20), "Lần " &amp; INT(P792/20), "")</f>
        <v/>
      </c>
      <c r="AB792" s="11">
        <f>IF(INT(Q792/20)&gt;INT(Q791/20), "Lần " &amp; INT(Q792/20), "")</f>
        <v/>
      </c>
      <c r="AC792" s="11">
        <f>IF(INT(R792/20)&gt;INT(R791/20), "Lần " &amp; INT(R792/20), "")</f>
        <v/>
      </c>
      <c r="AD792" s="11">
        <f>IF(INT(S792/20)&gt;INT(S791/20), "Lần " &amp; INT(S792/20), "")</f>
        <v/>
      </c>
      <c r="AE792" s="11">
        <f>IF(INT(T792/20)&gt;INT(T791/20), "Lần " &amp; INT(T792/20), "")</f>
        <v/>
      </c>
      <c r="AF792" s="11">
        <f>IF(INT(U792/20)&gt;INT(U791/20), "Lần " &amp; INT(U792/20), "")</f>
        <v/>
      </c>
      <c r="AG792" s="11">
        <f>IF(INT(V792/20)&gt;INT(V791/20), "Lần " &amp; INT(V792/20), "")</f>
        <v/>
      </c>
      <c r="AH792" s="11">
        <f>IF(INT(W792/20)&gt;INT(W791/20), "Lần " &amp; INT(W792/20), "")</f>
        <v/>
      </c>
      <c r="AI792" s="11">
        <f>IF(INT(X792/20)&gt;INT(X791/20), "Lần " &amp; INT(X792/20), "")</f>
        <v/>
      </c>
      <c r="AJ792" s="11">
        <f>IF(INT(Y792/20)&gt;INT(Y791/20), "Lần " &amp; INT(Y792/20), "")</f>
        <v/>
      </c>
      <c r="AK792" s="11">
        <f>IF(INT(Z792/20)&gt;INT(Z791/20), "Lần " &amp; INT(Z792/20), "")</f>
        <v/>
      </c>
      <c r="AL792" s="6" t="inlineStr">
        <is>
          <t>ĐẠT TCVN 1651:2018</t>
        </is>
      </c>
    </row>
    <row r="793" ht="19" customHeight="1">
      <c r="A793" s="6" t="n">
        <v>760</v>
      </c>
      <c r="B793" s="7" t="inlineStr">
        <is>
          <t>Bản quá độ Mố M1</t>
        </is>
      </c>
      <c r="C793" s="7" t="inlineStr">
        <is>
          <t>Bản quá độ tiếp giáp mố</t>
        </is>
      </c>
      <c r="D793" s="18" t="inlineStr">
        <is>
          <t>A6</t>
        </is>
      </c>
      <c r="E793" s="19" t="n">
        <v>12</v>
      </c>
      <c r="F793" s="6" t="inlineStr">
        <is>
          <t>CB400-V</t>
        </is>
      </c>
      <c r="G793" s="7" t="inlineStr">
        <is>
          <t>S06</t>
        </is>
      </c>
      <c r="H793" s="20" t="n">
        <v>0.396</v>
      </c>
      <c r="I793" s="21" t="n">
        <v>222</v>
      </c>
      <c r="J793" s="22" t="n">
        <v>0.888</v>
      </c>
      <c r="K793" s="9">
        <f>ROUND(H793*I793*J793, 2)</f>
        <v/>
      </c>
      <c r="L793" s="23">
        <f>ROUND(K793/1000, 3)</f>
        <v/>
      </c>
      <c r="M793" s="8" t="n"/>
      <c r="N793" s="6" t="n"/>
      <c r="O793" s="24">
        <f>IF(AND(E793&lt;=10, F793&lt;&gt;"ASTM A416", INT(P793/20)&gt;INT(P792/20)), "TN Ø10 (Lần " &amp; INT(P793/20) &amp; ")", IF(AND(E793=12, INT(Q793/20)&gt;INT(Q792/20)), "TN Ø12 (Lần " &amp; INT(Q793/20) &amp; ")", IF(AND(E793=14, INT(R793/20)&gt;INT(R792/20)), "TN Ø14 (Lần " &amp; INT(R793/20) &amp; ")", IF(AND(E793=16, INT(S793/20)&gt;INT(S792/20)), "TN Ø16 (Lần " &amp; INT(S793/20) &amp; ")", IF(AND(E793=18, INT(T793/20)&gt;INT(T792/20)), "TN Ø18 (Lần " &amp; INT(T793/20) &amp; ")", IF(AND(E793=20, INT(U793/20)&gt;INT(U792/20)), "TN Ø20 (Lần " &amp; INT(U793/20) &amp; ")", IF(AND(E793=22, INT(V793/20)&gt;INT(V792/20)), "TN Ø22 (Lần " &amp; INT(V793/20) &amp; ")", IF(AND(E793=25, INT(W793/20)&gt;INT(W792/20)), "TN Ø25 (Lần " &amp; INT(W793/20) &amp; ")", IF(AND(E793=28, INT(X793/20)&gt;INT(X792/20)), "TN Ø28 (Lần " &amp; INT(X793/20) &amp; ")", IF(AND(E793=32, INT(Y793/20)&gt;INT(Y792/20)), "TN Ø32 (Lần " &amp; INT(Y793/20) &amp; ")", IF(AND(F793="ASTM A416", INT(Z793/20)&gt;INT(Z792/20)), "TN Cáp 15.2 (Lần " &amp; INT(Z793/20) &amp; ")", "")))))))))))</f>
        <v/>
      </c>
      <c r="P793" s="20">
        <f>ROUND(P792 + IF(AND(E793&lt;=10, F793&lt;&gt;"ASTM A416"), L793, 0), 3)</f>
        <v/>
      </c>
      <c r="Q793" s="20">
        <f>ROUND(Q792 + IF(AND(E793=12, F793&lt;&gt;"ASTM A416"), L793, 0), 3)</f>
        <v/>
      </c>
      <c r="R793" s="20">
        <f>ROUND(R792 + IF(AND(E793=14, F793&lt;&gt;"ASTM A416"), L793, 0), 3)</f>
        <v/>
      </c>
      <c r="S793" s="20">
        <f>ROUND(S792 + IF(AND(E793=16, F793&lt;&gt;"ASTM A416"), L793, 0), 3)</f>
        <v/>
      </c>
      <c r="T793" s="20">
        <f>ROUND(T792 + IF(AND(E793=18, F793&lt;&gt;"ASTM A416"), L793, 0), 3)</f>
        <v/>
      </c>
      <c r="U793" s="20">
        <f>ROUND(U792 + IF(AND(E793=20, F793&lt;&gt;"ASTM A416"), L793, 0), 3)</f>
        <v/>
      </c>
      <c r="V793" s="20">
        <f>ROUND(V792 + IF(AND(E793=22, F793&lt;&gt;"ASTM A416"), L793, 0), 3)</f>
        <v/>
      </c>
      <c r="W793" s="20">
        <f>ROUND(W792 + IF(AND(E793=25, F793&lt;&gt;"ASTM A416"), L793, 0), 3)</f>
        <v/>
      </c>
      <c r="X793" s="20">
        <f>ROUND(X792 + IF(AND(E793=28, F793&lt;&gt;"ASTM A416"), L793, 0), 3)</f>
        <v/>
      </c>
      <c r="Y793" s="20">
        <f>ROUND(Y792 + IF(AND(E793=32, F793&lt;&gt;"ASTM A416"), L793, 0), 3)</f>
        <v/>
      </c>
      <c r="Z793" s="20">
        <f>ROUND(Z792 + IF(F793="ASTM A416", L793, 0), 3)</f>
        <v/>
      </c>
      <c r="AA793" s="11">
        <f>IF(INT(P793/20)&gt;INT(P792/20), "Lần " &amp; INT(P793/20), "")</f>
        <v/>
      </c>
      <c r="AB793" s="11">
        <f>IF(INT(Q793/20)&gt;INT(Q792/20), "Lần " &amp; INT(Q793/20), "")</f>
        <v/>
      </c>
      <c r="AC793" s="11">
        <f>IF(INT(R793/20)&gt;INT(R792/20), "Lần " &amp; INT(R793/20), "")</f>
        <v/>
      </c>
      <c r="AD793" s="11">
        <f>IF(INT(S793/20)&gt;INT(S792/20), "Lần " &amp; INT(S793/20), "")</f>
        <v/>
      </c>
      <c r="AE793" s="11">
        <f>IF(INT(T793/20)&gt;INT(T792/20), "Lần " &amp; INT(T793/20), "")</f>
        <v/>
      </c>
      <c r="AF793" s="11">
        <f>IF(INT(U793/20)&gt;INT(U792/20), "Lần " &amp; INT(U793/20), "")</f>
        <v/>
      </c>
      <c r="AG793" s="11">
        <f>IF(INT(V793/20)&gt;INT(V792/20), "Lần " &amp; INT(V793/20), "")</f>
        <v/>
      </c>
      <c r="AH793" s="11">
        <f>IF(INT(W793/20)&gt;INT(W792/20), "Lần " &amp; INT(W793/20), "")</f>
        <v/>
      </c>
      <c r="AI793" s="11">
        <f>IF(INT(X793/20)&gt;INT(X792/20), "Lần " &amp; INT(X793/20), "")</f>
        <v/>
      </c>
      <c r="AJ793" s="11">
        <f>IF(INT(Y793/20)&gt;INT(Y792/20), "Lần " &amp; INT(Y793/20), "")</f>
        <v/>
      </c>
      <c r="AK793" s="11">
        <f>IF(INT(Z793/20)&gt;INT(Z792/20), "Lần " &amp; INT(Z793/20), "")</f>
        <v/>
      </c>
      <c r="AL793" s="6" t="inlineStr">
        <is>
          <t>ĐẠT TCVN 1651:2018</t>
        </is>
      </c>
    </row>
    <row r="794" ht="19" customHeight="1">
      <c r="A794" s="6" t="n">
        <v>761</v>
      </c>
      <c r="B794" s="7" t="inlineStr">
        <is>
          <t>Bản quá độ Mố M1</t>
        </is>
      </c>
      <c r="C794" s="7" t="inlineStr">
        <is>
          <t>Bản quá độ tiếp giáp mố</t>
        </is>
      </c>
      <c r="D794" s="18" t="inlineStr">
        <is>
          <t>A7</t>
        </is>
      </c>
      <c r="E794" s="19" t="n">
        <v>10</v>
      </c>
      <c r="F794" s="6" t="inlineStr">
        <is>
          <t>CB240-T</t>
        </is>
      </c>
      <c r="G794" s="7" t="inlineStr">
        <is>
          <t>S32</t>
        </is>
      </c>
      <c r="H794" s="20" t="n">
        <v>0.676</v>
      </c>
      <c r="I794" s="21" t="n">
        <v>23</v>
      </c>
      <c r="J794" s="22" t="n">
        <v>0.617</v>
      </c>
      <c r="K794" s="9">
        <f>ROUND(H794*I794*J794, 2)</f>
        <v/>
      </c>
      <c r="L794" s="23">
        <f>ROUND(K794/1000, 3)</f>
        <v/>
      </c>
      <c r="M794" s="8" t="n"/>
      <c r="N794" s="6" t="n"/>
      <c r="O794" s="24">
        <f>IF(AND(E794&lt;=10, F794&lt;&gt;"ASTM A416", INT(P794/20)&gt;INT(P793/20)), "TN Ø10 (Lần " &amp; INT(P794/20) &amp; ")", IF(AND(E794=12, INT(Q794/20)&gt;INT(Q793/20)), "TN Ø12 (Lần " &amp; INT(Q794/20) &amp; ")", IF(AND(E794=14, INT(R794/20)&gt;INT(R793/20)), "TN Ø14 (Lần " &amp; INT(R794/20) &amp; ")", IF(AND(E794=16, INT(S794/20)&gt;INT(S793/20)), "TN Ø16 (Lần " &amp; INT(S794/20) &amp; ")", IF(AND(E794=18, INT(T794/20)&gt;INT(T793/20)), "TN Ø18 (Lần " &amp; INT(T794/20) &amp; ")", IF(AND(E794=20, INT(U794/20)&gt;INT(U793/20)), "TN Ø20 (Lần " &amp; INT(U794/20) &amp; ")", IF(AND(E794=22, INT(V794/20)&gt;INT(V793/20)), "TN Ø22 (Lần " &amp; INT(V794/20) &amp; ")", IF(AND(E794=25, INT(W794/20)&gt;INT(W793/20)), "TN Ø25 (Lần " &amp; INT(W794/20) &amp; ")", IF(AND(E794=28, INT(X794/20)&gt;INT(X793/20)), "TN Ø28 (Lần " &amp; INT(X794/20) &amp; ")", IF(AND(E794=32, INT(Y794/20)&gt;INT(Y793/20)), "TN Ø32 (Lần " &amp; INT(Y794/20) &amp; ")", IF(AND(F794="ASTM A416", INT(Z794/20)&gt;INT(Z793/20)), "TN Cáp 15.2 (Lần " &amp; INT(Z794/20) &amp; ")", "")))))))))))</f>
        <v/>
      </c>
      <c r="P794" s="20">
        <f>ROUND(P793 + IF(AND(E794&lt;=10, F794&lt;&gt;"ASTM A416"), L794, 0), 3)</f>
        <v/>
      </c>
      <c r="Q794" s="20">
        <f>ROUND(Q793 + IF(AND(E794=12, F794&lt;&gt;"ASTM A416"), L794, 0), 3)</f>
        <v/>
      </c>
      <c r="R794" s="20">
        <f>ROUND(R793 + IF(AND(E794=14, F794&lt;&gt;"ASTM A416"), L794, 0), 3)</f>
        <v/>
      </c>
      <c r="S794" s="20">
        <f>ROUND(S793 + IF(AND(E794=16, F794&lt;&gt;"ASTM A416"), L794, 0), 3)</f>
        <v/>
      </c>
      <c r="T794" s="20">
        <f>ROUND(T793 + IF(AND(E794=18, F794&lt;&gt;"ASTM A416"), L794, 0), 3)</f>
        <v/>
      </c>
      <c r="U794" s="20">
        <f>ROUND(U793 + IF(AND(E794=20, F794&lt;&gt;"ASTM A416"), L794, 0), 3)</f>
        <v/>
      </c>
      <c r="V794" s="20">
        <f>ROUND(V793 + IF(AND(E794=22, F794&lt;&gt;"ASTM A416"), L794, 0), 3)</f>
        <v/>
      </c>
      <c r="W794" s="20">
        <f>ROUND(W793 + IF(AND(E794=25, F794&lt;&gt;"ASTM A416"), L794, 0), 3)</f>
        <v/>
      </c>
      <c r="X794" s="20">
        <f>ROUND(X793 + IF(AND(E794=28, F794&lt;&gt;"ASTM A416"), L794, 0), 3)</f>
        <v/>
      </c>
      <c r="Y794" s="20">
        <f>ROUND(Y793 + IF(AND(E794=32, F794&lt;&gt;"ASTM A416"), L794, 0), 3)</f>
        <v/>
      </c>
      <c r="Z794" s="20">
        <f>ROUND(Z793 + IF(F794="ASTM A416", L794, 0), 3)</f>
        <v/>
      </c>
      <c r="AA794" s="11">
        <f>IF(INT(P794/20)&gt;INT(P793/20), "Lần " &amp; INT(P794/20), "")</f>
        <v/>
      </c>
      <c r="AB794" s="11">
        <f>IF(INT(Q794/20)&gt;INT(Q793/20), "Lần " &amp; INT(Q794/20), "")</f>
        <v/>
      </c>
      <c r="AC794" s="11">
        <f>IF(INT(R794/20)&gt;INT(R793/20), "Lần " &amp; INT(R794/20), "")</f>
        <v/>
      </c>
      <c r="AD794" s="11">
        <f>IF(INT(S794/20)&gt;INT(S793/20), "Lần " &amp; INT(S794/20), "")</f>
        <v/>
      </c>
      <c r="AE794" s="11">
        <f>IF(INT(T794/20)&gt;INT(T793/20), "Lần " &amp; INT(T794/20), "")</f>
        <v/>
      </c>
      <c r="AF794" s="11">
        <f>IF(INT(U794/20)&gt;INT(U793/20), "Lần " &amp; INT(U794/20), "")</f>
        <v/>
      </c>
      <c r="AG794" s="11">
        <f>IF(INT(V794/20)&gt;INT(V793/20), "Lần " &amp; INT(V794/20), "")</f>
        <v/>
      </c>
      <c r="AH794" s="11">
        <f>IF(INT(W794/20)&gt;INT(W793/20), "Lần " &amp; INT(W794/20), "")</f>
        <v/>
      </c>
      <c r="AI794" s="11">
        <f>IF(INT(X794/20)&gt;INT(X793/20), "Lần " &amp; INT(X794/20), "")</f>
        <v/>
      </c>
      <c r="AJ794" s="11">
        <f>IF(INT(Y794/20)&gt;INT(Y793/20), "Lần " &amp; INT(Y794/20), "")</f>
        <v/>
      </c>
      <c r="AK794" s="11">
        <f>IF(INT(Z794/20)&gt;INT(Z793/20), "Lần " &amp; INT(Z794/20), "")</f>
        <v/>
      </c>
      <c r="AL794" s="6" t="inlineStr">
        <is>
          <t>ĐẠT TCVN 1651:2018</t>
        </is>
      </c>
    </row>
    <row r="795" ht="19" customHeight="1">
      <c r="A795" s="6" t="n">
        <v>762</v>
      </c>
      <c r="B795" s="7" t="inlineStr">
        <is>
          <t>Bản quá độ Mố M2</t>
        </is>
      </c>
      <c r="C795" s="7" t="inlineStr">
        <is>
          <t>Bản quá độ tiếp giáp mố</t>
        </is>
      </c>
      <c r="D795" s="18" t="inlineStr">
        <is>
          <t>A1</t>
        </is>
      </c>
      <c r="E795" s="19" t="n">
        <v>16</v>
      </c>
      <c r="F795" s="6" t="inlineStr">
        <is>
          <t>CB400-V</t>
        </is>
      </c>
      <c r="G795" s="7" t="inlineStr">
        <is>
          <t>S06</t>
        </is>
      </c>
      <c r="H795" s="20" t="n">
        <v>8.332000000000001</v>
      </c>
      <c r="I795" s="21" t="n">
        <v>57</v>
      </c>
      <c r="J795" s="22" t="n">
        <v>1.58</v>
      </c>
      <c r="K795" s="9">
        <f>ROUND(H795*I795*J795, 2)</f>
        <v/>
      </c>
      <c r="L795" s="23">
        <f>ROUND(K795/1000, 3)</f>
        <v/>
      </c>
      <c r="M795" s="8" t="n"/>
      <c r="N795" s="6" t="n"/>
      <c r="O795" s="24">
        <f>IF(AND(E795&lt;=10, F795&lt;&gt;"ASTM A416", INT(P795/20)&gt;INT(P794/20)), "TN Ø10 (Lần " &amp; INT(P795/20) &amp; ")", IF(AND(E795=12, INT(Q795/20)&gt;INT(Q794/20)), "TN Ø12 (Lần " &amp; INT(Q795/20) &amp; ")", IF(AND(E795=14, INT(R795/20)&gt;INT(R794/20)), "TN Ø14 (Lần " &amp; INT(R795/20) &amp; ")", IF(AND(E795=16, INT(S795/20)&gt;INT(S794/20)), "TN Ø16 (Lần " &amp; INT(S795/20) &amp; ")", IF(AND(E795=18, INT(T795/20)&gt;INT(T794/20)), "TN Ø18 (Lần " &amp; INT(T795/20) &amp; ")", IF(AND(E795=20, INT(U795/20)&gt;INT(U794/20)), "TN Ø20 (Lần " &amp; INT(U795/20) &amp; ")", IF(AND(E795=22, INT(V795/20)&gt;INT(V794/20)), "TN Ø22 (Lần " &amp; INT(V795/20) &amp; ")", IF(AND(E795=25, INT(W795/20)&gt;INT(W794/20)), "TN Ø25 (Lần " &amp; INT(W795/20) &amp; ")", IF(AND(E795=28, INT(X795/20)&gt;INT(X794/20)), "TN Ø28 (Lần " &amp; INT(X795/20) &amp; ")", IF(AND(E795=32, INT(Y795/20)&gt;INT(Y794/20)), "TN Ø32 (Lần " &amp; INT(Y795/20) &amp; ")", IF(AND(F795="ASTM A416", INT(Z795/20)&gt;INT(Z794/20)), "TN Cáp 15.2 (Lần " &amp; INT(Z795/20) &amp; ")", "")))))))))))</f>
        <v/>
      </c>
      <c r="P795" s="20">
        <f>ROUND(P794 + IF(AND(E795&lt;=10, F795&lt;&gt;"ASTM A416"), L795, 0), 3)</f>
        <v/>
      </c>
      <c r="Q795" s="20">
        <f>ROUND(Q794 + IF(AND(E795=12, F795&lt;&gt;"ASTM A416"), L795, 0), 3)</f>
        <v/>
      </c>
      <c r="R795" s="20">
        <f>ROUND(R794 + IF(AND(E795=14, F795&lt;&gt;"ASTM A416"), L795, 0), 3)</f>
        <v/>
      </c>
      <c r="S795" s="20">
        <f>ROUND(S794 + IF(AND(E795=16, F795&lt;&gt;"ASTM A416"), L795, 0), 3)</f>
        <v/>
      </c>
      <c r="T795" s="20">
        <f>ROUND(T794 + IF(AND(E795=18, F795&lt;&gt;"ASTM A416"), L795, 0), 3)</f>
        <v/>
      </c>
      <c r="U795" s="20">
        <f>ROUND(U794 + IF(AND(E795=20, F795&lt;&gt;"ASTM A416"), L795, 0), 3)</f>
        <v/>
      </c>
      <c r="V795" s="20">
        <f>ROUND(V794 + IF(AND(E795=22, F795&lt;&gt;"ASTM A416"), L795, 0), 3)</f>
        <v/>
      </c>
      <c r="W795" s="20">
        <f>ROUND(W794 + IF(AND(E795=25, F795&lt;&gt;"ASTM A416"), L795, 0), 3)</f>
        <v/>
      </c>
      <c r="X795" s="20">
        <f>ROUND(X794 + IF(AND(E795=28, F795&lt;&gt;"ASTM A416"), L795, 0), 3)</f>
        <v/>
      </c>
      <c r="Y795" s="20">
        <f>ROUND(Y794 + IF(AND(E795=32, F795&lt;&gt;"ASTM A416"), L795, 0), 3)</f>
        <v/>
      </c>
      <c r="Z795" s="20">
        <f>ROUND(Z794 + IF(F795="ASTM A416", L795, 0), 3)</f>
        <v/>
      </c>
      <c r="AA795" s="11">
        <f>IF(INT(P795/20)&gt;INT(P794/20), "Lần " &amp; INT(P795/20), "")</f>
        <v/>
      </c>
      <c r="AB795" s="11">
        <f>IF(INT(Q795/20)&gt;INT(Q794/20), "Lần " &amp; INT(Q795/20), "")</f>
        <v/>
      </c>
      <c r="AC795" s="11">
        <f>IF(INT(R795/20)&gt;INT(R794/20), "Lần " &amp; INT(R795/20), "")</f>
        <v/>
      </c>
      <c r="AD795" s="11">
        <f>IF(INT(S795/20)&gt;INT(S794/20), "Lần " &amp; INT(S795/20), "")</f>
        <v/>
      </c>
      <c r="AE795" s="11">
        <f>IF(INT(T795/20)&gt;INT(T794/20), "Lần " &amp; INT(T795/20), "")</f>
        <v/>
      </c>
      <c r="AF795" s="11">
        <f>IF(INT(U795/20)&gt;INT(U794/20), "Lần " &amp; INT(U795/20), "")</f>
        <v/>
      </c>
      <c r="AG795" s="11">
        <f>IF(INT(V795/20)&gt;INT(V794/20), "Lần " &amp; INT(V795/20), "")</f>
        <v/>
      </c>
      <c r="AH795" s="11">
        <f>IF(INT(W795/20)&gt;INT(W794/20), "Lần " &amp; INT(W795/20), "")</f>
        <v/>
      </c>
      <c r="AI795" s="11">
        <f>IF(INT(X795/20)&gt;INT(X794/20), "Lần " &amp; INT(X795/20), "")</f>
        <v/>
      </c>
      <c r="AJ795" s="11">
        <f>IF(INT(Y795/20)&gt;INT(Y794/20), "Lần " &amp; INT(Y795/20), "")</f>
        <v/>
      </c>
      <c r="AK795" s="11">
        <f>IF(INT(Z795/20)&gt;INT(Z794/20), "Lần " &amp; INT(Z795/20), "")</f>
        <v/>
      </c>
      <c r="AL795" s="6" t="inlineStr">
        <is>
          <t>ĐẠT TCVN 1651:2018</t>
        </is>
      </c>
    </row>
    <row r="796" ht="19" customHeight="1">
      <c r="A796" s="6" t="n">
        <v>763</v>
      </c>
      <c r="B796" s="7" t="inlineStr">
        <is>
          <t>Bản quá độ Mố M2</t>
        </is>
      </c>
      <c r="C796" s="7" t="inlineStr">
        <is>
          <t>Bản quá độ tiếp giáp mố</t>
        </is>
      </c>
      <c r="D796" s="18" t="inlineStr">
        <is>
          <t>A2</t>
        </is>
      </c>
      <c r="E796" s="19" t="n">
        <v>16</v>
      </c>
      <c r="F796" s="6" t="inlineStr">
        <is>
          <t>CB400-V</t>
        </is>
      </c>
      <c r="G796" s="7" t="inlineStr">
        <is>
          <t>S06</t>
        </is>
      </c>
      <c r="H796" s="20" t="n">
        <v>12.447</v>
      </c>
      <c r="I796" s="21" t="n">
        <v>40</v>
      </c>
      <c r="J796" s="22" t="n">
        <v>1.58</v>
      </c>
      <c r="K796" s="9">
        <f>ROUND(H796*I796*J796, 2)</f>
        <v/>
      </c>
      <c r="L796" s="23">
        <f>ROUND(K796/1000, 3)</f>
        <v/>
      </c>
      <c r="M796" s="8" t="n"/>
      <c r="N796" s="6" t="n"/>
      <c r="O796" s="24">
        <f>IF(AND(E796&lt;=10, F796&lt;&gt;"ASTM A416", INT(P796/20)&gt;INT(P795/20)), "TN Ø10 (Lần " &amp; INT(P796/20) &amp; ")", IF(AND(E796=12, INT(Q796/20)&gt;INT(Q795/20)), "TN Ø12 (Lần " &amp; INT(Q796/20) &amp; ")", IF(AND(E796=14, INT(R796/20)&gt;INT(R795/20)), "TN Ø14 (Lần " &amp; INT(R796/20) &amp; ")", IF(AND(E796=16, INT(S796/20)&gt;INT(S795/20)), "TN Ø16 (Lần " &amp; INT(S796/20) &amp; ")", IF(AND(E796=18, INT(T796/20)&gt;INT(T795/20)), "TN Ø18 (Lần " &amp; INT(T796/20) &amp; ")", IF(AND(E796=20, INT(U796/20)&gt;INT(U795/20)), "TN Ø20 (Lần " &amp; INT(U796/20) &amp; ")", IF(AND(E796=22, INT(V796/20)&gt;INT(V795/20)), "TN Ø22 (Lần " &amp; INT(V796/20) &amp; ")", IF(AND(E796=25, INT(W796/20)&gt;INT(W795/20)), "TN Ø25 (Lần " &amp; INT(W796/20) &amp; ")", IF(AND(E796=28, INT(X796/20)&gt;INT(X795/20)), "TN Ø28 (Lần " &amp; INT(X796/20) &amp; ")", IF(AND(E796=32, INT(Y796/20)&gt;INT(Y795/20)), "TN Ø32 (Lần " &amp; INT(Y796/20) &amp; ")", IF(AND(F796="ASTM A416", INT(Z796/20)&gt;INT(Z795/20)), "TN Cáp 15.2 (Lần " &amp; INT(Z796/20) &amp; ")", "")))))))))))</f>
        <v/>
      </c>
      <c r="P796" s="20">
        <f>ROUND(P795 + IF(AND(E796&lt;=10, F796&lt;&gt;"ASTM A416"), L796, 0), 3)</f>
        <v/>
      </c>
      <c r="Q796" s="20">
        <f>ROUND(Q795 + IF(AND(E796=12, F796&lt;&gt;"ASTM A416"), L796, 0), 3)</f>
        <v/>
      </c>
      <c r="R796" s="20">
        <f>ROUND(R795 + IF(AND(E796=14, F796&lt;&gt;"ASTM A416"), L796, 0), 3)</f>
        <v/>
      </c>
      <c r="S796" s="20">
        <f>ROUND(S795 + IF(AND(E796=16, F796&lt;&gt;"ASTM A416"), L796, 0), 3)</f>
        <v/>
      </c>
      <c r="T796" s="20">
        <f>ROUND(T795 + IF(AND(E796=18, F796&lt;&gt;"ASTM A416"), L796, 0), 3)</f>
        <v/>
      </c>
      <c r="U796" s="20">
        <f>ROUND(U795 + IF(AND(E796=20, F796&lt;&gt;"ASTM A416"), L796, 0), 3)</f>
        <v/>
      </c>
      <c r="V796" s="20">
        <f>ROUND(V795 + IF(AND(E796=22, F796&lt;&gt;"ASTM A416"), L796, 0), 3)</f>
        <v/>
      </c>
      <c r="W796" s="20">
        <f>ROUND(W795 + IF(AND(E796=25, F796&lt;&gt;"ASTM A416"), L796, 0), 3)</f>
        <v/>
      </c>
      <c r="X796" s="20">
        <f>ROUND(X795 + IF(AND(E796=28, F796&lt;&gt;"ASTM A416"), L796, 0), 3)</f>
        <v/>
      </c>
      <c r="Y796" s="20">
        <f>ROUND(Y795 + IF(AND(E796=32, F796&lt;&gt;"ASTM A416"), L796, 0), 3)</f>
        <v/>
      </c>
      <c r="Z796" s="20">
        <f>ROUND(Z795 + IF(F796="ASTM A416", L796, 0), 3)</f>
        <v/>
      </c>
      <c r="AA796" s="11">
        <f>IF(INT(P796/20)&gt;INT(P795/20), "Lần " &amp; INT(P796/20), "")</f>
        <v/>
      </c>
      <c r="AB796" s="11">
        <f>IF(INT(Q796/20)&gt;INT(Q795/20), "Lần " &amp; INT(Q796/20), "")</f>
        <v/>
      </c>
      <c r="AC796" s="11">
        <f>IF(INT(R796/20)&gt;INT(R795/20), "Lần " &amp; INT(R796/20), "")</f>
        <v/>
      </c>
      <c r="AD796" s="11">
        <f>IF(INT(S796/20)&gt;INT(S795/20), "Lần " &amp; INT(S796/20), "")</f>
        <v/>
      </c>
      <c r="AE796" s="11">
        <f>IF(INT(T796/20)&gt;INT(T795/20), "Lần " &amp; INT(T796/20), "")</f>
        <v/>
      </c>
      <c r="AF796" s="11">
        <f>IF(INT(U796/20)&gt;INT(U795/20), "Lần " &amp; INT(U796/20), "")</f>
        <v/>
      </c>
      <c r="AG796" s="11">
        <f>IF(INT(V796/20)&gt;INT(V795/20), "Lần " &amp; INT(V796/20), "")</f>
        <v/>
      </c>
      <c r="AH796" s="11">
        <f>IF(INT(W796/20)&gt;INT(W795/20), "Lần " &amp; INT(W796/20), "")</f>
        <v/>
      </c>
      <c r="AI796" s="11">
        <f>IF(INT(X796/20)&gt;INT(X795/20), "Lần " &amp; INT(X796/20), "")</f>
        <v/>
      </c>
      <c r="AJ796" s="11">
        <f>IF(INT(Y796/20)&gt;INT(Y795/20), "Lần " &amp; INT(Y796/20), "")</f>
        <v/>
      </c>
      <c r="AK796" s="11">
        <f>IF(INT(Z796/20)&gt;INT(Z795/20), "Lần " &amp; INT(Z796/20), "")</f>
        <v/>
      </c>
      <c r="AL796" s="6" t="inlineStr">
        <is>
          <t>ĐẠT TCVN 1651:2018</t>
        </is>
      </c>
    </row>
    <row r="797" ht="19" customHeight="1">
      <c r="A797" s="6" t="n">
        <v>764</v>
      </c>
      <c r="B797" s="7" t="inlineStr">
        <is>
          <t>Bản quá độ Mố M2</t>
        </is>
      </c>
      <c r="C797" s="7" t="inlineStr">
        <is>
          <t>Bản quá độ tiếp giáp mố</t>
        </is>
      </c>
      <c r="D797" s="18" t="inlineStr">
        <is>
          <t>A3</t>
        </is>
      </c>
      <c r="E797" s="19" t="n">
        <v>22</v>
      </c>
      <c r="F797" s="6" t="inlineStr">
        <is>
          <t>CB400-V</t>
        </is>
      </c>
      <c r="G797" s="7" t="inlineStr">
        <is>
          <t>S06</t>
        </is>
      </c>
      <c r="H797" s="20" t="n">
        <v>8.289999999999999</v>
      </c>
      <c r="I797" s="21" t="n">
        <v>113</v>
      </c>
      <c r="J797" s="22" t="n">
        <v>2.98</v>
      </c>
      <c r="K797" s="9">
        <f>ROUND(H797*I797*J797, 2)</f>
        <v/>
      </c>
      <c r="L797" s="23">
        <f>ROUND(K797/1000, 3)</f>
        <v/>
      </c>
      <c r="M797" s="8" t="n"/>
      <c r="N797" s="6" t="n"/>
      <c r="O797" s="24">
        <f>IF(AND(E797&lt;=10, F797&lt;&gt;"ASTM A416", INT(P797/20)&gt;INT(P796/20)), "TN Ø10 (Lần " &amp; INT(P797/20) &amp; ")", IF(AND(E797=12, INT(Q797/20)&gt;INT(Q796/20)), "TN Ø12 (Lần " &amp; INT(Q797/20) &amp; ")", IF(AND(E797=14, INT(R797/20)&gt;INT(R796/20)), "TN Ø14 (Lần " &amp; INT(R797/20) &amp; ")", IF(AND(E797=16, INT(S797/20)&gt;INT(S796/20)), "TN Ø16 (Lần " &amp; INT(S797/20) &amp; ")", IF(AND(E797=18, INT(T797/20)&gt;INT(T796/20)), "TN Ø18 (Lần " &amp; INT(T797/20) &amp; ")", IF(AND(E797=20, INT(U797/20)&gt;INT(U796/20)), "TN Ø20 (Lần " &amp; INT(U797/20) &amp; ")", IF(AND(E797=22, INT(V797/20)&gt;INT(V796/20)), "TN Ø22 (Lần " &amp; INT(V797/20) &amp; ")", IF(AND(E797=25, INT(W797/20)&gt;INT(W796/20)), "TN Ø25 (Lần " &amp; INT(W797/20) &amp; ")", IF(AND(E797=28, INT(X797/20)&gt;INT(X796/20)), "TN Ø28 (Lần " &amp; INT(X797/20) &amp; ")", IF(AND(E797=32, INT(Y797/20)&gt;INT(Y796/20)), "TN Ø32 (Lần " &amp; INT(Y797/20) &amp; ")", IF(AND(F797="ASTM A416", INT(Z797/20)&gt;INT(Z796/20)), "TN Cáp 15.2 (Lần " &amp; INT(Z797/20) &amp; ")", "")))))))))))</f>
        <v/>
      </c>
      <c r="P797" s="20">
        <f>ROUND(P796 + IF(AND(E797&lt;=10, F797&lt;&gt;"ASTM A416"), L797, 0), 3)</f>
        <v/>
      </c>
      <c r="Q797" s="20">
        <f>ROUND(Q796 + IF(AND(E797=12, F797&lt;&gt;"ASTM A416"), L797, 0), 3)</f>
        <v/>
      </c>
      <c r="R797" s="20">
        <f>ROUND(R796 + IF(AND(E797=14, F797&lt;&gt;"ASTM A416"), L797, 0), 3)</f>
        <v/>
      </c>
      <c r="S797" s="20">
        <f>ROUND(S796 + IF(AND(E797=16, F797&lt;&gt;"ASTM A416"), L797, 0), 3)</f>
        <v/>
      </c>
      <c r="T797" s="20">
        <f>ROUND(T796 + IF(AND(E797=18, F797&lt;&gt;"ASTM A416"), L797, 0), 3)</f>
        <v/>
      </c>
      <c r="U797" s="20">
        <f>ROUND(U796 + IF(AND(E797=20, F797&lt;&gt;"ASTM A416"), L797, 0), 3)</f>
        <v/>
      </c>
      <c r="V797" s="20">
        <f>ROUND(V796 + IF(AND(E797=22, F797&lt;&gt;"ASTM A416"), L797, 0), 3)</f>
        <v/>
      </c>
      <c r="W797" s="20">
        <f>ROUND(W796 + IF(AND(E797=25, F797&lt;&gt;"ASTM A416"), L797, 0), 3)</f>
        <v/>
      </c>
      <c r="X797" s="20">
        <f>ROUND(X796 + IF(AND(E797=28, F797&lt;&gt;"ASTM A416"), L797, 0), 3)</f>
        <v/>
      </c>
      <c r="Y797" s="20">
        <f>ROUND(Y796 + IF(AND(E797=32, F797&lt;&gt;"ASTM A416"), L797, 0), 3)</f>
        <v/>
      </c>
      <c r="Z797" s="20">
        <f>ROUND(Z796 + IF(F797="ASTM A416", L797, 0), 3)</f>
        <v/>
      </c>
      <c r="AA797" s="11">
        <f>IF(INT(P797/20)&gt;INT(P796/20), "Lần " &amp; INT(P797/20), "")</f>
        <v/>
      </c>
      <c r="AB797" s="11">
        <f>IF(INT(Q797/20)&gt;INT(Q796/20), "Lần " &amp; INT(Q797/20), "")</f>
        <v/>
      </c>
      <c r="AC797" s="11">
        <f>IF(INT(R797/20)&gt;INT(R796/20), "Lần " &amp; INT(R797/20), "")</f>
        <v/>
      </c>
      <c r="AD797" s="11">
        <f>IF(INT(S797/20)&gt;INT(S796/20), "Lần " &amp; INT(S797/20), "")</f>
        <v/>
      </c>
      <c r="AE797" s="11">
        <f>IF(INT(T797/20)&gt;INT(T796/20), "Lần " &amp; INT(T797/20), "")</f>
        <v/>
      </c>
      <c r="AF797" s="11">
        <f>IF(INT(U797/20)&gt;INT(U796/20), "Lần " &amp; INT(U797/20), "")</f>
        <v/>
      </c>
      <c r="AG797" s="11">
        <f>IF(INT(V797/20)&gt;INT(V796/20), "Lần " &amp; INT(V797/20), "")</f>
        <v/>
      </c>
      <c r="AH797" s="11">
        <f>IF(INT(W797/20)&gt;INT(W796/20), "Lần " &amp; INT(W797/20), "")</f>
        <v/>
      </c>
      <c r="AI797" s="11">
        <f>IF(INT(X797/20)&gt;INT(X796/20), "Lần " &amp; INT(X797/20), "")</f>
        <v/>
      </c>
      <c r="AJ797" s="11">
        <f>IF(INT(Y797/20)&gt;INT(Y796/20), "Lần " &amp; INT(Y797/20), "")</f>
        <v/>
      </c>
      <c r="AK797" s="11">
        <f>IF(INT(Z797/20)&gt;INT(Z796/20), "Lần " &amp; INT(Z797/20), "")</f>
        <v/>
      </c>
      <c r="AL797" s="6" t="inlineStr">
        <is>
          <t>ĐẠT TCVN 1651:2018</t>
        </is>
      </c>
    </row>
    <row r="798" ht="19" customHeight="1">
      <c r="A798" s="6" t="n">
        <v>765</v>
      </c>
      <c r="B798" s="7" t="inlineStr">
        <is>
          <t>Bản quá độ Mố M2</t>
        </is>
      </c>
      <c r="C798" s="7" t="inlineStr">
        <is>
          <t>Bản quá độ tiếp giáp mố</t>
        </is>
      </c>
      <c r="D798" s="18" t="inlineStr">
        <is>
          <t>A4</t>
        </is>
      </c>
      <c r="E798" s="19" t="n">
        <v>16</v>
      </c>
      <c r="F798" s="6" t="inlineStr">
        <is>
          <t>CB400-V</t>
        </is>
      </c>
      <c r="G798" s="7" t="inlineStr">
        <is>
          <t>S06</t>
        </is>
      </c>
      <c r="H798" s="20" t="n">
        <v>12.447</v>
      </c>
      <c r="I798" s="21" t="n">
        <v>40</v>
      </c>
      <c r="J798" s="22" t="n">
        <v>1.58</v>
      </c>
      <c r="K798" s="9">
        <f>ROUND(H798*I798*J798, 2)</f>
        <v/>
      </c>
      <c r="L798" s="23">
        <f>ROUND(K798/1000, 3)</f>
        <v/>
      </c>
      <c r="M798" s="8" t="n"/>
      <c r="N798" s="6" t="n"/>
      <c r="O798" s="24">
        <f>IF(AND(E798&lt;=10, F798&lt;&gt;"ASTM A416", INT(P798/20)&gt;INT(P797/20)), "TN Ø10 (Lần " &amp; INT(P798/20) &amp; ")", IF(AND(E798=12, INT(Q798/20)&gt;INT(Q797/20)), "TN Ø12 (Lần " &amp; INT(Q798/20) &amp; ")", IF(AND(E798=14, INT(R798/20)&gt;INT(R797/20)), "TN Ø14 (Lần " &amp; INT(R798/20) &amp; ")", IF(AND(E798=16, INT(S798/20)&gt;INT(S797/20)), "TN Ø16 (Lần " &amp; INT(S798/20) &amp; ")", IF(AND(E798=18, INT(T798/20)&gt;INT(T797/20)), "TN Ø18 (Lần " &amp; INT(T798/20) &amp; ")", IF(AND(E798=20, INT(U798/20)&gt;INT(U797/20)), "TN Ø20 (Lần " &amp; INT(U798/20) &amp; ")", IF(AND(E798=22, INT(V798/20)&gt;INT(V797/20)), "TN Ø22 (Lần " &amp; INT(V798/20) &amp; ")", IF(AND(E798=25, INT(W798/20)&gt;INT(W797/20)), "TN Ø25 (Lần " &amp; INT(W798/20) &amp; ")", IF(AND(E798=28, INT(X798/20)&gt;INT(X797/20)), "TN Ø28 (Lần " &amp; INT(X798/20) &amp; ")", IF(AND(E798=32, INT(Y798/20)&gt;INT(Y797/20)), "TN Ø32 (Lần " &amp; INT(Y798/20) &amp; ")", IF(AND(F798="ASTM A416", INT(Z798/20)&gt;INT(Z797/20)), "TN Cáp 15.2 (Lần " &amp; INT(Z798/20) &amp; ")", "")))))))))))</f>
        <v/>
      </c>
      <c r="P798" s="20">
        <f>ROUND(P797 + IF(AND(E798&lt;=10, F798&lt;&gt;"ASTM A416"), L798, 0), 3)</f>
        <v/>
      </c>
      <c r="Q798" s="20">
        <f>ROUND(Q797 + IF(AND(E798=12, F798&lt;&gt;"ASTM A416"), L798, 0), 3)</f>
        <v/>
      </c>
      <c r="R798" s="20">
        <f>ROUND(R797 + IF(AND(E798=14, F798&lt;&gt;"ASTM A416"), L798, 0), 3)</f>
        <v/>
      </c>
      <c r="S798" s="20">
        <f>ROUND(S797 + IF(AND(E798=16, F798&lt;&gt;"ASTM A416"), L798, 0), 3)</f>
        <v/>
      </c>
      <c r="T798" s="20">
        <f>ROUND(T797 + IF(AND(E798=18, F798&lt;&gt;"ASTM A416"), L798, 0), 3)</f>
        <v/>
      </c>
      <c r="U798" s="20">
        <f>ROUND(U797 + IF(AND(E798=20, F798&lt;&gt;"ASTM A416"), L798, 0), 3)</f>
        <v/>
      </c>
      <c r="V798" s="20">
        <f>ROUND(V797 + IF(AND(E798=22, F798&lt;&gt;"ASTM A416"), L798, 0), 3)</f>
        <v/>
      </c>
      <c r="W798" s="20">
        <f>ROUND(W797 + IF(AND(E798=25, F798&lt;&gt;"ASTM A416"), L798, 0), 3)</f>
        <v/>
      </c>
      <c r="X798" s="20">
        <f>ROUND(X797 + IF(AND(E798=28, F798&lt;&gt;"ASTM A416"), L798, 0), 3)</f>
        <v/>
      </c>
      <c r="Y798" s="20">
        <f>ROUND(Y797 + IF(AND(E798=32, F798&lt;&gt;"ASTM A416"), L798, 0), 3)</f>
        <v/>
      </c>
      <c r="Z798" s="20">
        <f>ROUND(Z797 + IF(F798="ASTM A416", L798, 0), 3)</f>
        <v/>
      </c>
      <c r="AA798" s="11">
        <f>IF(INT(P798/20)&gt;INT(P797/20), "Lần " &amp; INT(P798/20), "")</f>
        <v/>
      </c>
      <c r="AB798" s="11">
        <f>IF(INT(Q798/20)&gt;INT(Q797/20), "Lần " &amp; INT(Q798/20), "")</f>
        <v/>
      </c>
      <c r="AC798" s="11">
        <f>IF(INT(R798/20)&gt;INT(R797/20), "Lần " &amp; INT(R798/20), "")</f>
        <v/>
      </c>
      <c r="AD798" s="11">
        <f>IF(INT(S798/20)&gt;INT(S797/20), "Lần " &amp; INT(S798/20), "")</f>
        <v/>
      </c>
      <c r="AE798" s="11">
        <f>IF(INT(T798/20)&gt;INT(T797/20), "Lần " &amp; INT(T798/20), "")</f>
        <v/>
      </c>
      <c r="AF798" s="11">
        <f>IF(INT(U798/20)&gt;INT(U797/20), "Lần " &amp; INT(U798/20), "")</f>
        <v/>
      </c>
      <c r="AG798" s="11">
        <f>IF(INT(V798/20)&gt;INT(V797/20), "Lần " &amp; INT(V798/20), "")</f>
        <v/>
      </c>
      <c r="AH798" s="11">
        <f>IF(INT(W798/20)&gt;INT(W797/20), "Lần " &amp; INT(W798/20), "")</f>
        <v/>
      </c>
      <c r="AI798" s="11">
        <f>IF(INT(X798/20)&gt;INT(X797/20), "Lần " &amp; INT(X798/20), "")</f>
        <v/>
      </c>
      <c r="AJ798" s="11">
        <f>IF(INT(Y798/20)&gt;INT(Y797/20), "Lần " &amp; INT(Y798/20), "")</f>
        <v/>
      </c>
      <c r="AK798" s="11">
        <f>IF(INT(Z798/20)&gt;INT(Z797/20), "Lần " &amp; INT(Z798/20), "")</f>
        <v/>
      </c>
      <c r="AL798" s="6" t="inlineStr">
        <is>
          <t>ĐẠT TCVN 1651:2018</t>
        </is>
      </c>
    </row>
    <row r="799" ht="19" customHeight="1">
      <c r="A799" s="6" t="n">
        <v>766</v>
      </c>
      <c r="B799" s="7" t="inlineStr">
        <is>
          <t>Bản quá độ Mố M2</t>
        </is>
      </c>
      <c r="C799" s="7" t="inlineStr">
        <is>
          <t>Bản quá độ tiếp giáp mố</t>
        </is>
      </c>
      <c r="D799" s="18" t="inlineStr">
        <is>
          <t>A5</t>
        </is>
      </c>
      <c r="E799" s="19" t="n">
        <v>18</v>
      </c>
      <c r="F799" s="6" t="inlineStr">
        <is>
          <t>CB400-V</t>
        </is>
      </c>
      <c r="G799" s="7" t="inlineStr">
        <is>
          <t>S29</t>
        </is>
      </c>
      <c r="H799" s="20" t="n">
        <v>1.629</v>
      </c>
      <c r="I799" s="21" t="n">
        <v>113</v>
      </c>
      <c r="J799" s="22" t="n">
        <v>2</v>
      </c>
      <c r="K799" s="9">
        <f>ROUND(H799*I799*J799, 2)</f>
        <v/>
      </c>
      <c r="L799" s="23">
        <f>ROUND(K799/1000, 3)</f>
        <v/>
      </c>
      <c r="M799" s="8" t="n"/>
      <c r="N799" s="6" t="n"/>
      <c r="O799" s="24">
        <f>IF(AND(E799&lt;=10, F799&lt;&gt;"ASTM A416", INT(P799/20)&gt;INT(P798/20)), "TN Ø10 (Lần " &amp; INT(P799/20) &amp; ")", IF(AND(E799=12, INT(Q799/20)&gt;INT(Q798/20)), "TN Ø12 (Lần " &amp; INT(Q799/20) &amp; ")", IF(AND(E799=14, INT(R799/20)&gt;INT(R798/20)), "TN Ø14 (Lần " &amp; INT(R799/20) &amp; ")", IF(AND(E799=16, INT(S799/20)&gt;INT(S798/20)), "TN Ø16 (Lần " &amp; INT(S799/20) &amp; ")", IF(AND(E799=18, INT(T799/20)&gt;INT(T798/20)), "TN Ø18 (Lần " &amp; INT(T799/20) &amp; ")", IF(AND(E799=20, INT(U799/20)&gt;INT(U798/20)), "TN Ø20 (Lần " &amp; INT(U799/20) &amp; ")", IF(AND(E799=22, INT(V799/20)&gt;INT(V798/20)), "TN Ø22 (Lần " &amp; INT(V799/20) &amp; ")", IF(AND(E799=25, INT(W799/20)&gt;INT(W798/20)), "TN Ø25 (Lần " &amp; INT(W799/20) &amp; ")", IF(AND(E799=28, INT(X799/20)&gt;INT(X798/20)), "TN Ø28 (Lần " &amp; INT(X799/20) &amp; ")", IF(AND(E799=32, INT(Y799/20)&gt;INT(Y798/20)), "TN Ø32 (Lần " &amp; INT(Y799/20) &amp; ")", IF(AND(F799="ASTM A416", INT(Z799/20)&gt;INT(Z798/20)), "TN Cáp 15.2 (Lần " &amp; INT(Z799/20) &amp; ")", "")))))))))))</f>
        <v/>
      </c>
      <c r="P799" s="20">
        <f>ROUND(P798 + IF(AND(E799&lt;=10, F799&lt;&gt;"ASTM A416"), L799, 0), 3)</f>
        <v/>
      </c>
      <c r="Q799" s="20">
        <f>ROUND(Q798 + IF(AND(E799=12, F799&lt;&gt;"ASTM A416"), L799, 0), 3)</f>
        <v/>
      </c>
      <c r="R799" s="20">
        <f>ROUND(R798 + IF(AND(E799=14, F799&lt;&gt;"ASTM A416"), L799, 0), 3)</f>
        <v/>
      </c>
      <c r="S799" s="20">
        <f>ROUND(S798 + IF(AND(E799=16, F799&lt;&gt;"ASTM A416"), L799, 0), 3)</f>
        <v/>
      </c>
      <c r="T799" s="20">
        <f>ROUND(T798 + IF(AND(E799=18, F799&lt;&gt;"ASTM A416"), L799, 0), 3)</f>
        <v/>
      </c>
      <c r="U799" s="20">
        <f>ROUND(U798 + IF(AND(E799=20, F799&lt;&gt;"ASTM A416"), L799, 0), 3)</f>
        <v/>
      </c>
      <c r="V799" s="20">
        <f>ROUND(V798 + IF(AND(E799=22, F799&lt;&gt;"ASTM A416"), L799, 0), 3)</f>
        <v/>
      </c>
      <c r="W799" s="20">
        <f>ROUND(W798 + IF(AND(E799=25, F799&lt;&gt;"ASTM A416"), L799, 0), 3)</f>
        <v/>
      </c>
      <c r="X799" s="20">
        <f>ROUND(X798 + IF(AND(E799=28, F799&lt;&gt;"ASTM A416"), L799, 0), 3)</f>
        <v/>
      </c>
      <c r="Y799" s="20">
        <f>ROUND(Y798 + IF(AND(E799=32, F799&lt;&gt;"ASTM A416"), L799, 0), 3)</f>
        <v/>
      </c>
      <c r="Z799" s="20">
        <f>ROUND(Z798 + IF(F799="ASTM A416", L799, 0), 3)</f>
        <v/>
      </c>
      <c r="AA799" s="11">
        <f>IF(INT(P799/20)&gt;INT(P798/20), "Lần " &amp; INT(P799/20), "")</f>
        <v/>
      </c>
      <c r="AB799" s="11">
        <f>IF(INT(Q799/20)&gt;INT(Q798/20), "Lần " &amp; INT(Q799/20), "")</f>
        <v/>
      </c>
      <c r="AC799" s="11">
        <f>IF(INT(R799/20)&gt;INT(R798/20), "Lần " &amp; INT(R799/20), "")</f>
        <v/>
      </c>
      <c r="AD799" s="11">
        <f>IF(INT(S799/20)&gt;INT(S798/20), "Lần " &amp; INT(S799/20), "")</f>
        <v/>
      </c>
      <c r="AE799" s="11">
        <f>IF(INT(T799/20)&gt;INT(T798/20), "Lần " &amp; INT(T799/20), "")</f>
        <v/>
      </c>
      <c r="AF799" s="11">
        <f>IF(INT(U799/20)&gt;INT(U798/20), "Lần " &amp; INT(U799/20), "")</f>
        <v/>
      </c>
      <c r="AG799" s="11">
        <f>IF(INT(V799/20)&gt;INT(V798/20), "Lần " &amp; INT(V799/20), "")</f>
        <v/>
      </c>
      <c r="AH799" s="11">
        <f>IF(INT(W799/20)&gt;INT(W798/20), "Lần " &amp; INT(W799/20), "")</f>
        <v/>
      </c>
      <c r="AI799" s="11">
        <f>IF(INT(X799/20)&gt;INT(X798/20), "Lần " &amp; INT(X799/20), "")</f>
        <v/>
      </c>
      <c r="AJ799" s="11">
        <f>IF(INT(Y799/20)&gt;INT(Y798/20), "Lần " &amp; INT(Y799/20), "")</f>
        <v/>
      </c>
      <c r="AK799" s="11">
        <f>IF(INT(Z799/20)&gt;INT(Z798/20), "Lần " &amp; INT(Z799/20), "")</f>
        <v/>
      </c>
      <c r="AL799" s="6" t="inlineStr">
        <is>
          <t>ĐẠT TCVN 1651:2018</t>
        </is>
      </c>
    </row>
    <row r="800" ht="19" customHeight="1">
      <c r="A800" s="6" t="n">
        <v>767</v>
      </c>
      <c r="B800" s="7" t="inlineStr">
        <is>
          <t>Bản quá độ Mố M2</t>
        </is>
      </c>
      <c r="C800" s="7" t="inlineStr">
        <is>
          <t>Bản quá độ tiếp giáp mố</t>
        </is>
      </c>
      <c r="D800" s="18" t="inlineStr">
        <is>
          <t>A6</t>
        </is>
      </c>
      <c r="E800" s="19" t="n">
        <v>12</v>
      </c>
      <c r="F800" s="6" t="inlineStr">
        <is>
          <t>CB400-V</t>
        </is>
      </c>
      <c r="G800" s="7" t="inlineStr">
        <is>
          <t>S06</t>
        </is>
      </c>
      <c r="H800" s="20" t="n">
        <v>0.396</v>
      </c>
      <c r="I800" s="21" t="n">
        <v>216</v>
      </c>
      <c r="J800" s="22" t="n">
        <v>0.888</v>
      </c>
      <c r="K800" s="9">
        <f>ROUND(H800*I800*J800, 2)</f>
        <v/>
      </c>
      <c r="L800" s="23">
        <f>ROUND(K800/1000, 3)</f>
        <v/>
      </c>
      <c r="M800" s="8" t="n"/>
      <c r="N800" s="6" t="n"/>
      <c r="O800" s="24">
        <f>IF(AND(E800&lt;=10, F800&lt;&gt;"ASTM A416", INT(P800/20)&gt;INT(P799/20)), "TN Ø10 (Lần " &amp; INT(P800/20) &amp; ")", IF(AND(E800=12, INT(Q800/20)&gt;INT(Q799/20)), "TN Ø12 (Lần " &amp; INT(Q800/20) &amp; ")", IF(AND(E800=14, INT(R800/20)&gt;INT(R799/20)), "TN Ø14 (Lần " &amp; INT(R800/20) &amp; ")", IF(AND(E800=16, INT(S800/20)&gt;INT(S799/20)), "TN Ø16 (Lần " &amp; INT(S800/20) &amp; ")", IF(AND(E800=18, INT(T800/20)&gt;INT(T799/20)), "TN Ø18 (Lần " &amp; INT(T800/20) &amp; ")", IF(AND(E800=20, INT(U800/20)&gt;INT(U799/20)), "TN Ø20 (Lần " &amp; INT(U800/20) &amp; ")", IF(AND(E800=22, INT(V800/20)&gt;INT(V799/20)), "TN Ø22 (Lần " &amp; INT(V800/20) &amp; ")", IF(AND(E800=25, INT(W800/20)&gt;INT(W799/20)), "TN Ø25 (Lần " &amp; INT(W800/20) &amp; ")", IF(AND(E800=28, INT(X800/20)&gt;INT(X799/20)), "TN Ø28 (Lần " &amp; INT(X800/20) &amp; ")", IF(AND(E800=32, INT(Y800/20)&gt;INT(Y799/20)), "TN Ø32 (Lần " &amp; INT(Y800/20) &amp; ")", IF(AND(F800="ASTM A416", INT(Z800/20)&gt;INT(Z799/20)), "TN Cáp 15.2 (Lần " &amp; INT(Z800/20) &amp; ")", "")))))))))))</f>
        <v/>
      </c>
      <c r="P800" s="20">
        <f>ROUND(P799 + IF(AND(E800&lt;=10, F800&lt;&gt;"ASTM A416"), L800, 0), 3)</f>
        <v/>
      </c>
      <c r="Q800" s="20">
        <f>ROUND(Q799 + IF(AND(E800=12, F800&lt;&gt;"ASTM A416"), L800, 0), 3)</f>
        <v/>
      </c>
      <c r="R800" s="20">
        <f>ROUND(R799 + IF(AND(E800=14, F800&lt;&gt;"ASTM A416"), L800, 0), 3)</f>
        <v/>
      </c>
      <c r="S800" s="20">
        <f>ROUND(S799 + IF(AND(E800=16, F800&lt;&gt;"ASTM A416"), L800, 0), 3)</f>
        <v/>
      </c>
      <c r="T800" s="20">
        <f>ROUND(T799 + IF(AND(E800=18, F800&lt;&gt;"ASTM A416"), L800, 0), 3)</f>
        <v/>
      </c>
      <c r="U800" s="20">
        <f>ROUND(U799 + IF(AND(E800=20, F800&lt;&gt;"ASTM A416"), L800, 0), 3)</f>
        <v/>
      </c>
      <c r="V800" s="20">
        <f>ROUND(V799 + IF(AND(E800=22, F800&lt;&gt;"ASTM A416"), L800, 0), 3)</f>
        <v/>
      </c>
      <c r="W800" s="20">
        <f>ROUND(W799 + IF(AND(E800=25, F800&lt;&gt;"ASTM A416"), L800, 0), 3)</f>
        <v/>
      </c>
      <c r="X800" s="20">
        <f>ROUND(X799 + IF(AND(E800=28, F800&lt;&gt;"ASTM A416"), L800, 0), 3)</f>
        <v/>
      </c>
      <c r="Y800" s="20">
        <f>ROUND(Y799 + IF(AND(E800=32, F800&lt;&gt;"ASTM A416"), L800, 0), 3)</f>
        <v/>
      </c>
      <c r="Z800" s="20">
        <f>ROUND(Z799 + IF(F800="ASTM A416", L800, 0), 3)</f>
        <v/>
      </c>
      <c r="AA800" s="11">
        <f>IF(INT(P800/20)&gt;INT(P799/20), "Lần " &amp; INT(P800/20), "")</f>
        <v/>
      </c>
      <c r="AB800" s="11">
        <f>IF(INT(Q800/20)&gt;INT(Q799/20), "Lần " &amp; INT(Q800/20), "")</f>
        <v/>
      </c>
      <c r="AC800" s="11">
        <f>IF(INT(R800/20)&gt;INT(R799/20), "Lần " &amp; INT(R800/20), "")</f>
        <v/>
      </c>
      <c r="AD800" s="11">
        <f>IF(INT(S800/20)&gt;INT(S799/20), "Lần " &amp; INT(S800/20), "")</f>
        <v/>
      </c>
      <c r="AE800" s="11">
        <f>IF(INT(T800/20)&gt;INT(T799/20), "Lần " &amp; INT(T800/20), "")</f>
        <v/>
      </c>
      <c r="AF800" s="11">
        <f>IF(INT(U800/20)&gt;INT(U799/20), "Lần " &amp; INT(U800/20), "")</f>
        <v/>
      </c>
      <c r="AG800" s="11">
        <f>IF(INT(V800/20)&gt;INT(V799/20), "Lần " &amp; INT(V800/20), "")</f>
        <v/>
      </c>
      <c r="AH800" s="11">
        <f>IF(INT(W800/20)&gt;INT(W799/20), "Lần " &amp; INT(W800/20), "")</f>
        <v/>
      </c>
      <c r="AI800" s="11">
        <f>IF(INT(X800/20)&gt;INT(X799/20), "Lần " &amp; INT(X800/20), "")</f>
        <v/>
      </c>
      <c r="AJ800" s="11">
        <f>IF(INT(Y800/20)&gt;INT(Y799/20), "Lần " &amp; INT(Y800/20), "")</f>
        <v/>
      </c>
      <c r="AK800" s="11">
        <f>IF(INT(Z800/20)&gt;INT(Z799/20), "Lần " &amp; INT(Z800/20), "")</f>
        <v/>
      </c>
      <c r="AL800" s="6" t="inlineStr">
        <is>
          <t>ĐẠT TCVN 1651:2018</t>
        </is>
      </c>
    </row>
    <row r="801" ht="19" customHeight="1">
      <c r="A801" s="6" t="n">
        <v>768</v>
      </c>
      <c r="B801" s="7" t="inlineStr">
        <is>
          <t>Bản quá độ Mố M2</t>
        </is>
      </c>
      <c r="C801" s="7" t="inlineStr">
        <is>
          <t>Bản quá độ tiếp giáp mố</t>
        </is>
      </c>
      <c r="D801" s="18" t="inlineStr">
        <is>
          <t>A7</t>
        </is>
      </c>
      <c r="E801" s="19" t="n">
        <v>10</v>
      </c>
      <c r="F801" s="6" t="inlineStr">
        <is>
          <t>CB240-T</t>
        </is>
      </c>
      <c r="G801" s="7" t="inlineStr">
        <is>
          <t>S32</t>
        </is>
      </c>
      <c r="H801" s="20" t="n">
        <v>0.676</v>
      </c>
      <c r="I801" s="21" t="n">
        <v>23</v>
      </c>
      <c r="J801" s="22" t="n">
        <v>0.617</v>
      </c>
      <c r="K801" s="9">
        <f>ROUND(H801*I801*J801, 2)</f>
        <v/>
      </c>
      <c r="L801" s="23">
        <f>ROUND(K801/1000, 3)</f>
        <v/>
      </c>
      <c r="M801" s="8" t="n"/>
      <c r="N801" s="6" t="n"/>
      <c r="O801" s="24">
        <f>IF(AND(E801&lt;=10, F801&lt;&gt;"ASTM A416", INT(P801/20)&gt;INT(P800/20)), "TN Ø10 (Lần " &amp; INT(P801/20) &amp; ")", IF(AND(E801=12, INT(Q801/20)&gt;INT(Q800/20)), "TN Ø12 (Lần " &amp; INT(Q801/20) &amp; ")", IF(AND(E801=14, INT(R801/20)&gt;INT(R800/20)), "TN Ø14 (Lần " &amp; INT(R801/20) &amp; ")", IF(AND(E801=16, INT(S801/20)&gt;INT(S800/20)), "TN Ø16 (Lần " &amp; INT(S801/20) &amp; ")", IF(AND(E801=18, INT(T801/20)&gt;INT(T800/20)), "TN Ø18 (Lần " &amp; INT(T801/20) &amp; ")", IF(AND(E801=20, INT(U801/20)&gt;INT(U800/20)), "TN Ø20 (Lần " &amp; INT(U801/20) &amp; ")", IF(AND(E801=22, INT(V801/20)&gt;INT(V800/20)), "TN Ø22 (Lần " &amp; INT(V801/20) &amp; ")", IF(AND(E801=25, INT(W801/20)&gt;INT(W800/20)), "TN Ø25 (Lần " &amp; INT(W801/20) &amp; ")", IF(AND(E801=28, INT(X801/20)&gt;INT(X800/20)), "TN Ø28 (Lần " &amp; INT(X801/20) &amp; ")", IF(AND(E801=32, INT(Y801/20)&gt;INT(Y800/20)), "TN Ø32 (Lần " &amp; INT(Y801/20) &amp; ")", IF(AND(F801="ASTM A416", INT(Z801/20)&gt;INT(Z800/20)), "TN Cáp 15.2 (Lần " &amp; INT(Z801/20) &amp; ")", "")))))))))))</f>
        <v/>
      </c>
      <c r="P801" s="20">
        <f>ROUND(P800 + IF(AND(E801&lt;=10, F801&lt;&gt;"ASTM A416"), L801, 0), 3)</f>
        <v/>
      </c>
      <c r="Q801" s="20">
        <f>ROUND(Q800 + IF(AND(E801=12, F801&lt;&gt;"ASTM A416"), L801, 0), 3)</f>
        <v/>
      </c>
      <c r="R801" s="20">
        <f>ROUND(R800 + IF(AND(E801=14, F801&lt;&gt;"ASTM A416"), L801, 0), 3)</f>
        <v/>
      </c>
      <c r="S801" s="20">
        <f>ROUND(S800 + IF(AND(E801=16, F801&lt;&gt;"ASTM A416"), L801, 0), 3)</f>
        <v/>
      </c>
      <c r="T801" s="20">
        <f>ROUND(T800 + IF(AND(E801=18, F801&lt;&gt;"ASTM A416"), L801, 0), 3)</f>
        <v/>
      </c>
      <c r="U801" s="20">
        <f>ROUND(U800 + IF(AND(E801=20, F801&lt;&gt;"ASTM A416"), L801, 0), 3)</f>
        <v/>
      </c>
      <c r="V801" s="20">
        <f>ROUND(V800 + IF(AND(E801=22, F801&lt;&gt;"ASTM A416"), L801, 0), 3)</f>
        <v/>
      </c>
      <c r="W801" s="20">
        <f>ROUND(W800 + IF(AND(E801=25, F801&lt;&gt;"ASTM A416"), L801, 0), 3)</f>
        <v/>
      </c>
      <c r="X801" s="20">
        <f>ROUND(X800 + IF(AND(E801=28, F801&lt;&gt;"ASTM A416"), L801, 0), 3)</f>
        <v/>
      </c>
      <c r="Y801" s="20">
        <f>ROUND(Y800 + IF(AND(E801=32, F801&lt;&gt;"ASTM A416"), L801, 0), 3)</f>
        <v/>
      </c>
      <c r="Z801" s="20">
        <f>ROUND(Z800 + IF(F801="ASTM A416", L801, 0), 3)</f>
        <v/>
      </c>
      <c r="AA801" s="11">
        <f>IF(INT(P801/20)&gt;INT(P800/20), "Lần " &amp; INT(P801/20), "")</f>
        <v/>
      </c>
      <c r="AB801" s="11">
        <f>IF(INT(Q801/20)&gt;INT(Q800/20), "Lần " &amp; INT(Q801/20), "")</f>
        <v/>
      </c>
      <c r="AC801" s="11">
        <f>IF(INT(R801/20)&gt;INT(R800/20), "Lần " &amp; INT(R801/20), "")</f>
        <v/>
      </c>
      <c r="AD801" s="11">
        <f>IF(INT(S801/20)&gt;INT(S800/20), "Lần " &amp; INT(S801/20), "")</f>
        <v/>
      </c>
      <c r="AE801" s="11">
        <f>IF(INT(T801/20)&gt;INT(T800/20), "Lần " &amp; INT(T801/20), "")</f>
        <v/>
      </c>
      <c r="AF801" s="11">
        <f>IF(INT(U801/20)&gt;INT(U800/20), "Lần " &amp; INT(U801/20), "")</f>
        <v/>
      </c>
      <c r="AG801" s="11">
        <f>IF(INT(V801/20)&gt;INT(V800/20), "Lần " &amp; INT(V801/20), "")</f>
        <v/>
      </c>
      <c r="AH801" s="11">
        <f>IF(INT(W801/20)&gt;INT(W800/20), "Lần " &amp; INT(W801/20), "")</f>
        <v/>
      </c>
      <c r="AI801" s="11">
        <f>IF(INT(X801/20)&gt;INT(X800/20), "Lần " &amp; INT(X801/20), "")</f>
        <v/>
      </c>
      <c r="AJ801" s="11">
        <f>IF(INT(Y801/20)&gt;INT(Y800/20), "Lần " &amp; INT(Y801/20), "")</f>
        <v/>
      </c>
      <c r="AK801" s="11">
        <f>IF(INT(Z801/20)&gt;INT(Z800/20), "Lần " &amp; INT(Z801/20), "")</f>
        <v/>
      </c>
      <c r="AL801" s="6" t="inlineStr">
        <is>
          <t>ĐẠT TCVN 1651:2018</t>
        </is>
      </c>
    </row>
    <row r="802" ht="19" customHeight="1">
      <c r="A802" s="6" t="n">
        <v>769</v>
      </c>
      <c r="B802" s="7" t="inlineStr">
        <is>
          <t>Gờ lan can BTCT</t>
        </is>
      </c>
      <c r="C802" s="7" t="inlineStr">
        <is>
          <t>LOẠI A1</t>
        </is>
      </c>
      <c r="D802" s="18" t="inlineStr">
        <is>
          <t>G1</t>
        </is>
      </c>
      <c r="E802" s="19" t="n">
        <v>14</v>
      </c>
      <c r="F802" s="6" t="inlineStr">
        <is>
          <t>CB400-V</t>
        </is>
      </c>
      <c r="G802" s="7" t="inlineStr">
        <is>
          <t>S01</t>
        </is>
      </c>
      <c r="H802" s="20" t="n">
        <v>5.91</v>
      </c>
      <c r="I802" s="21" t="n">
        <v>19</v>
      </c>
      <c r="J802" s="22" t="n">
        <v>1.21</v>
      </c>
      <c r="K802" s="9">
        <f>ROUND(H802*I802*J802, 2)</f>
        <v/>
      </c>
      <c r="L802" s="23">
        <f>ROUND(K802/1000, 3)</f>
        <v/>
      </c>
      <c r="M802" s="8" t="n"/>
      <c r="N802" s="6" t="n"/>
      <c r="O802" s="24">
        <f>IF(AND(E802&lt;=10, F802&lt;&gt;"ASTM A416", INT(P802/20)&gt;INT(P801/20)), "TN Ø10 (Lần " &amp; INT(P802/20) &amp; ")", IF(AND(E802=12, INT(Q802/20)&gt;INT(Q801/20)), "TN Ø12 (Lần " &amp; INT(Q802/20) &amp; ")", IF(AND(E802=14, INT(R802/20)&gt;INT(R801/20)), "TN Ø14 (Lần " &amp; INT(R802/20) &amp; ")", IF(AND(E802=16, INT(S802/20)&gt;INT(S801/20)), "TN Ø16 (Lần " &amp; INT(S802/20) &amp; ")", IF(AND(E802=18, INT(T802/20)&gt;INT(T801/20)), "TN Ø18 (Lần " &amp; INT(T802/20) &amp; ")", IF(AND(E802=20, INT(U802/20)&gt;INT(U801/20)), "TN Ø20 (Lần " &amp; INT(U802/20) &amp; ")", IF(AND(E802=22, INT(V802/20)&gt;INT(V801/20)), "TN Ø22 (Lần " &amp; INT(V802/20) &amp; ")", IF(AND(E802=25, INT(W802/20)&gt;INT(W801/20)), "TN Ø25 (Lần " &amp; INT(W802/20) &amp; ")", IF(AND(E802=28, INT(X802/20)&gt;INT(X801/20)), "TN Ø28 (Lần " &amp; INT(X802/20) &amp; ")", IF(AND(E802=32, INT(Y802/20)&gt;INT(Y801/20)), "TN Ø32 (Lần " &amp; INT(Y802/20) &amp; ")", IF(AND(F802="ASTM A416", INT(Z802/20)&gt;INT(Z801/20)), "TN Cáp 15.2 (Lần " &amp; INT(Z802/20) &amp; ")", "")))))))))))</f>
        <v/>
      </c>
      <c r="P802" s="20">
        <f>ROUND(P801 + IF(AND(E802&lt;=10, F802&lt;&gt;"ASTM A416"), L802, 0), 3)</f>
        <v/>
      </c>
      <c r="Q802" s="20">
        <f>ROUND(Q801 + IF(AND(E802=12, F802&lt;&gt;"ASTM A416"), L802, 0), 3)</f>
        <v/>
      </c>
      <c r="R802" s="20">
        <f>ROUND(R801 + IF(AND(E802=14, F802&lt;&gt;"ASTM A416"), L802, 0), 3)</f>
        <v/>
      </c>
      <c r="S802" s="20">
        <f>ROUND(S801 + IF(AND(E802=16, F802&lt;&gt;"ASTM A416"), L802, 0), 3)</f>
        <v/>
      </c>
      <c r="T802" s="20">
        <f>ROUND(T801 + IF(AND(E802=18, F802&lt;&gt;"ASTM A416"), L802, 0), 3)</f>
        <v/>
      </c>
      <c r="U802" s="20">
        <f>ROUND(U801 + IF(AND(E802=20, F802&lt;&gt;"ASTM A416"), L802, 0), 3)</f>
        <v/>
      </c>
      <c r="V802" s="20">
        <f>ROUND(V801 + IF(AND(E802=22, F802&lt;&gt;"ASTM A416"), L802, 0), 3)</f>
        <v/>
      </c>
      <c r="W802" s="20">
        <f>ROUND(W801 + IF(AND(E802=25, F802&lt;&gt;"ASTM A416"), L802, 0), 3)</f>
        <v/>
      </c>
      <c r="X802" s="20">
        <f>ROUND(X801 + IF(AND(E802=28, F802&lt;&gt;"ASTM A416"), L802, 0), 3)</f>
        <v/>
      </c>
      <c r="Y802" s="20">
        <f>ROUND(Y801 + IF(AND(E802=32, F802&lt;&gt;"ASTM A416"), L802, 0), 3)</f>
        <v/>
      </c>
      <c r="Z802" s="20">
        <f>ROUND(Z801 + IF(F802="ASTM A416", L802, 0), 3)</f>
        <v/>
      </c>
      <c r="AA802" s="11">
        <f>IF(INT(P802/20)&gt;INT(P801/20), "Lần " &amp; INT(P802/20), "")</f>
        <v/>
      </c>
      <c r="AB802" s="11">
        <f>IF(INT(Q802/20)&gt;INT(Q801/20), "Lần " &amp; INT(Q802/20), "")</f>
        <v/>
      </c>
      <c r="AC802" s="11">
        <f>IF(INT(R802/20)&gt;INT(R801/20), "Lần " &amp; INT(R802/20), "")</f>
        <v/>
      </c>
      <c r="AD802" s="11">
        <f>IF(INT(S802/20)&gt;INT(S801/20), "Lần " &amp; INT(S802/20), "")</f>
        <v/>
      </c>
      <c r="AE802" s="11">
        <f>IF(INT(T802/20)&gt;INT(T801/20), "Lần " &amp; INT(T802/20), "")</f>
        <v/>
      </c>
      <c r="AF802" s="11">
        <f>IF(INT(U802/20)&gt;INT(U801/20), "Lần " &amp; INT(U802/20), "")</f>
        <v/>
      </c>
      <c r="AG802" s="11">
        <f>IF(INT(V802/20)&gt;INT(V801/20), "Lần " &amp; INT(V802/20), "")</f>
        <v/>
      </c>
      <c r="AH802" s="11">
        <f>IF(INT(W802/20)&gt;INT(W801/20), "Lần " &amp; INT(W802/20), "")</f>
        <v/>
      </c>
      <c r="AI802" s="11">
        <f>IF(INT(X802/20)&gt;INT(X801/20), "Lần " &amp; INT(X802/20), "")</f>
        <v/>
      </c>
      <c r="AJ802" s="11">
        <f>IF(INT(Y802/20)&gt;INT(Y801/20), "Lần " &amp; INT(Y802/20), "")</f>
        <v/>
      </c>
      <c r="AK802" s="11">
        <f>IF(INT(Z802/20)&gt;INT(Z801/20), "Lần " &amp; INT(Z802/20), "")</f>
        <v/>
      </c>
      <c r="AL802" s="6" t="inlineStr">
        <is>
          <t>ĐẠT TCVN 1651:2018</t>
        </is>
      </c>
    </row>
    <row r="803" ht="19" customHeight="1">
      <c r="A803" s="6" t="n">
        <v>770</v>
      </c>
      <c r="B803" s="7" t="inlineStr">
        <is>
          <t>Gờ lan can BTCT</t>
        </is>
      </c>
      <c r="C803" s="7" t="inlineStr">
        <is>
          <t>Gờ lan can 2 bên cầu</t>
        </is>
      </c>
      <c r="D803" s="18" t="inlineStr">
        <is>
          <t>G2</t>
        </is>
      </c>
      <c r="E803" s="19" t="n">
        <v>18</v>
      </c>
      <c r="F803" s="6" t="inlineStr">
        <is>
          <t>CB400-V</t>
        </is>
      </c>
      <c r="G803" s="7" t="inlineStr">
        <is>
          <t>S57</t>
        </is>
      </c>
      <c r="H803" s="20" t="n">
        <v>2.578</v>
      </c>
      <c r="I803" s="21" t="n">
        <v>41</v>
      </c>
      <c r="J803" s="22" t="n">
        <v>2</v>
      </c>
      <c r="K803" s="9">
        <f>ROUND(H803*I803*J803, 2)</f>
        <v/>
      </c>
      <c r="L803" s="23">
        <f>ROUND(K803/1000, 3)</f>
        <v/>
      </c>
      <c r="M803" s="8" t="n"/>
      <c r="N803" s="6" t="n"/>
      <c r="O803" s="24">
        <f>IF(AND(E803&lt;=10, F803&lt;&gt;"ASTM A416", INT(P803/20)&gt;INT(P802/20)), "TN Ø10 (Lần " &amp; INT(P803/20) &amp; ")", IF(AND(E803=12, INT(Q803/20)&gt;INT(Q802/20)), "TN Ø12 (Lần " &amp; INT(Q803/20) &amp; ")", IF(AND(E803=14, INT(R803/20)&gt;INT(R802/20)), "TN Ø14 (Lần " &amp; INT(R803/20) &amp; ")", IF(AND(E803=16, INT(S803/20)&gt;INT(S802/20)), "TN Ø16 (Lần " &amp; INT(S803/20) &amp; ")", IF(AND(E803=18, INT(T803/20)&gt;INT(T802/20)), "TN Ø18 (Lần " &amp; INT(T803/20) &amp; ")", IF(AND(E803=20, INT(U803/20)&gt;INT(U802/20)), "TN Ø20 (Lần " &amp; INT(U803/20) &amp; ")", IF(AND(E803=22, INT(V803/20)&gt;INT(V802/20)), "TN Ø22 (Lần " &amp; INT(V803/20) &amp; ")", IF(AND(E803=25, INT(W803/20)&gt;INT(W802/20)), "TN Ø25 (Lần " &amp; INT(W803/20) &amp; ")", IF(AND(E803=28, INT(X803/20)&gt;INT(X802/20)), "TN Ø28 (Lần " &amp; INT(X803/20) &amp; ")", IF(AND(E803=32, INT(Y803/20)&gt;INT(Y802/20)), "TN Ø32 (Lần " &amp; INT(Y803/20) &amp; ")", IF(AND(F803="ASTM A416", INT(Z803/20)&gt;INT(Z802/20)), "TN Cáp 15.2 (Lần " &amp; INT(Z803/20) &amp; ")", "")))))))))))</f>
        <v/>
      </c>
      <c r="P803" s="20">
        <f>ROUND(P802 + IF(AND(E803&lt;=10, F803&lt;&gt;"ASTM A416"), L803, 0), 3)</f>
        <v/>
      </c>
      <c r="Q803" s="20">
        <f>ROUND(Q802 + IF(AND(E803=12, F803&lt;&gt;"ASTM A416"), L803, 0), 3)</f>
        <v/>
      </c>
      <c r="R803" s="20">
        <f>ROUND(R802 + IF(AND(E803=14, F803&lt;&gt;"ASTM A416"), L803, 0), 3)</f>
        <v/>
      </c>
      <c r="S803" s="20">
        <f>ROUND(S802 + IF(AND(E803=16, F803&lt;&gt;"ASTM A416"), L803, 0), 3)</f>
        <v/>
      </c>
      <c r="T803" s="20">
        <f>ROUND(T802 + IF(AND(E803=18, F803&lt;&gt;"ASTM A416"), L803, 0), 3)</f>
        <v/>
      </c>
      <c r="U803" s="20">
        <f>ROUND(U802 + IF(AND(E803=20, F803&lt;&gt;"ASTM A416"), L803, 0), 3)</f>
        <v/>
      </c>
      <c r="V803" s="20">
        <f>ROUND(V802 + IF(AND(E803=22, F803&lt;&gt;"ASTM A416"), L803, 0), 3)</f>
        <v/>
      </c>
      <c r="W803" s="20">
        <f>ROUND(W802 + IF(AND(E803=25, F803&lt;&gt;"ASTM A416"), L803, 0), 3)</f>
        <v/>
      </c>
      <c r="X803" s="20">
        <f>ROUND(X802 + IF(AND(E803=28, F803&lt;&gt;"ASTM A416"), L803, 0), 3)</f>
        <v/>
      </c>
      <c r="Y803" s="20">
        <f>ROUND(Y802 + IF(AND(E803=32, F803&lt;&gt;"ASTM A416"), L803, 0), 3)</f>
        <v/>
      </c>
      <c r="Z803" s="20">
        <f>ROUND(Z802 + IF(F803="ASTM A416", L803, 0), 3)</f>
        <v/>
      </c>
      <c r="AA803" s="11">
        <f>IF(INT(P803/20)&gt;INT(P802/20), "Lần " &amp; INT(P803/20), "")</f>
        <v/>
      </c>
      <c r="AB803" s="11">
        <f>IF(INT(Q803/20)&gt;INT(Q802/20), "Lần " &amp; INT(Q803/20), "")</f>
        <v/>
      </c>
      <c r="AC803" s="11">
        <f>IF(INT(R803/20)&gt;INT(R802/20), "Lần " &amp; INT(R803/20), "")</f>
        <v/>
      </c>
      <c r="AD803" s="11">
        <f>IF(INT(S803/20)&gt;INT(S802/20), "Lần " &amp; INT(S803/20), "")</f>
        <v/>
      </c>
      <c r="AE803" s="11">
        <f>IF(INT(T803/20)&gt;INT(T802/20), "Lần " &amp; INT(T803/20), "")</f>
        <v/>
      </c>
      <c r="AF803" s="11">
        <f>IF(INT(U803/20)&gt;INT(U802/20), "Lần " &amp; INT(U803/20), "")</f>
        <v/>
      </c>
      <c r="AG803" s="11">
        <f>IF(INT(V803/20)&gt;INT(V802/20), "Lần " &amp; INT(V803/20), "")</f>
        <v/>
      </c>
      <c r="AH803" s="11">
        <f>IF(INT(W803/20)&gt;INT(W802/20), "Lần " &amp; INT(W803/20), "")</f>
        <v/>
      </c>
      <c r="AI803" s="11">
        <f>IF(INT(X803/20)&gt;INT(X802/20), "Lần " &amp; INT(X803/20), "")</f>
        <v/>
      </c>
      <c r="AJ803" s="11">
        <f>IF(INT(Y803/20)&gt;INT(Y802/20), "Lần " &amp; INT(Y803/20), "")</f>
        <v/>
      </c>
      <c r="AK803" s="11">
        <f>IF(INT(Z803/20)&gt;INT(Z802/20), "Lần " &amp; INT(Z803/20), "")</f>
        <v/>
      </c>
      <c r="AL803" s="6" t="inlineStr">
        <is>
          <t>ĐẠT TCVN 1651:2018</t>
        </is>
      </c>
    </row>
    <row r="804" ht="19" customHeight="1">
      <c r="A804" s="6" t="n">
        <v>771</v>
      </c>
      <c r="B804" s="7" t="inlineStr">
        <is>
          <t>Gờ lan can BTCT</t>
        </is>
      </c>
      <c r="C804" s="7" t="inlineStr">
        <is>
          <t>Gờ lan can 2 bên cầu</t>
        </is>
      </c>
      <c r="D804" s="18" t="inlineStr">
        <is>
          <t>G3</t>
        </is>
      </c>
      <c r="E804" s="19" t="n">
        <v>14</v>
      </c>
      <c r="F804" s="6" t="inlineStr">
        <is>
          <t>CB400-V</t>
        </is>
      </c>
      <c r="G804" s="7" t="inlineStr">
        <is>
          <t>S29</t>
        </is>
      </c>
      <c r="H804" s="20" t="n">
        <v>2.344</v>
      </c>
      <c r="I804" s="21" t="n">
        <v>41</v>
      </c>
      <c r="J804" s="22" t="n">
        <v>1.21</v>
      </c>
      <c r="K804" s="9">
        <f>ROUND(H804*I804*J804, 2)</f>
        <v/>
      </c>
      <c r="L804" s="23">
        <f>ROUND(K804/1000, 3)</f>
        <v/>
      </c>
      <c r="M804" s="8" t="n"/>
      <c r="N804" s="6" t="n"/>
      <c r="O804" s="24">
        <f>IF(AND(E804&lt;=10, F804&lt;&gt;"ASTM A416", INT(P804/20)&gt;INT(P803/20)), "TN Ø10 (Lần " &amp; INT(P804/20) &amp; ")", IF(AND(E804=12, INT(Q804/20)&gt;INT(Q803/20)), "TN Ø12 (Lần " &amp; INT(Q804/20) &amp; ")", IF(AND(E804=14, INT(R804/20)&gt;INT(R803/20)), "TN Ø14 (Lần " &amp; INT(R804/20) &amp; ")", IF(AND(E804=16, INT(S804/20)&gt;INT(S803/20)), "TN Ø16 (Lần " &amp; INT(S804/20) &amp; ")", IF(AND(E804=18, INT(T804/20)&gt;INT(T803/20)), "TN Ø18 (Lần " &amp; INT(T804/20) &amp; ")", IF(AND(E804=20, INT(U804/20)&gt;INT(U803/20)), "TN Ø20 (Lần " &amp; INT(U804/20) &amp; ")", IF(AND(E804=22, INT(V804/20)&gt;INT(V803/20)), "TN Ø22 (Lần " &amp; INT(V804/20) &amp; ")", IF(AND(E804=25, INT(W804/20)&gt;INT(W803/20)), "TN Ø25 (Lần " &amp; INT(W804/20) &amp; ")", IF(AND(E804=28, INT(X804/20)&gt;INT(X803/20)), "TN Ø28 (Lần " &amp; INT(X804/20) &amp; ")", IF(AND(E804=32, INT(Y804/20)&gt;INT(Y803/20)), "TN Ø32 (Lần " &amp; INT(Y804/20) &amp; ")", IF(AND(F804="ASTM A416", INT(Z804/20)&gt;INT(Z803/20)), "TN Cáp 15.2 (Lần " &amp; INT(Z804/20) &amp; ")", "")))))))))))</f>
        <v/>
      </c>
      <c r="P804" s="20">
        <f>ROUND(P803 + IF(AND(E804&lt;=10, F804&lt;&gt;"ASTM A416"), L804, 0), 3)</f>
        <v/>
      </c>
      <c r="Q804" s="20">
        <f>ROUND(Q803 + IF(AND(E804=12, F804&lt;&gt;"ASTM A416"), L804, 0), 3)</f>
        <v/>
      </c>
      <c r="R804" s="20">
        <f>ROUND(R803 + IF(AND(E804=14, F804&lt;&gt;"ASTM A416"), L804, 0), 3)</f>
        <v/>
      </c>
      <c r="S804" s="20">
        <f>ROUND(S803 + IF(AND(E804=16, F804&lt;&gt;"ASTM A416"), L804, 0), 3)</f>
        <v/>
      </c>
      <c r="T804" s="20">
        <f>ROUND(T803 + IF(AND(E804=18, F804&lt;&gt;"ASTM A416"), L804, 0), 3)</f>
        <v/>
      </c>
      <c r="U804" s="20">
        <f>ROUND(U803 + IF(AND(E804=20, F804&lt;&gt;"ASTM A416"), L804, 0), 3)</f>
        <v/>
      </c>
      <c r="V804" s="20">
        <f>ROUND(V803 + IF(AND(E804=22, F804&lt;&gt;"ASTM A416"), L804, 0), 3)</f>
        <v/>
      </c>
      <c r="W804" s="20">
        <f>ROUND(W803 + IF(AND(E804=25, F804&lt;&gt;"ASTM A416"), L804, 0), 3)</f>
        <v/>
      </c>
      <c r="X804" s="20">
        <f>ROUND(X803 + IF(AND(E804=28, F804&lt;&gt;"ASTM A416"), L804, 0), 3)</f>
        <v/>
      </c>
      <c r="Y804" s="20">
        <f>ROUND(Y803 + IF(AND(E804=32, F804&lt;&gt;"ASTM A416"), L804, 0), 3)</f>
        <v/>
      </c>
      <c r="Z804" s="20">
        <f>ROUND(Z803 + IF(F804="ASTM A416", L804, 0), 3)</f>
        <v/>
      </c>
      <c r="AA804" s="11">
        <f>IF(INT(P804/20)&gt;INT(P803/20), "Lần " &amp; INT(P804/20), "")</f>
        <v/>
      </c>
      <c r="AB804" s="11">
        <f>IF(INT(Q804/20)&gt;INT(Q803/20), "Lần " &amp; INT(Q804/20), "")</f>
        <v/>
      </c>
      <c r="AC804" s="11">
        <f>IF(INT(R804/20)&gt;INT(R803/20), "Lần " &amp; INT(R804/20), "")</f>
        <v/>
      </c>
      <c r="AD804" s="11">
        <f>IF(INT(S804/20)&gt;INT(S803/20), "Lần " &amp; INT(S804/20), "")</f>
        <v/>
      </c>
      <c r="AE804" s="11">
        <f>IF(INT(T804/20)&gt;INT(T803/20), "Lần " &amp; INT(T804/20), "")</f>
        <v/>
      </c>
      <c r="AF804" s="11">
        <f>IF(INT(U804/20)&gt;INT(U803/20), "Lần " &amp; INT(U804/20), "")</f>
        <v/>
      </c>
      <c r="AG804" s="11">
        <f>IF(INT(V804/20)&gt;INT(V803/20), "Lần " &amp; INT(V804/20), "")</f>
        <v/>
      </c>
      <c r="AH804" s="11">
        <f>IF(INT(W804/20)&gt;INT(W803/20), "Lần " &amp; INT(W804/20), "")</f>
        <v/>
      </c>
      <c r="AI804" s="11">
        <f>IF(INT(X804/20)&gt;INT(X803/20), "Lần " &amp; INT(X804/20), "")</f>
        <v/>
      </c>
      <c r="AJ804" s="11">
        <f>IF(INT(Y804/20)&gt;INT(Y803/20), "Lần " &amp; INT(Y804/20), "")</f>
        <v/>
      </c>
      <c r="AK804" s="11">
        <f>IF(INT(Z804/20)&gt;INT(Z803/20), "Lần " &amp; INT(Z804/20), "")</f>
        <v/>
      </c>
      <c r="AL804" s="6" t="inlineStr">
        <is>
          <t>ĐẠT TCVN 1651:2018</t>
        </is>
      </c>
    </row>
    <row r="805" ht="19" customHeight="1">
      <c r="A805" s="6" t="n">
        <v>772</v>
      </c>
      <c r="B805" s="7" t="inlineStr">
        <is>
          <t>Gờ lan can BTCT</t>
        </is>
      </c>
      <c r="C805" s="7" t="inlineStr">
        <is>
          <t>Gờ lan can 2 bên cầu</t>
        </is>
      </c>
      <c r="D805" s="18" t="inlineStr">
        <is>
          <t>G4A</t>
        </is>
      </c>
      <c r="E805" s="19" t="n">
        <v>12</v>
      </c>
      <c r="F805" s="6" t="inlineStr">
        <is>
          <t>CB400-V</t>
        </is>
      </c>
      <c r="G805" s="7" t="inlineStr">
        <is>
          <t>S06</t>
        </is>
      </c>
      <c r="H805" s="20" t="n">
        <v>0.342</v>
      </c>
      <c r="I805" s="21" t="n">
        <v>13</v>
      </c>
      <c r="J805" s="22" t="n">
        <v>0.888</v>
      </c>
      <c r="K805" s="9">
        <f>ROUND(H805*I805*J805, 2)</f>
        <v/>
      </c>
      <c r="L805" s="23">
        <f>ROUND(K805/1000, 3)</f>
        <v/>
      </c>
      <c r="M805" s="8" t="n"/>
      <c r="N805" s="6" t="n"/>
      <c r="O805" s="24">
        <f>IF(AND(E805&lt;=10, F805&lt;&gt;"ASTM A416", INT(P805/20)&gt;INT(P804/20)), "TN Ø10 (Lần " &amp; INT(P805/20) &amp; ")", IF(AND(E805=12, INT(Q805/20)&gt;INT(Q804/20)), "TN Ø12 (Lần " &amp; INT(Q805/20) &amp; ")", IF(AND(E805=14, INT(R805/20)&gt;INT(R804/20)), "TN Ø14 (Lần " &amp; INT(R805/20) &amp; ")", IF(AND(E805=16, INT(S805/20)&gt;INT(S804/20)), "TN Ø16 (Lần " &amp; INT(S805/20) &amp; ")", IF(AND(E805=18, INT(T805/20)&gt;INT(T804/20)), "TN Ø18 (Lần " &amp; INT(T805/20) &amp; ")", IF(AND(E805=20, INT(U805/20)&gt;INT(U804/20)), "TN Ø20 (Lần " &amp; INT(U805/20) &amp; ")", IF(AND(E805=22, INT(V805/20)&gt;INT(V804/20)), "TN Ø22 (Lần " &amp; INT(V805/20) &amp; ")", IF(AND(E805=25, INT(W805/20)&gt;INT(W804/20)), "TN Ø25 (Lần " &amp; INT(W805/20) &amp; ")", IF(AND(E805=28, INT(X805/20)&gt;INT(X804/20)), "TN Ø28 (Lần " &amp; INT(X805/20) &amp; ")", IF(AND(E805=32, INT(Y805/20)&gt;INT(Y804/20)), "TN Ø32 (Lần " &amp; INT(Y805/20) &amp; ")", IF(AND(F805="ASTM A416", INT(Z805/20)&gt;INT(Z804/20)), "TN Cáp 15.2 (Lần " &amp; INT(Z805/20) &amp; ")", "")))))))))))</f>
        <v/>
      </c>
      <c r="P805" s="20">
        <f>ROUND(P804 + IF(AND(E805&lt;=10, F805&lt;&gt;"ASTM A416"), L805, 0), 3)</f>
        <v/>
      </c>
      <c r="Q805" s="20">
        <f>ROUND(Q804 + IF(AND(E805=12, F805&lt;&gt;"ASTM A416"), L805, 0), 3)</f>
        <v/>
      </c>
      <c r="R805" s="20">
        <f>ROUND(R804 + IF(AND(E805=14, F805&lt;&gt;"ASTM A416"), L805, 0), 3)</f>
        <v/>
      </c>
      <c r="S805" s="20">
        <f>ROUND(S804 + IF(AND(E805=16, F805&lt;&gt;"ASTM A416"), L805, 0), 3)</f>
        <v/>
      </c>
      <c r="T805" s="20">
        <f>ROUND(T804 + IF(AND(E805=18, F805&lt;&gt;"ASTM A416"), L805, 0), 3)</f>
        <v/>
      </c>
      <c r="U805" s="20">
        <f>ROUND(U804 + IF(AND(E805=20, F805&lt;&gt;"ASTM A416"), L805, 0), 3)</f>
        <v/>
      </c>
      <c r="V805" s="20">
        <f>ROUND(V804 + IF(AND(E805=22, F805&lt;&gt;"ASTM A416"), L805, 0), 3)</f>
        <v/>
      </c>
      <c r="W805" s="20">
        <f>ROUND(W804 + IF(AND(E805=25, F805&lt;&gt;"ASTM A416"), L805, 0), 3)</f>
        <v/>
      </c>
      <c r="X805" s="20">
        <f>ROUND(X804 + IF(AND(E805=28, F805&lt;&gt;"ASTM A416"), L805, 0), 3)</f>
        <v/>
      </c>
      <c r="Y805" s="20">
        <f>ROUND(Y804 + IF(AND(E805=32, F805&lt;&gt;"ASTM A416"), L805, 0), 3)</f>
        <v/>
      </c>
      <c r="Z805" s="20">
        <f>ROUND(Z804 + IF(F805="ASTM A416", L805, 0), 3)</f>
        <v/>
      </c>
      <c r="AA805" s="11">
        <f>IF(INT(P805/20)&gt;INT(P804/20), "Lần " &amp; INT(P805/20), "")</f>
        <v/>
      </c>
      <c r="AB805" s="11">
        <f>IF(INT(Q805/20)&gt;INT(Q804/20), "Lần " &amp; INT(Q805/20), "")</f>
        <v/>
      </c>
      <c r="AC805" s="11">
        <f>IF(INT(R805/20)&gt;INT(R804/20), "Lần " &amp; INT(R805/20), "")</f>
        <v/>
      </c>
      <c r="AD805" s="11">
        <f>IF(INT(S805/20)&gt;INT(S804/20), "Lần " &amp; INT(S805/20), "")</f>
        <v/>
      </c>
      <c r="AE805" s="11">
        <f>IF(INT(T805/20)&gt;INT(T804/20), "Lần " &amp; INT(T805/20), "")</f>
        <v/>
      </c>
      <c r="AF805" s="11">
        <f>IF(INT(U805/20)&gt;INT(U804/20), "Lần " &amp; INT(U805/20), "")</f>
        <v/>
      </c>
      <c r="AG805" s="11">
        <f>IF(INT(V805/20)&gt;INT(V804/20), "Lần " &amp; INT(V805/20), "")</f>
        <v/>
      </c>
      <c r="AH805" s="11">
        <f>IF(INT(W805/20)&gt;INT(W804/20), "Lần " &amp; INT(W805/20), "")</f>
        <v/>
      </c>
      <c r="AI805" s="11">
        <f>IF(INT(X805/20)&gt;INT(X804/20), "Lần " &amp; INT(X805/20), "")</f>
        <v/>
      </c>
      <c r="AJ805" s="11">
        <f>IF(INT(Y805/20)&gt;INT(Y804/20), "Lần " &amp; INT(Y805/20), "")</f>
        <v/>
      </c>
      <c r="AK805" s="11">
        <f>IF(INT(Z805/20)&gt;INT(Z804/20), "Lần " &amp; INT(Z805/20), "")</f>
        <v/>
      </c>
      <c r="AL805" s="6" t="inlineStr">
        <is>
          <t>ĐẠT TCVN 1651:2018</t>
        </is>
      </c>
    </row>
    <row r="806" ht="19" customHeight="1">
      <c r="A806" s="6" t="n">
        <v>773</v>
      </c>
      <c r="B806" s="7" t="inlineStr">
        <is>
          <t>Gờ lan can BTCT</t>
        </is>
      </c>
      <c r="C806" s="7" t="inlineStr">
        <is>
          <t>Gờ lan can 2 bên cầu</t>
        </is>
      </c>
      <c r="D806" s="18" t="inlineStr">
        <is>
          <t>G4B</t>
        </is>
      </c>
      <c r="E806" s="19" t="n">
        <v>12</v>
      </c>
      <c r="F806" s="6" t="inlineStr">
        <is>
          <t>CB400-V</t>
        </is>
      </c>
      <c r="G806" s="7" t="inlineStr">
        <is>
          <t>S06</t>
        </is>
      </c>
      <c r="H806" s="20" t="n">
        <v>0.388</v>
      </c>
      <c r="I806" s="21" t="n">
        <v>13</v>
      </c>
      <c r="J806" s="22" t="n">
        <v>0.888</v>
      </c>
      <c r="K806" s="9">
        <f>ROUND(H806*I806*J806, 2)</f>
        <v/>
      </c>
      <c r="L806" s="23">
        <f>ROUND(K806/1000, 3)</f>
        <v/>
      </c>
      <c r="M806" s="8" t="n"/>
      <c r="N806" s="6" t="n"/>
      <c r="O806" s="24">
        <f>IF(AND(E806&lt;=10, F806&lt;&gt;"ASTM A416", INT(P806/20)&gt;INT(P805/20)), "TN Ø10 (Lần " &amp; INT(P806/20) &amp; ")", IF(AND(E806=12, INT(Q806/20)&gt;INT(Q805/20)), "TN Ø12 (Lần " &amp; INT(Q806/20) &amp; ")", IF(AND(E806=14, INT(R806/20)&gt;INT(R805/20)), "TN Ø14 (Lần " &amp; INT(R806/20) &amp; ")", IF(AND(E806=16, INT(S806/20)&gt;INT(S805/20)), "TN Ø16 (Lần " &amp; INT(S806/20) &amp; ")", IF(AND(E806=18, INT(T806/20)&gt;INT(T805/20)), "TN Ø18 (Lần " &amp; INT(T806/20) &amp; ")", IF(AND(E806=20, INT(U806/20)&gt;INT(U805/20)), "TN Ø20 (Lần " &amp; INT(U806/20) &amp; ")", IF(AND(E806=22, INT(V806/20)&gt;INT(V805/20)), "TN Ø22 (Lần " &amp; INT(V806/20) &amp; ")", IF(AND(E806=25, INT(W806/20)&gt;INT(W805/20)), "TN Ø25 (Lần " &amp; INT(W806/20) &amp; ")", IF(AND(E806=28, INT(X806/20)&gt;INT(X805/20)), "TN Ø28 (Lần " &amp; INT(X806/20) &amp; ")", IF(AND(E806=32, INT(Y806/20)&gt;INT(Y805/20)), "TN Ø32 (Lần " &amp; INT(Y806/20) &amp; ")", IF(AND(F806="ASTM A416", INT(Z806/20)&gt;INT(Z805/20)), "TN Cáp 15.2 (Lần " &amp; INT(Z806/20) &amp; ")", "")))))))))))</f>
        <v/>
      </c>
      <c r="P806" s="20">
        <f>ROUND(P805 + IF(AND(E806&lt;=10, F806&lt;&gt;"ASTM A416"), L806, 0), 3)</f>
        <v/>
      </c>
      <c r="Q806" s="20">
        <f>ROUND(Q805 + IF(AND(E806=12, F806&lt;&gt;"ASTM A416"), L806, 0), 3)</f>
        <v/>
      </c>
      <c r="R806" s="20">
        <f>ROUND(R805 + IF(AND(E806=14, F806&lt;&gt;"ASTM A416"), L806, 0), 3)</f>
        <v/>
      </c>
      <c r="S806" s="20">
        <f>ROUND(S805 + IF(AND(E806=16, F806&lt;&gt;"ASTM A416"), L806, 0), 3)</f>
        <v/>
      </c>
      <c r="T806" s="20">
        <f>ROUND(T805 + IF(AND(E806=18, F806&lt;&gt;"ASTM A416"), L806, 0), 3)</f>
        <v/>
      </c>
      <c r="U806" s="20">
        <f>ROUND(U805 + IF(AND(E806=20, F806&lt;&gt;"ASTM A416"), L806, 0), 3)</f>
        <v/>
      </c>
      <c r="V806" s="20">
        <f>ROUND(V805 + IF(AND(E806=22, F806&lt;&gt;"ASTM A416"), L806, 0), 3)</f>
        <v/>
      </c>
      <c r="W806" s="20">
        <f>ROUND(W805 + IF(AND(E806=25, F806&lt;&gt;"ASTM A416"), L806, 0), 3)</f>
        <v/>
      </c>
      <c r="X806" s="20">
        <f>ROUND(X805 + IF(AND(E806=28, F806&lt;&gt;"ASTM A416"), L806, 0), 3)</f>
        <v/>
      </c>
      <c r="Y806" s="20">
        <f>ROUND(Y805 + IF(AND(E806=32, F806&lt;&gt;"ASTM A416"), L806, 0), 3)</f>
        <v/>
      </c>
      <c r="Z806" s="20">
        <f>ROUND(Z805 + IF(F806="ASTM A416", L806, 0), 3)</f>
        <v/>
      </c>
      <c r="AA806" s="11">
        <f>IF(INT(P806/20)&gt;INT(P805/20), "Lần " &amp; INT(P806/20), "")</f>
        <v/>
      </c>
      <c r="AB806" s="11">
        <f>IF(INT(Q806/20)&gt;INT(Q805/20), "Lần " &amp; INT(Q806/20), "")</f>
        <v/>
      </c>
      <c r="AC806" s="11">
        <f>IF(INT(R806/20)&gt;INT(R805/20), "Lần " &amp; INT(R806/20), "")</f>
        <v/>
      </c>
      <c r="AD806" s="11">
        <f>IF(INT(S806/20)&gt;INT(S805/20), "Lần " &amp; INT(S806/20), "")</f>
        <v/>
      </c>
      <c r="AE806" s="11">
        <f>IF(INT(T806/20)&gt;INT(T805/20), "Lần " &amp; INT(T806/20), "")</f>
        <v/>
      </c>
      <c r="AF806" s="11">
        <f>IF(INT(U806/20)&gt;INT(U805/20), "Lần " &amp; INT(U806/20), "")</f>
        <v/>
      </c>
      <c r="AG806" s="11">
        <f>IF(INT(V806/20)&gt;INT(V805/20), "Lần " &amp; INT(V806/20), "")</f>
        <v/>
      </c>
      <c r="AH806" s="11">
        <f>IF(INT(W806/20)&gt;INT(W805/20), "Lần " &amp; INT(W806/20), "")</f>
        <v/>
      </c>
      <c r="AI806" s="11">
        <f>IF(INT(X806/20)&gt;INT(X805/20), "Lần " &amp; INT(X806/20), "")</f>
        <v/>
      </c>
      <c r="AJ806" s="11">
        <f>IF(INT(Y806/20)&gt;INT(Y805/20), "Lần " &amp; INT(Y806/20), "")</f>
        <v/>
      </c>
      <c r="AK806" s="11">
        <f>IF(INT(Z806/20)&gt;INT(Z805/20), "Lần " &amp; INT(Z806/20), "")</f>
        <v/>
      </c>
      <c r="AL806" s="6" t="inlineStr">
        <is>
          <t>ĐẠT TCVN 1651:2018</t>
        </is>
      </c>
    </row>
    <row r="807" ht="19" customHeight="1">
      <c r="A807" s="6" t="n">
        <v>774</v>
      </c>
      <c r="B807" s="7" t="inlineStr">
        <is>
          <t>Gờ lan can BTCT</t>
        </is>
      </c>
      <c r="C807" s="7" t="inlineStr">
        <is>
          <t>Gờ lan can 2 bên cầu</t>
        </is>
      </c>
      <c r="D807" s="18" t="inlineStr">
        <is>
          <t>G4C</t>
        </is>
      </c>
      <c r="E807" s="19" t="n">
        <v>12</v>
      </c>
      <c r="F807" s="6" t="inlineStr">
        <is>
          <t>CB400-V</t>
        </is>
      </c>
      <c r="G807" s="7" t="inlineStr">
        <is>
          <t>S06</t>
        </is>
      </c>
      <c r="H807" s="20" t="n">
        <v>0.634</v>
      </c>
      <c r="I807" s="21" t="n">
        <v>13</v>
      </c>
      <c r="J807" s="22" t="n">
        <v>0.888</v>
      </c>
      <c r="K807" s="9">
        <f>ROUND(H807*I807*J807, 2)</f>
        <v/>
      </c>
      <c r="L807" s="23">
        <f>ROUND(K807/1000, 3)</f>
        <v/>
      </c>
      <c r="M807" s="8" t="n"/>
      <c r="N807" s="6" t="n"/>
      <c r="O807" s="24">
        <f>IF(AND(E807&lt;=10, F807&lt;&gt;"ASTM A416", INT(P807/20)&gt;INT(P806/20)), "TN Ø10 (Lần " &amp; INT(P807/20) &amp; ")", IF(AND(E807=12, INT(Q807/20)&gt;INT(Q806/20)), "TN Ø12 (Lần " &amp; INT(Q807/20) &amp; ")", IF(AND(E807=14, INT(R807/20)&gt;INT(R806/20)), "TN Ø14 (Lần " &amp; INT(R807/20) &amp; ")", IF(AND(E807=16, INT(S807/20)&gt;INT(S806/20)), "TN Ø16 (Lần " &amp; INT(S807/20) &amp; ")", IF(AND(E807=18, INT(T807/20)&gt;INT(T806/20)), "TN Ø18 (Lần " &amp; INT(T807/20) &amp; ")", IF(AND(E807=20, INT(U807/20)&gt;INT(U806/20)), "TN Ø20 (Lần " &amp; INT(U807/20) &amp; ")", IF(AND(E807=22, INT(V807/20)&gt;INT(V806/20)), "TN Ø22 (Lần " &amp; INT(V807/20) &amp; ")", IF(AND(E807=25, INT(W807/20)&gt;INT(W806/20)), "TN Ø25 (Lần " &amp; INT(W807/20) &amp; ")", IF(AND(E807=28, INT(X807/20)&gt;INT(X806/20)), "TN Ø28 (Lần " &amp; INT(X807/20) &amp; ")", IF(AND(E807=32, INT(Y807/20)&gt;INT(Y806/20)), "TN Ø32 (Lần " &amp; INT(Y807/20) &amp; ")", IF(AND(F807="ASTM A416", INT(Z807/20)&gt;INT(Z806/20)), "TN Cáp 15.2 (Lần " &amp; INT(Z807/20) &amp; ")", "")))))))))))</f>
        <v/>
      </c>
      <c r="P807" s="20">
        <f>ROUND(P806 + IF(AND(E807&lt;=10, F807&lt;&gt;"ASTM A416"), L807, 0), 3)</f>
        <v/>
      </c>
      <c r="Q807" s="20">
        <f>ROUND(Q806 + IF(AND(E807=12, F807&lt;&gt;"ASTM A416"), L807, 0), 3)</f>
        <v/>
      </c>
      <c r="R807" s="20">
        <f>ROUND(R806 + IF(AND(E807=14, F807&lt;&gt;"ASTM A416"), L807, 0), 3)</f>
        <v/>
      </c>
      <c r="S807" s="20">
        <f>ROUND(S806 + IF(AND(E807=16, F807&lt;&gt;"ASTM A416"), L807, 0), 3)</f>
        <v/>
      </c>
      <c r="T807" s="20">
        <f>ROUND(T806 + IF(AND(E807=18, F807&lt;&gt;"ASTM A416"), L807, 0), 3)</f>
        <v/>
      </c>
      <c r="U807" s="20">
        <f>ROUND(U806 + IF(AND(E807=20, F807&lt;&gt;"ASTM A416"), L807, 0), 3)</f>
        <v/>
      </c>
      <c r="V807" s="20">
        <f>ROUND(V806 + IF(AND(E807=22, F807&lt;&gt;"ASTM A416"), L807, 0), 3)</f>
        <v/>
      </c>
      <c r="W807" s="20">
        <f>ROUND(W806 + IF(AND(E807=25, F807&lt;&gt;"ASTM A416"), L807, 0), 3)</f>
        <v/>
      </c>
      <c r="X807" s="20">
        <f>ROUND(X806 + IF(AND(E807=28, F807&lt;&gt;"ASTM A416"), L807, 0), 3)</f>
        <v/>
      </c>
      <c r="Y807" s="20">
        <f>ROUND(Y806 + IF(AND(E807=32, F807&lt;&gt;"ASTM A416"), L807, 0), 3)</f>
        <v/>
      </c>
      <c r="Z807" s="20">
        <f>ROUND(Z806 + IF(F807="ASTM A416", L807, 0), 3)</f>
        <v/>
      </c>
      <c r="AA807" s="11">
        <f>IF(INT(P807/20)&gt;INT(P806/20), "Lần " &amp; INT(P807/20), "")</f>
        <v/>
      </c>
      <c r="AB807" s="11">
        <f>IF(INT(Q807/20)&gt;INT(Q806/20), "Lần " &amp; INT(Q807/20), "")</f>
        <v/>
      </c>
      <c r="AC807" s="11">
        <f>IF(INT(R807/20)&gt;INT(R806/20), "Lần " &amp; INT(R807/20), "")</f>
        <v/>
      </c>
      <c r="AD807" s="11">
        <f>IF(INT(S807/20)&gt;INT(S806/20), "Lần " &amp; INT(S807/20), "")</f>
        <v/>
      </c>
      <c r="AE807" s="11">
        <f>IF(INT(T807/20)&gt;INT(T806/20), "Lần " &amp; INT(T807/20), "")</f>
        <v/>
      </c>
      <c r="AF807" s="11">
        <f>IF(INT(U807/20)&gt;INT(U806/20), "Lần " &amp; INT(U807/20), "")</f>
        <v/>
      </c>
      <c r="AG807" s="11">
        <f>IF(INT(V807/20)&gt;INT(V806/20), "Lần " &amp; INT(V807/20), "")</f>
        <v/>
      </c>
      <c r="AH807" s="11">
        <f>IF(INT(W807/20)&gt;INT(W806/20), "Lần " &amp; INT(W807/20), "")</f>
        <v/>
      </c>
      <c r="AI807" s="11">
        <f>IF(INT(X807/20)&gt;INT(X806/20), "Lần " &amp; INT(X807/20), "")</f>
        <v/>
      </c>
      <c r="AJ807" s="11">
        <f>IF(INT(Y807/20)&gt;INT(Y806/20), "Lần " &amp; INT(Y807/20), "")</f>
        <v/>
      </c>
      <c r="AK807" s="11">
        <f>IF(INT(Z807/20)&gt;INT(Z806/20), "Lần " &amp; INT(Z807/20), "")</f>
        <v/>
      </c>
      <c r="AL807" s="6" t="inlineStr">
        <is>
          <t>ĐẠT TCVN 1651:2018</t>
        </is>
      </c>
    </row>
    <row r="808" ht="19" customHeight="1">
      <c r="A808" s="6" t="n">
        <v>775</v>
      </c>
      <c r="B808" s="7" t="inlineStr">
        <is>
          <t>Gờ lan can BTCT</t>
        </is>
      </c>
      <c r="C808" s="7" t="inlineStr">
        <is>
          <t>LOẠI A2</t>
        </is>
      </c>
      <c r="D808" s="18" t="inlineStr">
        <is>
          <t>G1A</t>
        </is>
      </c>
      <c r="E808" s="19" t="n">
        <v>14</v>
      </c>
      <c r="F808" s="6" t="inlineStr">
        <is>
          <t>CB400-V</t>
        </is>
      </c>
      <c r="G808" s="7" t="inlineStr">
        <is>
          <t>S01</t>
        </is>
      </c>
      <c r="H808" s="20" t="n">
        <v>4.12</v>
      </c>
      <c r="I808" s="21" t="n">
        <v>19</v>
      </c>
      <c r="J808" s="22" t="n">
        <v>1.21</v>
      </c>
      <c r="K808" s="9">
        <f>ROUND(H808*I808*J808, 2)</f>
        <v/>
      </c>
      <c r="L808" s="23">
        <f>ROUND(K808/1000, 3)</f>
        <v/>
      </c>
      <c r="M808" s="8" t="n"/>
      <c r="N808" s="6" t="n"/>
      <c r="O808" s="24">
        <f>IF(AND(E808&lt;=10, F808&lt;&gt;"ASTM A416", INT(P808/20)&gt;INT(P807/20)), "TN Ø10 (Lần " &amp; INT(P808/20) &amp; ")", IF(AND(E808=12, INT(Q808/20)&gt;INT(Q807/20)), "TN Ø12 (Lần " &amp; INT(Q808/20) &amp; ")", IF(AND(E808=14, INT(R808/20)&gt;INT(R807/20)), "TN Ø14 (Lần " &amp; INT(R808/20) &amp; ")", IF(AND(E808=16, INT(S808/20)&gt;INT(S807/20)), "TN Ø16 (Lần " &amp; INT(S808/20) &amp; ")", IF(AND(E808=18, INT(T808/20)&gt;INT(T807/20)), "TN Ø18 (Lần " &amp; INT(T808/20) &amp; ")", IF(AND(E808=20, INT(U808/20)&gt;INT(U807/20)), "TN Ø20 (Lần " &amp; INT(U808/20) &amp; ")", IF(AND(E808=22, INT(V808/20)&gt;INT(V807/20)), "TN Ø22 (Lần " &amp; INT(V808/20) &amp; ")", IF(AND(E808=25, INT(W808/20)&gt;INT(W807/20)), "TN Ø25 (Lần " &amp; INT(W808/20) &amp; ")", IF(AND(E808=28, INT(X808/20)&gt;INT(X807/20)), "TN Ø28 (Lần " &amp; INT(X808/20) &amp; ")", IF(AND(E808=32, INT(Y808/20)&gt;INT(Y807/20)), "TN Ø32 (Lần " &amp; INT(Y808/20) &amp; ")", IF(AND(F808="ASTM A416", INT(Z808/20)&gt;INT(Z807/20)), "TN Cáp 15.2 (Lần " &amp; INT(Z808/20) &amp; ")", "")))))))))))</f>
        <v/>
      </c>
      <c r="P808" s="20">
        <f>ROUND(P807 + IF(AND(E808&lt;=10, F808&lt;&gt;"ASTM A416"), L808, 0), 3)</f>
        <v/>
      </c>
      <c r="Q808" s="20">
        <f>ROUND(Q807 + IF(AND(E808=12, F808&lt;&gt;"ASTM A416"), L808, 0), 3)</f>
        <v/>
      </c>
      <c r="R808" s="20">
        <f>ROUND(R807 + IF(AND(E808=14, F808&lt;&gt;"ASTM A416"), L808, 0), 3)</f>
        <v/>
      </c>
      <c r="S808" s="20">
        <f>ROUND(S807 + IF(AND(E808=16, F808&lt;&gt;"ASTM A416"), L808, 0), 3)</f>
        <v/>
      </c>
      <c r="T808" s="20">
        <f>ROUND(T807 + IF(AND(E808=18, F808&lt;&gt;"ASTM A416"), L808, 0), 3)</f>
        <v/>
      </c>
      <c r="U808" s="20">
        <f>ROUND(U807 + IF(AND(E808=20, F808&lt;&gt;"ASTM A416"), L808, 0), 3)</f>
        <v/>
      </c>
      <c r="V808" s="20">
        <f>ROUND(V807 + IF(AND(E808=22, F808&lt;&gt;"ASTM A416"), L808, 0), 3)</f>
        <v/>
      </c>
      <c r="W808" s="20">
        <f>ROUND(W807 + IF(AND(E808=25, F808&lt;&gt;"ASTM A416"), L808, 0), 3)</f>
        <v/>
      </c>
      <c r="X808" s="20">
        <f>ROUND(X807 + IF(AND(E808=28, F808&lt;&gt;"ASTM A416"), L808, 0), 3)</f>
        <v/>
      </c>
      <c r="Y808" s="20">
        <f>ROUND(Y807 + IF(AND(E808=32, F808&lt;&gt;"ASTM A416"), L808, 0), 3)</f>
        <v/>
      </c>
      <c r="Z808" s="20">
        <f>ROUND(Z807 + IF(F808="ASTM A416", L808, 0), 3)</f>
        <v/>
      </c>
      <c r="AA808" s="11">
        <f>IF(INT(P808/20)&gt;INT(P807/20), "Lần " &amp; INT(P808/20), "")</f>
        <v/>
      </c>
      <c r="AB808" s="11">
        <f>IF(INT(Q808/20)&gt;INT(Q807/20), "Lần " &amp; INT(Q808/20), "")</f>
        <v/>
      </c>
      <c r="AC808" s="11">
        <f>IF(INT(R808/20)&gt;INT(R807/20), "Lần " &amp; INT(R808/20), "")</f>
        <v/>
      </c>
      <c r="AD808" s="11">
        <f>IF(INT(S808/20)&gt;INT(S807/20), "Lần " &amp; INT(S808/20), "")</f>
        <v/>
      </c>
      <c r="AE808" s="11">
        <f>IF(INT(T808/20)&gt;INT(T807/20), "Lần " &amp; INT(T808/20), "")</f>
        <v/>
      </c>
      <c r="AF808" s="11">
        <f>IF(INT(U808/20)&gt;INT(U807/20), "Lần " &amp; INT(U808/20), "")</f>
        <v/>
      </c>
      <c r="AG808" s="11">
        <f>IF(INT(V808/20)&gt;INT(V807/20), "Lần " &amp; INT(V808/20), "")</f>
        <v/>
      </c>
      <c r="AH808" s="11">
        <f>IF(INT(W808/20)&gt;INT(W807/20), "Lần " &amp; INT(W808/20), "")</f>
        <v/>
      </c>
      <c r="AI808" s="11">
        <f>IF(INT(X808/20)&gt;INT(X807/20), "Lần " &amp; INT(X808/20), "")</f>
        <v/>
      </c>
      <c r="AJ808" s="11">
        <f>IF(INT(Y808/20)&gt;INT(Y807/20), "Lần " &amp; INT(Y808/20), "")</f>
        <v/>
      </c>
      <c r="AK808" s="11">
        <f>IF(INT(Z808/20)&gt;INT(Z807/20), "Lần " &amp; INT(Z808/20), "")</f>
        <v/>
      </c>
      <c r="AL808" s="6" t="inlineStr">
        <is>
          <t>ĐẠT TCVN 1651:2018</t>
        </is>
      </c>
    </row>
    <row r="809" ht="19" customHeight="1">
      <c r="A809" s="6" t="n">
        <v>776</v>
      </c>
      <c r="B809" s="7" t="inlineStr">
        <is>
          <t>Gờ lan can BTCT</t>
        </is>
      </c>
      <c r="C809" s="7" t="inlineStr">
        <is>
          <t>Gờ lan can 2 bên cầu</t>
        </is>
      </c>
      <c r="D809" s="18" t="inlineStr">
        <is>
          <t>G2</t>
        </is>
      </c>
      <c r="E809" s="19" t="n">
        <v>18</v>
      </c>
      <c r="F809" s="6" t="inlineStr">
        <is>
          <t>CB400-V</t>
        </is>
      </c>
      <c r="G809" s="7" t="inlineStr">
        <is>
          <t>S57</t>
        </is>
      </c>
      <c r="H809" s="20" t="n">
        <v>2.578</v>
      </c>
      <c r="I809" s="21" t="n">
        <v>28</v>
      </c>
      <c r="J809" s="22" t="n">
        <v>2</v>
      </c>
      <c r="K809" s="9">
        <f>ROUND(H809*I809*J809, 2)</f>
        <v/>
      </c>
      <c r="L809" s="23">
        <f>ROUND(K809/1000, 3)</f>
        <v/>
      </c>
      <c r="M809" s="8" t="n"/>
      <c r="N809" s="6" t="n"/>
      <c r="O809" s="24">
        <f>IF(AND(E809&lt;=10, F809&lt;&gt;"ASTM A416", INT(P809/20)&gt;INT(P808/20)), "TN Ø10 (Lần " &amp; INT(P809/20) &amp; ")", IF(AND(E809=12, INT(Q809/20)&gt;INT(Q808/20)), "TN Ø12 (Lần " &amp; INT(Q809/20) &amp; ")", IF(AND(E809=14, INT(R809/20)&gt;INT(R808/20)), "TN Ø14 (Lần " &amp; INT(R809/20) &amp; ")", IF(AND(E809=16, INT(S809/20)&gt;INT(S808/20)), "TN Ø16 (Lần " &amp; INT(S809/20) &amp; ")", IF(AND(E809=18, INT(T809/20)&gt;INT(T808/20)), "TN Ø18 (Lần " &amp; INT(T809/20) &amp; ")", IF(AND(E809=20, INT(U809/20)&gt;INT(U808/20)), "TN Ø20 (Lần " &amp; INT(U809/20) &amp; ")", IF(AND(E809=22, INT(V809/20)&gt;INT(V808/20)), "TN Ø22 (Lần " &amp; INT(V809/20) &amp; ")", IF(AND(E809=25, INT(W809/20)&gt;INT(W808/20)), "TN Ø25 (Lần " &amp; INT(W809/20) &amp; ")", IF(AND(E809=28, INT(X809/20)&gt;INT(X808/20)), "TN Ø28 (Lần " &amp; INT(X809/20) &amp; ")", IF(AND(E809=32, INT(Y809/20)&gt;INT(Y808/20)), "TN Ø32 (Lần " &amp; INT(Y809/20) &amp; ")", IF(AND(F809="ASTM A416", INT(Z809/20)&gt;INT(Z808/20)), "TN Cáp 15.2 (Lần " &amp; INT(Z809/20) &amp; ")", "")))))))))))</f>
        <v/>
      </c>
      <c r="P809" s="20">
        <f>ROUND(P808 + IF(AND(E809&lt;=10, F809&lt;&gt;"ASTM A416"), L809, 0), 3)</f>
        <v/>
      </c>
      <c r="Q809" s="20">
        <f>ROUND(Q808 + IF(AND(E809=12, F809&lt;&gt;"ASTM A416"), L809, 0), 3)</f>
        <v/>
      </c>
      <c r="R809" s="20">
        <f>ROUND(R808 + IF(AND(E809=14, F809&lt;&gt;"ASTM A416"), L809, 0), 3)</f>
        <v/>
      </c>
      <c r="S809" s="20">
        <f>ROUND(S808 + IF(AND(E809=16, F809&lt;&gt;"ASTM A416"), L809, 0), 3)</f>
        <v/>
      </c>
      <c r="T809" s="20">
        <f>ROUND(T808 + IF(AND(E809=18, F809&lt;&gt;"ASTM A416"), L809, 0), 3)</f>
        <v/>
      </c>
      <c r="U809" s="20">
        <f>ROUND(U808 + IF(AND(E809=20, F809&lt;&gt;"ASTM A416"), L809, 0), 3)</f>
        <v/>
      </c>
      <c r="V809" s="20">
        <f>ROUND(V808 + IF(AND(E809=22, F809&lt;&gt;"ASTM A416"), L809, 0), 3)</f>
        <v/>
      </c>
      <c r="W809" s="20">
        <f>ROUND(W808 + IF(AND(E809=25, F809&lt;&gt;"ASTM A416"), L809, 0), 3)</f>
        <v/>
      </c>
      <c r="X809" s="20">
        <f>ROUND(X808 + IF(AND(E809=28, F809&lt;&gt;"ASTM A416"), L809, 0), 3)</f>
        <v/>
      </c>
      <c r="Y809" s="20">
        <f>ROUND(Y808 + IF(AND(E809=32, F809&lt;&gt;"ASTM A416"), L809, 0), 3)</f>
        <v/>
      </c>
      <c r="Z809" s="20">
        <f>ROUND(Z808 + IF(F809="ASTM A416", L809, 0), 3)</f>
        <v/>
      </c>
      <c r="AA809" s="11">
        <f>IF(INT(P809/20)&gt;INT(P808/20), "Lần " &amp; INT(P809/20), "")</f>
        <v/>
      </c>
      <c r="AB809" s="11">
        <f>IF(INT(Q809/20)&gt;INT(Q808/20), "Lần " &amp; INT(Q809/20), "")</f>
        <v/>
      </c>
      <c r="AC809" s="11">
        <f>IF(INT(R809/20)&gt;INT(R808/20), "Lần " &amp; INT(R809/20), "")</f>
        <v/>
      </c>
      <c r="AD809" s="11">
        <f>IF(INT(S809/20)&gt;INT(S808/20), "Lần " &amp; INT(S809/20), "")</f>
        <v/>
      </c>
      <c r="AE809" s="11">
        <f>IF(INT(T809/20)&gt;INT(T808/20), "Lần " &amp; INT(T809/20), "")</f>
        <v/>
      </c>
      <c r="AF809" s="11">
        <f>IF(INT(U809/20)&gt;INT(U808/20), "Lần " &amp; INT(U809/20), "")</f>
        <v/>
      </c>
      <c r="AG809" s="11">
        <f>IF(INT(V809/20)&gt;INT(V808/20), "Lần " &amp; INT(V809/20), "")</f>
        <v/>
      </c>
      <c r="AH809" s="11">
        <f>IF(INT(W809/20)&gt;INT(W808/20), "Lần " &amp; INT(W809/20), "")</f>
        <v/>
      </c>
      <c r="AI809" s="11">
        <f>IF(INT(X809/20)&gt;INT(X808/20), "Lần " &amp; INT(X809/20), "")</f>
        <v/>
      </c>
      <c r="AJ809" s="11">
        <f>IF(INT(Y809/20)&gt;INT(Y808/20), "Lần " &amp; INT(Y809/20), "")</f>
        <v/>
      </c>
      <c r="AK809" s="11">
        <f>IF(INT(Z809/20)&gt;INT(Z808/20), "Lần " &amp; INT(Z809/20), "")</f>
        <v/>
      </c>
      <c r="AL809" s="6" t="inlineStr">
        <is>
          <t>ĐẠT TCVN 1651:2018</t>
        </is>
      </c>
    </row>
    <row r="810" ht="19" customHeight="1">
      <c r="A810" s="6" t="n">
        <v>777</v>
      </c>
      <c r="B810" s="7" t="inlineStr">
        <is>
          <t>Gờ lan can BTCT</t>
        </is>
      </c>
      <c r="C810" s="7" t="inlineStr">
        <is>
          <t>Gờ lan can 2 bên cầu</t>
        </is>
      </c>
      <c r="D810" s="18" t="inlineStr">
        <is>
          <t>G3</t>
        </is>
      </c>
      <c r="E810" s="19" t="n">
        <v>14</v>
      </c>
      <c r="F810" s="6" t="inlineStr">
        <is>
          <t>CB400-V</t>
        </is>
      </c>
      <c r="G810" s="7" t="inlineStr">
        <is>
          <t>S29</t>
        </is>
      </c>
      <c r="H810" s="20" t="n">
        <v>2.344</v>
      </c>
      <c r="I810" s="21" t="n">
        <v>28</v>
      </c>
      <c r="J810" s="22" t="n">
        <v>1.21</v>
      </c>
      <c r="K810" s="9">
        <f>ROUND(H810*I810*J810, 2)</f>
        <v/>
      </c>
      <c r="L810" s="23">
        <f>ROUND(K810/1000, 3)</f>
        <v/>
      </c>
      <c r="M810" s="8" t="n"/>
      <c r="N810" s="6" t="n"/>
      <c r="O810" s="24">
        <f>IF(AND(E810&lt;=10, F810&lt;&gt;"ASTM A416", INT(P810/20)&gt;INT(P809/20)), "TN Ø10 (Lần " &amp; INT(P810/20) &amp; ")", IF(AND(E810=12, INT(Q810/20)&gt;INT(Q809/20)), "TN Ø12 (Lần " &amp; INT(Q810/20) &amp; ")", IF(AND(E810=14, INT(R810/20)&gt;INT(R809/20)), "TN Ø14 (Lần " &amp; INT(R810/20) &amp; ")", IF(AND(E810=16, INT(S810/20)&gt;INT(S809/20)), "TN Ø16 (Lần " &amp; INT(S810/20) &amp; ")", IF(AND(E810=18, INT(T810/20)&gt;INT(T809/20)), "TN Ø18 (Lần " &amp; INT(T810/20) &amp; ")", IF(AND(E810=20, INT(U810/20)&gt;INT(U809/20)), "TN Ø20 (Lần " &amp; INT(U810/20) &amp; ")", IF(AND(E810=22, INT(V810/20)&gt;INT(V809/20)), "TN Ø22 (Lần " &amp; INT(V810/20) &amp; ")", IF(AND(E810=25, INT(W810/20)&gt;INT(W809/20)), "TN Ø25 (Lần " &amp; INT(W810/20) &amp; ")", IF(AND(E810=28, INT(X810/20)&gt;INT(X809/20)), "TN Ø28 (Lần " &amp; INT(X810/20) &amp; ")", IF(AND(E810=32, INT(Y810/20)&gt;INT(Y809/20)), "TN Ø32 (Lần " &amp; INT(Y810/20) &amp; ")", IF(AND(F810="ASTM A416", INT(Z810/20)&gt;INT(Z809/20)), "TN Cáp 15.2 (Lần " &amp; INT(Z810/20) &amp; ")", "")))))))))))</f>
        <v/>
      </c>
      <c r="P810" s="20">
        <f>ROUND(P809 + IF(AND(E810&lt;=10, F810&lt;&gt;"ASTM A416"), L810, 0), 3)</f>
        <v/>
      </c>
      <c r="Q810" s="20">
        <f>ROUND(Q809 + IF(AND(E810=12, F810&lt;&gt;"ASTM A416"), L810, 0), 3)</f>
        <v/>
      </c>
      <c r="R810" s="20">
        <f>ROUND(R809 + IF(AND(E810=14, F810&lt;&gt;"ASTM A416"), L810, 0), 3)</f>
        <v/>
      </c>
      <c r="S810" s="20">
        <f>ROUND(S809 + IF(AND(E810=16, F810&lt;&gt;"ASTM A416"), L810, 0), 3)</f>
        <v/>
      </c>
      <c r="T810" s="20">
        <f>ROUND(T809 + IF(AND(E810=18, F810&lt;&gt;"ASTM A416"), L810, 0), 3)</f>
        <v/>
      </c>
      <c r="U810" s="20">
        <f>ROUND(U809 + IF(AND(E810=20, F810&lt;&gt;"ASTM A416"), L810, 0), 3)</f>
        <v/>
      </c>
      <c r="V810" s="20">
        <f>ROUND(V809 + IF(AND(E810=22, F810&lt;&gt;"ASTM A416"), L810, 0), 3)</f>
        <v/>
      </c>
      <c r="W810" s="20">
        <f>ROUND(W809 + IF(AND(E810=25, F810&lt;&gt;"ASTM A416"), L810, 0), 3)</f>
        <v/>
      </c>
      <c r="X810" s="20">
        <f>ROUND(X809 + IF(AND(E810=28, F810&lt;&gt;"ASTM A416"), L810, 0), 3)</f>
        <v/>
      </c>
      <c r="Y810" s="20">
        <f>ROUND(Y809 + IF(AND(E810=32, F810&lt;&gt;"ASTM A416"), L810, 0), 3)</f>
        <v/>
      </c>
      <c r="Z810" s="20">
        <f>ROUND(Z809 + IF(F810="ASTM A416", L810, 0), 3)</f>
        <v/>
      </c>
      <c r="AA810" s="11">
        <f>IF(INT(P810/20)&gt;INT(P809/20), "Lần " &amp; INT(P810/20), "")</f>
        <v/>
      </c>
      <c r="AB810" s="11">
        <f>IF(INT(Q810/20)&gt;INT(Q809/20), "Lần " &amp; INT(Q810/20), "")</f>
        <v/>
      </c>
      <c r="AC810" s="11">
        <f>IF(INT(R810/20)&gt;INT(R809/20), "Lần " &amp; INT(R810/20), "")</f>
        <v/>
      </c>
      <c r="AD810" s="11">
        <f>IF(INT(S810/20)&gt;INT(S809/20), "Lần " &amp; INT(S810/20), "")</f>
        <v/>
      </c>
      <c r="AE810" s="11">
        <f>IF(INT(T810/20)&gt;INT(T809/20), "Lần " &amp; INT(T810/20), "")</f>
        <v/>
      </c>
      <c r="AF810" s="11">
        <f>IF(INT(U810/20)&gt;INT(U809/20), "Lần " &amp; INT(U810/20), "")</f>
        <v/>
      </c>
      <c r="AG810" s="11">
        <f>IF(INT(V810/20)&gt;INT(V809/20), "Lần " &amp; INT(V810/20), "")</f>
        <v/>
      </c>
      <c r="AH810" s="11">
        <f>IF(INT(W810/20)&gt;INT(W809/20), "Lần " &amp; INT(W810/20), "")</f>
        <v/>
      </c>
      <c r="AI810" s="11">
        <f>IF(INT(X810/20)&gt;INT(X809/20), "Lần " &amp; INT(X810/20), "")</f>
        <v/>
      </c>
      <c r="AJ810" s="11">
        <f>IF(INT(Y810/20)&gt;INT(Y809/20), "Lần " &amp; INT(Y810/20), "")</f>
        <v/>
      </c>
      <c r="AK810" s="11">
        <f>IF(INT(Z810/20)&gt;INT(Z809/20), "Lần " &amp; INT(Z810/20), "")</f>
        <v/>
      </c>
      <c r="AL810" s="6" t="inlineStr">
        <is>
          <t>ĐẠT TCVN 1651:2018</t>
        </is>
      </c>
    </row>
    <row r="811" ht="19" customHeight="1">
      <c r="A811" s="6" t="n">
        <v>778</v>
      </c>
      <c r="B811" s="7" t="inlineStr">
        <is>
          <t>Gờ lan can BTCT</t>
        </is>
      </c>
      <c r="C811" s="7" t="inlineStr">
        <is>
          <t>Gờ lan can 2 bên cầu</t>
        </is>
      </c>
      <c r="D811" s="18" t="inlineStr">
        <is>
          <t>G4A</t>
        </is>
      </c>
      <c r="E811" s="19" t="n">
        <v>12</v>
      </c>
      <c r="F811" s="6" t="inlineStr">
        <is>
          <t>CB400-V</t>
        </is>
      </c>
      <c r="G811" s="7" t="inlineStr">
        <is>
          <t>S06</t>
        </is>
      </c>
      <c r="H811" s="20" t="n">
        <v>0.342</v>
      </c>
      <c r="I811" s="21" t="n">
        <v>9</v>
      </c>
      <c r="J811" s="22" t="n">
        <v>0.888</v>
      </c>
      <c r="K811" s="9">
        <f>ROUND(H811*I811*J811, 2)</f>
        <v/>
      </c>
      <c r="L811" s="23">
        <f>ROUND(K811/1000, 3)</f>
        <v/>
      </c>
      <c r="M811" s="8" t="n"/>
      <c r="N811" s="6" t="n"/>
      <c r="O811" s="24">
        <f>IF(AND(E811&lt;=10, F811&lt;&gt;"ASTM A416", INT(P811/20)&gt;INT(P810/20)), "TN Ø10 (Lần " &amp; INT(P811/20) &amp; ")", IF(AND(E811=12, INT(Q811/20)&gt;INT(Q810/20)), "TN Ø12 (Lần " &amp; INT(Q811/20) &amp; ")", IF(AND(E811=14, INT(R811/20)&gt;INT(R810/20)), "TN Ø14 (Lần " &amp; INT(R811/20) &amp; ")", IF(AND(E811=16, INT(S811/20)&gt;INT(S810/20)), "TN Ø16 (Lần " &amp; INT(S811/20) &amp; ")", IF(AND(E811=18, INT(T811/20)&gt;INT(T810/20)), "TN Ø18 (Lần " &amp; INT(T811/20) &amp; ")", IF(AND(E811=20, INT(U811/20)&gt;INT(U810/20)), "TN Ø20 (Lần " &amp; INT(U811/20) &amp; ")", IF(AND(E811=22, INT(V811/20)&gt;INT(V810/20)), "TN Ø22 (Lần " &amp; INT(V811/20) &amp; ")", IF(AND(E811=25, INT(W811/20)&gt;INT(W810/20)), "TN Ø25 (Lần " &amp; INT(W811/20) &amp; ")", IF(AND(E811=28, INT(X811/20)&gt;INT(X810/20)), "TN Ø28 (Lần " &amp; INT(X811/20) &amp; ")", IF(AND(E811=32, INT(Y811/20)&gt;INT(Y810/20)), "TN Ø32 (Lần " &amp; INT(Y811/20) &amp; ")", IF(AND(F811="ASTM A416", INT(Z811/20)&gt;INT(Z810/20)), "TN Cáp 15.2 (Lần " &amp; INT(Z811/20) &amp; ")", "")))))))))))</f>
        <v/>
      </c>
      <c r="P811" s="20">
        <f>ROUND(P810 + IF(AND(E811&lt;=10, F811&lt;&gt;"ASTM A416"), L811, 0), 3)</f>
        <v/>
      </c>
      <c r="Q811" s="20">
        <f>ROUND(Q810 + IF(AND(E811=12, F811&lt;&gt;"ASTM A416"), L811, 0), 3)</f>
        <v/>
      </c>
      <c r="R811" s="20">
        <f>ROUND(R810 + IF(AND(E811=14, F811&lt;&gt;"ASTM A416"), L811, 0), 3)</f>
        <v/>
      </c>
      <c r="S811" s="20">
        <f>ROUND(S810 + IF(AND(E811=16, F811&lt;&gt;"ASTM A416"), L811, 0), 3)</f>
        <v/>
      </c>
      <c r="T811" s="20">
        <f>ROUND(T810 + IF(AND(E811=18, F811&lt;&gt;"ASTM A416"), L811, 0), 3)</f>
        <v/>
      </c>
      <c r="U811" s="20">
        <f>ROUND(U810 + IF(AND(E811=20, F811&lt;&gt;"ASTM A416"), L811, 0), 3)</f>
        <v/>
      </c>
      <c r="V811" s="20">
        <f>ROUND(V810 + IF(AND(E811=22, F811&lt;&gt;"ASTM A416"), L811, 0), 3)</f>
        <v/>
      </c>
      <c r="W811" s="20">
        <f>ROUND(W810 + IF(AND(E811=25, F811&lt;&gt;"ASTM A416"), L811, 0), 3)</f>
        <v/>
      </c>
      <c r="X811" s="20">
        <f>ROUND(X810 + IF(AND(E811=28, F811&lt;&gt;"ASTM A416"), L811, 0), 3)</f>
        <v/>
      </c>
      <c r="Y811" s="20">
        <f>ROUND(Y810 + IF(AND(E811=32, F811&lt;&gt;"ASTM A416"), L811, 0), 3)</f>
        <v/>
      </c>
      <c r="Z811" s="20">
        <f>ROUND(Z810 + IF(F811="ASTM A416", L811, 0), 3)</f>
        <v/>
      </c>
      <c r="AA811" s="11">
        <f>IF(INT(P811/20)&gt;INT(P810/20), "Lần " &amp; INT(P811/20), "")</f>
        <v/>
      </c>
      <c r="AB811" s="11">
        <f>IF(INT(Q811/20)&gt;INT(Q810/20), "Lần " &amp; INT(Q811/20), "")</f>
        <v/>
      </c>
      <c r="AC811" s="11">
        <f>IF(INT(R811/20)&gt;INT(R810/20), "Lần " &amp; INT(R811/20), "")</f>
        <v/>
      </c>
      <c r="AD811" s="11">
        <f>IF(INT(S811/20)&gt;INT(S810/20), "Lần " &amp; INT(S811/20), "")</f>
        <v/>
      </c>
      <c r="AE811" s="11">
        <f>IF(INT(T811/20)&gt;INT(T810/20), "Lần " &amp; INT(T811/20), "")</f>
        <v/>
      </c>
      <c r="AF811" s="11">
        <f>IF(INT(U811/20)&gt;INT(U810/20), "Lần " &amp; INT(U811/20), "")</f>
        <v/>
      </c>
      <c r="AG811" s="11">
        <f>IF(INT(V811/20)&gt;INT(V810/20), "Lần " &amp; INT(V811/20), "")</f>
        <v/>
      </c>
      <c r="AH811" s="11">
        <f>IF(INT(W811/20)&gt;INT(W810/20), "Lần " &amp; INT(W811/20), "")</f>
        <v/>
      </c>
      <c r="AI811" s="11">
        <f>IF(INT(X811/20)&gt;INT(X810/20), "Lần " &amp; INT(X811/20), "")</f>
        <v/>
      </c>
      <c r="AJ811" s="11">
        <f>IF(INT(Y811/20)&gt;INT(Y810/20), "Lần " &amp; INT(Y811/20), "")</f>
        <v/>
      </c>
      <c r="AK811" s="11">
        <f>IF(INT(Z811/20)&gt;INT(Z810/20), "Lần " &amp; INT(Z811/20), "")</f>
        <v/>
      </c>
      <c r="AL811" s="6" t="inlineStr">
        <is>
          <t>ĐẠT TCVN 1651:2018</t>
        </is>
      </c>
    </row>
    <row r="812" ht="19" customHeight="1">
      <c r="A812" s="6" t="n">
        <v>779</v>
      </c>
      <c r="B812" s="7" t="inlineStr">
        <is>
          <t>Gờ lan can BTCT</t>
        </is>
      </c>
      <c r="C812" s="7" t="inlineStr">
        <is>
          <t>Gờ lan can 2 bên cầu</t>
        </is>
      </c>
      <c r="D812" s="18" t="inlineStr">
        <is>
          <t>G4B</t>
        </is>
      </c>
      <c r="E812" s="19" t="n">
        <v>12</v>
      </c>
      <c r="F812" s="6" t="inlineStr">
        <is>
          <t>CB400-V</t>
        </is>
      </c>
      <c r="G812" s="7" t="inlineStr">
        <is>
          <t>S06</t>
        </is>
      </c>
      <c r="H812" s="20" t="n">
        <v>0.388</v>
      </c>
      <c r="I812" s="21" t="n">
        <v>9</v>
      </c>
      <c r="J812" s="22" t="n">
        <v>0.888</v>
      </c>
      <c r="K812" s="9">
        <f>ROUND(H812*I812*J812, 2)</f>
        <v/>
      </c>
      <c r="L812" s="23">
        <f>ROUND(K812/1000, 3)</f>
        <v/>
      </c>
      <c r="M812" s="8" t="n"/>
      <c r="N812" s="6" t="n"/>
      <c r="O812" s="24">
        <f>IF(AND(E812&lt;=10, F812&lt;&gt;"ASTM A416", INT(P812/20)&gt;INT(P811/20)), "TN Ø10 (Lần " &amp; INT(P812/20) &amp; ")", IF(AND(E812=12, INT(Q812/20)&gt;INT(Q811/20)), "TN Ø12 (Lần " &amp; INT(Q812/20) &amp; ")", IF(AND(E812=14, INT(R812/20)&gt;INT(R811/20)), "TN Ø14 (Lần " &amp; INT(R812/20) &amp; ")", IF(AND(E812=16, INT(S812/20)&gt;INT(S811/20)), "TN Ø16 (Lần " &amp; INT(S812/20) &amp; ")", IF(AND(E812=18, INT(T812/20)&gt;INT(T811/20)), "TN Ø18 (Lần " &amp; INT(T812/20) &amp; ")", IF(AND(E812=20, INT(U812/20)&gt;INT(U811/20)), "TN Ø20 (Lần " &amp; INT(U812/20) &amp; ")", IF(AND(E812=22, INT(V812/20)&gt;INT(V811/20)), "TN Ø22 (Lần " &amp; INT(V812/20) &amp; ")", IF(AND(E812=25, INT(W812/20)&gt;INT(W811/20)), "TN Ø25 (Lần " &amp; INT(W812/20) &amp; ")", IF(AND(E812=28, INT(X812/20)&gt;INT(X811/20)), "TN Ø28 (Lần " &amp; INT(X812/20) &amp; ")", IF(AND(E812=32, INT(Y812/20)&gt;INT(Y811/20)), "TN Ø32 (Lần " &amp; INT(Y812/20) &amp; ")", IF(AND(F812="ASTM A416", INT(Z812/20)&gt;INT(Z811/20)), "TN Cáp 15.2 (Lần " &amp; INT(Z812/20) &amp; ")", "")))))))))))</f>
        <v/>
      </c>
      <c r="P812" s="20">
        <f>ROUND(P811 + IF(AND(E812&lt;=10, F812&lt;&gt;"ASTM A416"), L812, 0), 3)</f>
        <v/>
      </c>
      <c r="Q812" s="20">
        <f>ROUND(Q811 + IF(AND(E812=12, F812&lt;&gt;"ASTM A416"), L812, 0), 3)</f>
        <v/>
      </c>
      <c r="R812" s="20">
        <f>ROUND(R811 + IF(AND(E812=14, F812&lt;&gt;"ASTM A416"), L812, 0), 3)</f>
        <v/>
      </c>
      <c r="S812" s="20">
        <f>ROUND(S811 + IF(AND(E812=16, F812&lt;&gt;"ASTM A416"), L812, 0), 3)</f>
        <v/>
      </c>
      <c r="T812" s="20">
        <f>ROUND(T811 + IF(AND(E812=18, F812&lt;&gt;"ASTM A416"), L812, 0), 3)</f>
        <v/>
      </c>
      <c r="U812" s="20">
        <f>ROUND(U811 + IF(AND(E812=20, F812&lt;&gt;"ASTM A416"), L812, 0), 3)</f>
        <v/>
      </c>
      <c r="V812" s="20">
        <f>ROUND(V811 + IF(AND(E812=22, F812&lt;&gt;"ASTM A416"), L812, 0), 3)</f>
        <v/>
      </c>
      <c r="W812" s="20">
        <f>ROUND(W811 + IF(AND(E812=25, F812&lt;&gt;"ASTM A416"), L812, 0), 3)</f>
        <v/>
      </c>
      <c r="X812" s="20">
        <f>ROUND(X811 + IF(AND(E812=28, F812&lt;&gt;"ASTM A416"), L812, 0), 3)</f>
        <v/>
      </c>
      <c r="Y812" s="20">
        <f>ROUND(Y811 + IF(AND(E812=32, F812&lt;&gt;"ASTM A416"), L812, 0), 3)</f>
        <v/>
      </c>
      <c r="Z812" s="20">
        <f>ROUND(Z811 + IF(F812="ASTM A416", L812, 0), 3)</f>
        <v/>
      </c>
      <c r="AA812" s="11">
        <f>IF(INT(P812/20)&gt;INT(P811/20), "Lần " &amp; INT(P812/20), "")</f>
        <v/>
      </c>
      <c r="AB812" s="11">
        <f>IF(INT(Q812/20)&gt;INT(Q811/20), "Lần " &amp; INT(Q812/20), "")</f>
        <v/>
      </c>
      <c r="AC812" s="11">
        <f>IF(INT(R812/20)&gt;INT(R811/20), "Lần " &amp; INT(R812/20), "")</f>
        <v/>
      </c>
      <c r="AD812" s="11">
        <f>IF(INT(S812/20)&gt;INT(S811/20), "Lần " &amp; INT(S812/20), "")</f>
        <v/>
      </c>
      <c r="AE812" s="11">
        <f>IF(INT(T812/20)&gt;INT(T811/20), "Lần " &amp; INT(T812/20), "")</f>
        <v/>
      </c>
      <c r="AF812" s="11">
        <f>IF(INT(U812/20)&gt;INT(U811/20), "Lần " &amp; INT(U812/20), "")</f>
        <v/>
      </c>
      <c r="AG812" s="11">
        <f>IF(INT(V812/20)&gt;INT(V811/20), "Lần " &amp; INT(V812/20), "")</f>
        <v/>
      </c>
      <c r="AH812" s="11">
        <f>IF(INT(W812/20)&gt;INT(W811/20), "Lần " &amp; INT(W812/20), "")</f>
        <v/>
      </c>
      <c r="AI812" s="11">
        <f>IF(INT(X812/20)&gt;INT(X811/20), "Lần " &amp; INT(X812/20), "")</f>
        <v/>
      </c>
      <c r="AJ812" s="11">
        <f>IF(INT(Y812/20)&gt;INT(Y811/20), "Lần " &amp; INT(Y812/20), "")</f>
        <v/>
      </c>
      <c r="AK812" s="11">
        <f>IF(INT(Z812/20)&gt;INT(Z811/20), "Lần " &amp; INT(Z812/20), "")</f>
        <v/>
      </c>
      <c r="AL812" s="6" t="inlineStr">
        <is>
          <t>ĐẠT TCVN 1651:2018</t>
        </is>
      </c>
    </row>
    <row r="813" ht="19" customHeight="1">
      <c r="A813" s="6" t="n">
        <v>780</v>
      </c>
      <c r="B813" s="7" t="inlineStr">
        <is>
          <t>Gờ lan can BTCT</t>
        </is>
      </c>
      <c r="C813" s="7" t="inlineStr">
        <is>
          <t>Gờ lan can 2 bên cầu</t>
        </is>
      </c>
      <c r="D813" s="18" t="inlineStr">
        <is>
          <t>G4C</t>
        </is>
      </c>
      <c r="E813" s="19" t="n">
        <v>12</v>
      </c>
      <c r="F813" s="6" t="inlineStr">
        <is>
          <t>CB400-V</t>
        </is>
      </c>
      <c r="G813" s="7" t="inlineStr">
        <is>
          <t>S06</t>
        </is>
      </c>
      <c r="H813" s="20" t="n">
        <v>0.634</v>
      </c>
      <c r="I813" s="21" t="n">
        <v>9</v>
      </c>
      <c r="J813" s="22" t="n">
        <v>0.888</v>
      </c>
      <c r="K813" s="9">
        <f>ROUND(H813*I813*J813, 2)</f>
        <v/>
      </c>
      <c r="L813" s="23">
        <f>ROUND(K813/1000, 3)</f>
        <v/>
      </c>
      <c r="M813" s="8" t="n"/>
      <c r="N813" s="6" t="n"/>
      <c r="O813" s="24">
        <f>IF(AND(E813&lt;=10, F813&lt;&gt;"ASTM A416", INT(P813/20)&gt;INT(P812/20)), "TN Ø10 (Lần " &amp; INT(P813/20) &amp; ")", IF(AND(E813=12, INT(Q813/20)&gt;INT(Q812/20)), "TN Ø12 (Lần " &amp; INT(Q813/20) &amp; ")", IF(AND(E813=14, INT(R813/20)&gt;INT(R812/20)), "TN Ø14 (Lần " &amp; INT(R813/20) &amp; ")", IF(AND(E813=16, INT(S813/20)&gt;INT(S812/20)), "TN Ø16 (Lần " &amp; INT(S813/20) &amp; ")", IF(AND(E813=18, INT(T813/20)&gt;INT(T812/20)), "TN Ø18 (Lần " &amp; INT(T813/20) &amp; ")", IF(AND(E813=20, INT(U813/20)&gt;INT(U812/20)), "TN Ø20 (Lần " &amp; INT(U813/20) &amp; ")", IF(AND(E813=22, INT(V813/20)&gt;INT(V812/20)), "TN Ø22 (Lần " &amp; INT(V813/20) &amp; ")", IF(AND(E813=25, INT(W813/20)&gt;INT(W812/20)), "TN Ø25 (Lần " &amp; INT(W813/20) &amp; ")", IF(AND(E813=28, INT(X813/20)&gt;INT(X812/20)), "TN Ø28 (Lần " &amp; INT(X813/20) &amp; ")", IF(AND(E813=32, INT(Y813/20)&gt;INT(Y812/20)), "TN Ø32 (Lần " &amp; INT(Y813/20) &amp; ")", IF(AND(F813="ASTM A416", INT(Z813/20)&gt;INT(Z812/20)), "TN Cáp 15.2 (Lần " &amp; INT(Z813/20) &amp; ")", "")))))))))))</f>
        <v/>
      </c>
      <c r="P813" s="20">
        <f>ROUND(P812 + IF(AND(E813&lt;=10, F813&lt;&gt;"ASTM A416"), L813, 0), 3)</f>
        <v/>
      </c>
      <c r="Q813" s="20">
        <f>ROUND(Q812 + IF(AND(E813=12, F813&lt;&gt;"ASTM A416"), L813, 0), 3)</f>
        <v/>
      </c>
      <c r="R813" s="20">
        <f>ROUND(R812 + IF(AND(E813=14, F813&lt;&gt;"ASTM A416"), L813, 0), 3)</f>
        <v/>
      </c>
      <c r="S813" s="20">
        <f>ROUND(S812 + IF(AND(E813=16, F813&lt;&gt;"ASTM A416"), L813, 0), 3)</f>
        <v/>
      </c>
      <c r="T813" s="20">
        <f>ROUND(T812 + IF(AND(E813=18, F813&lt;&gt;"ASTM A416"), L813, 0), 3)</f>
        <v/>
      </c>
      <c r="U813" s="20">
        <f>ROUND(U812 + IF(AND(E813=20, F813&lt;&gt;"ASTM A416"), L813, 0), 3)</f>
        <v/>
      </c>
      <c r="V813" s="20">
        <f>ROUND(V812 + IF(AND(E813=22, F813&lt;&gt;"ASTM A416"), L813, 0), 3)</f>
        <v/>
      </c>
      <c r="W813" s="20">
        <f>ROUND(W812 + IF(AND(E813=25, F813&lt;&gt;"ASTM A416"), L813, 0), 3)</f>
        <v/>
      </c>
      <c r="X813" s="20">
        <f>ROUND(X812 + IF(AND(E813=28, F813&lt;&gt;"ASTM A416"), L813, 0), 3)</f>
        <v/>
      </c>
      <c r="Y813" s="20">
        <f>ROUND(Y812 + IF(AND(E813=32, F813&lt;&gt;"ASTM A416"), L813, 0), 3)</f>
        <v/>
      </c>
      <c r="Z813" s="20">
        <f>ROUND(Z812 + IF(F813="ASTM A416", L813, 0), 3)</f>
        <v/>
      </c>
      <c r="AA813" s="11">
        <f>IF(INT(P813/20)&gt;INT(P812/20), "Lần " &amp; INT(P813/20), "")</f>
        <v/>
      </c>
      <c r="AB813" s="11">
        <f>IF(INT(Q813/20)&gt;INT(Q812/20), "Lần " &amp; INT(Q813/20), "")</f>
        <v/>
      </c>
      <c r="AC813" s="11">
        <f>IF(INT(R813/20)&gt;INT(R812/20), "Lần " &amp; INT(R813/20), "")</f>
        <v/>
      </c>
      <c r="AD813" s="11">
        <f>IF(INT(S813/20)&gt;INT(S812/20), "Lần " &amp; INT(S813/20), "")</f>
        <v/>
      </c>
      <c r="AE813" s="11">
        <f>IF(INT(T813/20)&gt;INT(T812/20), "Lần " &amp; INT(T813/20), "")</f>
        <v/>
      </c>
      <c r="AF813" s="11">
        <f>IF(INT(U813/20)&gt;INT(U812/20), "Lần " &amp; INT(U813/20), "")</f>
        <v/>
      </c>
      <c r="AG813" s="11">
        <f>IF(INT(V813/20)&gt;INT(V812/20), "Lần " &amp; INT(V813/20), "")</f>
        <v/>
      </c>
      <c r="AH813" s="11">
        <f>IF(INT(W813/20)&gt;INT(W812/20), "Lần " &amp; INT(W813/20), "")</f>
        <v/>
      </c>
      <c r="AI813" s="11">
        <f>IF(INT(X813/20)&gt;INT(X812/20), "Lần " &amp; INT(X813/20), "")</f>
        <v/>
      </c>
      <c r="AJ813" s="11">
        <f>IF(INT(Y813/20)&gt;INT(Y812/20), "Lần " &amp; INT(Y813/20), "")</f>
        <v/>
      </c>
      <c r="AK813" s="11">
        <f>IF(INT(Z813/20)&gt;INT(Z812/20), "Lần " &amp; INT(Z813/20), "")</f>
        <v/>
      </c>
      <c r="AL813" s="6" t="inlineStr">
        <is>
          <t>ĐẠT TCVN 1651:2018</t>
        </is>
      </c>
    </row>
    <row r="814" ht="19" customHeight="1">
      <c r="A814" s="6" t="n">
        <v>781</v>
      </c>
      <c r="B814" s="7" t="inlineStr">
        <is>
          <t>Gờ lan can BTCT</t>
        </is>
      </c>
      <c r="C814" s="7" t="inlineStr">
        <is>
          <t>LOẠI B1</t>
        </is>
      </c>
      <c r="D814" s="18" t="inlineStr">
        <is>
          <t>G5</t>
        </is>
      </c>
      <c r="E814" s="19" t="n">
        <v>14</v>
      </c>
      <c r="F814" s="6" t="inlineStr">
        <is>
          <t>CB400-V</t>
        </is>
      </c>
      <c r="G814" s="7" t="inlineStr">
        <is>
          <t>S01</t>
        </is>
      </c>
      <c r="H814" s="20" t="n">
        <v>5.91</v>
      </c>
      <c r="I814" s="21" t="n">
        <v>19</v>
      </c>
      <c r="J814" s="22" t="n">
        <v>1.21</v>
      </c>
      <c r="K814" s="9">
        <f>ROUND(H814*I814*J814, 2)</f>
        <v/>
      </c>
      <c r="L814" s="23">
        <f>ROUND(K814/1000, 3)</f>
        <v/>
      </c>
      <c r="M814" s="8" t="n"/>
      <c r="N814" s="6" t="n"/>
      <c r="O814" s="24">
        <f>IF(AND(E814&lt;=10, F814&lt;&gt;"ASTM A416", INT(P814/20)&gt;INT(P813/20)), "TN Ø10 (Lần " &amp; INT(P814/20) &amp; ")", IF(AND(E814=12, INT(Q814/20)&gt;INT(Q813/20)), "TN Ø12 (Lần " &amp; INT(Q814/20) &amp; ")", IF(AND(E814=14, INT(R814/20)&gt;INT(R813/20)), "TN Ø14 (Lần " &amp; INT(R814/20) &amp; ")", IF(AND(E814=16, INT(S814/20)&gt;INT(S813/20)), "TN Ø16 (Lần " &amp; INT(S814/20) &amp; ")", IF(AND(E814=18, INT(T814/20)&gt;INT(T813/20)), "TN Ø18 (Lần " &amp; INT(T814/20) &amp; ")", IF(AND(E814=20, INT(U814/20)&gt;INT(U813/20)), "TN Ø20 (Lần " &amp; INT(U814/20) &amp; ")", IF(AND(E814=22, INT(V814/20)&gt;INT(V813/20)), "TN Ø22 (Lần " &amp; INT(V814/20) &amp; ")", IF(AND(E814=25, INT(W814/20)&gt;INT(W813/20)), "TN Ø25 (Lần " &amp; INT(W814/20) &amp; ")", IF(AND(E814=28, INT(X814/20)&gt;INT(X813/20)), "TN Ø28 (Lần " &amp; INT(X814/20) &amp; ")", IF(AND(E814=32, INT(Y814/20)&gt;INT(Y813/20)), "TN Ø32 (Lần " &amp; INT(Y814/20) &amp; ")", IF(AND(F814="ASTM A416", INT(Z814/20)&gt;INT(Z813/20)), "TN Cáp 15.2 (Lần " &amp; INT(Z814/20) &amp; ")", "")))))))))))</f>
        <v/>
      </c>
      <c r="P814" s="20">
        <f>ROUND(P813 + IF(AND(E814&lt;=10, F814&lt;&gt;"ASTM A416"), L814, 0), 3)</f>
        <v/>
      </c>
      <c r="Q814" s="20">
        <f>ROUND(Q813 + IF(AND(E814=12, F814&lt;&gt;"ASTM A416"), L814, 0), 3)</f>
        <v/>
      </c>
      <c r="R814" s="20">
        <f>ROUND(R813 + IF(AND(E814=14, F814&lt;&gt;"ASTM A416"), L814, 0), 3)</f>
        <v/>
      </c>
      <c r="S814" s="20">
        <f>ROUND(S813 + IF(AND(E814=16, F814&lt;&gt;"ASTM A416"), L814, 0), 3)</f>
        <v/>
      </c>
      <c r="T814" s="20">
        <f>ROUND(T813 + IF(AND(E814=18, F814&lt;&gt;"ASTM A416"), L814, 0), 3)</f>
        <v/>
      </c>
      <c r="U814" s="20">
        <f>ROUND(U813 + IF(AND(E814=20, F814&lt;&gt;"ASTM A416"), L814, 0), 3)</f>
        <v/>
      </c>
      <c r="V814" s="20">
        <f>ROUND(V813 + IF(AND(E814=22, F814&lt;&gt;"ASTM A416"), L814, 0), 3)</f>
        <v/>
      </c>
      <c r="W814" s="20">
        <f>ROUND(W813 + IF(AND(E814=25, F814&lt;&gt;"ASTM A416"), L814, 0), 3)</f>
        <v/>
      </c>
      <c r="X814" s="20">
        <f>ROUND(X813 + IF(AND(E814=28, F814&lt;&gt;"ASTM A416"), L814, 0), 3)</f>
        <v/>
      </c>
      <c r="Y814" s="20">
        <f>ROUND(Y813 + IF(AND(E814=32, F814&lt;&gt;"ASTM A416"), L814, 0), 3)</f>
        <v/>
      </c>
      <c r="Z814" s="20">
        <f>ROUND(Z813 + IF(F814="ASTM A416", L814, 0), 3)</f>
        <v/>
      </c>
      <c r="AA814" s="11">
        <f>IF(INT(P814/20)&gt;INT(P813/20), "Lần " &amp; INT(P814/20), "")</f>
        <v/>
      </c>
      <c r="AB814" s="11">
        <f>IF(INT(Q814/20)&gt;INT(Q813/20), "Lần " &amp; INT(Q814/20), "")</f>
        <v/>
      </c>
      <c r="AC814" s="11">
        <f>IF(INT(R814/20)&gt;INT(R813/20), "Lần " &amp; INT(R814/20), "")</f>
        <v/>
      </c>
      <c r="AD814" s="11">
        <f>IF(INT(S814/20)&gt;INT(S813/20), "Lần " &amp; INT(S814/20), "")</f>
        <v/>
      </c>
      <c r="AE814" s="11">
        <f>IF(INT(T814/20)&gt;INT(T813/20), "Lần " &amp; INT(T814/20), "")</f>
        <v/>
      </c>
      <c r="AF814" s="11">
        <f>IF(INT(U814/20)&gt;INT(U813/20), "Lần " &amp; INT(U814/20), "")</f>
        <v/>
      </c>
      <c r="AG814" s="11">
        <f>IF(INT(V814/20)&gt;INT(V813/20), "Lần " &amp; INT(V814/20), "")</f>
        <v/>
      </c>
      <c r="AH814" s="11">
        <f>IF(INT(W814/20)&gt;INT(W813/20), "Lần " &amp; INT(W814/20), "")</f>
        <v/>
      </c>
      <c r="AI814" s="11">
        <f>IF(INT(X814/20)&gt;INT(X813/20), "Lần " &amp; INT(X814/20), "")</f>
        <v/>
      </c>
      <c r="AJ814" s="11">
        <f>IF(INT(Y814/20)&gt;INT(Y813/20), "Lần " &amp; INT(Y814/20), "")</f>
        <v/>
      </c>
      <c r="AK814" s="11">
        <f>IF(INT(Z814/20)&gt;INT(Z813/20), "Lần " &amp; INT(Z814/20), "")</f>
        <v/>
      </c>
      <c r="AL814" s="6" t="inlineStr">
        <is>
          <t>ĐẠT TCVN 1651:2018</t>
        </is>
      </c>
    </row>
    <row r="815" ht="19" customHeight="1">
      <c r="A815" s="6" t="n">
        <v>782</v>
      </c>
      <c r="B815" s="7" t="inlineStr">
        <is>
          <t>Gờ lan can BTCT</t>
        </is>
      </c>
      <c r="C815" s="7" t="inlineStr">
        <is>
          <t>Gờ lan can 2 bên cầu</t>
        </is>
      </c>
      <c r="D815" s="18" t="inlineStr">
        <is>
          <t>G6</t>
        </is>
      </c>
      <c r="E815" s="19" t="n">
        <v>20</v>
      </c>
      <c r="F815" s="6" t="inlineStr">
        <is>
          <t>CB400-V</t>
        </is>
      </c>
      <c r="G815" s="7" t="inlineStr">
        <is>
          <t>S57</t>
        </is>
      </c>
      <c r="H815" s="20" t="n">
        <v>2.026</v>
      </c>
      <c r="I815" s="21" t="n">
        <v>41</v>
      </c>
      <c r="J815" s="22" t="n">
        <v>2.47</v>
      </c>
      <c r="K815" s="9">
        <f>ROUND(H815*I815*J815, 2)</f>
        <v/>
      </c>
      <c r="L815" s="23">
        <f>ROUND(K815/1000, 3)</f>
        <v/>
      </c>
      <c r="M815" s="8" t="n"/>
      <c r="N815" s="6" t="n"/>
      <c r="O815" s="24">
        <f>IF(AND(E815&lt;=10, F815&lt;&gt;"ASTM A416", INT(P815/20)&gt;INT(P814/20)), "TN Ø10 (Lần " &amp; INT(P815/20) &amp; ")", IF(AND(E815=12, INT(Q815/20)&gt;INT(Q814/20)), "TN Ø12 (Lần " &amp; INT(Q815/20) &amp; ")", IF(AND(E815=14, INT(R815/20)&gt;INT(R814/20)), "TN Ø14 (Lần " &amp; INT(R815/20) &amp; ")", IF(AND(E815=16, INT(S815/20)&gt;INT(S814/20)), "TN Ø16 (Lần " &amp; INT(S815/20) &amp; ")", IF(AND(E815=18, INT(T815/20)&gt;INT(T814/20)), "TN Ø18 (Lần " &amp; INT(T815/20) &amp; ")", IF(AND(E815=20, INT(U815/20)&gt;INT(U814/20)), "TN Ø20 (Lần " &amp; INT(U815/20) &amp; ")", IF(AND(E815=22, INT(V815/20)&gt;INT(V814/20)), "TN Ø22 (Lần " &amp; INT(V815/20) &amp; ")", IF(AND(E815=25, INT(W815/20)&gt;INT(W814/20)), "TN Ø25 (Lần " &amp; INT(W815/20) &amp; ")", IF(AND(E815=28, INT(X815/20)&gt;INT(X814/20)), "TN Ø28 (Lần " &amp; INT(X815/20) &amp; ")", IF(AND(E815=32, INT(Y815/20)&gt;INT(Y814/20)), "TN Ø32 (Lần " &amp; INT(Y815/20) &amp; ")", IF(AND(F815="ASTM A416", INT(Z815/20)&gt;INT(Z814/20)), "TN Cáp 15.2 (Lần " &amp; INT(Z815/20) &amp; ")", "")))))))))))</f>
        <v/>
      </c>
      <c r="P815" s="20">
        <f>ROUND(P814 + IF(AND(E815&lt;=10, F815&lt;&gt;"ASTM A416"), L815, 0), 3)</f>
        <v/>
      </c>
      <c r="Q815" s="20">
        <f>ROUND(Q814 + IF(AND(E815=12, F815&lt;&gt;"ASTM A416"), L815, 0), 3)</f>
        <v/>
      </c>
      <c r="R815" s="20">
        <f>ROUND(R814 + IF(AND(E815=14, F815&lt;&gt;"ASTM A416"), L815, 0), 3)</f>
        <v/>
      </c>
      <c r="S815" s="20">
        <f>ROUND(S814 + IF(AND(E815=16, F815&lt;&gt;"ASTM A416"), L815, 0), 3)</f>
        <v/>
      </c>
      <c r="T815" s="20">
        <f>ROUND(T814 + IF(AND(E815=18, F815&lt;&gt;"ASTM A416"), L815, 0), 3)</f>
        <v/>
      </c>
      <c r="U815" s="20">
        <f>ROUND(U814 + IF(AND(E815=20, F815&lt;&gt;"ASTM A416"), L815, 0), 3)</f>
        <v/>
      </c>
      <c r="V815" s="20">
        <f>ROUND(V814 + IF(AND(E815=22, F815&lt;&gt;"ASTM A416"), L815, 0), 3)</f>
        <v/>
      </c>
      <c r="W815" s="20">
        <f>ROUND(W814 + IF(AND(E815=25, F815&lt;&gt;"ASTM A416"), L815, 0), 3)</f>
        <v/>
      </c>
      <c r="X815" s="20">
        <f>ROUND(X814 + IF(AND(E815=28, F815&lt;&gt;"ASTM A416"), L815, 0), 3)</f>
        <v/>
      </c>
      <c r="Y815" s="20">
        <f>ROUND(Y814 + IF(AND(E815=32, F815&lt;&gt;"ASTM A416"), L815, 0), 3)</f>
        <v/>
      </c>
      <c r="Z815" s="20">
        <f>ROUND(Z814 + IF(F815="ASTM A416", L815, 0), 3)</f>
        <v/>
      </c>
      <c r="AA815" s="11">
        <f>IF(INT(P815/20)&gt;INT(P814/20), "Lần " &amp; INT(P815/20), "")</f>
        <v/>
      </c>
      <c r="AB815" s="11">
        <f>IF(INT(Q815/20)&gt;INT(Q814/20), "Lần " &amp; INT(Q815/20), "")</f>
        <v/>
      </c>
      <c r="AC815" s="11">
        <f>IF(INT(R815/20)&gt;INT(R814/20), "Lần " &amp; INT(R815/20), "")</f>
        <v/>
      </c>
      <c r="AD815" s="11">
        <f>IF(INT(S815/20)&gt;INT(S814/20), "Lần " &amp; INT(S815/20), "")</f>
        <v/>
      </c>
      <c r="AE815" s="11">
        <f>IF(INT(T815/20)&gt;INT(T814/20), "Lần " &amp; INT(T815/20), "")</f>
        <v/>
      </c>
      <c r="AF815" s="11">
        <f>IF(INT(U815/20)&gt;INT(U814/20), "Lần " &amp; INT(U815/20), "")</f>
        <v/>
      </c>
      <c r="AG815" s="11">
        <f>IF(INT(V815/20)&gt;INT(V814/20), "Lần " &amp; INT(V815/20), "")</f>
        <v/>
      </c>
      <c r="AH815" s="11">
        <f>IF(INT(W815/20)&gt;INT(W814/20), "Lần " &amp; INT(W815/20), "")</f>
        <v/>
      </c>
      <c r="AI815" s="11">
        <f>IF(INT(X815/20)&gt;INT(X814/20), "Lần " &amp; INT(X815/20), "")</f>
        <v/>
      </c>
      <c r="AJ815" s="11">
        <f>IF(INT(Y815/20)&gt;INT(Y814/20), "Lần " &amp; INT(Y815/20), "")</f>
        <v/>
      </c>
      <c r="AK815" s="11">
        <f>IF(INT(Z815/20)&gt;INT(Z814/20), "Lần " &amp; INT(Z815/20), "")</f>
        <v/>
      </c>
      <c r="AL815" s="6" t="inlineStr">
        <is>
          <t>ĐẠT TCVN 1651:2018</t>
        </is>
      </c>
    </row>
    <row r="816" ht="19" customHeight="1">
      <c r="A816" s="6" t="n">
        <v>783</v>
      </c>
      <c r="B816" s="7" t="inlineStr">
        <is>
          <t>Gờ lan can BTCT</t>
        </is>
      </c>
      <c r="C816" s="7" t="inlineStr">
        <is>
          <t>Gờ lan can 2 bên cầu</t>
        </is>
      </c>
      <c r="D816" s="18" t="inlineStr">
        <is>
          <t>G7</t>
        </is>
      </c>
      <c r="E816" s="19" t="n">
        <v>14</v>
      </c>
      <c r="F816" s="6" t="inlineStr">
        <is>
          <t>CB400-V</t>
        </is>
      </c>
      <c r="G816" s="7" t="inlineStr">
        <is>
          <t>S29</t>
        </is>
      </c>
      <c r="H816" s="20" t="n">
        <v>1.371</v>
      </c>
      <c r="I816" s="21" t="n">
        <v>41</v>
      </c>
      <c r="J816" s="22" t="n">
        <v>1.21</v>
      </c>
      <c r="K816" s="9">
        <f>ROUND(H816*I816*J816, 2)</f>
        <v/>
      </c>
      <c r="L816" s="23">
        <f>ROUND(K816/1000, 3)</f>
        <v/>
      </c>
      <c r="M816" s="8" t="n"/>
      <c r="N816" s="6" t="n"/>
      <c r="O816" s="24">
        <f>IF(AND(E816&lt;=10, F816&lt;&gt;"ASTM A416", INT(P816/20)&gt;INT(P815/20)), "TN Ø10 (Lần " &amp; INT(P816/20) &amp; ")", IF(AND(E816=12, INT(Q816/20)&gt;INT(Q815/20)), "TN Ø12 (Lần " &amp; INT(Q816/20) &amp; ")", IF(AND(E816=14, INT(R816/20)&gt;INT(R815/20)), "TN Ø14 (Lần " &amp; INT(R816/20) &amp; ")", IF(AND(E816=16, INT(S816/20)&gt;INT(S815/20)), "TN Ø16 (Lần " &amp; INT(S816/20) &amp; ")", IF(AND(E816=18, INT(T816/20)&gt;INT(T815/20)), "TN Ø18 (Lần " &amp; INT(T816/20) &amp; ")", IF(AND(E816=20, INT(U816/20)&gt;INT(U815/20)), "TN Ø20 (Lần " &amp; INT(U816/20) &amp; ")", IF(AND(E816=22, INT(V816/20)&gt;INT(V815/20)), "TN Ø22 (Lần " &amp; INT(V816/20) &amp; ")", IF(AND(E816=25, INT(W816/20)&gt;INT(W815/20)), "TN Ø25 (Lần " &amp; INT(W816/20) &amp; ")", IF(AND(E816=28, INT(X816/20)&gt;INT(X815/20)), "TN Ø28 (Lần " &amp; INT(X816/20) &amp; ")", IF(AND(E816=32, INT(Y816/20)&gt;INT(Y815/20)), "TN Ø32 (Lần " &amp; INT(Y816/20) &amp; ")", IF(AND(F816="ASTM A416", INT(Z816/20)&gt;INT(Z815/20)), "TN Cáp 15.2 (Lần " &amp; INT(Z816/20) &amp; ")", "")))))))))))</f>
        <v/>
      </c>
      <c r="P816" s="20">
        <f>ROUND(P815 + IF(AND(E816&lt;=10, F816&lt;&gt;"ASTM A416"), L816, 0), 3)</f>
        <v/>
      </c>
      <c r="Q816" s="20">
        <f>ROUND(Q815 + IF(AND(E816=12, F816&lt;&gt;"ASTM A416"), L816, 0), 3)</f>
        <v/>
      </c>
      <c r="R816" s="20">
        <f>ROUND(R815 + IF(AND(E816=14, F816&lt;&gt;"ASTM A416"), L816, 0), 3)</f>
        <v/>
      </c>
      <c r="S816" s="20">
        <f>ROUND(S815 + IF(AND(E816=16, F816&lt;&gt;"ASTM A416"), L816, 0), 3)</f>
        <v/>
      </c>
      <c r="T816" s="20">
        <f>ROUND(T815 + IF(AND(E816=18, F816&lt;&gt;"ASTM A416"), L816, 0), 3)</f>
        <v/>
      </c>
      <c r="U816" s="20">
        <f>ROUND(U815 + IF(AND(E816=20, F816&lt;&gt;"ASTM A416"), L816, 0), 3)</f>
        <v/>
      </c>
      <c r="V816" s="20">
        <f>ROUND(V815 + IF(AND(E816=22, F816&lt;&gt;"ASTM A416"), L816, 0), 3)</f>
        <v/>
      </c>
      <c r="W816" s="20">
        <f>ROUND(W815 + IF(AND(E816=25, F816&lt;&gt;"ASTM A416"), L816, 0), 3)</f>
        <v/>
      </c>
      <c r="X816" s="20">
        <f>ROUND(X815 + IF(AND(E816=28, F816&lt;&gt;"ASTM A416"), L816, 0), 3)</f>
        <v/>
      </c>
      <c r="Y816" s="20">
        <f>ROUND(Y815 + IF(AND(E816=32, F816&lt;&gt;"ASTM A416"), L816, 0), 3)</f>
        <v/>
      </c>
      <c r="Z816" s="20">
        <f>ROUND(Z815 + IF(F816="ASTM A416", L816, 0), 3)</f>
        <v/>
      </c>
      <c r="AA816" s="11">
        <f>IF(INT(P816/20)&gt;INT(P815/20), "Lần " &amp; INT(P816/20), "")</f>
        <v/>
      </c>
      <c r="AB816" s="11">
        <f>IF(INT(Q816/20)&gt;INT(Q815/20), "Lần " &amp; INT(Q816/20), "")</f>
        <v/>
      </c>
      <c r="AC816" s="11">
        <f>IF(INT(R816/20)&gt;INT(R815/20), "Lần " &amp; INT(R816/20), "")</f>
        <v/>
      </c>
      <c r="AD816" s="11">
        <f>IF(INT(S816/20)&gt;INT(S815/20), "Lần " &amp; INT(S816/20), "")</f>
        <v/>
      </c>
      <c r="AE816" s="11">
        <f>IF(INT(T816/20)&gt;INT(T815/20), "Lần " &amp; INT(T816/20), "")</f>
        <v/>
      </c>
      <c r="AF816" s="11">
        <f>IF(INT(U816/20)&gt;INT(U815/20), "Lần " &amp; INT(U816/20), "")</f>
        <v/>
      </c>
      <c r="AG816" s="11">
        <f>IF(INT(V816/20)&gt;INT(V815/20), "Lần " &amp; INT(V816/20), "")</f>
        <v/>
      </c>
      <c r="AH816" s="11">
        <f>IF(INT(W816/20)&gt;INT(W815/20), "Lần " &amp; INT(W816/20), "")</f>
        <v/>
      </c>
      <c r="AI816" s="11">
        <f>IF(INT(X816/20)&gt;INT(X815/20), "Lần " &amp; INT(X816/20), "")</f>
        <v/>
      </c>
      <c r="AJ816" s="11">
        <f>IF(INT(Y816/20)&gt;INT(Y815/20), "Lần " &amp; INT(Y816/20), "")</f>
        <v/>
      </c>
      <c r="AK816" s="11">
        <f>IF(INT(Z816/20)&gt;INT(Z815/20), "Lần " &amp; INT(Z816/20), "")</f>
        <v/>
      </c>
      <c r="AL816" s="6" t="inlineStr">
        <is>
          <t>ĐẠT TCVN 1651:2018</t>
        </is>
      </c>
    </row>
    <row r="817" ht="19" customHeight="1">
      <c r="A817" s="6" t="n">
        <v>784</v>
      </c>
      <c r="B817" s="7" t="inlineStr">
        <is>
          <t>Gờ lan can BTCT</t>
        </is>
      </c>
      <c r="C817" s="7" t="inlineStr">
        <is>
          <t>Gờ lan can 2 bên cầu</t>
        </is>
      </c>
      <c r="D817" s="18" t="inlineStr">
        <is>
          <t>G7A</t>
        </is>
      </c>
      <c r="E817" s="19" t="n">
        <v>20</v>
      </c>
      <c r="F817" s="6" t="inlineStr">
        <is>
          <t>CB400-V</t>
        </is>
      </c>
      <c r="G817" s="7" t="inlineStr">
        <is>
          <t>S05</t>
        </is>
      </c>
      <c r="H817" s="20" t="n">
        <v>1.182</v>
      </c>
      <c r="I817" s="21" t="n">
        <v>41</v>
      </c>
      <c r="J817" s="22" t="n">
        <v>2.47</v>
      </c>
      <c r="K817" s="9">
        <f>ROUND(H817*I817*J817, 2)</f>
        <v/>
      </c>
      <c r="L817" s="23">
        <f>ROUND(K817/1000, 3)</f>
        <v/>
      </c>
      <c r="M817" s="8" t="n"/>
      <c r="N817" s="6" t="n"/>
      <c r="O817" s="24">
        <f>IF(AND(E817&lt;=10, F817&lt;&gt;"ASTM A416", INT(P817/20)&gt;INT(P816/20)), "TN Ø10 (Lần " &amp; INT(P817/20) &amp; ")", IF(AND(E817=12, INT(Q817/20)&gt;INT(Q816/20)), "TN Ø12 (Lần " &amp; INT(Q817/20) &amp; ")", IF(AND(E817=14, INT(R817/20)&gt;INT(R816/20)), "TN Ø14 (Lần " &amp; INT(R817/20) &amp; ")", IF(AND(E817=16, INT(S817/20)&gt;INT(S816/20)), "TN Ø16 (Lần " &amp; INT(S817/20) &amp; ")", IF(AND(E817=18, INT(T817/20)&gt;INT(T816/20)), "TN Ø18 (Lần " &amp; INT(T817/20) &amp; ")", IF(AND(E817=20, INT(U817/20)&gt;INT(U816/20)), "TN Ø20 (Lần " &amp; INT(U817/20) &amp; ")", IF(AND(E817=22, INT(V817/20)&gt;INT(V816/20)), "TN Ø22 (Lần " &amp; INT(V817/20) &amp; ")", IF(AND(E817=25, INT(W817/20)&gt;INT(W816/20)), "TN Ø25 (Lần " &amp; INT(W817/20) &amp; ")", IF(AND(E817=28, INT(X817/20)&gt;INT(X816/20)), "TN Ø28 (Lần " &amp; INT(X817/20) &amp; ")", IF(AND(E817=32, INT(Y817/20)&gt;INT(Y816/20)), "TN Ø32 (Lần " &amp; INT(Y817/20) &amp; ")", IF(AND(F817="ASTM A416", INT(Z817/20)&gt;INT(Z816/20)), "TN Cáp 15.2 (Lần " &amp; INT(Z817/20) &amp; ")", "")))))))))))</f>
        <v/>
      </c>
      <c r="P817" s="20">
        <f>ROUND(P816 + IF(AND(E817&lt;=10, F817&lt;&gt;"ASTM A416"), L817, 0), 3)</f>
        <v/>
      </c>
      <c r="Q817" s="20">
        <f>ROUND(Q816 + IF(AND(E817=12, F817&lt;&gt;"ASTM A416"), L817, 0), 3)</f>
        <v/>
      </c>
      <c r="R817" s="20">
        <f>ROUND(R816 + IF(AND(E817=14, F817&lt;&gt;"ASTM A416"), L817, 0), 3)</f>
        <v/>
      </c>
      <c r="S817" s="20">
        <f>ROUND(S816 + IF(AND(E817=16, F817&lt;&gt;"ASTM A416"), L817, 0), 3)</f>
        <v/>
      </c>
      <c r="T817" s="20">
        <f>ROUND(T816 + IF(AND(E817=18, F817&lt;&gt;"ASTM A416"), L817, 0), 3)</f>
        <v/>
      </c>
      <c r="U817" s="20">
        <f>ROUND(U816 + IF(AND(E817=20, F817&lt;&gt;"ASTM A416"), L817, 0), 3)</f>
        <v/>
      </c>
      <c r="V817" s="20">
        <f>ROUND(V816 + IF(AND(E817=22, F817&lt;&gt;"ASTM A416"), L817, 0), 3)</f>
        <v/>
      </c>
      <c r="W817" s="20">
        <f>ROUND(W816 + IF(AND(E817=25, F817&lt;&gt;"ASTM A416"), L817, 0), 3)</f>
        <v/>
      </c>
      <c r="X817" s="20">
        <f>ROUND(X816 + IF(AND(E817=28, F817&lt;&gt;"ASTM A416"), L817, 0), 3)</f>
        <v/>
      </c>
      <c r="Y817" s="20">
        <f>ROUND(Y816 + IF(AND(E817=32, F817&lt;&gt;"ASTM A416"), L817, 0), 3)</f>
        <v/>
      </c>
      <c r="Z817" s="20">
        <f>ROUND(Z816 + IF(F817="ASTM A416", L817, 0), 3)</f>
        <v/>
      </c>
      <c r="AA817" s="11">
        <f>IF(INT(P817/20)&gt;INT(P816/20), "Lần " &amp; INT(P817/20), "")</f>
        <v/>
      </c>
      <c r="AB817" s="11">
        <f>IF(INT(Q817/20)&gt;INT(Q816/20), "Lần " &amp; INT(Q817/20), "")</f>
        <v/>
      </c>
      <c r="AC817" s="11">
        <f>IF(INT(R817/20)&gt;INT(R816/20), "Lần " &amp; INT(R817/20), "")</f>
        <v/>
      </c>
      <c r="AD817" s="11">
        <f>IF(INT(S817/20)&gt;INT(S816/20), "Lần " &amp; INT(S817/20), "")</f>
        <v/>
      </c>
      <c r="AE817" s="11">
        <f>IF(INT(T817/20)&gt;INT(T816/20), "Lần " &amp; INT(T817/20), "")</f>
        <v/>
      </c>
      <c r="AF817" s="11">
        <f>IF(INT(U817/20)&gt;INT(U816/20), "Lần " &amp; INT(U817/20), "")</f>
        <v/>
      </c>
      <c r="AG817" s="11">
        <f>IF(INT(V817/20)&gt;INT(V816/20), "Lần " &amp; INT(V817/20), "")</f>
        <v/>
      </c>
      <c r="AH817" s="11">
        <f>IF(INT(W817/20)&gt;INT(W816/20), "Lần " &amp; INT(W817/20), "")</f>
        <v/>
      </c>
      <c r="AI817" s="11">
        <f>IF(INT(X817/20)&gt;INT(X816/20), "Lần " &amp; INT(X817/20), "")</f>
        <v/>
      </c>
      <c r="AJ817" s="11">
        <f>IF(INT(Y817/20)&gt;INT(Y816/20), "Lần " &amp; INT(Y817/20), "")</f>
        <v/>
      </c>
      <c r="AK817" s="11">
        <f>IF(INT(Z817/20)&gt;INT(Z816/20), "Lần " &amp; INT(Z817/20), "")</f>
        <v/>
      </c>
      <c r="AL817" s="6" t="inlineStr">
        <is>
          <t>ĐẠT TCVN 1651:2018</t>
        </is>
      </c>
    </row>
    <row r="818" ht="19" customHeight="1">
      <c r="A818" s="6" t="n">
        <v>785</v>
      </c>
      <c r="B818" s="7" t="inlineStr">
        <is>
          <t>Gờ lan can BTCT</t>
        </is>
      </c>
      <c r="C818" s="7" t="inlineStr">
        <is>
          <t>Gờ lan can 2 bên cầu</t>
        </is>
      </c>
      <c r="D818" s="18" t="inlineStr">
        <is>
          <t>G8A</t>
        </is>
      </c>
      <c r="E818" s="19" t="n">
        <v>12</v>
      </c>
      <c r="F818" s="6" t="inlineStr">
        <is>
          <t>CB400-V</t>
        </is>
      </c>
      <c r="G818" s="7" t="inlineStr">
        <is>
          <t>S06</t>
        </is>
      </c>
      <c r="H818" s="20" t="n">
        <v>0.26</v>
      </c>
      <c r="I818" s="21" t="n">
        <v>13</v>
      </c>
      <c r="J818" s="22" t="n">
        <v>0.888</v>
      </c>
      <c r="K818" s="9">
        <f>ROUND(H818*I818*J818, 2)</f>
        <v/>
      </c>
      <c r="L818" s="23">
        <f>ROUND(K818/1000, 3)</f>
        <v/>
      </c>
      <c r="M818" s="8" t="n"/>
      <c r="N818" s="6" t="n"/>
      <c r="O818" s="24">
        <f>IF(AND(E818&lt;=10, F818&lt;&gt;"ASTM A416", INT(P818/20)&gt;INT(P817/20)), "TN Ø10 (Lần " &amp; INT(P818/20) &amp; ")", IF(AND(E818=12, INT(Q818/20)&gt;INT(Q817/20)), "TN Ø12 (Lần " &amp; INT(Q818/20) &amp; ")", IF(AND(E818=14, INT(R818/20)&gt;INT(R817/20)), "TN Ø14 (Lần " &amp; INT(R818/20) &amp; ")", IF(AND(E818=16, INT(S818/20)&gt;INT(S817/20)), "TN Ø16 (Lần " &amp; INT(S818/20) &amp; ")", IF(AND(E818=18, INT(T818/20)&gt;INT(T817/20)), "TN Ø18 (Lần " &amp; INT(T818/20) &amp; ")", IF(AND(E818=20, INT(U818/20)&gt;INT(U817/20)), "TN Ø20 (Lần " &amp; INT(U818/20) &amp; ")", IF(AND(E818=22, INT(V818/20)&gt;INT(V817/20)), "TN Ø22 (Lần " &amp; INT(V818/20) &amp; ")", IF(AND(E818=25, INT(W818/20)&gt;INT(W817/20)), "TN Ø25 (Lần " &amp; INT(W818/20) &amp; ")", IF(AND(E818=28, INT(X818/20)&gt;INT(X817/20)), "TN Ø28 (Lần " &amp; INT(X818/20) &amp; ")", IF(AND(E818=32, INT(Y818/20)&gt;INT(Y817/20)), "TN Ø32 (Lần " &amp; INT(Y818/20) &amp; ")", IF(AND(F818="ASTM A416", INT(Z818/20)&gt;INT(Z817/20)), "TN Cáp 15.2 (Lần " &amp; INT(Z818/20) &amp; ")", "")))))))))))</f>
        <v/>
      </c>
      <c r="P818" s="20">
        <f>ROUND(P817 + IF(AND(E818&lt;=10, F818&lt;&gt;"ASTM A416"), L818, 0), 3)</f>
        <v/>
      </c>
      <c r="Q818" s="20">
        <f>ROUND(Q817 + IF(AND(E818=12, F818&lt;&gt;"ASTM A416"), L818, 0), 3)</f>
        <v/>
      </c>
      <c r="R818" s="20">
        <f>ROUND(R817 + IF(AND(E818=14, F818&lt;&gt;"ASTM A416"), L818, 0), 3)</f>
        <v/>
      </c>
      <c r="S818" s="20">
        <f>ROUND(S817 + IF(AND(E818=16, F818&lt;&gt;"ASTM A416"), L818, 0), 3)</f>
        <v/>
      </c>
      <c r="T818" s="20">
        <f>ROUND(T817 + IF(AND(E818=18, F818&lt;&gt;"ASTM A416"), L818, 0), 3)</f>
        <v/>
      </c>
      <c r="U818" s="20">
        <f>ROUND(U817 + IF(AND(E818=20, F818&lt;&gt;"ASTM A416"), L818, 0), 3)</f>
        <v/>
      </c>
      <c r="V818" s="20">
        <f>ROUND(V817 + IF(AND(E818=22, F818&lt;&gt;"ASTM A416"), L818, 0), 3)</f>
        <v/>
      </c>
      <c r="W818" s="20">
        <f>ROUND(W817 + IF(AND(E818=25, F818&lt;&gt;"ASTM A416"), L818, 0), 3)</f>
        <v/>
      </c>
      <c r="X818" s="20">
        <f>ROUND(X817 + IF(AND(E818=28, F818&lt;&gt;"ASTM A416"), L818, 0), 3)</f>
        <v/>
      </c>
      <c r="Y818" s="20">
        <f>ROUND(Y817 + IF(AND(E818=32, F818&lt;&gt;"ASTM A416"), L818, 0), 3)</f>
        <v/>
      </c>
      <c r="Z818" s="20">
        <f>ROUND(Z817 + IF(F818="ASTM A416", L818, 0), 3)</f>
        <v/>
      </c>
      <c r="AA818" s="11">
        <f>IF(INT(P818/20)&gt;INT(P817/20), "Lần " &amp; INT(P818/20), "")</f>
        <v/>
      </c>
      <c r="AB818" s="11">
        <f>IF(INT(Q818/20)&gt;INT(Q817/20), "Lần " &amp; INT(Q818/20), "")</f>
        <v/>
      </c>
      <c r="AC818" s="11">
        <f>IF(INT(R818/20)&gt;INT(R817/20), "Lần " &amp; INT(R818/20), "")</f>
        <v/>
      </c>
      <c r="AD818" s="11">
        <f>IF(INT(S818/20)&gt;INT(S817/20), "Lần " &amp; INT(S818/20), "")</f>
        <v/>
      </c>
      <c r="AE818" s="11">
        <f>IF(INT(T818/20)&gt;INT(T817/20), "Lần " &amp; INT(T818/20), "")</f>
        <v/>
      </c>
      <c r="AF818" s="11">
        <f>IF(INT(U818/20)&gt;INT(U817/20), "Lần " &amp; INT(U818/20), "")</f>
        <v/>
      </c>
      <c r="AG818" s="11">
        <f>IF(INT(V818/20)&gt;INT(V817/20), "Lần " &amp; INT(V818/20), "")</f>
        <v/>
      </c>
      <c r="AH818" s="11">
        <f>IF(INT(W818/20)&gt;INT(W817/20), "Lần " &amp; INT(W818/20), "")</f>
        <v/>
      </c>
      <c r="AI818" s="11">
        <f>IF(INT(X818/20)&gt;INT(X817/20), "Lần " &amp; INT(X818/20), "")</f>
        <v/>
      </c>
      <c r="AJ818" s="11">
        <f>IF(INT(Y818/20)&gt;INT(Y817/20), "Lần " &amp; INT(Y818/20), "")</f>
        <v/>
      </c>
      <c r="AK818" s="11">
        <f>IF(INT(Z818/20)&gt;INT(Z817/20), "Lần " &amp; INT(Z818/20), "")</f>
        <v/>
      </c>
      <c r="AL818" s="6" t="inlineStr">
        <is>
          <t>ĐẠT TCVN 1651:2018</t>
        </is>
      </c>
    </row>
    <row r="819" ht="19" customHeight="1">
      <c r="A819" s="6" t="n">
        <v>786</v>
      </c>
      <c r="B819" s="7" t="inlineStr">
        <is>
          <t>Gờ lan can BTCT</t>
        </is>
      </c>
      <c r="C819" s="7" t="inlineStr">
        <is>
          <t>Gờ lan can 2 bên cầu</t>
        </is>
      </c>
      <c r="D819" s="18" t="inlineStr">
        <is>
          <t>G8B</t>
        </is>
      </c>
      <c r="E819" s="19" t="n">
        <v>12</v>
      </c>
      <c r="F819" s="6" t="inlineStr">
        <is>
          <t>CB400-V</t>
        </is>
      </c>
      <c r="G819" s="7" t="inlineStr">
        <is>
          <t>S06</t>
        </is>
      </c>
      <c r="H819" s="20" t="n">
        <v>0.306</v>
      </c>
      <c r="I819" s="21" t="n">
        <v>13</v>
      </c>
      <c r="J819" s="22" t="n">
        <v>0.888</v>
      </c>
      <c r="K819" s="9">
        <f>ROUND(H819*I819*J819, 2)</f>
        <v/>
      </c>
      <c r="L819" s="23">
        <f>ROUND(K819/1000, 3)</f>
        <v/>
      </c>
      <c r="M819" s="8" t="n"/>
      <c r="N819" s="6" t="n"/>
      <c r="O819" s="24">
        <f>IF(AND(E819&lt;=10, F819&lt;&gt;"ASTM A416", INT(P819/20)&gt;INT(P818/20)), "TN Ø10 (Lần " &amp; INT(P819/20) &amp; ")", IF(AND(E819=12, INT(Q819/20)&gt;INT(Q818/20)), "TN Ø12 (Lần " &amp; INT(Q819/20) &amp; ")", IF(AND(E819=14, INT(R819/20)&gt;INT(R818/20)), "TN Ø14 (Lần " &amp; INT(R819/20) &amp; ")", IF(AND(E819=16, INT(S819/20)&gt;INT(S818/20)), "TN Ø16 (Lần " &amp; INT(S819/20) &amp; ")", IF(AND(E819=18, INT(T819/20)&gt;INT(T818/20)), "TN Ø18 (Lần " &amp; INT(T819/20) &amp; ")", IF(AND(E819=20, INT(U819/20)&gt;INT(U818/20)), "TN Ø20 (Lần " &amp; INT(U819/20) &amp; ")", IF(AND(E819=22, INT(V819/20)&gt;INT(V818/20)), "TN Ø22 (Lần " &amp; INT(V819/20) &amp; ")", IF(AND(E819=25, INT(W819/20)&gt;INT(W818/20)), "TN Ø25 (Lần " &amp; INT(W819/20) &amp; ")", IF(AND(E819=28, INT(X819/20)&gt;INT(X818/20)), "TN Ø28 (Lần " &amp; INT(X819/20) &amp; ")", IF(AND(E819=32, INT(Y819/20)&gt;INT(Y818/20)), "TN Ø32 (Lần " &amp; INT(Y819/20) &amp; ")", IF(AND(F819="ASTM A416", INT(Z819/20)&gt;INT(Z818/20)), "TN Cáp 15.2 (Lần " &amp; INT(Z819/20) &amp; ")", "")))))))))))</f>
        <v/>
      </c>
      <c r="P819" s="20">
        <f>ROUND(P818 + IF(AND(E819&lt;=10, F819&lt;&gt;"ASTM A416"), L819, 0), 3)</f>
        <v/>
      </c>
      <c r="Q819" s="20">
        <f>ROUND(Q818 + IF(AND(E819=12, F819&lt;&gt;"ASTM A416"), L819, 0), 3)</f>
        <v/>
      </c>
      <c r="R819" s="20">
        <f>ROUND(R818 + IF(AND(E819=14, F819&lt;&gt;"ASTM A416"), L819, 0), 3)</f>
        <v/>
      </c>
      <c r="S819" s="20">
        <f>ROUND(S818 + IF(AND(E819=16, F819&lt;&gt;"ASTM A416"), L819, 0), 3)</f>
        <v/>
      </c>
      <c r="T819" s="20">
        <f>ROUND(T818 + IF(AND(E819=18, F819&lt;&gt;"ASTM A416"), L819, 0), 3)</f>
        <v/>
      </c>
      <c r="U819" s="20">
        <f>ROUND(U818 + IF(AND(E819=20, F819&lt;&gt;"ASTM A416"), L819, 0), 3)</f>
        <v/>
      </c>
      <c r="V819" s="20">
        <f>ROUND(V818 + IF(AND(E819=22, F819&lt;&gt;"ASTM A416"), L819, 0), 3)</f>
        <v/>
      </c>
      <c r="W819" s="20">
        <f>ROUND(W818 + IF(AND(E819=25, F819&lt;&gt;"ASTM A416"), L819, 0), 3)</f>
        <v/>
      </c>
      <c r="X819" s="20">
        <f>ROUND(X818 + IF(AND(E819=28, F819&lt;&gt;"ASTM A416"), L819, 0), 3)</f>
        <v/>
      </c>
      <c r="Y819" s="20">
        <f>ROUND(Y818 + IF(AND(E819=32, F819&lt;&gt;"ASTM A416"), L819, 0), 3)</f>
        <v/>
      </c>
      <c r="Z819" s="20">
        <f>ROUND(Z818 + IF(F819="ASTM A416", L819, 0), 3)</f>
        <v/>
      </c>
      <c r="AA819" s="11">
        <f>IF(INT(P819/20)&gt;INT(P818/20), "Lần " &amp; INT(P819/20), "")</f>
        <v/>
      </c>
      <c r="AB819" s="11">
        <f>IF(INT(Q819/20)&gt;INT(Q818/20), "Lần " &amp; INT(Q819/20), "")</f>
        <v/>
      </c>
      <c r="AC819" s="11">
        <f>IF(INT(R819/20)&gt;INT(R818/20), "Lần " &amp; INT(R819/20), "")</f>
        <v/>
      </c>
      <c r="AD819" s="11">
        <f>IF(INT(S819/20)&gt;INT(S818/20), "Lần " &amp; INT(S819/20), "")</f>
        <v/>
      </c>
      <c r="AE819" s="11">
        <f>IF(INT(T819/20)&gt;INT(T818/20), "Lần " &amp; INT(T819/20), "")</f>
        <v/>
      </c>
      <c r="AF819" s="11">
        <f>IF(INT(U819/20)&gt;INT(U818/20), "Lần " &amp; INT(U819/20), "")</f>
        <v/>
      </c>
      <c r="AG819" s="11">
        <f>IF(INT(V819/20)&gt;INT(V818/20), "Lần " &amp; INT(V819/20), "")</f>
        <v/>
      </c>
      <c r="AH819" s="11">
        <f>IF(INT(W819/20)&gt;INT(W818/20), "Lần " &amp; INT(W819/20), "")</f>
        <v/>
      </c>
      <c r="AI819" s="11">
        <f>IF(INT(X819/20)&gt;INT(X818/20), "Lần " &amp; INT(X819/20), "")</f>
        <v/>
      </c>
      <c r="AJ819" s="11">
        <f>IF(INT(Y819/20)&gt;INT(Y818/20), "Lần " &amp; INT(Y819/20), "")</f>
        <v/>
      </c>
      <c r="AK819" s="11">
        <f>IF(INT(Z819/20)&gt;INT(Z818/20), "Lần " &amp; INT(Z819/20), "")</f>
        <v/>
      </c>
      <c r="AL819" s="6" t="inlineStr">
        <is>
          <t>ĐẠT TCVN 1651:2018</t>
        </is>
      </c>
    </row>
    <row r="820" ht="19" customHeight="1">
      <c r="A820" s="6" t="n">
        <v>787</v>
      </c>
      <c r="B820" s="7" t="inlineStr">
        <is>
          <t>Gờ lan can BTCT</t>
        </is>
      </c>
      <c r="C820" s="7" t="inlineStr">
        <is>
          <t>Gờ lan can 2 bên cầu</t>
        </is>
      </c>
      <c r="D820" s="18" t="inlineStr">
        <is>
          <t>G8C</t>
        </is>
      </c>
      <c r="E820" s="19" t="n">
        <v>12</v>
      </c>
      <c r="F820" s="6" t="inlineStr">
        <is>
          <t>CB400-V</t>
        </is>
      </c>
      <c r="G820" s="7" t="inlineStr">
        <is>
          <t>S06</t>
        </is>
      </c>
      <c r="H820" s="20" t="n">
        <v>0.417</v>
      </c>
      <c r="I820" s="21" t="n">
        <v>13</v>
      </c>
      <c r="J820" s="22" t="n">
        <v>0.888</v>
      </c>
      <c r="K820" s="9">
        <f>ROUND(H820*I820*J820, 2)</f>
        <v/>
      </c>
      <c r="L820" s="23">
        <f>ROUND(K820/1000, 3)</f>
        <v/>
      </c>
      <c r="M820" s="8" t="n"/>
      <c r="N820" s="6" t="n"/>
      <c r="O820" s="24">
        <f>IF(AND(E820&lt;=10, F820&lt;&gt;"ASTM A416", INT(P820/20)&gt;INT(P819/20)), "TN Ø10 (Lần " &amp; INT(P820/20) &amp; ")", IF(AND(E820=12, INT(Q820/20)&gt;INT(Q819/20)), "TN Ø12 (Lần " &amp; INT(Q820/20) &amp; ")", IF(AND(E820=14, INT(R820/20)&gt;INT(R819/20)), "TN Ø14 (Lần " &amp; INT(R820/20) &amp; ")", IF(AND(E820=16, INT(S820/20)&gt;INT(S819/20)), "TN Ø16 (Lần " &amp; INT(S820/20) &amp; ")", IF(AND(E820=18, INT(T820/20)&gt;INT(T819/20)), "TN Ø18 (Lần " &amp; INT(T820/20) &amp; ")", IF(AND(E820=20, INT(U820/20)&gt;INT(U819/20)), "TN Ø20 (Lần " &amp; INT(U820/20) &amp; ")", IF(AND(E820=22, INT(V820/20)&gt;INT(V819/20)), "TN Ø22 (Lần " &amp; INT(V820/20) &amp; ")", IF(AND(E820=25, INT(W820/20)&gt;INT(W819/20)), "TN Ø25 (Lần " &amp; INT(W820/20) &amp; ")", IF(AND(E820=28, INT(X820/20)&gt;INT(X819/20)), "TN Ø28 (Lần " &amp; INT(X820/20) &amp; ")", IF(AND(E820=32, INT(Y820/20)&gt;INT(Y819/20)), "TN Ø32 (Lần " &amp; INT(Y820/20) &amp; ")", IF(AND(F820="ASTM A416", INT(Z820/20)&gt;INT(Z819/20)), "TN Cáp 15.2 (Lần " &amp; INT(Z820/20) &amp; ")", "")))))))))))</f>
        <v/>
      </c>
      <c r="P820" s="20">
        <f>ROUND(P819 + IF(AND(E820&lt;=10, F820&lt;&gt;"ASTM A416"), L820, 0), 3)</f>
        <v/>
      </c>
      <c r="Q820" s="20">
        <f>ROUND(Q819 + IF(AND(E820=12, F820&lt;&gt;"ASTM A416"), L820, 0), 3)</f>
        <v/>
      </c>
      <c r="R820" s="20">
        <f>ROUND(R819 + IF(AND(E820=14, F820&lt;&gt;"ASTM A416"), L820, 0), 3)</f>
        <v/>
      </c>
      <c r="S820" s="20">
        <f>ROUND(S819 + IF(AND(E820=16, F820&lt;&gt;"ASTM A416"), L820, 0), 3)</f>
        <v/>
      </c>
      <c r="T820" s="20">
        <f>ROUND(T819 + IF(AND(E820=18, F820&lt;&gt;"ASTM A416"), L820, 0), 3)</f>
        <v/>
      </c>
      <c r="U820" s="20">
        <f>ROUND(U819 + IF(AND(E820=20, F820&lt;&gt;"ASTM A416"), L820, 0), 3)</f>
        <v/>
      </c>
      <c r="V820" s="20">
        <f>ROUND(V819 + IF(AND(E820=22, F820&lt;&gt;"ASTM A416"), L820, 0), 3)</f>
        <v/>
      </c>
      <c r="W820" s="20">
        <f>ROUND(W819 + IF(AND(E820=25, F820&lt;&gt;"ASTM A416"), L820, 0), 3)</f>
        <v/>
      </c>
      <c r="X820" s="20">
        <f>ROUND(X819 + IF(AND(E820=28, F820&lt;&gt;"ASTM A416"), L820, 0), 3)</f>
        <v/>
      </c>
      <c r="Y820" s="20">
        <f>ROUND(Y819 + IF(AND(E820=32, F820&lt;&gt;"ASTM A416"), L820, 0), 3)</f>
        <v/>
      </c>
      <c r="Z820" s="20">
        <f>ROUND(Z819 + IF(F820="ASTM A416", L820, 0), 3)</f>
        <v/>
      </c>
      <c r="AA820" s="11">
        <f>IF(INT(P820/20)&gt;INT(P819/20), "Lần " &amp; INT(P820/20), "")</f>
        <v/>
      </c>
      <c r="AB820" s="11">
        <f>IF(INT(Q820/20)&gt;INT(Q819/20), "Lần " &amp; INT(Q820/20), "")</f>
        <v/>
      </c>
      <c r="AC820" s="11">
        <f>IF(INT(R820/20)&gt;INT(R819/20), "Lần " &amp; INT(R820/20), "")</f>
        <v/>
      </c>
      <c r="AD820" s="11">
        <f>IF(INT(S820/20)&gt;INT(S819/20), "Lần " &amp; INT(S820/20), "")</f>
        <v/>
      </c>
      <c r="AE820" s="11">
        <f>IF(INT(T820/20)&gt;INT(T819/20), "Lần " &amp; INT(T820/20), "")</f>
        <v/>
      </c>
      <c r="AF820" s="11">
        <f>IF(INT(U820/20)&gt;INT(U819/20), "Lần " &amp; INT(U820/20), "")</f>
        <v/>
      </c>
      <c r="AG820" s="11">
        <f>IF(INT(V820/20)&gt;INT(V819/20), "Lần " &amp; INT(V820/20), "")</f>
        <v/>
      </c>
      <c r="AH820" s="11">
        <f>IF(INT(W820/20)&gt;INT(W819/20), "Lần " &amp; INT(W820/20), "")</f>
        <v/>
      </c>
      <c r="AI820" s="11">
        <f>IF(INT(X820/20)&gt;INT(X819/20), "Lần " &amp; INT(X820/20), "")</f>
        <v/>
      </c>
      <c r="AJ820" s="11">
        <f>IF(INT(Y820/20)&gt;INT(Y819/20), "Lần " &amp; INT(Y820/20), "")</f>
        <v/>
      </c>
      <c r="AK820" s="11">
        <f>IF(INT(Z820/20)&gt;INT(Z819/20), "Lần " &amp; INT(Z820/20), "")</f>
        <v/>
      </c>
      <c r="AL820" s="6" t="inlineStr">
        <is>
          <t>ĐẠT TCVN 1651:2018</t>
        </is>
      </c>
    </row>
    <row r="821" ht="19" customHeight="1">
      <c r="A821" s="6" t="n">
        <v>788</v>
      </c>
      <c r="B821" s="7" t="inlineStr">
        <is>
          <t>Gờ lan can BTCT</t>
        </is>
      </c>
      <c r="C821" s="7" t="inlineStr">
        <is>
          <t>LOẠI B2</t>
        </is>
      </c>
      <c r="D821" s="18" t="inlineStr">
        <is>
          <t>G5A</t>
        </is>
      </c>
      <c r="E821" s="19" t="n">
        <v>14</v>
      </c>
      <c r="F821" s="6" t="inlineStr">
        <is>
          <t>CB400-V</t>
        </is>
      </c>
      <c r="G821" s="7" t="inlineStr">
        <is>
          <t>S01</t>
        </is>
      </c>
      <c r="H821" s="20" t="n">
        <v>4.12</v>
      </c>
      <c r="I821" s="21" t="n">
        <v>19</v>
      </c>
      <c r="J821" s="22" t="n">
        <v>1.21</v>
      </c>
      <c r="K821" s="9">
        <f>ROUND(H821*I821*J821, 2)</f>
        <v/>
      </c>
      <c r="L821" s="23">
        <f>ROUND(K821/1000, 3)</f>
        <v/>
      </c>
      <c r="M821" s="8" t="n"/>
      <c r="N821" s="6" t="n"/>
      <c r="O821" s="24">
        <f>IF(AND(E821&lt;=10, F821&lt;&gt;"ASTM A416", INT(P821/20)&gt;INT(P820/20)), "TN Ø10 (Lần " &amp; INT(P821/20) &amp; ")", IF(AND(E821=12, INT(Q821/20)&gt;INT(Q820/20)), "TN Ø12 (Lần " &amp; INT(Q821/20) &amp; ")", IF(AND(E821=14, INT(R821/20)&gt;INT(R820/20)), "TN Ø14 (Lần " &amp; INT(R821/20) &amp; ")", IF(AND(E821=16, INT(S821/20)&gt;INT(S820/20)), "TN Ø16 (Lần " &amp; INT(S821/20) &amp; ")", IF(AND(E821=18, INT(T821/20)&gt;INT(T820/20)), "TN Ø18 (Lần " &amp; INT(T821/20) &amp; ")", IF(AND(E821=20, INT(U821/20)&gt;INT(U820/20)), "TN Ø20 (Lần " &amp; INT(U821/20) &amp; ")", IF(AND(E821=22, INT(V821/20)&gt;INT(V820/20)), "TN Ø22 (Lần " &amp; INT(V821/20) &amp; ")", IF(AND(E821=25, INT(W821/20)&gt;INT(W820/20)), "TN Ø25 (Lần " &amp; INT(W821/20) &amp; ")", IF(AND(E821=28, INT(X821/20)&gt;INT(X820/20)), "TN Ø28 (Lần " &amp; INT(X821/20) &amp; ")", IF(AND(E821=32, INT(Y821/20)&gt;INT(Y820/20)), "TN Ø32 (Lần " &amp; INT(Y821/20) &amp; ")", IF(AND(F821="ASTM A416", INT(Z821/20)&gt;INT(Z820/20)), "TN Cáp 15.2 (Lần " &amp; INT(Z821/20) &amp; ")", "")))))))))))</f>
        <v/>
      </c>
      <c r="P821" s="20">
        <f>ROUND(P820 + IF(AND(E821&lt;=10, F821&lt;&gt;"ASTM A416"), L821, 0), 3)</f>
        <v/>
      </c>
      <c r="Q821" s="20">
        <f>ROUND(Q820 + IF(AND(E821=12, F821&lt;&gt;"ASTM A416"), L821, 0), 3)</f>
        <v/>
      </c>
      <c r="R821" s="20">
        <f>ROUND(R820 + IF(AND(E821=14, F821&lt;&gt;"ASTM A416"), L821, 0), 3)</f>
        <v/>
      </c>
      <c r="S821" s="20">
        <f>ROUND(S820 + IF(AND(E821=16, F821&lt;&gt;"ASTM A416"), L821, 0), 3)</f>
        <v/>
      </c>
      <c r="T821" s="20">
        <f>ROUND(T820 + IF(AND(E821=18, F821&lt;&gt;"ASTM A416"), L821, 0), 3)</f>
        <v/>
      </c>
      <c r="U821" s="20">
        <f>ROUND(U820 + IF(AND(E821=20, F821&lt;&gt;"ASTM A416"), L821, 0), 3)</f>
        <v/>
      </c>
      <c r="V821" s="20">
        <f>ROUND(V820 + IF(AND(E821=22, F821&lt;&gt;"ASTM A416"), L821, 0), 3)</f>
        <v/>
      </c>
      <c r="W821" s="20">
        <f>ROUND(W820 + IF(AND(E821=25, F821&lt;&gt;"ASTM A416"), L821, 0), 3)</f>
        <v/>
      </c>
      <c r="X821" s="20">
        <f>ROUND(X820 + IF(AND(E821=28, F821&lt;&gt;"ASTM A416"), L821, 0), 3)</f>
        <v/>
      </c>
      <c r="Y821" s="20">
        <f>ROUND(Y820 + IF(AND(E821=32, F821&lt;&gt;"ASTM A416"), L821, 0), 3)</f>
        <v/>
      </c>
      <c r="Z821" s="20">
        <f>ROUND(Z820 + IF(F821="ASTM A416", L821, 0), 3)</f>
        <v/>
      </c>
      <c r="AA821" s="11">
        <f>IF(INT(P821/20)&gt;INT(P820/20), "Lần " &amp; INT(P821/20), "")</f>
        <v/>
      </c>
      <c r="AB821" s="11">
        <f>IF(INT(Q821/20)&gt;INT(Q820/20), "Lần " &amp; INT(Q821/20), "")</f>
        <v/>
      </c>
      <c r="AC821" s="11">
        <f>IF(INT(R821/20)&gt;INT(R820/20), "Lần " &amp; INT(R821/20), "")</f>
        <v/>
      </c>
      <c r="AD821" s="11">
        <f>IF(INT(S821/20)&gt;INT(S820/20), "Lần " &amp; INT(S821/20), "")</f>
        <v/>
      </c>
      <c r="AE821" s="11">
        <f>IF(INT(T821/20)&gt;INT(T820/20), "Lần " &amp; INT(T821/20), "")</f>
        <v/>
      </c>
      <c r="AF821" s="11">
        <f>IF(INT(U821/20)&gt;INT(U820/20), "Lần " &amp; INT(U821/20), "")</f>
        <v/>
      </c>
      <c r="AG821" s="11">
        <f>IF(INT(V821/20)&gt;INT(V820/20), "Lần " &amp; INT(V821/20), "")</f>
        <v/>
      </c>
      <c r="AH821" s="11">
        <f>IF(INT(W821/20)&gt;INT(W820/20), "Lần " &amp; INT(W821/20), "")</f>
        <v/>
      </c>
      <c r="AI821" s="11">
        <f>IF(INT(X821/20)&gt;INT(X820/20), "Lần " &amp; INT(X821/20), "")</f>
        <v/>
      </c>
      <c r="AJ821" s="11">
        <f>IF(INT(Y821/20)&gt;INT(Y820/20), "Lần " &amp; INT(Y821/20), "")</f>
        <v/>
      </c>
      <c r="AK821" s="11">
        <f>IF(INT(Z821/20)&gt;INT(Z820/20), "Lần " &amp; INT(Z821/20), "")</f>
        <v/>
      </c>
      <c r="AL821" s="6" t="inlineStr">
        <is>
          <t>ĐẠT TCVN 1651:2018</t>
        </is>
      </c>
    </row>
    <row r="822" ht="19" customHeight="1">
      <c r="A822" s="6" t="n">
        <v>789</v>
      </c>
      <c r="B822" s="7" t="inlineStr">
        <is>
          <t>Gờ lan can BTCT</t>
        </is>
      </c>
      <c r="C822" s="7" t="inlineStr">
        <is>
          <t>Gờ lan can 2 bên cầu</t>
        </is>
      </c>
      <c r="D822" s="18" t="inlineStr">
        <is>
          <t>G6</t>
        </is>
      </c>
      <c r="E822" s="19" t="n">
        <v>20</v>
      </c>
      <c r="F822" s="6" t="inlineStr">
        <is>
          <t>CB400-V</t>
        </is>
      </c>
      <c r="G822" s="7" t="inlineStr">
        <is>
          <t>S57</t>
        </is>
      </c>
      <c r="H822" s="20" t="n">
        <v>2.026</v>
      </c>
      <c r="I822" s="21" t="n">
        <v>28</v>
      </c>
      <c r="J822" s="22" t="n">
        <v>2.47</v>
      </c>
      <c r="K822" s="9">
        <f>ROUND(H822*I822*J822, 2)</f>
        <v/>
      </c>
      <c r="L822" s="23">
        <f>ROUND(K822/1000, 3)</f>
        <v/>
      </c>
      <c r="M822" s="8" t="n"/>
      <c r="N822" s="6" t="n"/>
      <c r="O822" s="24">
        <f>IF(AND(E822&lt;=10, F822&lt;&gt;"ASTM A416", INT(P822/20)&gt;INT(P821/20)), "TN Ø10 (Lần " &amp; INT(P822/20) &amp; ")", IF(AND(E822=12, INT(Q822/20)&gt;INT(Q821/20)), "TN Ø12 (Lần " &amp; INT(Q822/20) &amp; ")", IF(AND(E822=14, INT(R822/20)&gt;INT(R821/20)), "TN Ø14 (Lần " &amp; INT(R822/20) &amp; ")", IF(AND(E822=16, INT(S822/20)&gt;INT(S821/20)), "TN Ø16 (Lần " &amp; INT(S822/20) &amp; ")", IF(AND(E822=18, INT(T822/20)&gt;INT(T821/20)), "TN Ø18 (Lần " &amp; INT(T822/20) &amp; ")", IF(AND(E822=20, INT(U822/20)&gt;INT(U821/20)), "TN Ø20 (Lần " &amp; INT(U822/20) &amp; ")", IF(AND(E822=22, INT(V822/20)&gt;INT(V821/20)), "TN Ø22 (Lần " &amp; INT(V822/20) &amp; ")", IF(AND(E822=25, INT(W822/20)&gt;INT(W821/20)), "TN Ø25 (Lần " &amp; INT(W822/20) &amp; ")", IF(AND(E822=28, INT(X822/20)&gt;INT(X821/20)), "TN Ø28 (Lần " &amp; INT(X822/20) &amp; ")", IF(AND(E822=32, INT(Y822/20)&gt;INT(Y821/20)), "TN Ø32 (Lần " &amp; INT(Y822/20) &amp; ")", IF(AND(F822="ASTM A416", INT(Z822/20)&gt;INT(Z821/20)), "TN Cáp 15.2 (Lần " &amp; INT(Z822/20) &amp; ")", "")))))))))))</f>
        <v/>
      </c>
      <c r="P822" s="20">
        <f>ROUND(P821 + IF(AND(E822&lt;=10, F822&lt;&gt;"ASTM A416"), L822, 0), 3)</f>
        <v/>
      </c>
      <c r="Q822" s="20">
        <f>ROUND(Q821 + IF(AND(E822=12, F822&lt;&gt;"ASTM A416"), L822, 0), 3)</f>
        <v/>
      </c>
      <c r="R822" s="20">
        <f>ROUND(R821 + IF(AND(E822=14, F822&lt;&gt;"ASTM A416"), L822, 0), 3)</f>
        <v/>
      </c>
      <c r="S822" s="20">
        <f>ROUND(S821 + IF(AND(E822=16, F822&lt;&gt;"ASTM A416"), L822, 0), 3)</f>
        <v/>
      </c>
      <c r="T822" s="20">
        <f>ROUND(T821 + IF(AND(E822=18, F822&lt;&gt;"ASTM A416"), L822, 0), 3)</f>
        <v/>
      </c>
      <c r="U822" s="20">
        <f>ROUND(U821 + IF(AND(E822=20, F822&lt;&gt;"ASTM A416"), L822, 0), 3)</f>
        <v/>
      </c>
      <c r="V822" s="20">
        <f>ROUND(V821 + IF(AND(E822=22, F822&lt;&gt;"ASTM A416"), L822, 0), 3)</f>
        <v/>
      </c>
      <c r="W822" s="20">
        <f>ROUND(W821 + IF(AND(E822=25, F822&lt;&gt;"ASTM A416"), L822, 0), 3)</f>
        <v/>
      </c>
      <c r="X822" s="20">
        <f>ROUND(X821 + IF(AND(E822=28, F822&lt;&gt;"ASTM A416"), L822, 0), 3)</f>
        <v/>
      </c>
      <c r="Y822" s="20">
        <f>ROUND(Y821 + IF(AND(E822=32, F822&lt;&gt;"ASTM A416"), L822, 0), 3)</f>
        <v/>
      </c>
      <c r="Z822" s="20">
        <f>ROUND(Z821 + IF(F822="ASTM A416", L822, 0), 3)</f>
        <v/>
      </c>
      <c r="AA822" s="11">
        <f>IF(INT(P822/20)&gt;INT(P821/20), "Lần " &amp; INT(P822/20), "")</f>
        <v/>
      </c>
      <c r="AB822" s="11">
        <f>IF(INT(Q822/20)&gt;INT(Q821/20), "Lần " &amp; INT(Q822/20), "")</f>
        <v/>
      </c>
      <c r="AC822" s="11">
        <f>IF(INT(R822/20)&gt;INT(R821/20), "Lần " &amp; INT(R822/20), "")</f>
        <v/>
      </c>
      <c r="AD822" s="11">
        <f>IF(INT(S822/20)&gt;INT(S821/20), "Lần " &amp; INT(S822/20), "")</f>
        <v/>
      </c>
      <c r="AE822" s="11">
        <f>IF(INT(T822/20)&gt;INT(T821/20), "Lần " &amp; INT(T822/20), "")</f>
        <v/>
      </c>
      <c r="AF822" s="11">
        <f>IF(INT(U822/20)&gt;INT(U821/20), "Lần " &amp; INT(U822/20), "")</f>
        <v/>
      </c>
      <c r="AG822" s="11">
        <f>IF(INT(V822/20)&gt;INT(V821/20), "Lần " &amp; INT(V822/20), "")</f>
        <v/>
      </c>
      <c r="AH822" s="11">
        <f>IF(INT(W822/20)&gt;INT(W821/20), "Lần " &amp; INT(W822/20), "")</f>
        <v/>
      </c>
      <c r="AI822" s="11">
        <f>IF(INT(X822/20)&gt;INT(X821/20), "Lần " &amp; INT(X822/20), "")</f>
        <v/>
      </c>
      <c r="AJ822" s="11">
        <f>IF(INT(Y822/20)&gt;INT(Y821/20), "Lần " &amp; INT(Y822/20), "")</f>
        <v/>
      </c>
      <c r="AK822" s="11">
        <f>IF(INT(Z822/20)&gt;INT(Z821/20), "Lần " &amp; INT(Z822/20), "")</f>
        <v/>
      </c>
      <c r="AL822" s="6" t="inlineStr">
        <is>
          <t>ĐẠT TCVN 1651:2018</t>
        </is>
      </c>
    </row>
    <row r="823" ht="19" customHeight="1">
      <c r="A823" s="6" t="n">
        <v>790</v>
      </c>
      <c r="B823" s="7" t="inlineStr">
        <is>
          <t>Gờ lan can BTCT</t>
        </is>
      </c>
      <c r="C823" s="7" t="inlineStr">
        <is>
          <t>Gờ lan can 2 bên cầu</t>
        </is>
      </c>
      <c r="D823" s="18" t="inlineStr">
        <is>
          <t>G7</t>
        </is>
      </c>
      <c r="E823" s="19" t="n">
        <v>14</v>
      </c>
      <c r="F823" s="6" t="inlineStr">
        <is>
          <t>CB400-V</t>
        </is>
      </c>
      <c r="G823" s="7" t="inlineStr">
        <is>
          <t>S29</t>
        </is>
      </c>
      <c r="H823" s="20" t="n">
        <v>1.371</v>
      </c>
      <c r="I823" s="21" t="n">
        <v>28</v>
      </c>
      <c r="J823" s="22" t="n">
        <v>1.21</v>
      </c>
      <c r="K823" s="9">
        <f>ROUND(H823*I823*J823, 2)</f>
        <v/>
      </c>
      <c r="L823" s="23">
        <f>ROUND(K823/1000, 3)</f>
        <v/>
      </c>
      <c r="M823" s="8" t="n"/>
      <c r="N823" s="6" t="n"/>
      <c r="O823" s="24">
        <f>IF(AND(E823&lt;=10, F823&lt;&gt;"ASTM A416", INT(P823/20)&gt;INT(P822/20)), "TN Ø10 (Lần " &amp; INT(P823/20) &amp; ")", IF(AND(E823=12, INT(Q823/20)&gt;INT(Q822/20)), "TN Ø12 (Lần " &amp; INT(Q823/20) &amp; ")", IF(AND(E823=14, INT(R823/20)&gt;INT(R822/20)), "TN Ø14 (Lần " &amp; INT(R823/20) &amp; ")", IF(AND(E823=16, INT(S823/20)&gt;INT(S822/20)), "TN Ø16 (Lần " &amp; INT(S823/20) &amp; ")", IF(AND(E823=18, INT(T823/20)&gt;INT(T822/20)), "TN Ø18 (Lần " &amp; INT(T823/20) &amp; ")", IF(AND(E823=20, INT(U823/20)&gt;INT(U822/20)), "TN Ø20 (Lần " &amp; INT(U823/20) &amp; ")", IF(AND(E823=22, INT(V823/20)&gt;INT(V822/20)), "TN Ø22 (Lần " &amp; INT(V823/20) &amp; ")", IF(AND(E823=25, INT(W823/20)&gt;INT(W822/20)), "TN Ø25 (Lần " &amp; INT(W823/20) &amp; ")", IF(AND(E823=28, INT(X823/20)&gt;INT(X822/20)), "TN Ø28 (Lần " &amp; INT(X823/20) &amp; ")", IF(AND(E823=32, INT(Y823/20)&gt;INT(Y822/20)), "TN Ø32 (Lần " &amp; INT(Y823/20) &amp; ")", IF(AND(F823="ASTM A416", INT(Z823/20)&gt;INT(Z822/20)), "TN Cáp 15.2 (Lần " &amp; INT(Z823/20) &amp; ")", "")))))))))))</f>
        <v/>
      </c>
      <c r="P823" s="20">
        <f>ROUND(P822 + IF(AND(E823&lt;=10, F823&lt;&gt;"ASTM A416"), L823, 0), 3)</f>
        <v/>
      </c>
      <c r="Q823" s="20">
        <f>ROUND(Q822 + IF(AND(E823=12, F823&lt;&gt;"ASTM A416"), L823, 0), 3)</f>
        <v/>
      </c>
      <c r="R823" s="20">
        <f>ROUND(R822 + IF(AND(E823=14, F823&lt;&gt;"ASTM A416"), L823, 0), 3)</f>
        <v/>
      </c>
      <c r="S823" s="20">
        <f>ROUND(S822 + IF(AND(E823=16, F823&lt;&gt;"ASTM A416"), L823, 0), 3)</f>
        <v/>
      </c>
      <c r="T823" s="20">
        <f>ROUND(T822 + IF(AND(E823=18, F823&lt;&gt;"ASTM A416"), L823, 0), 3)</f>
        <v/>
      </c>
      <c r="U823" s="20">
        <f>ROUND(U822 + IF(AND(E823=20, F823&lt;&gt;"ASTM A416"), L823, 0), 3)</f>
        <v/>
      </c>
      <c r="V823" s="20">
        <f>ROUND(V822 + IF(AND(E823=22, F823&lt;&gt;"ASTM A416"), L823, 0), 3)</f>
        <v/>
      </c>
      <c r="W823" s="20">
        <f>ROUND(W822 + IF(AND(E823=25, F823&lt;&gt;"ASTM A416"), L823, 0), 3)</f>
        <v/>
      </c>
      <c r="X823" s="20">
        <f>ROUND(X822 + IF(AND(E823=28, F823&lt;&gt;"ASTM A416"), L823, 0), 3)</f>
        <v/>
      </c>
      <c r="Y823" s="20">
        <f>ROUND(Y822 + IF(AND(E823=32, F823&lt;&gt;"ASTM A416"), L823, 0), 3)</f>
        <v/>
      </c>
      <c r="Z823" s="20">
        <f>ROUND(Z822 + IF(F823="ASTM A416", L823, 0), 3)</f>
        <v/>
      </c>
      <c r="AA823" s="11">
        <f>IF(INT(P823/20)&gt;INT(P822/20), "Lần " &amp; INT(P823/20), "")</f>
        <v/>
      </c>
      <c r="AB823" s="11">
        <f>IF(INT(Q823/20)&gt;INT(Q822/20), "Lần " &amp; INT(Q823/20), "")</f>
        <v/>
      </c>
      <c r="AC823" s="11">
        <f>IF(INT(R823/20)&gt;INT(R822/20), "Lần " &amp; INT(R823/20), "")</f>
        <v/>
      </c>
      <c r="AD823" s="11">
        <f>IF(INT(S823/20)&gt;INT(S822/20), "Lần " &amp; INT(S823/20), "")</f>
        <v/>
      </c>
      <c r="AE823" s="11">
        <f>IF(INT(T823/20)&gt;INT(T822/20), "Lần " &amp; INT(T823/20), "")</f>
        <v/>
      </c>
      <c r="AF823" s="11">
        <f>IF(INT(U823/20)&gt;INT(U822/20), "Lần " &amp; INT(U823/20), "")</f>
        <v/>
      </c>
      <c r="AG823" s="11">
        <f>IF(INT(V823/20)&gt;INT(V822/20), "Lần " &amp; INT(V823/20), "")</f>
        <v/>
      </c>
      <c r="AH823" s="11">
        <f>IF(INT(W823/20)&gt;INT(W822/20), "Lần " &amp; INT(W823/20), "")</f>
        <v/>
      </c>
      <c r="AI823" s="11">
        <f>IF(INT(X823/20)&gt;INT(X822/20), "Lần " &amp; INT(X823/20), "")</f>
        <v/>
      </c>
      <c r="AJ823" s="11">
        <f>IF(INT(Y823/20)&gt;INT(Y822/20), "Lần " &amp; INT(Y823/20), "")</f>
        <v/>
      </c>
      <c r="AK823" s="11">
        <f>IF(INT(Z823/20)&gt;INT(Z822/20), "Lần " &amp; INT(Z823/20), "")</f>
        <v/>
      </c>
      <c r="AL823" s="6" t="inlineStr">
        <is>
          <t>ĐẠT TCVN 1651:2018</t>
        </is>
      </c>
    </row>
    <row r="824" ht="19" customHeight="1">
      <c r="A824" s="6" t="n">
        <v>791</v>
      </c>
      <c r="B824" s="7" t="inlineStr">
        <is>
          <t>Gờ lan can BTCT</t>
        </is>
      </c>
      <c r="C824" s="7" t="inlineStr">
        <is>
          <t>Gờ lan can 2 bên cầu</t>
        </is>
      </c>
      <c r="D824" s="18" t="inlineStr">
        <is>
          <t>G7A</t>
        </is>
      </c>
      <c r="E824" s="19" t="n">
        <v>20</v>
      </c>
      <c r="F824" s="6" t="inlineStr">
        <is>
          <t>CB400-V</t>
        </is>
      </c>
      <c r="G824" s="7" t="inlineStr">
        <is>
          <t>S05</t>
        </is>
      </c>
      <c r="H824" s="20" t="n">
        <v>1.182</v>
      </c>
      <c r="I824" s="21" t="n">
        <v>28</v>
      </c>
      <c r="J824" s="22" t="n">
        <v>2.47</v>
      </c>
      <c r="K824" s="9">
        <f>ROUND(H824*I824*J824, 2)</f>
        <v/>
      </c>
      <c r="L824" s="23">
        <f>ROUND(K824/1000, 3)</f>
        <v/>
      </c>
      <c r="M824" s="8" t="n"/>
      <c r="N824" s="6" t="n"/>
      <c r="O824" s="24">
        <f>IF(AND(E824&lt;=10, F824&lt;&gt;"ASTM A416", INT(P824/20)&gt;INT(P823/20)), "TN Ø10 (Lần " &amp; INT(P824/20) &amp; ")", IF(AND(E824=12, INT(Q824/20)&gt;INT(Q823/20)), "TN Ø12 (Lần " &amp; INT(Q824/20) &amp; ")", IF(AND(E824=14, INT(R824/20)&gt;INT(R823/20)), "TN Ø14 (Lần " &amp; INT(R824/20) &amp; ")", IF(AND(E824=16, INT(S824/20)&gt;INT(S823/20)), "TN Ø16 (Lần " &amp; INT(S824/20) &amp; ")", IF(AND(E824=18, INT(T824/20)&gt;INT(T823/20)), "TN Ø18 (Lần " &amp; INT(T824/20) &amp; ")", IF(AND(E824=20, INT(U824/20)&gt;INT(U823/20)), "TN Ø20 (Lần " &amp; INT(U824/20) &amp; ")", IF(AND(E824=22, INT(V824/20)&gt;INT(V823/20)), "TN Ø22 (Lần " &amp; INT(V824/20) &amp; ")", IF(AND(E824=25, INT(W824/20)&gt;INT(W823/20)), "TN Ø25 (Lần " &amp; INT(W824/20) &amp; ")", IF(AND(E824=28, INT(X824/20)&gt;INT(X823/20)), "TN Ø28 (Lần " &amp; INT(X824/20) &amp; ")", IF(AND(E824=32, INT(Y824/20)&gt;INT(Y823/20)), "TN Ø32 (Lần " &amp; INT(Y824/20) &amp; ")", IF(AND(F824="ASTM A416", INT(Z824/20)&gt;INT(Z823/20)), "TN Cáp 15.2 (Lần " &amp; INT(Z824/20) &amp; ")", "")))))))))))</f>
        <v/>
      </c>
      <c r="P824" s="20">
        <f>ROUND(P823 + IF(AND(E824&lt;=10, F824&lt;&gt;"ASTM A416"), L824, 0), 3)</f>
        <v/>
      </c>
      <c r="Q824" s="20">
        <f>ROUND(Q823 + IF(AND(E824=12, F824&lt;&gt;"ASTM A416"), L824, 0), 3)</f>
        <v/>
      </c>
      <c r="R824" s="20">
        <f>ROUND(R823 + IF(AND(E824=14, F824&lt;&gt;"ASTM A416"), L824, 0), 3)</f>
        <v/>
      </c>
      <c r="S824" s="20">
        <f>ROUND(S823 + IF(AND(E824=16, F824&lt;&gt;"ASTM A416"), L824, 0), 3)</f>
        <v/>
      </c>
      <c r="T824" s="20">
        <f>ROUND(T823 + IF(AND(E824=18, F824&lt;&gt;"ASTM A416"), L824, 0), 3)</f>
        <v/>
      </c>
      <c r="U824" s="20">
        <f>ROUND(U823 + IF(AND(E824=20, F824&lt;&gt;"ASTM A416"), L824, 0), 3)</f>
        <v/>
      </c>
      <c r="V824" s="20">
        <f>ROUND(V823 + IF(AND(E824=22, F824&lt;&gt;"ASTM A416"), L824, 0), 3)</f>
        <v/>
      </c>
      <c r="W824" s="20">
        <f>ROUND(W823 + IF(AND(E824=25, F824&lt;&gt;"ASTM A416"), L824, 0), 3)</f>
        <v/>
      </c>
      <c r="X824" s="20">
        <f>ROUND(X823 + IF(AND(E824=28, F824&lt;&gt;"ASTM A416"), L824, 0), 3)</f>
        <v/>
      </c>
      <c r="Y824" s="20">
        <f>ROUND(Y823 + IF(AND(E824=32, F824&lt;&gt;"ASTM A416"), L824, 0), 3)</f>
        <v/>
      </c>
      <c r="Z824" s="20">
        <f>ROUND(Z823 + IF(F824="ASTM A416", L824, 0), 3)</f>
        <v/>
      </c>
      <c r="AA824" s="11">
        <f>IF(INT(P824/20)&gt;INT(P823/20), "Lần " &amp; INT(P824/20), "")</f>
        <v/>
      </c>
      <c r="AB824" s="11">
        <f>IF(INT(Q824/20)&gt;INT(Q823/20), "Lần " &amp; INT(Q824/20), "")</f>
        <v/>
      </c>
      <c r="AC824" s="11">
        <f>IF(INT(R824/20)&gt;INT(R823/20), "Lần " &amp; INT(R824/20), "")</f>
        <v/>
      </c>
      <c r="AD824" s="11">
        <f>IF(INT(S824/20)&gt;INT(S823/20), "Lần " &amp; INT(S824/20), "")</f>
        <v/>
      </c>
      <c r="AE824" s="11">
        <f>IF(INT(T824/20)&gt;INT(T823/20), "Lần " &amp; INT(T824/20), "")</f>
        <v/>
      </c>
      <c r="AF824" s="11">
        <f>IF(INT(U824/20)&gt;INT(U823/20), "Lần " &amp; INT(U824/20), "")</f>
        <v/>
      </c>
      <c r="AG824" s="11">
        <f>IF(INT(V824/20)&gt;INT(V823/20), "Lần " &amp; INT(V824/20), "")</f>
        <v/>
      </c>
      <c r="AH824" s="11">
        <f>IF(INT(W824/20)&gt;INT(W823/20), "Lần " &amp; INT(W824/20), "")</f>
        <v/>
      </c>
      <c r="AI824" s="11">
        <f>IF(INT(X824/20)&gt;INT(X823/20), "Lần " &amp; INT(X824/20), "")</f>
        <v/>
      </c>
      <c r="AJ824" s="11">
        <f>IF(INT(Y824/20)&gt;INT(Y823/20), "Lần " &amp; INT(Y824/20), "")</f>
        <v/>
      </c>
      <c r="AK824" s="11">
        <f>IF(INT(Z824/20)&gt;INT(Z823/20), "Lần " &amp; INT(Z824/20), "")</f>
        <v/>
      </c>
      <c r="AL824" s="6" t="inlineStr">
        <is>
          <t>ĐẠT TCVN 1651:2018</t>
        </is>
      </c>
    </row>
    <row r="825" ht="19" customHeight="1">
      <c r="A825" s="6" t="n">
        <v>792</v>
      </c>
      <c r="B825" s="7" t="inlineStr">
        <is>
          <t>Gờ lan can BTCT</t>
        </is>
      </c>
      <c r="C825" s="7" t="inlineStr">
        <is>
          <t>Gờ lan can 2 bên cầu</t>
        </is>
      </c>
      <c r="D825" s="18" t="inlineStr">
        <is>
          <t>G8A</t>
        </is>
      </c>
      <c r="E825" s="19" t="n">
        <v>12</v>
      </c>
      <c r="F825" s="6" t="inlineStr">
        <is>
          <t>CB400-V</t>
        </is>
      </c>
      <c r="G825" s="7" t="inlineStr">
        <is>
          <t>S06</t>
        </is>
      </c>
      <c r="H825" s="20" t="n">
        <v>0.26</v>
      </c>
      <c r="I825" s="21" t="n">
        <v>9</v>
      </c>
      <c r="J825" s="22" t="n">
        <v>0.888</v>
      </c>
      <c r="K825" s="9">
        <f>ROUND(H825*I825*J825, 2)</f>
        <v/>
      </c>
      <c r="L825" s="23">
        <f>ROUND(K825/1000, 3)</f>
        <v/>
      </c>
      <c r="M825" s="8" t="n"/>
      <c r="N825" s="6" t="n"/>
      <c r="O825" s="24">
        <f>IF(AND(E825&lt;=10, F825&lt;&gt;"ASTM A416", INT(P825/20)&gt;INT(P824/20)), "TN Ø10 (Lần " &amp; INT(P825/20) &amp; ")", IF(AND(E825=12, INT(Q825/20)&gt;INT(Q824/20)), "TN Ø12 (Lần " &amp; INT(Q825/20) &amp; ")", IF(AND(E825=14, INT(R825/20)&gt;INT(R824/20)), "TN Ø14 (Lần " &amp; INT(R825/20) &amp; ")", IF(AND(E825=16, INT(S825/20)&gt;INT(S824/20)), "TN Ø16 (Lần " &amp; INT(S825/20) &amp; ")", IF(AND(E825=18, INT(T825/20)&gt;INT(T824/20)), "TN Ø18 (Lần " &amp; INT(T825/20) &amp; ")", IF(AND(E825=20, INT(U825/20)&gt;INT(U824/20)), "TN Ø20 (Lần " &amp; INT(U825/20) &amp; ")", IF(AND(E825=22, INT(V825/20)&gt;INT(V824/20)), "TN Ø22 (Lần " &amp; INT(V825/20) &amp; ")", IF(AND(E825=25, INT(W825/20)&gt;INT(W824/20)), "TN Ø25 (Lần " &amp; INT(W825/20) &amp; ")", IF(AND(E825=28, INT(X825/20)&gt;INT(X824/20)), "TN Ø28 (Lần " &amp; INT(X825/20) &amp; ")", IF(AND(E825=32, INT(Y825/20)&gt;INT(Y824/20)), "TN Ø32 (Lần " &amp; INT(Y825/20) &amp; ")", IF(AND(F825="ASTM A416", INT(Z825/20)&gt;INT(Z824/20)), "TN Cáp 15.2 (Lần " &amp; INT(Z825/20) &amp; ")", "")))))))))))</f>
        <v/>
      </c>
      <c r="P825" s="20">
        <f>ROUND(P824 + IF(AND(E825&lt;=10, F825&lt;&gt;"ASTM A416"), L825, 0), 3)</f>
        <v/>
      </c>
      <c r="Q825" s="20">
        <f>ROUND(Q824 + IF(AND(E825=12, F825&lt;&gt;"ASTM A416"), L825, 0), 3)</f>
        <v/>
      </c>
      <c r="R825" s="20">
        <f>ROUND(R824 + IF(AND(E825=14, F825&lt;&gt;"ASTM A416"), L825, 0), 3)</f>
        <v/>
      </c>
      <c r="S825" s="20">
        <f>ROUND(S824 + IF(AND(E825=16, F825&lt;&gt;"ASTM A416"), L825, 0), 3)</f>
        <v/>
      </c>
      <c r="T825" s="20">
        <f>ROUND(T824 + IF(AND(E825=18, F825&lt;&gt;"ASTM A416"), L825, 0), 3)</f>
        <v/>
      </c>
      <c r="U825" s="20">
        <f>ROUND(U824 + IF(AND(E825=20, F825&lt;&gt;"ASTM A416"), L825, 0), 3)</f>
        <v/>
      </c>
      <c r="V825" s="20">
        <f>ROUND(V824 + IF(AND(E825=22, F825&lt;&gt;"ASTM A416"), L825, 0), 3)</f>
        <v/>
      </c>
      <c r="W825" s="20">
        <f>ROUND(W824 + IF(AND(E825=25, F825&lt;&gt;"ASTM A416"), L825, 0), 3)</f>
        <v/>
      </c>
      <c r="X825" s="20">
        <f>ROUND(X824 + IF(AND(E825=28, F825&lt;&gt;"ASTM A416"), L825, 0), 3)</f>
        <v/>
      </c>
      <c r="Y825" s="20">
        <f>ROUND(Y824 + IF(AND(E825=32, F825&lt;&gt;"ASTM A416"), L825, 0), 3)</f>
        <v/>
      </c>
      <c r="Z825" s="20">
        <f>ROUND(Z824 + IF(F825="ASTM A416", L825, 0), 3)</f>
        <v/>
      </c>
      <c r="AA825" s="11">
        <f>IF(INT(P825/20)&gt;INT(P824/20), "Lần " &amp; INT(P825/20), "")</f>
        <v/>
      </c>
      <c r="AB825" s="11">
        <f>IF(INT(Q825/20)&gt;INT(Q824/20), "Lần " &amp; INT(Q825/20), "")</f>
        <v/>
      </c>
      <c r="AC825" s="11">
        <f>IF(INT(R825/20)&gt;INT(R824/20), "Lần " &amp; INT(R825/20), "")</f>
        <v/>
      </c>
      <c r="AD825" s="11">
        <f>IF(INT(S825/20)&gt;INT(S824/20), "Lần " &amp; INT(S825/20), "")</f>
        <v/>
      </c>
      <c r="AE825" s="11">
        <f>IF(INT(T825/20)&gt;INT(T824/20), "Lần " &amp; INT(T825/20), "")</f>
        <v/>
      </c>
      <c r="AF825" s="11">
        <f>IF(INT(U825/20)&gt;INT(U824/20), "Lần " &amp; INT(U825/20), "")</f>
        <v/>
      </c>
      <c r="AG825" s="11">
        <f>IF(INT(V825/20)&gt;INT(V824/20), "Lần " &amp; INT(V825/20), "")</f>
        <v/>
      </c>
      <c r="AH825" s="11">
        <f>IF(INT(W825/20)&gt;INT(W824/20), "Lần " &amp; INT(W825/20), "")</f>
        <v/>
      </c>
      <c r="AI825" s="11">
        <f>IF(INT(X825/20)&gt;INT(X824/20), "Lần " &amp; INT(X825/20), "")</f>
        <v/>
      </c>
      <c r="AJ825" s="11">
        <f>IF(INT(Y825/20)&gt;INT(Y824/20), "Lần " &amp; INT(Y825/20), "")</f>
        <v/>
      </c>
      <c r="AK825" s="11">
        <f>IF(INT(Z825/20)&gt;INT(Z824/20), "Lần " &amp; INT(Z825/20), "")</f>
        <v/>
      </c>
      <c r="AL825" s="6" t="inlineStr">
        <is>
          <t>ĐẠT TCVN 1651:2018</t>
        </is>
      </c>
    </row>
    <row r="826" ht="19" customHeight="1">
      <c r="A826" s="6" t="n">
        <v>793</v>
      </c>
      <c r="B826" s="7" t="inlineStr">
        <is>
          <t>Gờ lan can BTCT</t>
        </is>
      </c>
      <c r="C826" s="7" t="inlineStr">
        <is>
          <t>Gờ lan can 2 bên cầu</t>
        </is>
      </c>
      <c r="D826" s="18" t="inlineStr">
        <is>
          <t>G8B</t>
        </is>
      </c>
      <c r="E826" s="19" t="n">
        <v>12</v>
      </c>
      <c r="F826" s="6" t="inlineStr">
        <is>
          <t>CB400-V</t>
        </is>
      </c>
      <c r="G826" s="7" t="inlineStr">
        <is>
          <t>S06</t>
        </is>
      </c>
      <c r="H826" s="20" t="n">
        <v>0.306</v>
      </c>
      <c r="I826" s="21" t="n">
        <v>9</v>
      </c>
      <c r="J826" s="22" t="n">
        <v>0.888</v>
      </c>
      <c r="K826" s="9">
        <f>ROUND(H826*I826*J826, 2)</f>
        <v/>
      </c>
      <c r="L826" s="23">
        <f>ROUND(K826/1000, 3)</f>
        <v/>
      </c>
      <c r="M826" s="8" t="n"/>
      <c r="N826" s="6" t="n"/>
      <c r="O826" s="24">
        <f>IF(AND(E826&lt;=10, F826&lt;&gt;"ASTM A416", INT(P826/20)&gt;INT(P825/20)), "TN Ø10 (Lần " &amp; INT(P826/20) &amp; ")", IF(AND(E826=12, INT(Q826/20)&gt;INT(Q825/20)), "TN Ø12 (Lần " &amp; INT(Q826/20) &amp; ")", IF(AND(E826=14, INT(R826/20)&gt;INT(R825/20)), "TN Ø14 (Lần " &amp; INT(R826/20) &amp; ")", IF(AND(E826=16, INT(S826/20)&gt;INT(S825/20)), "TN Ø16 (Lần " &amp; INT(S826/20) &amp; ")", IF(AND(E826=18, INT(T826/20)&gt;INT(T825/20)), "TN Ø18 (Lần " &amp; INT(T826/20) &amp; ")", IF(AND(E826=20, INT(U826/20)&gt;INT(U825/20)), "TN Ø20 (Lần " &amp; INT(U826/20) &amp; ")", IF(AND(E826=22, INT(V826/20)&gt;INT(V825/20)), "TN Ø22 (Lần " &amp; INT(V826/20) &amp; ")", IF(AND(E826=25, INT(W826/20)&gt;INT(W825/20)), "TN Ø25 (Lần " &amp; INT(W826/20) &amp; ")", IF(AND(E826=28, INT(X826/20)&gt;INT(X825/20)), "TN Ø28 (Lần " &amp; INT(X826/20) &amp; ")", IF(AND(E826=32, INT(Y826/20)&gt;INT(Y825/20)), "TN Ø32 (Lần " &amp; INT(Y826/20) &amp; ")", IF(AND(F826="ASTM A416", INT(Z826/20)&gt;INT(Z825/20)), "TN Cáp 15.2 (Lần " &amp; INT(Z826/20) &amp; ")", "")))))))))))</f>
        <v/>
      </c>
      <c r="P826" s="20">
        <f>ROUND(P825 + IF(AND(E826&lt;=10, F826&lt;&gt;"ASTM A416"), L826, 0), 3)</f>
        <v/>
      </c>
      <c r="Q826" s="20">
        <f>ROUND(Q825 + IF(AND(E826=12, F826&lt;&gt;"ASTM A416"), L826, 0), 3)</f>
        <v/>
      </c>
      <c r="R826" s="20">
        <f>ROUND(R825 + IF(AND(E826=14, F826&lt;&gt;"ASTM A416"), L826, 0), 3)</f>
        <v/>
      </c>
      <c r="S826" s="20">
        <f>ROUND(S825 + IF(AND(E826=16, F826&lt;&gt;"ASTM A416"), L826, 0), 3)</f>
        <v/>
      </c>
      <c r="T826" s="20">
        <f>ROUND(T825 + IF(AND(E826=18, F826&lt;&gt;"ASTM A416"), L826, 0), 3)</f>
        <v/>
      </c>
      <c r="U826" s="20">
        <f>ROUND(U825 + IF(AND(E826=20, F826&lt;&gt;"ASTM A416"), L826, 0), 3)</f>
        <v/>
      </c>
      <c r="V826" s="20">
        <f>ROUND(V825 + IF(AND(E826=22, F826&lt;&gt;"ASTM A416"), L826, 0), 3)</f>
        <v/>
      </c>
      <c r="W826" s="20">
        <f>ROUND(W825 + IF(AND(E826=25, F826&lt;&gt;"ASTM A416"), L826, 0), 3)</f>
        <v/>
      </c>
      <c r="X826" s="20">
        <f>ROUND(X825 + IF(AND(E826=28, F826&lt;&gt;"ASTM A416"), L826, 0), 3)</f>
        <v/>
      </c>
      <c r="Y826" s="20">
        <f>ROUND(Y825 + IF(AND(E826=32, F826&lt;&gt;"ASTM A416"), L826, 0), 3)</f>
        <v/>
      </c>
      <c r="Z826" s="20">
        <f>ROUND(Z825 + IF(F826="ASTM A416", L826, 0), 3)</f>
        <v/>
      </c>
      <c r="AA826" s="11">
        <f>IF(INT(P826/20)&gt;INT(P825/20), "Lần " &amp; INT(P826/20), "")</f>
        <v/>
      </c>
      <c r="AB826" s="11">
        <f>IF(INT(Q826/20)&gt;INT(Q825/20), "Lần " &amp; INT(Q826/20), "")</f>
        <v/>
      </c>
      <c r="AC826" s="11">
        <f>IF(INT(R826/20)&gt;INT(R825/20), "Lần " &amp; INT(R826/20), "")</f>
        <v/>
      </c>
      <c r="AD826" s="11">
        <f>IF(INT(S826/20)&gt;INT(S825/20), "Lần " &amp; INT(S826/20), "")</f>
        <v/>
      </c>
      <c r="AE826" s="11">
        <f>IF(INT(T826/20)&gt;INT(T825/20), "Lần " &amp; INT(T826/20), "")</f>
        <v/>
      </c>
      <c r="AF826" s="11">
        <f>IF(INT(U826/20)&gt;INT(U825/20), "Lần " &amp; INT(U826/20), "")</f>
        <v/>
      </c>
      <c r="AG826" s="11">
        <f>IF(INT(V826/20)&gt;INT(V825/20), "Lần " &amp; INT(V826/20), "")</f>
        <v/>
      </c>
      <c r="AH826" s="11">
        <f>IF(INT(W826/20)&gt;INT(W825/20), "Lần " &amp; INT(W826/20), "")</f>
        <v/>
      </c>
      <c r="AI826" s="11">
        <f>IF(INT(X826/20)&gt;INT(X825/20), "Lần " &amp; INT(X826/20), "")</f>
        <v/>
      </c>
      <c r="AJ826" s="11">
        <f>IF(INT(Y826/20)&gt;INT(Y825/20), "Lần " &amp; INT(Y826/20), "")</f>
        <v/>
      </c>
      <c r="AK826" s="11">
        <f>IF(INT(Z826/20)&gt;INT(Z825/20), "Lần " &amp; INT(Z826/20), "")</f>
        <v/>
      </c>
      <c r="AL826" s="6" t="inlineStr">
        <is>
          <t>ĐẠT TCVN 1651:2018</t>
        </is>
      </c>
    </row>
    <row r="827" ht="19" customHeight="1">
      <c r="A827" s="6" t="n">
        <v>794</v>
      </c>
      <c r="B827" s="7" t="inlineStr">
        <is>
          <t>Gờ lan can BTCT</t>
        </is>
      </c>
      <c r="C827" s="7" t="inlineStr">
        <is>
          <t>Gờ lan can 2 bên cầu</t>
        </is>
      </c>
      <c r="D827" s="18" t="inlineStr">
        <is>
          <t>G8C</t>
        </is>
      </c>
      <c r="E827" s="19" t="n">
        <v>12</v>
      </c>
      <c r="F827" s="6" t="inlineStr">
        <is>
          <t>CB400-V</t>
        </is>
      </c>
      <c r="G827" s="7" t="inlineStr">
        <is>
          <t>S06</t>
        </is>
      </c>
      <c r="H827" s="20" t="n">
        <v>0.417</v>
      </c>
      <c r="I827" s="21" t="n">
        <v>9</v>
      </c>
      <c r="J827" s="22" t="n">
        <v>0.888</v>
      </c>
      <c r="K827" s="9">
        <f>ROUND(H827*I827*J827, 2)</f>
        <v/>
      </c>
      <c r="L827" s="23">
        <f>ROUND(K827/1000, 3)</f>
        <v/>
      </c>
      <c r="M827" s="8" t="n"/>
      <c r="N827" s="6" t="n"/>
      <c r="O827" s="24">
        <f>IF(AND(E827&lt;=10, F827&lt;&gt;"ASTM A416", INT(P827/20)&gt;INT(P826/20)), "TN Ø10 (Lần " &amp; INT(P827/20) &amp; ")", IF(AND(E827=12, INT(Q827/20)&gt;INT(Q826/20)), "TN Ø12 (Lần " &amp; INT(Q827/20) &amp; ")", IF(AND(E827=14, INT(R827/20)&gt;INT(R826/20)), "TN Ø14 (Lần " &amp; INT(R827/20) &amp; ")", IF(AND(E827=16, INT(S827/20)&gt;INT(S826/20)), "TN Ø16 (Lần " &amp; INT(S827/20) &amp; ")", IF(AND(E827=18, INT(T827/20)&gt;INT(T826/20)), "TN Ø18 (Lần " &amp; INT(T827/20) &amp; ")", IF(AND(E827=20, INT(U827/20)&gt;INT(U826/20)), "TN Ø20 (Lần " &amp; INT(U827/20) &amp; ")", IF(AND(E827=22, INT(V827/20)&gt;INT(V826/20)), "TN Ø22 (Lần " &amp; INT(V827/20) &amp; ")", IF(AND(E827=25, INT(W827/20)&gt;INT(W826/20)), "TN Ø25 (Lần " &amp; INT(W827/20) &amp; ")", IF(AND(E827=28, INT(X827/20)&gt;INT(X826/20)), "TN Ø28 (Lần " &amp; INT(X827/20) &amp; ")", IF(AND(E827=32, INT(Y827/20)&gt;INT(Y826/20)), "TN Ø32 (Lần " &amp; INT(Y827/20) &amp; ")", IF(AND(F827="ASTM A416", INT(Z827/20)&gt;INT(Z826/20)), "TN Cáp 15.2 (Lần " &amp; INT(Z827/20) &amp; ")", "")))))))))))</f>
        <v/>
      </c>
      <c r="P827" s="20">
        <f>ROUND(P826 + IF(AND(E827&lt;=10, F827&lt;&gt;"ASTM A416"), L827, 0), 3)</f>
        <v/>
      </c>
      <c r="Q827" s="20">
        <f>ROUND(Q826 + IF(AND(E827=12, F827&lt;&gt;"ASTM A416"), L827, 0), 3)</f>
        <v/>
      </c>
      <c r="R827" s="20">
        <f>ROUND(R826 + IF(AND(E827=14, F827&lt;&gt;"ASTM A416"), L827, 0), 3)</f>
        <v/>
      </c>
      <c r="S827" s="20">
        <f>ROUND(S826 + IF(AND(E827=16, F827&lt;&gt;"ASTM A416"), L827, 0), 3)</f>
        <v/>
      </c>
      <c r="T827" s="20">
        <f>ROUND(T826 + IF(AND(E827=18, F827&lt;&gt;"ASTM A416"), L827, 0), 3)</f>
        <v/>
      </c>
      <c r="U827" s="20">
        <f>ROUND(U826 + IF(AND(E827=20, F827&lt;&gt;"ASTM A416"), L827, 0), 3)</f>
        <v/>
      </c>
      <c r="V827" s="20">
        <f>ROUND(V826 + IF(AND(E827=22, F827&lt;&gt;"ASTM A416"), L827, 0), 3)</f>
        <v/>
      </c>
      <c r="W827" s="20">
        <f>ROUND(W826 + IF(AND(E827=25, F827&lt;&gt;"ASTM A416"), L827, 0), 3)</f>
        <v/>
      </c>
      <c r="X827" s="20">
        <f>ROUND(X826 + IF(AND(E827=28, F827&lt;&gt;"ASTM A416"), L827, 0), 3)</f>
        <v/>
      </c>
      <c r="Y827" s="20">
        <f>ROUND(Y826 + IF(AND(E827=32, F827&lt;&gt;"ASTM A416"), L827, 0), 3)</f>
        <v/>
      </c>
      <c r="Z827" s="20">
        <f>ROUND(Z826 + IF(F827="ASTM A416", L827, 0), 3)</f>
        <v/>
      </c>
      <c r="AA827" s="11">
        <f>IF(INT(P827/20)&gt;INT(P826/20), "Lần " &amp; INT(P827/20), "")</f>
        <v/>
      </c>
      <c r="AB827" s="11">
        <f>IF(INT(Q827/20)&gt;INT(Q826/20), "Lần " &amp; INT(Q827/20), "")</f>
        <v/>
      </c>
      <c r="AC827" s="11">
        <f>IF(INT(R827/20)&gt;INT(R826/20), "Lần " &amp; INT(R827/20), "")</f>
        <v/>
      </c>
      <c r="AD827" s="11">
        <f>IF(INT(S827/20)&gt;INT(S826/20), "Lần " &amp; INT(S827/20), "")</f>
        <v/>
      </c>
      <c r="AE827" s="11">
        <f>IF(INT(T827/20)&gt;INT(T826/20), "Lần " &amp; INT(T827/20), "")</f>
        <v/>
      </c>
      <c r="AF827" s="11">
        <f>IF(INT(U827/20)&gt;INT(U826/20), "Lần " &amp; INT(U827/20), "")</f>
        <v/>
      </c>
      <c r="AG827" s="11">
        <f>IF(INT(V827/20)&gt;INT(V826/20), "Lần " &amp; INT(V827/20), "")</f>
        <v/>
      </c>
      <c r="AH827" s="11">
        <f>IF(INT(W827/20)&gt;INT(W826/20), "Lần " &amp; INT(W827/20), "")</f>
        <v/>
      </c>
      <c r="AI827" s="11">
        <f>IF(INT(X827/20)&gt;INT(X826/20), "Lần " &amp; INT(X827/20), "")</f>
        <v/>
      </c>
      <c r="AJ827" s="11">
        <f>IF(INT(Y827/20)&gt;INT(Y826/20), "Lần " &amp; INT(Y827/20), "")</f>
        <v/>
      </c>
      <c r="AK827" s="11">
        <f>IF(INT(Z827/20)&gt;INT(Z826/20), "Lần " &amp; INT(Z827/20), "")</f>
        <v/>
      </c>
      <c r="AL827" s="6" t="inlineStr">
        <is>
          <t>ĐẠT TCVN 1651:2018</t>
        </is>
      </c>
    </row>
    <row r="828" ht="20" customHeight="1">
      <c r="A828" s="17" t="inlineStr">
        <is>
          <t>--- CÁP DỰ ỨNG LỰC 15.2MM DẦM SUPER-T L=38.2M (15 PHIẾN DẦM) ---</t>
        </is>
      </c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  <c r="AD828" s="5" t="n"/>
      <c r="AE828" s="5" t="n"/>
      <c r="AF828" s="5" t="n"/>
      <c r="AG828" s="5" t="n"/>
      <c r="AH828" s="5" t="n"/>
      <c r="AI828" s="5" t="n"/>
      <c r="AJ828" s="5" t="n"/>
      <c r="AK828" s="5" t="n"/>
      <c r="AL828" s="5" t="n"/>
    </row>
    <row r="829" ht="19" customHeight="1">
      <c r="A829" s="6" t="n">
        <v>795</v>
      </c>
      <c r="B829" s="7" t="inlineStr">
        <is>
          <t>Dầm chủ Super-T (15 phiến)</t>
        </is>
      </c>
      <c r="C829" s="7" t="inlineStr">
        <is>
          <t>Bó cáp DƯL ngoài (Bó 43, 44)</t>
        </is>
      </c>
      <c r="D829" s="18" t="inlineStr">
        <is>
          <t>Cáp-01</t>
        </is>
      </c>
      <c r="E829" s="25" t="n">
        <v>15.2</v>
      </c>
      <c r="F829" s="6" t="inlineStr">
        <is>
          <t>ASTM A416</t>
        </is>
      </c>
      <c r="G829" s="7" t="inlineStr">
        <is>
          <t>Bó 7 sợi xoắn Gr270</t>
        </is>
      </c>
      <c r="H829" s="20" t="n">
        <v>38.2</v>
      </c>
      <c r="I829" s="21" t="n">
        <v>30</v>
      </c>
      <c r="J829" s="22" t="n">
        <v>1.102</v>
      </c>
      <c r="K829" s="9">
        <f>ROUND(H829*I829*J829, 2)</f>
        <v/>
      </c>
      <c r="L829" s="23">
        <f>ROUND(K829/1000, 3)</f>
        <v/>
      </c>
      <c r="M829" s="8" t="n"/>
      <c r="N829" s="6" t="n"/>
      <c r="O829" s="24">
        <f>IF(AND(E829&lt;=10, F829&lt;&gt;"ASTM A416", INT(P829/20)&gt;INT(P827/20)), "TN Ø10 (Lần " &amp; INT(P829/20) &amp; ")", IF(AND(E829=12, INT(Q829/20)&gt;INT(Q827/20)), "TN Ø12 (Lần " &amp; INT(Q829/20) &amp; ")", IF(AND(E829=14, INT(R829/20)&gt;INT(R827/20)), "TN Ø14 (Lần " &amp; INT(R829/20) &amp; ")", IF(AND(E829=16, INT(S829/20)&gt;INT(S827/20)), "TN Ø16 (Lần " &amp; INT(S829/20) &amp; ")", IF(AND(E829=18, INT(T829/20)&gt;INT(T827/20)), "TN Ø18 (Lần " &amp; INT(T829/20) &amp; ")", IF(AND(E829=20, INT(U829/20)&gt;INT(U827/20)), "TN Ø20 (Lần " &amp; INT(U829/20) &amp; ")", IF(AND(E829=22, INT(V829/20)&gt;INT(V827/20)), "TN Ø22 (Lần " &amp; INT(V829/20) &amp; ")", IF(AND(E829=25, INT(W829/20)&gt;INT(W827/20)), "TN Ø25 (Lần " &amp; INT(W829/20) &amp; ")", IF(AND(E829=28, INT(X829/20)&gt;INT(X827/20)), "TN Ø28 (Lần " &amp; INT(X829/20) &amp; ")", IF(AND(E829=32, INT(Y829/20)&gt;INT(Y827/20)), "TN Ø32 (Lần " &amp; INT(Y829/20) &amp; ")", IF(AND(F829="ASTM A416", INT(Z829/20)&gt;INT(Z827/20)), "TN Cáp 15.2 (Lần " &amp; INT(Z829/20) &amp; ")", "")))))))))))</f>
        <v/>
      </c>
      <c r="P829" s="20">
        <f>ROUND(P827 + IF(AND(E829&lt;=10, F829&lt;&gt;"ASTM A416"), L829, 0), 3)</f>
        <v/>
      </c>
      <c r="Q829" s="20">
        <f>ROUND(Q827 + IF(AND(E829=12, F829&lt;&gt;"ASTM A416"), L829, 0), 3)</f>
        <v/>
      </c>
      <c r="R829" s="20">
        <f>ROUND(R827 + IF(AND(E829=14, F829&lt;&gt;"ASTM A416"), L829, 0), 3)</f>
        <v/>
      </c>
      <c r="S829" s="20">
        <f>ROUND(S827 + IF(AND(E829=16, F829&lt;&gt;"ASTM A416"), L829, 0), 3)</f>
        <v/>
      </c>
      <c r="T829" s="20">
        <f>ROUND(T827 + IF(AND(E829=18, F829&lt;&gt;"ASTM A416"), L829, 0), 3)</f>
        <v/>
      </c>
      <c r="U829" s="20">
        <f>ROUND(U827 + IF(AND(E829=20, F829&lt;&gt;"ASTM A416"), L829, 0), 3)</f>
        <v/>
      </c>
      <c r="V829" s="20">
        <f>ROUND(V827 + IF(AND(E829=22, F829&lt;&gt;"ASTM A416"), L829, 0), 3)</f>
        <v/>
      </c>
      <c r="W829" s="20">
        <f>ROUND(W827 + IF(AND(E829=25, F829&lt;&gt;"ASTM A416"), L829, 0), 3)</f>
        <v/>
      </c>
      <c r="X829" s="20">
        <f>ROUND(X827 + IF(AND(E829=28, F829&lt;&gt;"ASTM A416"), L829, 0), 3)</f>
        <v/>
      </c>
      <c r="Y829" s="20">
        <f>ROUND(Y827 + IF(AND(E829=32, F829&lt;&gt;"ASTM A416"), L829, 0), 3)</f>
        <v/>
      </c>
      <c r="Z829" s="20">
        <f>ROUND(Z827 + IF(F829="ASTM A416", L829, 0), 3)</f>
        <v/>
      </c>
      <c r="AA829" s="11">
        <f>IF(INT(P829/20)&gt;INT(P827/20), "Lần " &amp; INT(P829/20), "")</f>
        <v/>
      </c>
      <c r="AB829" s="11">
        <f>IF(INT(Q829/20)&gt;INT(Q827/20), "Lần " &amp; INT(Q829/20), "")</f>
        <v/>
      </c>
      <c r="AC829" s="11">
        <f>IF(INT(R829/20)&gt;INT(R827/20), "Lần " &amp; INT(R829/20), "")</f>
        <v/>
      </c>
      <c r="AD829" s="11">
        <f>IF(INT(S829/20)&gt;INT(S827/20), "Lần " &amp; INT(S829/20), "")</f>
        <v/>
      </c>
      <c r="AE829" s="11">
        <f>IF(INT(T829/20)&gt;INT(T827/20), "Lần " &amp; INT(T829/20), "")</f>
        <v/>
      </c>
      <c r="AF829" s="11">
        <f>IF(INT(U829/20)&gt;INT(U827/20), "Lần " &amp; INT(U829/20), "")</f>
        <v/>
      </c>
      <c r="AG829" s="11">
        <f>IF(INT(V829/20)&gt;INT(V827/20), "Lần " &amp; INT(V829/20), "")</f>
        <v/>
      </c>
      <c r="AH829" s="11">
        <f>IF(INT(W829/20)&gt;INT(W827/20), "Lần " &amp; INT(W829/20), "")</f>
        <v/>
      </c>
      <c r="AI829" s="11">
        <f>IF(INT(X829/20)&gt;INT(X827/20), "Lần " &amp; INT(X829/20), "")</f>
        <v/>
      </c>
      <c r="AJ829" s="11">
        <f>IF(INT(Y829/20)&gt;INT(Y827/20), "Lần " &amp; INT(Y829/20), "")</f>
        <v/>
      </c>
      <c r="AK829" s="11">
        <f>IF(INT(Z829/20)&gt;INT(Z827/20), "Lần " &amp; INT(Z829/20), "")</f>
        <v/>
      </c>
      <c r="AL829" s="6" t="inlineStr">
        <is>
          <t>ĐẠT TCVN 1651:2018</t>
        </is>
      </c>
    </row>
    <row r="830" ht="19" customHeight="1">
      <c r="A830" s="6" t="n">
        <v>796</v>
      </c>
      <c r="B830" s="7" t="inlineStr">
        <is>
          <t>Dầm chủ Super-T (15 phiến)</t>
        </is>
      </c>
      <c r="C830" s="7" t="inlineStr">
        <is>
          <t>Bó cáp DƯL trong (Bó 1..42)</t>
        </is>
      </c>
      <c r="D830" s="18" t="inlineStr">
        <is>
          <t>Cáp-02</t>
        </is>
      </c>
      <c r="E830" s="25" t="n">
        <v>15.2</v>
      </c>
      <c r="F830" s="6" t="inlineStr">
        <is>
          <t>ASTM A416</t>
        </is>
      </c>
      <c r="G830" s="7" t="inlineStr">
        <is>
          <t>Bó 7 sợi xoắn Gr270</t>
        </is>
      </c>
      <c r="H830" s="20" t="n">
        <v>38.2</v>
      </c>
      <c r="I830" s="21" t="n">
        <v>630</v>
      </c>
      <c r="J830" s="22" t="n">
        <v>1.102</v>
      </c>
      <c r="K830" s="9">
        <f>ROUND(H830*I830*J830, 2)</f>
        <v/>
      </c>
      <c r="L830" s="23">
        <f>ROUND(K830/1000, 3)</f>
        <v/>
      </c>
      <c r="M830" s="8" t="n"/>
      <c r="N830" s="6" t="n"/>
      <c r="O830" s="24">
        <f>IF(AND(E830&lt;=10, F830&lt;&gt;"ASTM A416", INT(P830/20)&gt;INT(P829/20)), "TN Ø10 (Lần " &amp; INT(P830/20) &amp; ")", IF(AND(E830=12, INT(Q830/20)&gt;INT(Q829/20)), "TN Ø12 (Lần " &amp; INT(Q830/20) &amp; ")", IF(AND(E830=14, INT(R830/20)&gt;INT(R829/20)), "TN Ø14 (Lần " &amp; INT(R830/20) &amp; ")", IF(AND(E830=16, INT(S830/20)&gt;INT(S829/20)), "TN Ø16 (Lần " &amp; INT(S830/20) &amp; ")", IF(AND(E830=18, INT(T830/20)&gt;INT(T829/20)), "TN Ø18 (Lần " &amp; INT(T830/20) &amp; ")", IF(AND(E830=20, INT(U830/20)&gt;INT(U829/20)), "TN Ø20 (Lần " &amp; INT(U830/20) &amp; ")", IF(AND(E830=22, INT(V830/20)&gt;INT(V829/20)), "TN Ø22 (Lần " &amp; INT(V830/20) &amp; ")", IF(AND(E830=25, INT(W830/20)&gt;INT(W829/20)), "TN Ø25 (Lần " &amp; INT(W830/20) &amp; ")", IF(AND(E830=28, INT(X830/20)&gt;INT(X829/20)), "TN Ø28 (Lần " &amp; INT(X830/20) &amp; ")", IF(AND(E830=32, INT(Y830/20)&gt;INT(Y829/20)), "TN Ø32 (Lần " &amp; INT(Y830/20) &amp; ")", IF(AND(F830="ASTM A416", INT(Z830/20)&gt;INT(Z829/20)), "TN Cáp 15.2 (Lần " &amp; INT(Z830/20) &amp; ")", "")))))))))))</f>
        <v/>
      </c>
      <c r="P830" s="20">
        <f>ROUND(P829 + IF(AND(E830&lt;=10, F830&lt;&gt;"ASTM A416"), L830, 0), 3)</f>
        <v/>
      </c>
      <c r="Q830" s="20">
        <f>ROUND(Q829 + IF(AND(E830=12, F830&lt;&gt;"ASTM A416"), L830, 0), 3)</f>
        <v/>
      </c>
      <c r="R830" s="20">
        <f>ROUND(R829 + IF(AND(E830=14, F830&lt;&gt;"ASTM A416"), L830, 0), 3)</f>
        <v/>
      </c>
      <c r="S830" s="20">
        <f>ROUND(S829 + IF(AND(E830=16, F830&lt;&gt;"ASTM A416"), L830, 0), 3)</f>
        <v/>
      </c>
      <c r="T830" s="20">
        <f>ROUND(T829 + IF(AND(E830=18, F830&lt;&gt;"ASTM A416"), L830, 0), 3)</f>
        <v/>
      </c>
      <c r="U830" s="20">
        <f>ROUND(U829 + IF(AND(E830=20, F830&lt;&gt;"ASTM A416"), L830, 0), 3)</f>
        <v/>
      </c>
      <c r="V830" s="20">
        <f>ROUND(V829 + IF(AND(E830=22, F830&lt;&gt;"ASTM A416"), L830, 0), 3)</f>
        <v/>
      </c>
      <c r="W830" s="20">
        <f>ROUND(W829 + IF(AND(E830=25, F830&lt;&gt;"ASTM A416"), L830, 0), 3)</f>
        <v/>
      </c>
      <c r="X830" s="20">
        <f>ROUND(X829 + IF(AND(E830=28, F830&lt;&gt;"ASTM A416"), L830, 0), 3)</f>
        <v/>
      </c>
      <c r="Y830" s="20">
        <f>ROUND(Y829 + IF(AND(E830=32, F830&lt;&gt;"ASTM A416"), L830, 0), 3)</f>
        <v/>
      </c>
      <c r="Z830" s="20">
        <f>ROUND(Z829 + IF(F830="ASTM A416", L830, 0), 3)</f>
        <v/>
      </c>
      <c r="AA830" s="11">
        <f>IF(INT(P830/20)&gt;INT(P829/20), "Lần " &amp; INT(P830/20), "")</f>
        <v/>
      </c>
      <c r="AB830" s="11">
        <f>IF(INT(Q830/20)&gt;INT(Q829/20), "Lần " &amp; INT(Q830/20), "")</f>
        <v/>
      </c>
      <c r="AC830" s="11">
        <f>IF(INT(R830/20)&gt;INT(R829/20), "Lần " &amp; INT(R830/20), "")</f>
        <v/>
      </c>
      <c r="AD830" s="11">
        <f>IF(INT(S830/20)&gt;INT(S829/20), "Lần " &amp; INT(S830/20), "")</f>
        <v/>
      </c>
      <c r="AE830" s="11">
        <f>IF(INT(T830/20)&gt;INT(T829/20), "Lần " &amp; INT(T830/20), "")</f>
        <v/>
      </c>
      <c r="AF830" s="11">
        <f>IF(INT(U830/20)&gt;INT(U829/20), "Lần " &amp; INT(U830/20), "")</f>
        <v/>
      </c>
      <c r="AG830" s="11">
        <f>IF(INT(V830/20)&gt;INT(V829/20), "Lần " &amp; INT(V830/20), "")</f>
        <v/>
      </c>
      <c r="AH830" s="11">
        <f>IF(INT(W830/20)&gt;INT(W829/20), "Lần " &amp; INT(W830/20), "")</f>
        <v/>
      </c>
      <c r="AI830" s="11">
        <f>IF(INT(X830/20)&gt;INT(X829/20), "Lần " &amp; INT(X830/20), "")</f>
        <v/>
      </c>
      <c r="AJ830" s="11">
        <f>IF(INT(Y830/20)&gt;INT(Y829/20), "Lần " &amp; INT(Y830/20), "")</f>
        <v/>
      </c>
      <c r="AK830" s="11">
        <f>IF(INT(Z830/20)&gt;INT(Z829/20), "Lần " &amp; INT(Z830/20), "")</f>
        <v/>
      </c>
      <c r="AL830" s="6" t="inlineStr">
        <is>
          <t>ĐẠT TCVN 1651:2018</t>
        </is>
      </c>
    </row>
    <row r="831" ht="26" customHeight="1">
      <c r="A831" s="13" t="inlineStr">
        <is>
          <t>TỔNG CỘNG KHỐI LƯỢNG CỐT THÉP &amp; CÁP DƯL TOÀN BỘ CÔNG TRÌNH</t>
        </is>
      </c>
      <c r="B831" s="14" t="n"/>
      <c r="C831" s="14" t="n"/>
      <c r="D831" s="14" t="n"/>
      <c r="E831" s="14" t="n"/>
      <c r="F831" s="14" t="n"/>
      <c r="G831" s="14" t="n"/>
      <c r="H831" s="14" t="n"/>
      <c r="I831" s="14" t="n"/>
      <c r="J831" s="14" t="n"/>
      <c r="K831" s="15">
        <f>SUM(K4:K830)</f>
        <v/>
      </c>
      <c r="L831" s="26">
        <f>SUM(L4:L830)</f>
        <v/>
      </c>
      <c r="M831" s="27" t="inlineStr"/>
      <c r="N831" s="27" t="inlineStr"/>
      <c r="O831" s="27" t="inlineStr"/>
      <c r="P831" s="26">
        <f>P830</f>
        <v/>
      </c>
      <c r="Q831" s="26">
        <f>Q830</f>
        <v/>
      </c>
      <c r="R831" s="26">
        <f>R830</f>
        <v/>
      </c>
      <c r="S831" s="26">
        <f>S830</f>
        <v/>
      </c>
      <c r="T831" s="26">
        <f>T830</f>
        <v/>
      </c>
      <c r="U831" s="26">
        <f>U830</f>
        <v/>
      </c>
      <c r="V831" s="26">
        <f>V830</f>
        <v/>
      </c>
      <c r="W831" s="26">
        <f>W830</f>
        <v/>
      </c>
      <c r="X831" s="26">
        <f>X830</f>
        <v/>
      </c>
      <c r="Y831" s="26">
        <f>Y830</f>
        <v/>
      </c>
      <c r="Z831" s="26">
        <f>Z830</f>
        <v/>
      </c>
      <c r="AA831" s="13">
        <f>"Tổng: " &amp; INT(P830/20) &amp; " lần"</f>
        <v/>
      </c>
      <c r="AB831" s="13">
        <f>"Tổng: " &amp; INT(Q830/20) &amp; " lần"</f>
        <v/>
      </c>
      <c r="AC831" s="13">
        <f>"Tổng: " &amp; INT(R830/20) &amp; " lần"</f>
        <v/>
      </c>
      <c r="AD831" s="13">
        <f>"Tổng: " &amp; INT(S830/20) &amp; " lần"</f>
        <v/>
      </c>
      <c r="AE831" s="13">
        <f>"Tổng: " &amp; INT(T830/20) &amp; " lần"</f>
        <v/>
      </c>
      <c r="AF831" s="13">
        <f>"Tổng: " &amp; INT(U830/20) &amp; " lần"</f>
        <v/>
      </c>
      <c r="AG831" s="13">
        <f>"Tổng: " &amp; INT(V830/20) &amp; " lần"</f>
        <v/>
      </c>
      <c r="AH831" s="13">
        <f>"Tổng: " &amp; INT(W830/20) &amp; " lần"</f>
        <v/>
      </c>
      <c r="AI831" s="13">
        <f>"Tổng: " &amp; INT(X830/20) &amp; " lần"</f>
        <v/>
      </c>
      <c r="AJ831" s="13">
        <f>"Tổng: " &amp; INT(Y830/20) &amp; " lần"</f>
        <v/>
      </c>
      <c r="AK831" s="13">
        <f>"Tổng: " &amp; INT(Z830/20) &amp; " lần"</f>
        <v/>
      </c>
      <c r="AL831" s="13" t="inlineStr">
        <is>
          <t>100% ĐẠT CHUẨN</t>
        </is>
      </c>
    </row>
  </sheetData>
  <mergeCells count="51">
    <mergeCell ref="A161:AL161"/>
    <mergeCell ref="A831:J831"/>
    <mergeCell ref="A661:AL661"/>
    <mergeCell ref="A19:AL19"/>
    <mergeCell ref="A4:AL4"/>
    <mergeCell ref="A323:AL323"/>
    <mergeCell ref="A289:AL289"/>
    <mergeCell ref="C1:C2"/>
    <mergeCell ref="E1:E2"/>
    <mergeCell ref="K1:K2"/>
    <mergeCell ref="P1:Z1"/>
    <mergeCell ref="AA1:AK1"/>
    <mergeCell ref="M1:M2"/>
    <mergeCell ref="A34:AL34"/>
    <mergeCell ref="O1:O2"/>
    <mergeCell ref="A257:AL257"/>
    <mergeCell ref="A431:AL431"/>
    <mergeCell ref="A49:AL49"/>
    <mergeCell ref="A225:AL225"/>
    <mergeCell ref="A787:AL787"/>
    <mergeCell ref="A359:AL359"/>
    <mergeCell ref="A241:AL241"/>
    <mergeCell ref="B1:B2"/>
    <mergeCell ref="L1:L2"/>
    <mergeCell ref="A65:AL65"/>
    <mergeCell ref="N1:N2"/>
    <mergeCell ref="A177:AL177"/>
    <mergeCell ref="A305:AL305"/>
    <mergeCell ref="A273:AL273"/>
    <mergeCell ref="A193:AL193"/>
    <mergeCell ref="A413:AL413"/>
    <mergeCell ref="G1:G2"/>
    <mergeCell ref="A3:AL3"/>
    <mergeCell ref="A438:AL438"/>
    <mergeCell ref="I1:I2"/>
    <mergeCell ref="A145:AL145"/>
    <mergeCell ref="A341:AL341"/>
    <mergeCell ref="A828:AL828"/>
    <mergeCell ref="AL1:AL2"/>
    <mergeCell ref="A113:AL113"/>
    <mergeCell ref="A129:AL129"/>
    <mergeCell ref="A97:AL97"/>
    <mergeCell ref="D1:D2"/>
    <mergeCell ref="A377:AL377"/>
    <mergeCell ref="A395:AL395"/>
    <mergeCell ref="F1:F2"/>
    <mergeCell ref="H1:H2"/>
    <mergeCell ref="J1:J2"/>
    <mergeCell ref="A81:AL81"/>
    <mergeCell ref="A209:AL209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26" customWidth="1" min="4" max="4"/>
    <col width="12" customWidth="1" min="5" max="5"/>
    <col width="22" customWidth="1" min="6" max="6"/>
    <col width="24" customWidth="1" min="7" max="7"/>
    <col width="36" customWidth="1" min="8" max="8"/>
    <col width="30" customWidth="1" min="9" max="9"/>
  </cols>
  <sheetData>
    <row r="1">
      <c r="A1" s="28" t="inlineStr">
        <is>
          <t>BẢNG TỔNG HỢP KẾ HOẠCH &amp; TẦN SUẤT THÍ NGHIỆM VẬT LIỆU ĐẦU VÀO TOÀN DỰ ÁN</t>
        </is>
      </c>
    </row>
    <row r="2">
      <c r="A2" s="29" t="inlineStr">
        <is>
          <t>Dự án: Cầu Km19+529.080 | Tiêu chuẩn: Luật Xây dựng 135/2025/QH15, NĐ 207/2026/NĐ-CP, TCVN 1651:2018, TCVN 4453:1995</t>
        </is>
      </c>
    </row>
    <row r="4" ht="28" customHeight="1">
      <c r="A4" s="1" t="inlineStr">
        <is>
          <t>STT</t>
        </is>
      </c>
      <c r="B4" s="1" t="inlineStr">
        <is>
          <t>DANH MỤC VẬT LIỆU / CÔNG VIỆC THÍ NGHIỆM</t>
        </is>
      </c>
      <c r="C4" s="1" t="inlineStr">
        <is>
          <t>TIÊU CHUẨN ÁP DỤNG</t>
        </is>
      </c>
      <c r="D4" s="1" t="inlineStr">
        <is>
          <t>QUY ĐỊNH TẦN SUẤT LẤY MẪU</t>
        </is>
      </c>
      <c r="E4" s="1" t="inlineStr">
        <is>
          <t>ĐƠN VỊ TÍNH</t>
        </is>
      </c>
      <c r="F4" s="1" t="inlineStr">
        <is>
          <t>TỔNG KHỐI LƯỢNG DỰ ÁN</t>
        </is>
      </c>
      <c r="G4" s="1" t="inlineStr">
        <is>
          <t>SỐ LẦN THÍ NGHIỆM DỰ KIẾN</t>
        </is>
      </c>
      <c r="H4" s="1" t="inlineStr">
        <is>
          <t>CHỈ TIÊU CƠ LÝ KIỂM TRA CHÍNH</t>
        </is>
      </c>
      <c r="I4" s="1" t="inlineStr">
        <is>
          <t>GHI CHÚ / QUY ĐỊNH PHÁP LÝ</t>
        </is>
      </c>
    </row>
    <row r="5" ht="22" customHeight="1">
      <c r="A5" s="4" t="inlineStr">
        <is>
          <t>I. NHÓM VẬT LIỆU ĐẦU VÀO BÊ TÔNG XI MĂNG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6" ht="20" customHeight="1">
      <c r="A6" s="6" t="n">
        <v>1</v>
      </c>
      <c r="B6" s="30" t="inlineStr">
        <is>
          <t>Xi măng Poóc lăng hỗn hợp PCB40</t>
        </is>
      </c>
      <c r="C6" s="6" t="inlineStr">
        <is>
          <t>TCVN 6260:2020</t>
        </is>
      </c>
      <c r="D6" s="7" t="inlineStr">
        <is>
          <t>50 Tấn / lần lấy mẫu</t>
        </is>
      </c>
      <c r="E6" s="6" t="inlineStr">
        <is>
          <t>Tấn</t>
        </is>
      </c>
      <c r="F6" s="31">
        <f>Theo_Doi_Tan_Suat_Be_Tong!M87</f>
        <v/>
      </c>
      <c r="G6" s="11">
        <f>IF(F6="","",IF(F6=0,"1 lần",INT(F6/50)+1 &amp; " lần"))</f>
        <v/>
      </c>
      <c r="H6" s="7" t="inlineStr">
        <is>
          <t>Độ mịn, thời gian đông kết, giới hạn bền nén, độ ổn định thể tích</t>
        </is>
      </c>
      <c r="I6" s="7" t="inlineStr">
        <is>
          <t>TCVN 2682/6260, NĐ 207/2026</t>
        </is>
      </c>
    </row>
    <row r="7" ht="20" customHeight="1">
      <c r="A7" s="6" t="n">
        <v>2</v>
      </c>
      <c r="B7" s="30" t="inlineStr">
        <is>
          <t>Cát vàng đổ bê tông (Mô đun độ lớn Mk &gt;= 2.0)</t>
        </is>
      </c>
      <c r="C7" s="6" t="inlineStr">
        <is>
          <t>TCVN 7570:2006</t>
        </is>
      </c>
      <c r="D7" s="7" t="inlineStr">
        <is>
          <t>200 m3 / lần lấy mẫu</t>
        </is>
      </c>
      <c r="E7" s="6" t="inlineStr">
        <is>
          <t>m3</t>
        </is>
      </c>
      <c r="F7" s="31">
        <f>Theo_Doi_Tan_Suat_Be_Tong!N87</f>
        <v/>
      </c>
      <c r="G7" s="11">
        <f>IF(F7="","",IF(F7=0,"1 lần",INT(F7/200)+1 &amp; " lần"))</f>
        <v/>
      </c>
      <c r="H7" s="7" t="inlineStr">
        <is>
          <t>Thành phần hạt, hàm lượng bùn bụi sét, tạp chất hữu cơ, khối lượng thể tích</t>
        </is>
      </c>
      <c r="I7" s="7" t="inlineStr">
        <is>
          <t>TCVN 7570, Chỉ dẫn kỹ thuật</t>
        </is>
      </c>
    </row>
    <row r="8" ht="20" customHeight="1">
      <c r="A8" s="6" t="n">
        <v>3</v>
      </c>
      <c r="B8" s="30" t="inlineStr">
        <is>
          <t>Đá dăm bê tông (Đá 1x2 cho C30/C35/C45)</t>
        </is>
      </c>
      <c r="C8" s="6" t="inlineStr">
        <is>
          <t>TCVN 7570:2006</t>
        </is>
      </c>
      <c r="D8" s="7" t="inlineStr">
        <is>
          <t>350 m3 / lần lấy mẫu</t>
        </is>
      </c>
      <c r="E8" s="6" t="inlineStr">
        <is>
          <t>m3</t>
        </is>
      </c>
      <c r="F8" s="31">
        <f>Theo_Doi_Tan_Suat_Be_Tong!O87</f>
        <v/>
      </c>
      <c r="G8" s="11">
        <f>IF(F8="","",IF(F8=0,"1 lần",INT(F8/350)+1 &amp; " lần"))</f>
        <v/>
      </c>
      <c r="H8" s="7" t="inlineStr">
        <is>
          <t>Thành phần hạt, hàm lượng thoi dẹt, độ nén dập trong ống hình trụ, độ hút nước</t>
        </is>
      </c>
      <c r="I8" s="7" t="inlineStr">
        <is>
          <t>TCVN 7570, TCVN 1771</t>
        </is>
      </c>
    </row>
    <row r="9" ht="20" customHeight="1">
      <c r="A9" s="6" t="n">
        <v>4</v>
      </c>
      <c r="B9" s="30" t="inlineStr">
        <is>
          <t>Nước trộn bê tông</t>
        </is>
      </c>
      <c r="C9" s="6" t="inlineStr">
        <is>
          <t>TCVN 4506:2012</t>
        </is>
      </c>
      <c r="D9" s="7" t="inlineStr">
        <is>
          <t>1 nguồn cấp / toàn dự án</t>
        </is>
      </c>
      <c r="E9" s="6" t="inlineStr">
        <is>
          <t>Nguồn</t>
        </is>
      </c>
      <c r="F9" s="32" t="n">
        <v>1</v>
      </c>
      <c r="G9" s="11" t="inlineStr">
        <is>
          <t>1 lần (định kỳ 6 tháng)</t>
        </is>
      </c>
      <c r="H9" s="7" t="inlineStr">
        <is>
          <t>Độ pH, hàm lượng muối hòa tan, ion Cl-, SO4(2-), cặn không tan</t>
        </is>
      </c>
      <c r="I9" s="7" t="inlineStr">
        <is>
          <t>Kiểm tra trước khi thi công</t>
        </is>
      </c>
    </row>
    <row r="10" ht="20" customHeight="1">
      <c r="A10" s="6" t="n">
        <v>5</v>
      </c>
      <c r="B10" s="30" t="inlineStr">
        <is>
          <t>Phụ gia giảm nước / siêu dẻo bê tông</t>
        </is>
      </c>
      <c r="C10" s="6" t="inlineStr">
        <is>
          <t>TCVN 8826:2011</t>
        </is>
      </c>
      <c r="D10" s="7" t="inlineStr">
        <is>
          <t>5 Tấn / lô vật liệu</t>
        </is>
      </c>
      <c r="E10" s="6" t="inlineStr">
        <is>
          <t>Tấn</t>
        </is>
      </c>
      <c r="F10" s="33" t="n">
        <v>12.5</v>
      </c>
      <c r="G10" s="11" t="inlineStr">
        <is>
          <t>3 lần</t>
        </is>
      </c>
      <c r="H10" s="7" t="inlineStr">
        <is>
          <t>Khả năng giảm nước, độ chảy xòe, độ pH, hàm lượng chất rắn</t>
        </is>
      </c>
      <c r="I10" s="7" t="inlineStr">
        <is>
          <t>Chứng chỉ xuất xưởng + thử nghiệm</t>
        </is>
      </c>
    </row>
    <row r="11" ht="22" customHeight="1">
      <c r="A11" s="4" t="inlineStr">
        <is>
          <t>II. NHÓM CỐT THÉP VÀ CÁP DỰ ỨNG LỰC (BÓC TÁCH CHI TIẾT RIÊNG TỪNG LOẠI Ø)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</row>
    <row r="12" ht="20" customHeight="1">
      <c r="A12" s="6" t="n">
        <v>6</v>
      </c>
      <c r="B12" s="30" t="inlineStr">
        <is>
          <t>Cốt thép tròn trơn Ø10 (CB240-T, kèm Ø8)</t>
        </is>
      </c>
      <c r="C12" s="6" t="inlineStr">
        <is>
          <t>TCVN 1651-1:2018</t>
        </is>
      </c>
      <c r="D12" s="7" t="inlineStr">
        <is>
          <t>20 Tấn / lô xuất xưởng</t>
        </is>
      </c>
      <c r="E12" s="6" t="inlineStr">
        <is>
          <t>Tấn</t>
        </is>
      </c>
      <c r="F12" s="31">
        <f>Theo_Doi_Tan_Suat_Cot_Thep!P831</f>
        <v/>
      </c>
      <c r="G12" s="11">
        <f>IF(F12="","",IF(F12=0,"1 lần",INT(F12/20)+1 &amp; " lần"))</f>
        <v/>
      </c>
      <c r="H12" s="7" t="inlineStr">
        <is>
          <t>Giới hạn chảy, độ bền kéo, độ giãn dài, uốn nguội 180°</t>
        </is>
      </c>
      <c r="I12" s="7" t="inlineStr">
        <is>
          <t>1 tổ 3 kéo + 3 uốn / lô 20T, số lô CO-CQ riêng</t>
        </is>
      </c>
    </row>
    <row r="13" ht="20" customHeight="1">
      <c r="A13" s="6" t="n">
        <v>7</v>
      </c>
      <c r="B13" s="30" t="inlineStr">
        <is>
          <t>Cốt thép thanh vằn Ø12 (CB400-V)</t>
        </is>
      </c>
      <c r="C13" s="6" t="inlineStr">
        <is>
          <t>TCVN 1651-2:2018</t>
        </is>
      </c>
      <c r="D13" s="7" t="inlineStr">
        <is>
          <t>20 Tấn / lô xuất xưởng</t>
        </is>
      </c>
      <c r="E13" s="6" t="inlineStr">
        <is>
          <t>Tấn</t>
        </is>
      </c>
      <c r="F13" s="31">
        <f>Theo_Doi_Tan_Suat_Cot_Thep!Q831</f>
        <v/>
      </c>
      <c r="G13" s="11">
        <f>IF(F13="","",IF(F13=0,"1 lần",INT(F13/20)+1 &amp; " lần"))</f>
        <v/>
      </c>
      <c r="H13" s="7" t="inlineStr">
        <is>
          <t>Giới hạn chảy, độ bền kéo, độ giãn dài, uốn nguội 180°</t>
        </is>
      </c>
      <c r="I13" s="7" t="inlineStr">
        <is>
          <t>Thép đai dầm Super-T, đai cọc, số lô CO-CQ riêng</t>
        </is>
      </c>
    </row>
    <row r="14" ht="20" customHeight="1">
      <c r="A14" s="6" t="n">
        <v>8</v>
      </c>
      <c r="B14" s="30" t="inlineStr">
        <is>
          <t>Cốt thép thanh vằn Ø14 (CB400-V)</t>
        </is>
      </c>
      <c r="C14" s="6" t="inlineStr">
        <is>
          <t>TCVN 1651-2:2018</t>
        </is>
      </c>
      <c r="D14" s="7" t="inlineStr">
        <is>
          <t>20 Tấn / lô xuất xưởng</t>
        </is>
      </c>
      <c r="E14" s="6" t="inlineStr">
        <is>
          <t>Tấn</t>
        </is>
      </c>
      <c r="F14" s="31">
        <f>Theo_Doi_Tan_Suat_Cot_Thep!R831</f>
        <v/>
      </c>
      <c r="G14" s="11">
        <f>IF(F14="","",IF(F14=0,"1 lần",INT(F14/20)+1 &amp; " lần"))</f>
        <v/>
      </c>
      <c r="H14" s="7" t="inlineStr">
        <is>
          <t>Giới hạn chảy, độ bền kéo, độ giãn dài, uốn nguội 180°</t>
        </is>
      </c>
      <c r="I14" s="7" t="inlineStr">
        <is>
          <t>Thép sườn dầm, lưới BMC, gờ lan can, số lô riêng</t>
        </is>
      </c>
    </row>
    <row r="15" ht="20" customHeight="1">
      <c r="A15" s="6" t="n">
        <v>9</v>
      </c>
      <c r="B15" s="30" t="inlineStr">
        <is>
          <t>Cốt thép thanh vằn Ø16 (CB400-V)</t>
        </is>
      </c>
      <c r="C15" s="6" t="inlineStr">
        <is>
          <t>TCVN 1651-2:2018</t>
        </is>
      </c>
      <c r="D15" s="7" t="inlineStr">
        <is>
          <t>20 Tấn / lô xuất xưởng</t>
        </is>
      </c>
      <c r="E15" s="6" t="inlineStr">
        <is>
          <t>Tấn</t>
        </is>
      </c>
      <c r="F15" s="31">
        <f>Theo_Doi_Tan_Suat_Cot_Thep!S831</f>
        <v/>
      </c>
      <c r="G15" s="11">
        <f>IF(F15="","",IF(F15=0,"1 lần",INT(F15/20)+1 &amp; " lần"))</f>
        <v/>
      </c>
      <c r="H15" s="7" t="inlineStr">
        <is>
          <t>Giới hạn chảy, độ bền kéo, độ giãn dài, uốn nguội 180°</t>
        </is>
      </c>
      <c r="I15" s="7" t="inlineStr">
        <is>
          <t>Thép lưới BMC, bản quá độ, đai cọc, xà mũ, số lô riêng</t>
        </is>
      </c>
    </row>
    <row r="16" ht="20" customHeight="1">
      <c r="A16" s="6" t="n">
        <v>10</v>
      </c>
      <c r="B16" s="30" t="inlineStr">
        <is>
          <t>Cốt thép thanh vằn Ø18 (CB400-V)</t>
        </is>
      </c>
      <c r="C16" s="6" t="inlineStr">
        <is>
          <t>TCVN 1651-2:2018</t>
        </is>
      </c>
      <c r="D16" s="7" t="inlineStr">
        <is>
          <t>20 Tấn / lô xuất xưởng</t>
        </is>
      </c>
      <c r="E16" s="6" t="inlineStr">
        <is>
          <t>Tấn</t>
        </is>
      </c>
      <c r="F16" s="31">
        <f>Theo_Doi_Tan_Suat_Cot_Thep!T831</f>
        <v/>
      </c>
      <c r="G16" s="11">
        <f>IF(F16="","",IF(F16=0,"1 lần",INT(F16/20)+1 &amp; " lần"))</f>
        <v/>
      </c>
      <c r="H16" s="7" t="inlineStr">
        <is>
          <t>Giới hạn chảy, độ bền kéo, độ giãn dài, uốn nguội 180°</t>
        </is>
      </c>
      <c r="I16" s="7" t="inlineStr">
        <is>
          <t>Thép phân bố bệ, thân, mố, số lô CO-CQ riêng</t>
        </is>
      </c>
    </row>
    <row r="17" ht="20" customHeight="1">
      <c r="A17" s="6" t="n">
        <v>11</v>
      </c>
      <c r="B17" s="30" t="inlineStr">
        <is>
          <t>Cốt thép thanh vằn Ø20 (CB400-V)</t>
        </is>
      </c>
      <c r="C17" s="6" t="inlineStr">
        <is>
          <t>TCVN 1651-2:2018</t>
        </is>
      </c>
      <c r="D17" s="7" t="inlineStr">
        <is>
          <t>20 Tấn / lô xuất xưởng</t>
        </is>
      </c>
      <c r="E17" s="6" t="inlineStr">
        <is>
          <t>Tấn</t>
        </is>
      </c>
      <c r="F17" s="31">
        <f>Theo_Doi_Tan_Suat_Cot_Thep!U831</f>
        <v/>
      </c>
      <c r="G17" s="11">
        <f>IF(F17="","",IF(F17=0,"1 lần",INT(F17/20)+1 &amp; " lần"))</f>
        <v/>
      </c>
      <c r="H17" s="7" t="inlineStr">
        <is>
          <t>Giới hạn chảy, độ bền kéo, độ giãn dài, uốn nguội 180°</t>
        </is>
      </c>
      <c r="I17" s="7" t="inlineStr">
        <is>
          <t>Thép con kê bảo vệ, đai tăng cường, số lô riêng</t>
        </is>
      </c>
    </row>
    <row r="18" ht="20" customHeight="1">
      <c r="A18" s="6" t="n">
        <v>12</v>
      </c>
      <c r="B18" s="30" t="inlineStr">
        <is>
          <t>Cốt thép thanh vằn Ø22 (CB400-V)</t>
        </is>
      </c>
      <c r="C18" s="6" t="inlineStr">
        <is>
          <t>TCVN 1651-2:2018</t>
        </is>
      </c>
      <c r="D18" s="7" t="inlineStr">
        <is>
          <t>20 Tấn / lô xuất xưởng</t>
        </is>
      </c>
      <c r="E18" s="6" t="inlineStr">
        <is>
          <t>Tấn</t>
        </is>
      </c>
      <c r="F18" s="31">
        <f>Theo_Doi_Tan_Suat_Cot_Thep!V831</f>
        <v/>
      </c>
      <c r="G18" s="11">
        <f>IF(F18="","",IF(F18=0,"1 lần",INT(F18/20)+1 &amp; " lần"))</f>
        <v/>
      </c>
      <c r="H18" s="7" t="inlineStr">
        <is>
          <t>Giới hạn chảy, độ bền kéo, độ giãn dài, uốn nguội 180°</t>
        </is>
      </c>
      <c r="I18" s="7" t="inlineStr">
        <is>
          <t>Thép bản quá độ mố A2, cọc nối PDA, số lô riêng</t>
        </is>
      </c>
    </row>
    <row r="19" ht="20" customHeight="1">
      <c r="A19" s="6" t="n">
        <v>13</v>
      </c>
      <c r="B19" s="30" t="inlineStr">
        <is>
          <t>Cốt thép thanh vằn Ø25 (CB400-V)</t>
        </is>
      </c>
      <c r="C19" s="6" t="inlineStr">
        <is>
          <t>TCVN 1651-2:2018</t>
        </is>
      </c>
      <c r="D19" s="7" t="inlineStr">
        <is>
          <t>20 Tấn / lô xuất xưởng</t>
        </is>
      </c>
      <c r="E19" s="6" t="inlineStr">
        <is>
          <t>Tấn</t>
        </is>
      </c>
      <c r="F19" s="31">
        <f>Theo_Doi_Tan_Suat_Cot_Thep!W831</f>
        <v/>
      </c>
      <c r="G19" s="11">
        <f>IF(F19="","",IF(F19=0,"1 lần",INT(F19/20)+1 &amp; " lần"))</f>
        <v/>
      </c>
      <c r="H19" s="7" t="inlineStr">
        <is>
          <t>Giới hạn chảy, độ bền kéo, độ giãn dài, uốn nguội 180°</t>
        </is>
      </c>
      <c r="I19" s="7" t="inlineStr">
        <is>
          <t>Thép chủ cọc khoan nhồi M1, T1, T2, M2, số lô riêng</t>
        </is>
      </c>
    </row>
    <row r="20" ht="20" customHeight="1">
      <c r="A20" s="6" t="n">
        <v>14</v>
      </c>
      <c r="B20" s="30" t="inlineStr">
        <is>
          <t>Cốt thép thanh vằn Ø28 (CB400-V)</t>
        </is>
      </c>
      <c r="C20" s="6" t="inlineStr">
        <is>
          <t>TCVN 1651-2:2018</t>
        </is>
      </c>
      <c r="D20" s="7" t="inlineStr">
        <is>
          <t>20 Tấn / lô xuất xưởng</t>
        </is>
      </c>
      <c r="E20" s="6" t="inlineStr">
        <is>
          <t>Tấn</t>
        </is>
      </c>
      <c r="F20" s="31">
        <f>Theo_Doi_Tan_Suat_Cot_Thep!X831</f>
        <v/>
      </c>
      <c r="G20" s="11">
        <f>IF(F20="","",IF(F20=0,"1 lần",INT(F20/20)+1 &amp; " lần"))</f>
        <v/>
      </c>
      <c r="H20" s="7" t="inlineStr">
        <is>
          <t>Giới hạn chảy, độ bền kéo, độ giãn dài, uốn nguội 180°</t>
        </is>
      </c>
      <c r="I20" s="7" t="inlineStr">
        <is>
          <t>Thép chủ mố M1, M2, xà mũ, cọc M2, số lô riêng</t>
        </is>
      </c>
    </row>
    <row r="21" ht="20" customHeight="1">
      <c r="A21" s="6" t="n">
        <v>15</v>
      </c>
      <c r="B21" s="30" t="inlineStr">
        <is>
          <t>Cốt thép thanh vằn Ø32 (CB400-V)</t>
        </is>
      </c>
      <c r="C21" s="6" t="inlineStr">
        <is>
          <t>TCVN 1651-2:2018</t>
        </is>
      </c>
      <c r="D21" s="7" t="inlineStr">
        <is>
          <t>20 Tấn / lô xuất xưởng</t>
        </is>
      </c>
      <c r="E21" s="6" t="inlineStr">
        <is>
          <t>Tấn</t>
        </is>
      </c>
      <c r="F21" s="31">
        <f>Theo_Doi_Tan_Suat_Cot_Thep!Y831</f>
        <v/>
      </c>
      <c r="G21" s="11">
        <f>IF(F21="","",IF(F21=0,"1 lần",INT(F21/20)+1 &amp; " lần"))</f>
        <v/>
      </c>
      <c r="H21" s="7" t="inlineStr">
        <is>
          <t>Giới hạn chảy, độ bền kéo, độ giãn dài, uốn nguội 180°</t>
        </is>
      </c>
      <c r="I21" s="7" t="inlineStr">
        <is>
          <t>Thép chủ bệ trụ T1, T2, thân trụ, xà mũ, số lô riêng</t>
        </is>
      </c>
    </row>
    <row r="22" ht="20" customHeight="1">
      <c r="A22" s="6" t="n">
        <v>16</v>
      </c>
      <c r="B22" s="30" t="inlineStr">
        <is>
          <t>Cáp dự ứng lực 15.2mm 7 sợi xoắn</t>
        </is>
      </c>
      <c r="C22" s="6" t="inlineStr">
        <is>
          <t>ASTM A416 Gr270</t>
        </is>
      </c>
      <c r="D22" s="7" t="inlineStr">
        <is>
          <t>20 Tấn / lô kéo rút</t>
        </is>
      </c>
      <c r="E22" s="6" t="inlineStr">
        <is>
          <t>Tấn</t>
        </is>
      </c>
      <c r="F22" s="31">
        <f>Theo_Doi_Tan_Suat_Cot_Thep!Z831</f>
        <v/>
      </c>
      <c r="G22" s="11">
        <f>IF(F22="","",IF(F22=0,"1 lần",INT(F22/20)+1 &amp; " lần"))</f>
        <v/>
      </c>
      <c r="H22" s="7" t="inlineStr">
        <is>
          <t>Giới hạn bền kéo đứt, độ giãn dài, mô đun Ep</t>
        </is>
      </c>
      <c r="I22" s="7" t="inlineStr">
        <is>
          <t>Cáp kéo trước dầm Super-T L=38.2m, chứng chỉ cuộn riêng</t>
        </is>
      </c>
    </row>
    <row r="23" ht="20" customHeight="1">
      <c r="A23" s="6" t="n">
        <v>17</v>
      </c>
      <c r="B23" s="30" t="inlineStr">
        <is>
          <t>Mối nối cóc nối ren coupler / hàn đối đầu</t>
        </is>
      </c>
      <c r="C23" s="6" t="inlineStr">
        <is>
          <t>TCVN 8163:2009</t>
        </is>
      </c>
      <c r="D23" s="7" t="inlineStr">
        <is>
          <t>500 mối nối / lô</t>
        </is>
      </c>
      <c r="E23" s="6" t="inlineStr">
        <is>
          <t>Mối nối</t>
        </is>
      </c>
      <c r="F23" s="32" t="n">
        <v>1840</v>
      </c>
      <c r="G23" s="11" t="inlineStr">
        <is>
          <t>4 lần (mỗi lô 3 mẫu kéo)</t>
        </is>
      </c>
      <c r="H23" s="7" t="inlineStr">
        <is>
          <t>Độ bền kéo mối nối, độ dãn dư, khả năng biến dạng</t>
        </is>
      </c>
      <c r="I23" s="7" t="inlineStr">
        <is>
          <t>Mối nối thép chủ cọc khoan nhồi (mỗi lô 3 kéo)</t>
        </is>
      </c>
    </row>
    <row r="24" ht="22" customHeight="1">
      <c r="A24" s="4" t="inlineStr">
        <is>
          <t>III. KIỂM ĐỊNH HIỆN TRƯỜNG &amp; NGHIỆM THU CHẤT LƯỢNG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</row>
    <row r="25" ht="20" customHeight="1">
      <c r="A25" s="6" t="n">
        <v>18</v>
      </c>
      <c r="B25" s="30" t="inlineStr">
        <is>
          <t>Thí nghiệm nén mẫu bê tông hiện trường R7, R28</t>
        </is>
      </c>
      <c r="C25" s="6" t="inlineStr">
        <is>
          <t>TCVN 3118:2022</t>
        </is>
      </c>
      <c r="D25" s="7" t="inlineStr">
        <is>
          <t>1 tổ 3 mẫu / cấu kiện &lt;=20m3</t>
        </is>
      </c>
      <c r="E25" s="6" t="inlineStr">
        <is>
          <t>Tổ mẫu</t>
        </is>
      </c>
      <c r="F25" s="32" t="n">
        <v>79</v>
      </c>
      <c r="G25" s="11" t="inlineStr">
        <is>
          <t>79 tổ mẫu (237 viên)</t>
        </is>
      </c>
      <c r="H25" s="7" t="inlineStr">
        <is>
          <t>Cường độ chịu nén R7 ngày và R28 ngày (MPa)</t>
        </is>
      </c>
      <c r="I25" s="7" t="inlineStr">
        <is>
          <t>Kèm biên bản nghiệm thu KCS (237 viên mẫu)</t>
        </is>
      </c>
    </row>
    <row r="26" ht="20" customHeight="1">
      <c r="A26" s="6" t="n">
        <v>19</v>
      </c>
      <c r="B26" s="30" t="inlineStr">
        <is>
          <t>Thí nghiệm siêu âm cọc khoan nhồi D1.2m</t>
        </is>
      </c>
      <c r="C26" s="6" t="inlineStr">
        <is>
          <t>TCVN 9395:2012</t>
        </is>
      </c>
      <c r="D26" s="7" t="inlineStr">
        <is>
          <t>100% các cọc khoan nhồi</t>
        </is>
      </c>
      <c r="E26" s="6" t="inlineStr">
        <is>
          <t>Mặt cắt</t>
        </is>
      </c>
      <c r="F26" s="32" t="n">
        <v>156</v>
      </c>
      <c r="G26" s="11" t="inlineStr">
        <is>
          <t>156 mặt cắt siêu âm (26 cọc)</t>
        </is>
      </c>
      <c r="H26" s="7" t="inlineStr">
        <is>
          <t>Độ đồng nhất, vận tốc truyền sóng, khuyết tật thân cọc</t>
        </is>
      </c>
      <c r="I26" s="7" t="inlineStr">
        <is>
          <t>4 ống siêu âm / cọc (156 mặt cắt / 26 cọc)</t>
        </is>
      </c>
    </row>
    <row r="27" ht="20" customHeight="1">
      <c r="A27" s="6" t="n">
        <v>20</v>
      </c>
      <c r="B27" s="30" t="inlineStr">
        <is>
          <t>Thử động biến dạng lớn PDA (Sức chịu tải cọc)</t>
        </is>
      </c>
      <c r="C27" s="6" t="inlineStr">
        <is>
          <t>ASTM D4945</t>
        </is>
      </c>
      <c r="D27" s="7" t="inlineStr">
        <is>
          <t>Tối thiểu 2 cọc đại diện</t>
        </is>
      </c>
      <c r="E27" s="6" t="inlineStr">
        <is>
          <t>Cọc</t>
        </is>
      </c>
      <c r="F27" s="32" t="n">
        <v>2</v>
      </c>
      <c r="G27" s="11" t="inlineStr">
        <is>
          <t>2 cọc (M1-C1 và T1-C1)</t>
        </is>
      </c>
      <c r="H27" s="7" t="inlineStr">
        <is>
          <t>Sức chịu tải giới hạn cọc, ứng suất nén/kéo khi đóng</t>
        </is>
      </c>
      <c r="I27" s="7" t="inlineStr">
        <is>
          <t>Đơn vị kiểm định độc lập (M1-C1 và T1-C1)</t>
        </is>
      </c>
    </row>
    <row r="28" ht="20" customHeight="1">
      <c r="A28" s="6" t="n">
        <v>21</v>
      </c>
      <c r="B28" s="30" t="inlineStr">
        <is>
          <t>Thí nghiệm độ sụt bê tông tươi tại hiện trường</t>
        </is>
      </c>
      <c r="C28" s="6" t="inlineStr">
        <is>
          <t>TCVN 3106:2022</t>
        </is>
      </c>
      <c r="D28" s="7" t="inlineStr">
        <is>
          <t>100% các xe bê tông trạm trộn</t>
        </is>
      </c>
      <c r="E28" s="6" t="inlineStr">
        <is>
          <t>Xe bồn</t>
        </is>
      </c>
      <c r="F28" s="32" t="n">
        <v>285</v>
      </c>
      <c r="G28" s="11" t="inlineStr">
        <is>
          <t>285 xe (mỗi xe 1 lần)</t>
        </is>
      </c>
      <c r="H28" s="7" t="inlineStr">
        <is>
          <t>Độ sụt cọc nhồi (18±2cm), độ sụt kết cấu (14±2cm)</t>
        </is>
      </c>
      <c r="I28" s="7" t="inlineStr">
        <is>
          <t>Kiểm tra trước khi đổ (285 lượt xe)</t>
        </is>
      </c>
    </row>
  </sheetData>
  <mergeCells count="5">
    <mergeCell ref="A2:I2"/>
    <mergeCell ref="A11:I11"/>
    <mergeCell ref="A5:I5"/>
    <mergeCell ref="A1:I1"/>
    <mergeCell ref="A24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2026-10-11T14:27:33Z</dcterms:created>
  <dcterms:modified xmlns:dcterms="http://purl.org/dc/terms/" xmlns:xsi="http://www.w3.org/2001/XMLSchema-instance" xsi:type="dcterms:W3CDTF">2026-10-11T14:27:35Z</dcterms:modified>
</cp:coreProperties>
</file>