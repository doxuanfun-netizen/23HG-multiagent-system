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  <Relationship Id="rIdCustomUI" Type="http://schemas.microsoft.com/office/2007/relationships/ui/extensibility" Target="customUI/customUI14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otu\.gemini\antigravity\scratch\23HG_TIEN_DO_THI_CONG_PRO\"/>
    </mc:Choice>
  </mc:AlternateContent>
  <xr:revisionPtr revIDLastSave="0" documentId="8_{17F6DAEF-24D7-4763-899B-F079F9B1F7F0}" xr6:coauthVersionLast="47" xr6:coauthVersionMax="47" xr10:uidLastSave="{00000000-0000-0000-0000-000000000000}"/>
  <bookViews>
    <workbookView xWindow="-110" yWindow="-110" windowWidth="25820" windowHeight="15500" firstSheet="3" activeTab="3" xr2:uid="{00000000-000D-0000-FFFF-FFFF00000000}"/>
  </bookViews>
  <sheets>
    <sheet name="NGAY_NGHI_LE" sheetId="1" r:id="rId1"/>
    <sheet name="DB_DINH_MUC" sheetId="2" r:id="rId2"/>
    <sheet name="BOQ_TIEN_DO" sheetId="3" r:id="rId3"/>
    <sheet name="TIEN_DO" sheetId="4" r:id="rId4"/>
    <sheet name="EVM_5D_QUAN_TRI" sheetId="5" r:id="rId5"/>
    <sheet name="HUY_DONG_XMTB" sheetId="6" r:id="rId6"/>
    <sheet name="TIEN_DO_GIAI_NGAN" sheetId="7" r:id="rId7"/>
    <sheet name="KE_HOACH_QLCL" sheetId="8" r:id="rId8"/>
    <sheet name="HUONG_DAN" sheetId="9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8" l="1"/>
  <c r="D18" i="8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E6" i="8"/>
  <c r="D6" i="8"/>
  <c r="E5" i="8"/>
  <c r="D5" i="8"/>
  <c r="N47" i="5"/>
  <c r="K47" i="5"/>
  <c r="J47" i="5"/>
  <c r="M47" i="5" s="1"/>
  <c r="I47" i="5"/>
  <c r="H47" i="5"/>
  <c r="G47" i="5"/>
  <c r="C47" i="5"/>
  <c r="B47" i="5"/>
  <c r="N46" i="5"/>
  <c r="J46" i="5"/>
  <c r="M46" i="5" s="1"/>
  <c r="I46" i="5"/>
  <c r="K46" i="5" s="1"/>
  <c r="H46" i="5"/>
  <c r="G46" i="5"/>
  <c r="C46" i="5"/>
  <c r="B46" i="5"/>
  <c r="N45" i="5"/>
  <c r="K45" i="5"/>
  <c r="J45" i="5"/>
  <c r="M45" i="5" s="1"/>
  <c r="I45" i="5"/>
  <c r="H45" i="5"/>
  <c r="G45" i="5"/>
  <c r="C45" i="5"/>
  <c r="B45" i="5"/>
  <c r="N44" i="5"/>
  <c r="J44" i="5"/>
  <c r="M44" i="5" s="1"/>
  <c r="I44" i="5"/>
  <c r="K44" i="5" s="1"/>
  <c r="H44" i="5"/>
  <c r="G44" i="5"/>
  <c r="C44" i="5"/>
  <c r="B44" i="5"/>
  <c r="N43" i="5"/>
  <c r="J43" i="5"/>
  <c r="M43" i="5" s="1"/>
  <c r="I43" i="5"/>
  <c r="K43" i="5" s="1"/>
  <c r="H43" i="5"/>
  <c r="G43" i="5"/>
  <c r="C43" i="5"/>
  <c r="B43" i="5"/>
  <c r="N42" i="5"/>
  <c r="J42" i="5"/>
  <c r="M42" i="5" s="1"/>
  <c r="I42" i="5"/>
  <c r="K42" i="5" s="1"/>
  <c r="H42" i="5"/>
  <c r="G42" i="5"/>
  <c r="C42" i="5"/>
  <c r="B42" i="5"/>
  <c r="N41" i="5"/>
  <c r="J41" i="5"/>
  <c r="M41" i="5" s="1"/>
  <c r="I41" i="5"/>
  <c r="K41" i="5" s="1"/>
  <c r="H41" i="5"/>
  <c r="G41" i="5"/>
  <c r="C41" i="5"/>
  <c r="B41" i="5"/>
  <c r="N40" i="5"/>
  <c r="J40" i="5"/>
  <c r="M40" i="5" s="1"/>
  <c r="I40" i="5"/>
  <c r="K40" i="5" s="1"/>
  <c r="H40" i="5"/>
  <c r="G40" i="5"/>
  <c r="C40" i="5"/>
  <c r="B40" i="5"/>
  <c r="N39" i="5"/>
  <c r="J39" i="5"/>
  <c r="M39" i="5" s="1"/>
  <c r="I39" i="5"/>
  <c r="K39" i="5" s="1"/>
  <c r="H39" i="5"/>
  <c r="G39" i="5"/>
  <c r="C39" i="5"/>
  <c r="B39" i="5"/>
  <c r="N38" i="5"/>
  <c r="J38" i="5"/>
  <c r="M38" i="5" s="1"/>
  <c r="I38" i="5"/>
  <c r="K38" i="5" s="1"/>
  <c r="H38" i="5"/>
  <c r="G38" i="5"/>
  <c r="C38" i="5"/>
  <c r="B38" i="5"/>
  <c r="N37" i="5"/>
  <c r="J37" i="5"/>
  <c r="M37" i="5" s="1"/>
  <c r="I37" i="5"/>
  <c r="K37" i="5" s="1"/>
  <c r="H37" i="5"/>
  <c r="G37" i="5"/>
  <c r="C37" i="5"/>
  <c r="B37" i="5"/>
  <c r="J36" i="5"/>
  <c r="I36" i="5"/>
  <c r="K36" i="5" s="1"/>
  <c r="N36" i="5" s="1"/>
  <c r="H36" i="5"/>
  <c r="G36" i="5"/>
  <c r="C36" i="5"/>
  <c r="B36" i="5"/>
  <c r="N35" i="5"/>
  <c r="J35" i="5"/>
  <c r="M35" i="5" s="1"/>
  <c r="I35" i="5"/>
  <c r="K35" i="5" s="1"/>
  <c r="H35" i="5"/>
  <c r="G35" i="5"/>
  <c r="C35" i="5"/>
  <c r="B35" i="5"/>
  <c r="J34" i="5"/>
  <c r="I34" i="5"/>
  <c r="K34" i="5" s="1"/>
  <c r="N34" i="5" s="1"/>
  <c r="H34" i="5"/>
  <c r="G34" i="5"/>
  <c r="C34" i="5"/>
  <c r="B34" i="5"/>
  <c r="J33" i="5"/>
  <c r="I33" i="5"/>
  <c r="K33" i="5" s="1"/>
  <c r="N33" i="5" s="1"/>
  <c r="H33" i="5"/>
  <c r="G33" i="5"/>
  <c r="C33" i="5"/>
  <c r="B33" i="5"/>
  <c r="J32" i="5"/>
  <c r="I32" i="5"/>
  <c r="K32" i="5" s="1"/>
  <c r="N32" i="5" s="1"/>
  <c r="H32" i="5"/>
  <c r="G32" i="5"/>
  <c r="C32" i="5"/>
  <c r="B32" i="5"/>
  <c r="J31" i="5"/>
  <c r="I31" i="5"/>
  <c r="K31" i="5" s="1"/>
  <c r="N31" i="5" s="1"/>
  <c r="H31" i="5"/>
  <c r="G31" i="5"/>
  <c r="C31" i="5"/>
  <c r="B31" i="5"/>
  <c r="N30" i="5"/>
  <c r="M30" i="5"/>
  <c r="K30" i="5"/>
  <c r="J30" i="5"/>
  <c r="I30" i="5"/>
  <c r="H30" i="5"/>
  <c r="G30" i="5"/>
  <c r="C30" i="5"/>
  <c r="B30" i="5"/>
  <c r="N29" i="5"/>
  <c r="J29" i="5"/>
  <c r="M29" i="5" s="1"/>
  <c r="I29" i="5"/>
  <c r="K29" i="5" s="1"/>
  <c r="H29" i="5"/>
  <c r="G29" i="5"/>
  <c r="C29" i="5"/>
  <c r="B29" i="5"/>
  <c r="N28" i="5"/>
  <c r="J28" i="5"/>
  <c r="M28" i="5" s="1"/>
  <c r="I28" i="5"/>
  <c r="K28" i="5" s="1"/>
  <c r="H28" i="5"/>
  <c r="G28" i="5"/>
  <c r="C28" i="5"/>
  <c r="B28" i="5"/>
  <c r="N27" i="5"/>
  <c r="K27" i="5"/>
  <c r="J27" i="5"/>
  <c r="M27" i="5" s="1"/>
  <c r="I27" i="5"/>
  <c r="H27" i="5"/>
  <c r="G27" i="5"/>
  <c r="C27" i="5"/>
  <c r="B27" i="5"/>
  <c r="N26" i="5"/>
  <c r="J26" i="5"/>
  <c r="M26" i="5" s="1"/>
  <c r="I26" i="5"/>
  <c r="K26" i="5" s="1"/>
  <c r="H26" i="5"/>
  <c r="G26" i="5"/>
  <c r="C26" i="5"/>
  <c r="B26" i="5"/>
  <c r="N25" i="5"/>
  <c r="J25" i="5"/>
  <c r="M25" i="5" s="1"/>
  <c r="I25" i="5"/>
  <c r="K25" i="5" s="1"/>
  <c r="H25" i="5"/>
  <c r="G25" i="5"/>
  <c r="C25" i="5"/>
  <c r="B25" i="5"/>
  <c r="N24" i="5"/>
  <c r="J24" i="5"/>
  <c r="M24" i="5" s="1"/>
  <c r="I24" i="5"/>
  <c r="K24" i="5" s="1"/>
  <c r="H24" i="5"/>
  <c r="G24" i="5"/>
  <c r="C24" i="5"/>
  <c r="B24" i="5"/>
  <c r="J23" i="5"/>
  <c r="I23" i="5"/>
  <c r="K23" i="5" s="1"/>
  <c r="N23" i="5" s="1"/>
  <c r="H23" i="5"/>
  <c r="G23" i="5"/>
  <c r="C23" i="5"/>
  <c r="B23" i="5"/>
  <c r="N22" i="5"/>
  <c r="M22" i="5"/>
  <c r="K22" i="5"/>
  <c r="J22" i="5"/>
  <c r="I22" i="5"/>
  <c r="H22" i="5"/>
  <c r="G22" i="5"/>
  <c r="C22" i="5"/>
  <c r="B22" i="5"/>
  <c r="J21" i="5"/>
  <c r="I21" i="5"/>
  <c r="K21" i="5" s="1"/>
  <c r="N21" i="5" s="1"/>
  <c r="H21" i="5"/>
  <c r="G21" i="5"/>
  <c r="C21" i="5"/>
  <c r="B21" i="5"/>
  <c r="J20" i="5"/>
  <c r="I20" i="5"/>
  <c r="K20" i="5" s="1"/>
  <c r="N20" i="5" s="1"/>
  <c r="H20" i="5"/>
  <c r="G20" i="5"/>
  <c r="C20" i="5"/>
  <c r="B20" i="5"/>
  <c r="K19" i="5"/>
  <c r="N19" i="5" s="1"/>
  <c r="J19" i="5"/>
  <c r="M19" i="5" s="1"/>
  <c r="I19" i="5"/>
  <c r="H19" i="5"/>
  <c r="G19" i="5"/>
  <c r="C19" i="5"/>
  <c r="B19" i="5"/>
  <c r="J18" i="5"/>
  <c r="I18" i="5"/>
  <c r="K18" i="5" s="1"/>
  <c r="N18" i="5" s="1"/>
  <c r="H18" i="5"/>
  <c r="G18" i="5"/>
  <c r="C18" i="5"/>
  <c r="B18" i="5"/>
  <c r="N17" i="5"/>
  <c r="J17" i="5"/>
  <c r="M17" i="5" s="1"/>
  <c r="I17" i="5"/>
  <c r="K17" i="5" s="1"/>
  <c r="H17" i="5"/>
  <c r="G17" i="5"/>
  <c r="C17" i="5"/>
  <c r="B17" i="5"/>
  <c r="J16" i="5"/>
  <c r="I16" i="5"/>
  <c r="K16" i="5" s="1"/>
  <c r="N16" i="5" s="1"/>
  <c r="H16" i="5"/>
  <c r="G16" i="5"/>
  <c r="C16" i="5"/>
  <c r="B16" i="5"/>
  <c r="J15" i="5"/>
  <c r="I15" i="5"/>
  <c r="K15" i="5" s="1"/>
  <c r="H15" i="5"/>
  <c r="G15" i="5"/>
  <c r="C15" i="5"/>
  <c r="B15" i="5"/>
  <c r="J14" i="5"/>
  <c r="I14" i="5"/>
  <c r="K14" i="5" s="1"/>
  <c r="N14" i="5" s="1"/>
  <c r="H14" i="5"/>
  <c r="G14" i="5"/>
  <c r="C14" i="5"/>
  <c r="B14" i="5"/>
  <c r="J13" i="5"/>
  <c r="I13" i="5"/>
  <c r="K13" i="5" s="1"/>
  <c r="H13" i="5"/>
  <c r="G13" i="5"/>
  <c r="C13" i="5"/>
  <c r="B13" i="5"/>
  <c r="N12" i="5"/>
  <c r="M12" i="5"/>
  <c r="K12" i="5"/>
  <c r="J12" i="5"/>
  <c r="I12" i="5"/>
  <c r="H12" i="5"/>
  <c r="G12" i="5"/>
  <c r="C12" i="5"/>
  <c r="B12" i="5"/>
  <c r="N11" i="5"/>
  <c r="J11" i="5"/>
  <c r="M11" i="5" s="1"/>
  <c r="I11" i="5"/>
  <c r="K11" i="5" s="1"/>
  <c r="H11" i="5"/>
  <c r="G11" i="5"/>
  <c r="C11" i="5"/>
  <c r="B11" i="5"/>
  <c r="H5" i="5"/>
  <c r="J30" i="3"/>
  <c r="G30" i="3"/>
  <c r="J29" i="3"/>
  <c r="G29" i="3"/>
  <c r="J28" i="3"/>
  <c r="G28" i="3"/>
  <c r="J27" i="3"/>
  <c r="G27" i="3"/>
  <c r="J26" i="3"/>
  <c r="G26" i="3"/>
  <c r="J25" i="3"/>
  <c r="G25" i="3"/>
  <c r="J24" i="3"/>
  <c r="G24" i="3"/>
  <c r="J23" i="3"/>
  <c r="G23" i="3"/>
  <c r="J22" i="3"/>
  <c r="G22" i="3"/>
  <c r="J21" i="3"/>
  <c r="G21" i="3"/>
  <c r="J20" i="3"/>
  <c r="G20" i="3"/>
  <c r="J19" i="3"/>
  <c r="G19" i="3"/>
  <c r="G18" i="3" s="1"/>
  <c r="J17" i="3"/>
  <c r="G17" i="3"/>
  <c r="J16" i="3"/>
  <c r="G16" i="3"/>
  <c r="J15" i="3"/>
  <c r="G15" i="3"/>
  <c r="J14" i="3"/>
  <c r="G14" i="3"/>
  <c r="J13" i="3"/>
  <c r="G13" i="3"/>
  <c r="J12" i="3"/>
  <c r="G12" i="3"/>
  <c r="G5" i="3" s="1"/>
  <c r="G31" i="3" s="1"/>
  <c r="J11" i="3"/>
  <c r="G11" i="3"/>
  <c r="J10" i="3"/>
  <c r="G10" i="3"/>
  <c r="J9" i="3"/>
  <c r="G9" i="3"/>
  <c r="J8" i="3"/>
  <c r="G8" i="3"/>
  <c r="J7" i="3"/>
  <c r="G7" i="3"/>
  <c r="J6" i="3"/>
  <c r="G6" i="3"/>
  <c r="N15" i="5" l="1"/>
  <c r="M15" i="5"/>
  <c r="M16" i="5"/>
  <c r="M36" i="5"/>
  <c r="M32" i="5"/>
  <c r="M23" i="5"/>
  <c r="M31" i="5"/>
  <c r="G32" i="3"/>
  <c r="M33" i="5"/>
  <c r="M21" i="5"/>
  <c r="M34" i="5"/>
  <c r="M18" i="5"/>
  <c r="F5" i="5"/>
  <c r="M20" i="5"/>
  <c r="M13" i="5"/>
  <c r="N13" i="5"/>
  <c r="M14" i="5"/>
  <c r="D5" i="5"/>
  <c r="L5" i="5" s="1"/>
  <c r="E8" i="5" s="1"/>
  <c r="G34" i="3" l="1"/>
  <c r="G35" i="3" s="1"/>
  <c r="J5" i="5"/>
  <c r="N5" i="5"/>
  <c r="K8" i="5" s="1"/>
  <c r="G33" i="3"/>
  <c r="D8" i="7" l="1"/>
  <c r="D13" i="7"/>
  <c r="D7" i="7"/>
  <c r="D12" i="7"/>
  <c r="D6" i="7"/>
  <c r="G5" i="7"/>
  <c r="H5" i="7" s="1"/>
  <c r="D11" i="7"/>
  <c r="B5" i="5"/>
  <c r="D10" i="7"/>
  <c r="D9" i="7"/>
  <c r="G13" i="7" l="1"/>
  <c r="F13" i="7"/>
  <c r="F11" i="7"/>
  <c r="F8" i="7"/>
  <c r="F10" i="7"/>
  <c r="G12" i="7"/>
  <c r="F12" i="7"/>
  <c r="F9" i="7"/>
  <c r="E8" i="7"/>
  <c r="G8" i="7" s="1"/>
  <c r="E11" i="7"/>
  <c r="G11" i="7" s="1"/>
  <c r="E10" i="7"/>
  <c r="G10" i="7" s="1"/>
  <c r="E9" i="7"/>
  <c r="G9" i="7" s="1"/>
  <c r="F6" i="7"/>
  <c r="G6" i="7" s="1"/>
  <c r="H6" i="7" s="1"/>
  <c r="F7" i="7"/>
  <c r="G7" i="7" s="1"/>
  <c r="H7" i="7" l="1"/>
  <c r="H8" i="7" s="1"/>
  <c r="H9" i="7" s="1"/>
  <c r="H10" i="7" s="1"/>
  <c r="H11" i="7" s="1"/>
  <c r="H12" i="7" s="1"/>
  <c r="H13" i="7" s="1"/>
  <c r="G14" i="7"/>
  <c r="H14" i="7" l="1"/>
</calcChain>
</file>

<file path=xl/sharedStrings.xml><?xml version="1.0" encoding="utf-8"?>
<sst xmlns="http://schemas.openxmlformats.org/spreadsheetml/2006/main" count="702" uniqueCount="492">
  <si>
    <t>LỊCH THỜI TIẾT MÙA MƯA &amp; CÁC NGÀY NGHỈ LỄ DỰ ÁN – 23HG SYSTEM</t>
  </si>
  <si>
    <t>Lịch công trường chuẩn Việt Nam: 6 ngày/tuần (Nghỉ Chủ nhật). Tuân thủ Bộ luật Lao động 2019 &amp; TCVN 8819:2011</t>
  </si>
  <si>
    <t>I. DANH MỤC CÁC NGÀY NGHỈ LỄ QUỐC GIA CHÍNH THỨC (CÔNG TRƯỜNG NGHỈ THI CÔNG)</t>
  </si>
  <si>
    <t>STT</t>
  </si>
  <si>
    <t>Thời Gian</t>
  </si>
  <si>
    <t>Nội Dung Ngày Nghỉ Lễ / Sự Kiện</t>
  </si>
  <si>
    <t>Số Ngày Nghỉ</t>
  </si>
  <si>
    <t>Hệ Số Năng Suất K_tt</t>
  </si>
  <si>
    <t>Quy Định Điều Hành Công Trường</t>
  </si>
  <si>
    <t>01/01/2024</t>
  </si>
  <si>
    <t>Nghỉ Tết Dương Lịch 2024</t>
  </si>
  <si>
    <t>Nghỉ lễ 1 ngày, trực ban bảo vệ công trường 24/24</t>
  </si>
  <si>
    <t>08/02/2024 - 14/02/2024</t>
  </si>
  <si>
    <t>Nghỉ Tết Nguyên Đán Giáp Thìn 2024</t>
  </si>
  <si>
    <t>Dừng thi công toàn diện, niêm phong kho vật tư thiết bị</t>
  </si>
  <si>
    <t>18/04/2024</t>
  </si>
  <si>
    <t>Giỗ Tổ Hùng Vương (10/3 Âm lịch)</t>
  </si>
  <si>
    <t>Nghỉ lễ theo quy định Nhà nước</t>
  </si>
  <si>
    <t>30/04/2024 - 01/05/2024</t>
  </si>
  <si>
    <t>Kỷ niệm Chiến thắng 30/4 &amp; Quốc tế Lao động 1/5</t>
  </si>
  <si>
    <t>Nghỉ lễ 2 ngày, trực chỉ huy công trường</t>
  </si>
  <si>
    <t>02/09/2024 - 03/09/2024</t>
  </si>
  <si>
    <t>Kỷ niệm Ngày Quốc Khánh 2/9</t>
  </si>
  <si>
    <t>Nghỉ lễ 2 ngày, kiểm tra thoát lũ mùa mưa</t>
  </si>
  <si>
    <t>01/01/2025</t>
  </si>
  <si>
    <t>Nghỉ Tết Dương Lịch 2025</t>
  </si>
  <si>
    <t>Nghỉ lễ 1 ngày theo quy định</t>
  </si>
  <si>
    <t>27/01/2025 - 02/02/2025</t>
  </si>
  <si>
    <t>Nghỉ Tết Nguyên Đán Ất Tỵ 2025</t>
  </si>
  <si>
    <t>Dừng thi công 7 ngày, bố trí bảo vệ thường trực</t>
  </si>
  <si>
    <t>07/04/2025</t>
  </si>
  <si>
    <t>Giỗ Tổ Hùng Vương 2025</t>
  </si>
  <si>
    <t>30/04/2025 - 01/05/2025</t>
  </si>
  <si>
    <t>Kỷ niệm Ngày Giải phóng &amp; Quốc tế Lao động</t>
  </si>
  <si>
    <t>Nghỉ lễ 2 ngày</t>
  </si>
  <si>
    <t>02/09/2025 - 03/09/2025</t>
  </si>
  <si>
    <t>Kỷ niệm Ngày Quốc Khánh 2025</t>
  </si>
  <si>
    <t>Nghỉ lễ 2 ngày, chuẩn bị nước rút hoàn thành</t>
  </si>
  <si>
    <t>II. QUY ĐỊNH MÙA MƯA CAO ĐIỂM &amp; ĐIỀU KIỆN THI CÔNG NGHIÊM NGẶT (TCVN 8819:2011)</t>
  </si>
  <si>
    <t>Khung Thời Gian</t>
  </si>
  <si>
    <t>Đặc Điểm Thời Tiết Khí Hậu</t>
  </si>
  <si>
    <t>Hạng Mục Cho Phép Thi Công</t>
  </si>
  <si>
    <t>Hạng Mục TUYỆT ĐỐI CẤM Thi Công</t>
  </si>
  <si>
    <t>Tháng 12/2023 - Tháng 05/2024</t>
  </si>
  <si>
    <t>Mùa khô cao điểm (Nhiệt độ 22-34°C, ít mưa)</t>
  </si>
  <si>
    <t>Đào đất, phá đá, đắp K95/K98, cống rãnh, móng đá dăm</t>
  </si>
  <si>
    <t>Không có cấm đoán</t>
  </si>
  <si>
    <t>Tháng 06/2024 - Tháng 09/2024</t>
  </si>
  <si>
    <t>Mùa mưa lũ đợt 1 (Mưa rào lớn, giông lốc)</t>
  </si>
  <si>
    <t>Đào nền, thi công hạ bộ cống, nạo vét bùn rãnh</t>
  </si>
  <si>
    <t>CẤM: Thảm BTN, rải CPĐD gia cố xi măng (CTB), đắp K98 khi mưa</t>
  </si>
  <si>
    <t>Tháng 10/2024 - Tháng 05/2025</t>
  </si>
  <si>
    <t>Mùa khô hanh đợt 2 (Điều kiện thi công lý tưởng)</t>
  </si>
  <si>
    <t>Tổng lực thảm CTB, thảm BTN C19/C12.5, móng CPĐD, ATGT</t>
  </si>
  <si>
    <t>Tháng 06/2025 - Tháng 09/2025</t>
  </si>
  <si>
    <t>Mùa mưa lũ đợt 2 (Mưa tập trung dồn dập)</t>
  </si>
  <si>
    <t>Gia cố rãnh xây đá, lắp hộ lan, đúc cấu kiện rãnh</t>
  </si>
  <si>
    <t>CẤM: Thảm mặt đường BTN, tưới nhựa thấm bám/dính bám</t>
  </si>
  <si>
    <t>Tháng 10/2025 - Tháng 11/2025</t>
  </si>
  <si>
    <t>Mùa khô nước rút hoàn thiện dự án</t>
  </si>
  <si>
    <t>Sơn đường, cọc tiêu biển báo, nghiệm thu, bàn giao</t>
  </si>
  <si>
    <t>CƠ SỞ DỮ LIỆU ĐỊNH MỨC NĂNG SUẤT CA MÁY &amp; HAO PHÍ XÂY LẮP – 23HG SYSTEM</t>
  </si>
  <si>
    <t>Chuẩn hóa theo Thông tư 38/2026/TT-BXD, Thông tư 36/2026/TT-BXD &amp; Luật Xây dựng 135/2025/QH15</t>
  </si>
  <si>
    <t>Mã Hiệu</t>
  </si>
  <si>
    <t>Tên Công Tác Xây Lắp</t>
  </si>
  <si>
    <t>Đơn Vị</t>
  </si>
  <si>
    <t>Thành Phần Thiết Bị Chủ Lực</t>
  </si>
  <si>
    <t>Năng Suất 1 Ca Máy</t>
  </si>
  <si>
    <t>Đơn Giá Dự Toán (VNĐ)</t>
  </si>
  <si>
    <t>Quy Chuẩn Căn Cứ</t>
  </si>
  <si>
    <t>AB.11312</t>
  </si>
  <si>
    <t>Đào bóc đất hữu cơ bằng máy đào bánh xích gầu 1.25m3</t>
  </si>
  <si>
    <t>100 m3</t>
  </si>
  <si>
    <t>Máy đào gầu 1.25m3, ôtô 15T</t>
  </si>
  <si>
    <t>450 m3/ca</t>
  </si>
  <si>
    <t>TT 38/2026/TT-BXD</t>
  </si>
  <si>
    <t>AB.24123</t>
  </si>
  <si>
    <t>Đào đất nền đường bằng máy đào gầu 1.6m3, đổ lên ô tô</t>
  </si>
  <si>
    <t>Máy đào gầu 1.6m3, ôtô 15T</t>
  </si>
  <si>
    <t>500 m3/ca</t>
  </si>
  <si>
    <t>AB.31114</t>
  </si>
  <si>
    <t>Đào phá đá nền đường bằng búa đập thủy lực gắn máy đào</t>
  </si>
  <si>
    <t>Máy đào gắn búa đập đá, máy nén khí</t>
  </si>
  <si>
    <t>130 m3/ca</t>
  </si>
  <si>
    <t>AB.51123</t>
  </si>
  <si>
    <t>Đắp đất nền đường độ đầm chặt K95 bằng lu rung 25T</t>
  </si>
  <si>
    <t>Lu rung 25T, máy san 110CV, xe tưới</t>
  </si>
  <si>
    <t>415 m3/ca</t>
  </si>
  <si>
    <t>AB.51133</t>
  </si>
  <si>
    <t>Đắp đất bao và nền đường hoàn thiện độ đầm chặt K98</t>
  </si>
  <si>
    <t>Lu rung 25T, lu bánh lốp 16T, máy san</t>
  </si>
  <si>
    <t>320 m3/ca</t>
  </si>
  <si>
    <t>AB.71110</t>
  </si>
  <si>
    <t>Vận chuyển đất bằng ô tô tự đổ 15T trong phạm vi 1km</t>
  </si>
  <si>
    <t>Đoàn ô tô tự đổ 15 tấn (3 chân)</t>
  </si>
  <si>
    <t>550 m3/ca</t>
  </si>
  <si>
    <t>AB.71120</t>
  </si>
  <si>
    <t>Vận chuyển đất ô tô 15T cự ly tiếp theo đến bãi thải</t>
  </si>
  <si>
    <t>100 m3/km</t>
  </si>
  <si>
    <t>Đoàn ô tô tự đổ 15 tấn</t>
  </si>
  <si>
    <t>400 m3/ca</t>
  </si>
  <si>
    <t>AL.11110</t>
  </si>
  <si>
    <t>Đào hố móng cống và đào rãnh thoát nước bằng máy đào 0.8m3</t>
  </si>
  <si>
    <t>Máy đào gầu 0.8m3, nhân công sửa đáy</t>
  </si>
  <si>
    <t>220 m3/ca</t>
  </si>
  <si>
    <t>AL.12110</t>
  </si>
  <si>
    <t>Lắp đặt cống tròn BTCT đúc sẵn D1000 và D1500</t>
  </si>
  <si>
    <t>m</t>
  </si>
  <si>
    <t>Cần cẩu bánh lốp 25T, máy trộn vữa</t>
  </si>
  <si>
    <t>12 m/ca</t>
  </si>
  <si>
    <t>AL.21110</t>
  </si>
  <si>
    <t>Xây rãnh thoát nước biên hình thang gia cố đá hộc/bê tông</t>
  </si>
  <si>
    <t>m3</t>
  </si>
  <si>
    <t>Máy trộn bê tông 250L, tổ thợ nề</t>
  </si>
  <si>
    <t>15 m3/ca</t>
  </si>
  <si>
    <t>AD.11210</t>
  </si>
  <si>
    <t>Thi công móng Cấp phối đá dăm loại 2 (dày 15cm)</t>
  </si>
  <si>
    <t>Máy rải đá, lu rung 25T, xe bồn nước</t>
  </si>
  <si>
    <t>AD.11220</t>
  </si>
  <si>
    <t>Thi công móng Cấp phối đá dăm loại 1 (dày 15cm)</t>
  </si>
  <si>
    <t>Máy rải đá, lu rung 25T, lu tĩnh bánh sắt</t>
  </si>
  <si>
    <t>380 m3/ca</t>
  </si>
  <si>
    <t>AD.12110</t>
  </si>
  <si>
    <t>Thi công móng CPĐD gia cố xi măng CTB (dày 15cm)</t>
  </si>
  <si>
    <t>Trạm trộn CTB 150T/h, máy rải, lu rung</t>
  </si>
  <si>
    <t>350 m3/ca</t>
  </si>
  <si>
    <t>AD.23210</t>
  </si>
  <si>
    <t>Tưới nhựa dính bám và thảm Bê tông nhựa hạt trung C19 (7cm)</t>
  </si>
  <si>
    <t>100 m2</t>
  </si>
  <si>
    <t>Xe phun nhựa, trạm 120T/h, 2 máy thảm</t>
  </si>
  <si>
    <t>350 tấn/ca</t>
  </si>
  <si>
    <t>AD.23220</t>
  </si>
  <si>
    <t>Thảm Bê tông nhựa hạt mịn C12.5 (dày 5cm)</t>
  </si>
  <si>
    <t>Trạm trộn 120T/h, 2 máy thảm, lu lốp</t>
  </si>
  <si>
    <t>300 tấn/ca</t>
  </si>
  <si>
    <t>AH.11110</t>
  </si>
  <si>
    <t>Lắp đặt hệ thống ATGT: Sơn kẻ đường nhiệt, biển báo, hộ lan</t>
  </si>
  <si>
    <t>km</t>
  </si>
  <si>
    <t>Xe sơn đường dẻo nhiệt, máy ép cọc hộ lan</t>
  </si>
  <si>
    <t>0.5 km/ca</t>
  </si>
  <si>
    <t>BẢNG TIÊN LƯỢNG KHỐI LƯỢNG (BOQ), ĐỊNH MỨC CA MÁY &amp; CHI PHÍ DỰ TOÁN G_XD</t>
  </si>
  <si>
    <t>Dự án: Xây dựng tuyến đường giao thông (Km 0+000 – Km 5+500, L = 5.50 km) – Chuẩn hóa Thông tư 38/2026 &amp; TT 36/2026/TT-BXD</t>
  </si>
  <si>
    <t>Nội Dung Công Tác Xây Lắp</t>
  </si>
  <si>
    <t>Khối Lượng Thiết Kế (CAD)</t>
  </si>
  <si>
    <t>Đơn Giá Trực Tiếp (VNĐ)</t>
  </si>
  <si>
    <t>Thành Tiền Trực Tiếp (VNĐ)</t>
  </si>
  <si>
    <t>Mã WBS Tiến Độ</t>
  </si>
  <si>
    <t>Năng Suất Tổ Đội (ngày)</t>
  </si>
  <si>
    <t>Thời Lượng Tính Toán (ngày)</t>
  </si>
  <si>
    <t>A</t>
  </si>
  <si>
    <t>I. PHÂN ĐOẠN A1 (Km 0+000 – Km 2+750, Chiều dài L = 2.75 km)</t>
  </si>
  <si>
    <t>1.2</t>
  </si>
  <si>
    <t>Đào bóc lớp đất hữu cơ, đổ bãi thải L = 3.5km</t>
  </si>
  <si>
    <t>1.2.1.1</t>
  </si>
  <si>
    <t>Đào đất nền đường bằng máy đào 1.6m3, vận chuyển điều phối L &lt;= 1km</t>
  </si>
  <si>
    <t>1.2.1.2</t>
  </si>
  <si>
    <t>Đào phá đá nền đường bằng búa đập thủy lực (2 máy búa đồng thời)</t>
  </si>
  <si>
    <t>1.2.1.3</t>
  </si>
  <si>
    <t>Đắp đất nền đường độ đầm chặt K95 (2 tổ lu rung 25T)</t>
  </si>
  <si>
    <t>1.2.1.4</t>
  </si>
  <si>
    <t>Đắp đất bao và đắp hoàn thiện nền K98 dày 30cm</t>
  </si>
  <si>
    <t>1.2.1.5</t>
  </si>
  <si>
    <t>Xây dựng cống tròn thoát nước ngang đường BTCT D1000 &amp; D1500</t>
  </si>
  <si>
    <t>1.2.1.6</t>
  </si>
  <si>
    <t>Xây dựng rãnh biên hình thang thoát nước dọc &amp; gia cố mái taluy</t>
  </si>
  <si>
    <t>1.2.1.7</t>
  </si>
  <si>
    <t>Thi công móng Cấp phối đá dăm loại 2 dày 15cm</t>
  </si>
  <si>
    <t>m2</t>
  </si>
  <si>
    <t>1.2.1.8</t>
  </si>
  <si>
    <t>Thi công móng Cấp phối đá dăm loại 1 dày 15cm</t>
  </si>
  <si>
    <t>1.2.1.9</t>
  </si>
  <si>
    <t>Thi công móng CPĐD gia cố xi măng (CTB dày 15cm - Mùa khô)</t>
  </si>
  <si>
    <t>1.2.1.10</t>
  </si>
  <si>
    <t>Tưới nhựa dính bám và thảm BTN C19 (7cm) + BTN C12.5 (5cm)</t>
  </si>
  <si>
    <t>1.2.1.11</t>
  </si>
  <si>
    <t>Hệ thống ATGT: Sơn dẻo nhiệt, biển báo, hộ lan tôn sóng Phân đoạn A1</t>
  </si>
  <si>
    <t>1.2.1.12</t>
  </si>
  <si>
    <t>B</t>
  </si>
  <si>
    <t>II. PHÂN ĐOẠN A2 (Km 2+750 – Km 5+500, Chiều dài L = 2.75 km)</t>
  </si>
  <si>
    <t>1.3</t>
  </si>
  <si>
    <t>Đào bóc lớp đất hữu cơ, đổ bãi thải L = 4.0km</t>
  </si>
  <si>
    <t>1.3.1.1</t>
  </si>
  <si>
    <t>1.3.1.2</t>
  </si>
  <si>
    <t>1.3.1.3</t>
  </si>
  <si>
    <t>1.3.1.4</t>
  </si>
  <si>
    <t>1.3.1.5</t>
  </si>
  <si>
    <t>1.3.1.6</t>
  </si>
  <si>
    <t>1.3.1.7</t>
  </si>
  <si>
    <t>1.3.1.8</t>
  </si>
  <si>
    <t>1.3.1.9</t>
  </si>
  <si>
    <t>1.3.1.10</t>
  </si>
  <si>
    <t>1.3.1.11</t>
  </si>
  <si>
    <t>Hệ thống ATGT: Sơn dẻo nhiệt, biển báo, hộ lan tôn sóng Phân đoạn A2</t>
  </si>
  <si>
    <t>1.3.1.12</t>
  </si>
  <si>
    <t>TỔNG CHI PHÍ TRỰC TIẾP (T) = T_A1 + T_A2</t>
  </si>
  <si>
    <t>CHI PHÍ GIÁN TIẾP (GT) = 6.5% x T (NĐ 206/2026)</t>
  </si>
  <si>
    <t>THU NHẬP CHỊU THUẾ TÍNH TRƯỚC (TL) = 5.5% x (T + GT)</t>
  </si>
  <si>
    <t>THUẾ GIÁ TRỊ GIA TĂNG (VAT) = 10% x (T + GT + TL)</t>
  </si>
  <si>
    <t>TỔNG CHI PHÍ XÂY DỰNG G_XD (T + GT + TL + VAT)</t>
  </si>
  <si>
    <t>• HỆ THỐNG QUẢN LÝ TIẾN ĐỘ THI CÔNG &amp; MẠNG CPM TỰ ĐỘNG – 23HG SYSTEM</t>
  </si>
  <si>
    <t>DỰ ÁN: DỰ ÁN MẪU - XÂY DỰNG TUYẾN ĐƯỜNG GIAO THÔNG (Km 0+000 – Km 5+500, L = 5.50 km)</t>
  </si>
  <si>
    <t>BẮT ĐẦU:</t>
  </si>
  <si>
    <t>KẾT THÚC:</t>
  </si>
  <si>
    <t>Ngày kiểm soát (Data Date):</t>
  </si>
  <si>
    <t>Lịch thi công:</t>
  </si>
  <si>
    <t>6 ngày/tuần (Nghỉ CN &amp; Lễ)</t>
  </si>
  <si>
    <t>Chế độ CPM:</t>
  </si>
  <si>
    <t>Tự động (Forward/Backward Pass)</t>
  </si>
  <si>
    <t>BẢNG TIẾN ĐỘ THI CÔNG CHI TIẾT (CPM TỰ ĐỘNG) – GÓI THẦU SỐ 01</t>
  </si>
  <si>
    <t>Năm 2023</t>
  </si>
  <si>
    <t>Năm 2024</t>
  </si>
  <si>
    <t>Năm 2025</t>
  </si>
  <si>
    <t>Mã WBS</t>
  </si>
  <si>
    <t>Nội Dung Hạng Mục Công Việc</t>
  </si>
  <si>
    <t>Loại</t>
  </si>
  <si>
    <t>Công Tác Tiền Nhiệm (Predecessors)</t>
  </si>
  <si>
    <t>Thời Lượng (Work Days)</t>
  </si>
  <si>
    <t>Hệ Số Mưa K_tt</t>
  </si>
  <si>
    <t>Khởi Công (ES)</t>
  </si>
  <si>
    <t>Hoàn Thành (EF)</t>
  </si>
  <si>
    <t>Ngày Lịch (Cal Days)</t>
  </si>
  <si>
    <t>Dự Trữ TF</t>
  </si>
  <si>
    <t>Đường Găng</t>
  </si>
  <si>
    <t>% Hoàn Thành (Tại Data Date)</t>
  </si>
  <si>
    <t>T12/23</t>
  </si>
  <si>
    <t>T01/24</t>
  </si>
  <si>
    <t>T02/24</t>
  </si>
  <si>
    <t>T03/24</t>
  </si>
  <si>
    <t>T04/24</t>
  </si>
  <si>
    <t>T05/24</t>
  </si>
  <si>
    <t>T06/24</t>
  </si>
  <si>
    <t>T07/24</t>
  </si>
  <si>
    <t>T08/24</t>
  </si>
  <si>
    <t>T09/24</t>
  </si>
  <si>
    <t>T10/24</t>
  </si>
  <si>
    <t>T11/24</t>
  </si>
  <si>
    <t>T12/24</t>
  </si>
  <si>
    <t>T01/25</t>
  </si>
  <si>
    <t>T02/25</t>
  </si>
  <si>
    <t>T03/25</t>
  </si>
  <si>
    <t>T04/25</t>
  </si>
  <si>
    <t>T05/25</t>
  </si>
  <si>
    <t>T06/25</t>
  </si>
  <si>
    <t>T07/25</t>
  </si>
  <si>
    <t>T08/25</t>
  </si>
  <si>
    <t>T09/25</t>
  </si>
  <si>
    <t>T10/25</t>
  </si>
  <si>
    <t>T11/25</t>
  </si>
  <si>
    <t>1</t>
  </si>
  <si>
    <t>GÓI THẦU SỐ 01: XÂY LẮP ĐƯỜNG GIAO THÔNG (Km 0+000 – Km 5+500)</t>
  </si>
  <si>
    <t>Summary</t>
  </si>
  <si>
    <t>1.1</t>
  </si>
  <si>
    <t>Công tác chuẩn bị &amp; phụ trợ thi công công trường</t>
  </si>
  <si>
    <t>1.1.1</t>
  </si>
  <si>
    <t>Huy động nhân lực, thiết bị &amp; mặt bằng công trường A</t>
  </si>
  <si>
    <t>Task</t>
  </si>
  <si>
    <t>1.1.2</t>
  </si>
  <si>
    <t>Đường công vụ, lán trại, bãi tập kết vật liệu công trường A</t>
  </si>
  <si>
    <t>1.1.1FS</t>
  </si>
  <si>
    <t>1.1.3</t>
  </si>
  <si>
    <t>Huy động nhân lực, thiết bị &amp; mặt bằng công trường B</t>
  </si>
  <si>
    <t>1.1.4</t>
  </si>
  <si>
    <t>Đường công vụ, lán trại, bãi tập kết vật liệu công trường B</t>
  </si>
  <si>
    <t>1.1.3FS</t>
  </si>
  <si>
    <t>Tuyến chính Phân đoạn A1 (Km 0+000 – Km 2+750, L = 2.75 km)</t>
  </si>
  <si>
    <t>Dọn dẹp mặt bằng, phát quang &amp; bóc đất hữu cơ (27.000 m3)</t>
  </si>
  <si>
    <t>Đào đất nền đường &amp; vận chuyển điều phối (145.000 m3)</t>
  </si>
  <si>
    <t>1.2.1.1SS+20</t>
  </si>
  <si>
    <t>Đào phá đá nền đường bằng búa đập thủy lực (38.000 m3)</t>
  </si>
  <si>
    <t>1.2.1.2SS+15</t>
  </si>
  <si>
    <t>Thi công đắp đất nền đường độ chặt K95 (95.000 m3)</t>
  </si>
  <si>
    <t>1.2.1.2SS+45</t>
  </si>
  <si>
    <t>Thi công đắp đất bao &amp; hoàn thiện nền K98 (18.000 m3)</t>
  </si>
  <si>
    <t>1.2.1.4FS</t>
  </si>
  <si>
    <t>Xây dựng cống tròn thoát nước ngang D1000/D1500 (360m)</t>
  </si>
  <si>
    <t>1.2.1.2SS+30</t>
  </si>
  <si>
    <t>Xây dựng rãnh biên hình thang &amp; gia cố mái taluy (2.400m)</t>
  </si>
  <si>
    <t>1.2.1.5SS+10</t>
  </si>
  <si>
    <t>Thi công móng Cấp phối đá dăm loại 2 (36.000 m2)</t>
  </si>
  <si>
    <t>1.2.1.5FS</t>
  </si>
  <si>
    <t>Thi công móng Cấp phối đá dăm loại 1 (34.000 m2)</t>
  </si>
  <si>
    <t>1.2.1.8FS+1</t>
  </si>
  <si>
    <t>Thi công móng CPĐD gia cố xi măng (CTB - Mùa khô T1/25)</t>
  </si>
  <si>
    <t>1.2.1.9FS+1</t>
  </si>
  <si>
    <t>Mặt đường BTN C19 (7cm) &amp; BTN C12.5 (5cm) (Mùa khô T2-4/25)</t>
  </si>
  <si>
    <t>1.2.1.10FS+10</t>
  </si>
  <si>
    <t>Lắp đặt hệ thống ATGT: Sơn đường, biển báo, hộ lan Phân đoạn A1</t>
  </si>
  <si>
    <t>1.2.1.11FS+5</t>
  </si>
  <si>
    <t>Tuyến chính Phân đoạn A2 (Km 2+750 – Km 5+500, L = 2.75 km)</t>
  </si>
  <si>
    <t>Dọn dẹp mặt bằng, phát quang &amp; bóc đất hữu cơ (20.000 m3)</t>
  </si>
  <si>
    <t>1.1.3FS+15</t>
  </si>
  <si>
    <t>Đào đất nền đường &amp; vận chuyển điều phối (130.000 m3)</t>
  </si>
  <si>
    <t>1.3.1.1SS+15</t>
  </si>
  <si>
    <t>Đào phá đá nền đường bằng búa đập thủy lực (42.000 m3)</t>
  </si>
  <si>
    <t>1.3.1.2SS+15</t>
  </si>
  <si>
    <t>Thi công đắp đất nền đường độ chặt K95 (110.000 m3)</t>
  </si>
  <si>
    <t>1.3.1.2SS+40</t>
  </si>
  <si>
    <t>Thi công đắp đất bao &amp; hoàn thiện nền K98 (22.000 m3)</t>
  </si>
  <si>
    <t>1.3.1.4FS</t>
  </si>
  <si>
    <t>Xây dựng cống tròn thoát nước ngang D1000/D1500 (420m)</t>
  </si>
  <si>
    <t>1.3.1.2SS+25</t>
  </si>
  <si>
    <t>Xây dựng rãnh biên hình thang &amp; gia cố mái taluy (2.600m)</t>
  </si>
  <si>
    <t>1.3.1.5SS+10</t>
  </si>
  <si>
    <t>Thi công móng Cấp phối đá dăm loại 2 (38.000 m2)</t>
  </si>
  <si>
    <t>1.3.1.5FS</t>
  </si>
  <si>
    <t>Thi công móng Cấp phối đá dăm loại 1 (36.000 m2)</t>
  </si>
  <si>
    <t>1.3.1.8FS+1</t>
  </si>
  <si>
    <t>Thi công móng CPĐD gia cố xi măng (CTB - Mùa khô T3/25)</t>
  </si>
  <si>
    <t>1.3.1.9FS+1</t>
  </si>
  <si>
    <t>Mặt đường BTN C19 (7cm) &amp; BTN C12.5 (5cm) (Mùa khô T3-5/25)</t>
  </si>
  <si>
    <t>1.3.1.10FS+10</t>
  </si>
  <si>
    <t>Lắp đặt hệ thống ATGT: Sơn đường, biển báo, hộ lan Phân đoạn A2</t>
  </si>
  <si>
    <t>1.3.1.11FS+5</t>
  </si>
  <si>
    <t>1.4</t>
  </si>
  <si>
    <t>Công tác hoàn thiện, nghiệm thu bàn giao &amp; hoàn công</t>
  </si>
  <si>
    <t>1.4.1</t>
  </si>
  <si>
    <t>Thí nghiệm kiểm tra độ bằng phẳng thước 3m, độ nhám, Benkelman</t>
  </si>
  <si>
    <t>1.3.1.12FS+5</t>
  </si>
  <si>
    <t>1.4.2</t>
  </si>
  <si>
    <t>Dọn dẹp mặt bằng, hoàn trả đường công vụ &amp; vệ sinh môi trường</t>
  </si>
  <si>
    <t>1.4.1FS</t>
  </si>
  <si>
    <t>1.4.3</t>
  </si>
  <si>
    <t>Lập trọn bộ hồ sơ hoàn công &amp; hồ sơ QLCL (NĐ 207/2026/NĐ-CP)</t>
  </si>
  <si>
    <t>1.4.2FS</t>
  </si>
  <si>
    <t>1.4.4</t>
  </si>
  <si>
    <t>NGHIỆM THU HOÀN THÀNH CÔNG TRÌNH BÀN GIAO ĐƯA VÀO SỬ DỤNG</t>
  </si>
  <si>
    <t>Milestone</t>
  </si>
  <si>
    <t>1.4.3FS+5</t>
  </si>
  <si>
    <t>HỆ THỐNG QUẢN TRỊ GIÁ TRỊ THU ĐƯỢC (EVM 5D) &amp; ĐƯỜNG CƠ SỞ BASELINE – 23HG SYSTEM</t>
  </si>
  <si>
    <t>Kiểm soát Tiến độ - Chi phí (PV, EV, AC, SV, CV, SPI, CPI) theo chuẩn quốc tế PMI &amp; Nghị định 206/2026/NĐ-CP</t>
  </si>
  <si>
    <t>TỔNG DỰ TOÁN (BAC)</t>
  </si>
  <si>
    <t>KẾ HOẠCH TÍCH LŨY (PV)</t>
  </si>
  <si>
    <t>GIÁ TRỊ ĐẠT ĐƯỢC (EV)</t>
  </si>
  <si>
    <t>CHI PHÍ THỰC TẾ (AC)</t>
  </si>
  <si>
    <t>CHÊNH LỆCH TIẾN ĐỘ (SV)</t>
  </si>
  <si>
    <t>HỆ SỐ TIẾN ĐỘ (SPI)</t>
  </si>
  <si>
    <t>HỆ SỐ CHI PHÍ (CPI)</t>
  </si>
  <si>
    <t>ĐÁNH GIÁ SỨC KHỎE DỰ ÁN (TẠI DATA DATE 30/06/2024):</t>
  </si>
  <si>
    <t>WBS</t>
  </si>
  <si>
    <t>Hạng Mục Công Tác Xây Lắp</t>
  </si>
  <si>
    <t>Dự Toán BAC (VNĐ)</t>
  </si>
  <si>
    <t>Baseline Bắt Đầu (Đóng Băng)</t>
  </si>
  <si>
    <t>Baseline Kết Thúc (Đóng Băng)</t>
  </si>
  <si>
    <t>Thực Tế Bắt Đầu</t>
  </si>
  <si>
    <t>Thực Tế Kết Thúc</t>
  </si>
  <si>
    <t>% Hoàn Thành (EV%)</t>
  </si>
  <si>
    <t>Planned Value (PV)</t>
  </si>
  <si>
    <t>Earned Value (EV)</t>
  </si>
  <si>
    <t>Actual Cost (AC)</t>
  </si>
  <si>
    <t>SPI</t>
  </si>
  <si>
    <t>CPI</t>
  </si>
  <si>
    <t>KẾ HOẠCH HUY ĐỘNG &amp; CÂN BẰNG TÀI NGUYÊN XE MÁY THIẾT BỊ (XMTB)</t>
  </si>
  <si>
    <t>Kiểm soát đỉnh tải thiết bị - Khớp năng suất định mức ca máy theo Thông tư 38/2026/TT-BXD</t>
  </si>
  <si>
    <t>Chủng Loại Xe Máy Thiết Bị</t>
  </si>
  <si>
    <t>Thông Số Kỹ Thuật</t>
  </si>
  <si>
    <t>Năng Lực Sở Hữu Tối Đa</t>
  </si>
  <si>
    <t>Máy đào bánh xích gầu nghịch</t>
  </si>
  <si>
    <t>Dung tích gầu 1.25 - 1.6 m3 (Hitachi/Komatsu)</t>
  </si>
  <si>
    <t>Chiếc</t>
  </si>
  <si>
    <t>Máy đào gắn búa đập đá thủy lực</t>
  </si>
  <si>
    <t>Búa đập đá áp lực cao 180-220 Bar</t>
  </si>
  <si>
    <t>Ô tô tự đổ chuyên dụng</t>
  </si>
  <si>
    <t>Tải trọng 15 tấn - 3 chân (Howo/Hino)</t>
  </si>
  <si>
    <t>Máy ủi bánh xích</t>
  </si>
  <si>
    <t>Công suất 110 - 140 CV (Komatsu D31/D41)</t>
  </si>
  <si>
    <t>Máy lu rung tự hành</t>
  </si>
  <si>
    <t>Tải trọng tĩnh 14T, lực rung 25T (Hamm/Bomag)</t>
  </si>
  <si>
    <t>Máy rải Cấp phối đá dăm &amp; CTB</t>
  </si>
  <si>
    <t>Bề rộng rải 3.0 - 9.0m (Vögele/Dynapac)</t>
  </si>
  <si>
    <t>Trạm trộn BTN &amp; Dàn thảm nhựa nóng</t>
  </si>
  <si>
    <t>Trạm trộn 120T/h + 2 Máy thảm mặt</t>
  </si>
  <si>
    <t>Dàn</t>
  </si>
  <si>
    <t>Cần cẩu bánh lốp lắp cống &amp; cọc</t>
  </si>
  <si>
    <t>Sức nâng 25 tấn (Kato/Tadano)</t>
  </si>
  <si>
    <t>KẾ HOẠCH DÒNG TIỀN &amp; TIẾN ĐỘ GIẢI NGÂN (S-CURVE TÀI CHÍNH)</t>
  </si>
  <si>
    <t>Tuân thủ Nghị định 206/2026/NĐ-CP: Tạm ứng hợp đồng 20%, thu hồi tạm ứng từ 30% đến 80%, giữ bảo hành 5%</t>
  </si>
  <si>
    <t>Kỳ TT</t>
  </si>
  <si>
    <t>Thời Gian (Tháng / Quý)</t>
  </si>
  <si>
    <t>Nội Dung Nghiệm Thu Trọng Tâm</t>
  </si>
  <si>
    <t>Giá Trị Khối Lượng Hoàn Thành (VNĐ)</t>
  </si>
  <si>
    <t>Khấu Trừ Thu Hồi Tạm Ứng (VNĐ)</t>
  </si>
  <si>
    <t>Giữ Lại Bảo Hành 5% (VNĐ)</t>
  </si>
  <si>
    <t>Số Tiền Thực Thanh Toán Kỳ (VNĐ)</t>
  </si>
  <si>
    <t>Lũy Kế Giải Ngân (VNĐ)</t>
  </si>
  <si>
    <t>T12/2023</t>
  </si>
  <si>
    <t>TẠM ỨNG HỢP ĐỒNG 20% (Theo NĐ 206/2026/NĐ-CP)</t>
  </si>
  <si>
    <t>Q1/2024</t>
  </si>
  <si>
    <t>Huy động công trường, bóc đất hữu cơ, đường công vụ</t>
  </si>
  <si>
    <t>Q2/2024</t>
  </si>
  <si>
    <t>Đào đất, đào đá nền đường, thi công cống ngang D1000/1500</t>
  </si>
  <si>
    <t>Q3/2024</t>
  </si>
  <si>
    <t>Hoàn thành đào đá, đắp K95 vượt lũ mùa mưa</t>
  </si>
  <si>
    <t>Q4/2024</t>
  </si>
  <si>
    <t>Đắp hoàn thiện K98, rãnh dọc biên &amp; móng CPĐD loại 2</t>
  </si>
  <si>
    <t>Q1/2025</t>
  </si>
  <si>
    <t>Móng CPĐD loại 1 và móng gia cố xi măng CTB</t>
  </si>
  <si>
    <t>Q2/2025</t>
  </si>
  <si>
    <t>Thảm bê tông nhựa nóng C19 và C12.5 toàn tuyến</t>
  </si>
  <si>
    <t>Q3/2025</t>
  </si>
  <si>
    <t>Hệ thống ATGT, sơn kẻ đường, dọn dẹp vệ sinh môi trường</t>
  </si>
  <si>
    <t>Q4/2025</t>
  </si>
  <si>
    <t>Nghiệm thu hoàn thành bàn giao công trình &amp; quyết toán</t>
  </si>
  <si>
    <t>T11/2026</t>
  </si>
  <si>
    <t>HOÀN TRẢ TIỀN GIỮ BẢO HÀNH CÔNG TRÌNH 5% (Hết hạn 12 tháng)</t>
  </si>
  <si>
    <t>KẾ HOẠCH NGHIỆM THU &amp; QUẢN LÝ CHẤT LƯỢNG (AEC-QLCL 23HG SYSTEM)</t>
  </si>
  <si>
    <t>Tuân thủ Luật Xây dựng 135/2025/QH15, Nghị định 207/2026/NĐ-CP &amp; Thông tư 32/2026/TT-BXD – Tự động đồng bộ ngày tháng từ Tiến độ</t>
  </si>
  <si>
    <t>Mã Biên Bản</t>
  </si>
  <si>
    <t>Tên Công Việc Nghiệm Thu (NĐ 207/2026)</t>
  </si>
  <si>
    <t>Vị Trí Lý Trình (WBS)</t>
  </si>
  <si>
    <t>Ngày Bắt Đầu</t>
  </si>
  <si>
    <t>Ngày Hoàn Thành</t>
  </si>
  <si>
    <t>Chỉ Dẫn Kỹ Thuật / Tiêu Chuẩn Áp Dụng</t>
  </si>
  <si>
    <t>Hồ Sơ Thí Nghiệm Bắt Buộc Kèm Theo</t>
  </si>
  <si>
    <t>NT-001</t>
  </si>
  <si>
    <t>Nghiệm thu dọn dẹp, phát quang &amp; bóc đất hữu cơ</t>
  </si>
  <si>
    <t>Km 0+000 - Km 2+750 (WBS 1.2.1.1)</t>
  </si>
  <si>
    <t>TCVN 4447:2012</t>
  </si>
  <si>
    <t>Biên bản đo vẽ cao độ đáy bóc hữu cơ</t>
  </si>
  <si>
    <t>NT-002</t>
  </si>
  <si>
    <t>Nghiệm thu đào nền đường &amp; xử lý đáy đào</t>
  </si>
  <si>
    <t>Km 0+000 - Km 2+750 (WBS 1.2.1.2)</t>
  </si>
  <si>
    <t>Thí nghiệm chỉ tiêu cơ lý đất đáy đào</t>
  </si>
  <si>
    <t>NT-003</t>
  </si>
  <si>
    <t>Nghiệm thu đào phá đá nền đường bằng búa đập thủy lực</t>
  </si>
  <si>
    <t>Km 0+000 - Km 2+750 (WBS 1.2.1.3)</t>
  </si>
  <si>
    <t>Nghiệm thu cao độ đáy đào đá &amp; độ bằng phẳng</t>
  </si>
  <si>
    <t>NT-004</t>
  </si>
  <si>
    <t>Nghiệm thu đắp đất nền đường phân lớp K95</t>
  </si>
  <si>
    <t>Km 0+000 - Km 2+750 (WBS 1.2.1.4)</t>
  </si>
  <si>
    <t>22 TCN 333-06 / AASHTO</t>
  </si>
  <si>
    <t>Thí nghiệm độ chặt K &gt;= 0.95 (phễu rót cát)</t>
  </si>
  <si>
    <t>NT-005</t>
  </si>
  <si>
    <t>Nghiệm thu đắp đất nền đường lớp K98 (dày 30cm)</t>
  </si>
  <si>
    <t>Km 0+000 - Km 2+750 (WBS 1.2.1.5)</t>
  </si>
  <si>
    <t>22 TCN 333-06 &amp; TCVN 8864</t>
  </si>
  <si>
    <t>Độ chặt K &gt;= 0.98 + Đo mô đun E cần Benkelman</t>
  </si>
  <si>
    <t>NT-006</t>
  </si>
  <si>
    <t>Nghiệm thu cống tròn thoát nước ngang D1000 &amp; D1500</t>
  </si>
  <si>
    <t>Km 0+000 - Km 2+750 (WBS 1.2.1.6)</t>
  </si>
  <si>
    <t>TCVN 9113:2012</t>
  </si>
  <si>
    <t>Chứng chỉ xuất xưởng ống cống, ép mẫu bê tông móng cống</t>
  </si>
  <si>
    <t>NT-007</t>
  </si>
  <si>
    <t>Nghiệm thu rãnh biên hình thang &amp; gia cố mái taluy</t>
  </si>
  <si>
    <t>Km 0+000 - Km 2+750 (WBS 1.2.1.7)</t>
  </si>
  <si>
    <t>Thí nghiệm cường độ đá hộc, vữa xi măng</t>
  </si>
  <si>
    <t>NT-008</t>
  </si>
  <si>
    <t>Nghiệm thu móng Cấp phối đá dăm loại 2 (dày 15cm)</t>
  </si>
  <si>
    <t>Km 0+000 - Km 2+750 (WBS 1.2.1.8)</t>
  </si>
  <si>
    <t>TCVN 8859:2011</t>
  </si>
  <si>
    <t>Thành phần hạt, Los Angeles, độ chặt K &gt;= 0.98</t>
  </si>
  <si>
    <t>NT-009</t>
  </si>
  <si>
    <t>Nghiệm thu móng Cấp phối đá dăm loại 1 (dày 15cm)</t>
  </si>
  <si>
    <t>Km 0+000 - Km 2+750 (WBS 1.2.1.9)</t>
  </si>
  <si>
    <t>Độ chặt K &gt;= 0.98 + Thước 3m đo gồ ghề</t>
  </si>
  <si>
    <t>NT-010</t>
  </si>
  <si>
    <t>Nghiệm thu móng CPĐD gia cố xi măng (CTB dày 15cm)</t>
  </si>
  <si>
    <t>Km 0+000 - Km 2+750 (WBS 1.2.1.10)</t>
  </si>
  <si>
    <t>TCVN 8858:2011</t>
  </si>
  <si>
    <t>Ép mẫu nén cường độ R7, R28 + Độ chặt K</t>
  </si>
  <si>
    <t>NT-011</t>
  </si>
  <si>
    <t>Nghiệm thu lớp tưới nhựa dính bám &amp; BTN hạt trung C19</t>
  </si>
  <si>
    <t>Km 0+000 - Km 2+750 (WBS 1.2.1.11)</t>
  </si>
  <si>
    <t>TCVN 8819:2011</t>
  </si>
  <si>
    <t>Độ ổn định Marshall, độ chặt K, nhiệt độ thảm</t>
  </si>
  <si>
    <t>NT-012</t>
  </si>
  <si>
    <t>Nghiệm thu thảm bê tông nhựa hạt mịn BTNC 12.5 (5cm)</t>
  </si>
  <si>
    <t>TCVN 8819:2011 &amp; TCVN 8866</t>
  </si>
  <si>
    <t>Đo độ nhám con lắc Anh + Độ bằng phẳng thước 3m</t>
  </si>
  <si>
    <t>NT-013</t>
  </si>
  <si>
    <t>Nghiệm thu hoàn thành mặt đường Phân đoạn A2</t>
  </si>
  <si>
    <t>Km 2+750 - Km 5+500 (WBS 1.3.1.11)</t>
  </si>
  <si>
    <t>Độ bằng phẳng, độ nhám, độ chặt K</t>
  </si>
  <si>
    <t>GĐ-001</t>
  </si>
  <si>
    <t>NGHIỆM THU HOÀN THÀNH GIAI ĐOẠN TOÀN BỘ CÔNG TRÌNH</t>
  </si>
  <si>
    <t>Toàn tuyến G1 (Km 0 - Km 5+500)</t>
  </si>
  <si>
    <t>Nghị định 207/2026/NĐ-CP</t>
  </si>
  <si>
    <t>Trọn bộ hồ sơ hoàn công &amp; biên bản thí nghiệm</t>
  </si>
  <si>
    <t>CẨM NANG VẬN HÀNH HỆ THỐNG QUẢN LÝ TIẾN ĐỘ THI CÔNG – 23HG SYSTEM PRO</t>
  </si>
  <si>
    <t>Tác giả: NBT (Nguyễn Bảo Tú) | GitHub: @baotuhg | Bản quyền Độc quyền Hệ Thống 23HG</t>
  </si>
  <si>
    <t>1. NGUYÊN TẮC CỐT LÕI &amp; CĂN CỨ PHÁP LÝ</t>
  </si>
  <si>
    <t>• Hệ thống 23HG Schedule Assistant Pro được thiết kế chuyên biệt cho công trình xây dựng tại Việt Nam.
• Tuân thủ nghiêm ngặt: Luật Xây dựng 135/2025/QH15, Nghị định 206/2026/NĐ-CP (Quản lý chi phí &amp; Hợp đồng), Nghị định 207/2026/NĐ-CP (Quản lý chất lượng &amp; Nghiệm thu), Thông tư 38/2026/TT-BXD (Định mức xây dựng) &amp; Thông tư 32/2026/TT-BXD.
• Lịch thi công: 6 ngày/tuần (Nghỉ Chủ nhật). Tự động loại trừ các ngày nghỉ Lễ/Tết Quốc gia theo Bộ luật Lao động 2019.
• Điều kiện thời tiết: Tự động nhân hệ số K_tt trong mùa mưa (Tháng 6 - Tháng 9). Tuyệt đối cấm thi công rải BTN và CTB vào mùa mưa!</t>
  </si>
  <si>
    <t>2. HƯỚNG DẪN THAY ĐỔI NGÀY KHỞI CÔNG &amp; THỜI LƯỢNG (CPM TỰ ĐỘNG)</t>
  </si>
  <si>
    <t>• Cách 1: Muốn dời ngày khởi công dự án, chỉ cần nhập ngày mới vào ô F2 trên sheet TIEN_DO -&gt; Toàn bộ mạng tiến độ, các công tác kế tiếp tự động tịnh tiến theo quan hệ FS/SS/FF!
• Cách 2: Muốn đổi thời lượng hạng mục, chỉnh sửa tại cột F (Thời lượng ngày làm việc). Cột H (Khởi công) và I (Hoàn thành) cùng các công tác phụ thuộc sẽ tự động cascade forward!
• Sau khi chỉnh sửa, bấm nút [Cập Nhật Tiến Độ] trên thanh Ribbon '23HG SCHEDULE ASSISTANT' để vẽ lại Gantt Chart siêu tốc.</t>
  </si>
  <si>
    <t>3. QUẢN TRỊ ĐƯỜNG CƠ SỞ BASELINE &amp; KIỂM SOÁT TIẾN ĐỘ EVM 5D</t>
  </si>
  <si>
    <t>• Bấm nút [Lưu Baseline]: Toàn bộ ngày tháng hiện tại sẽ được đóng băng thành GIÁ TRỊ TĨNH tại cột Baseline trong sheet EVM_5D_QUAN_TRI.
• Sức khỏe dự án được đánh giá tại Data Date (Ngày kiểm soát 30/06/2024):
  - PV (Planned Value): Giá trị kế hoạch theo tỷ lệ thời gian đến Data Date.
  - EV (Earned Value): Giá trị đạt được theo % nghiệm thu thực tế tại hiện trường.
  - AC (Actual Cost): Chi phí giải ngân thực tế lấy từ sổ kế toán công trường.
  - SPI = EV / PV: Đo lường tốc độ thi công (SPI &gt;= 1: Đúng/Vượt tiến độ; SPI &lt; 1: Chậm tiến độ).
  - CPI = EV / AC: Đo lường hiệu quả chi phí (CPI &gt;= 1: Tiết kiệm chi phí; CPI &lt; 1: Vượt dự toán).</t>
  </si>
  <si>
    <t>4. QUẢN TRỊ XE MÁY THIẾT BỊ (XMTB) &amp; NĂNG SUẤT THI CÔNG</t>
  </si>
  <si>
    <t>• Sheet HUY_DONG_XMTB kiểm soát đỉnh tải 8 nhóm máy chủ lực qua 24 tháng thi công.
• Bấm nút [Cân Bằng XMTB] trên Ribbon để rà soát tự động: Cảnh báo đỏ tức thời nếu tháng nào số lượng máy vượt năng lực sở hữu của Nhà thầu.</t>
  </si>
  <si>
    <t>5. XUẤT BẢN BÁO CÁO DOANH NGHIỆP 1-CLICK</t>
  </si>
  <si>
    <t>• Nút [Xuất XLSX Sạch]: Tạo bản sao Excel sạch (.xlsx) chuẩn OpenXML 100% không chứa mã macro, sẵn sàng gửi Chủ đầu tư và Tư vấn giám sát.
• Nút [Xuất PDF A3 Ngang]: Xuất bản vẽ tiến độ tổng thể khổ A3 ngang sắc nét chuẩn hồ sơ dự thầu.</t>
  </si>
  <si>
    <t>6. BẢN QUYỀN HỆ THỐNG &amp; TÁC GIẢ NBT</t>
  </si>
  <si>
    <t>• Bản quyền phần mềm thuộc về NBT (Nguyễn Bảo Tú) | GitHub: @baotuhg | 23HG SYSTEM.
• Mọi quyền được bảo lưu theo giấy phép đăng ký bản quyền số 23HG-SCHED-2026-NBT.</t>
  </si>
  <si>
    <t>GANG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</si>
</sst>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VNĐ&quot;"/>
    <numFmt numFmtId="167" formatCode="0.0%"/>
    <numFmt numFmtId="168" formatCode="dd/mm/yyyy"/>
  </numFmts>
  <fonts count="34" x14ac:knownFonts="1">
    <font>
      <sz val="11"/>
      <color theme="1"/>
      <name val="Arial"/>
      <family val="2"/>
      <scheme val="minor"/>
    </font>
    <font>
      <b/>
      <sz val="13"/>
      <color rgb="FF5A3718"/>
      <name val="Segoe UI"/>
    </font>
    <font>
      <i/>
      <sz val="9"/>
      <color rgb="FF6E3812"/>
      <name val="Segoe UI"/>
    </font>
    <font>
      <b/>
      <sz val="10.5"/>
      <color rgb="FF5A3718"/>
      <name val="Segoe UI"/>
    </font>
    <font>
      <b/>
      <sz val="8.5"/>
      <color rgb="FF333333"/>
      <name val="Segoe UI"/>
    </font>
    <font>
      <sz val="9"/>
      <color rgb="FF000000"/>
      <name val="Segoe UI"/>
    </font>
    <font>
      <b/>
      <sz val="9.5"/>
      <color rgb="FFDC2626"/>
      <name val="Segoe UI"/>
    </font>
    <font>
      <b/>
      <sz val="9"/>
      <color rgb="FF1E293B"/>
      <name val="Segoe UI"/>
    </font>
    <font>
      <b/>
      <sz val="11"/>
      <color rgb="FF5A3718"/>
      <name val="Segoe UI"/>
    </font>
    <font>
      <b/>
      <sz val="12"/>
      <color rgb="FFB91C1C"/>
      <name val="Segoe UI"/>
    </font>
    <font>
      <b/>
      <sz val="11"/>
      <color rgb="FFFFFFFF"/>
      <name val="Segoe UI"/>
    </font>
    <font>
      <b/>
      <sz val="8.5"/>
      <color rgb="FF000000"/>
      <name val="Segoe UI"/>
    </font>
    <font>
      <b/>
      <sz val="8.5"/>
      <color rgb="FF5A3718"/>
      <name val="Segoe UI"/>
    </font>
    <font>
      <b/>
      <sz val="8.5"/>
      <color rgb="FFB91C1C"/>
      <name val="Segoe UI"/>
    </font>
    <font>
      <b/>
      <sz val="8"/>
      <color rgb="FF333333"/>
      <name val="Segoe UI"/>
    </font>
    <font>
      <b/>
      <sz val="8.5"/>
      <color rgb="FF2563EB"/>
      <name val="Segoe UI"/>
    </font>
    <font>
      <b/>
      <sz val="8"/>
      <color rgb="FF047857"/>
      <name val="Segoe UI"/>
    </font>
    <font>
      <b/>
      <sz val="8"/>
      <color rgb="FF5A3718"/>
      <name val="Segoe UI"/>
    </font>
    <font>
      <b/>
      <sz val="10"/>
      <color rgb="FF6E3812"/>
      <name val="Segoe UI"/>
    </font>
    <font>
      <b/>
      <sz val="7.5"/>
      <color rgb="FF555555"/>
      <name val="Segoe UI"/>
    </font>
    <font>
      <b/>
      <sz val="9"/>
      <color rgb="FF5A3718"/>
      <name val="Segoe UI"/>
    </font>
    <font>
      <b/>
      <sz val="12"/>
      <color rgb="FF5A3718"/>
      <name val="Segoe UI"/>
    </font>
    <font>
      <b/>
      <sz val="12"/>
      <color rgb="FF047857"/>
      <name val="Segoe UI"/>
    </font>
    <font>
      <b/>
      <sz val="10"/>
      <color rgb="FFDC2626"/>
      <name val="Segoe UI"/>
    </font>
    <font>
      <b/>
      <sz val="10"/>
      <color rgb="FF059669"/>
      <name val="Segoe UI"/>
    </font>
    <font>
      <b/>
      <sz val="8.5"/>
      <color rgb="FFFFFFFF"/>
      <name val="Segoe UI"/>
    </font>
    <font>
      <b/>
      <sz val="9.5"/>
      <color rgb="FFB91C1C"/>
      <name val="Segoe UI"/>
    </font>
    <font>
      <sz val="9"/>
      <color rgb="FF000000"/>
      <name val="Segoe UI"/>
      <family val="2"/>
    </font>
    <font>
      <sz val="9"/>
      <color rgb="FF475569"/>
      <name val="Segoe UI"/>
      <family val="2"/>
    </font>
    <font>
      <sz val="11"/>
      <color rgb="FF000000"/>
      <name val="Arial"/>
      <family val="2"/>
      <scheme val="minor"/>
    </font>
    <font>
      <b/>
      <sz val="11"/>
      <color rgb="FFDC2626"/>
      <name val="Arial"/>
      <family val="2"/>
      <scheme val="minor"/>
    </font>
    <font>
      <sz val="11"/>
      <color rgb="FF475569"/>
      <name val="Arial"/>
      <family val="2"/>
      <scheme val="minor"/>
    </font>
    <font>
      <b/>
      <sz val="9"/>
      <color rgb="FFDC2626"/>
      <name val="Segoe UI"/>
      <family val="2"/>
    </font>
    <font>
      <b/>
      <sz val="10"/>
      <color rgb="FFDC2626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EFE2D3"/>
        <bgColor rgb="FFEFE2D3"/>
      </patternFill>
    </fill>
    <fill>
      <patternFill patternType="solid">
        <fgColor rgb="FFFEE2E2"/>
        <bgColor rgb="FFFEE2E2"/>
      </patternFill>
    </fill>
    <fill>
      <patternFill patternType="solid">
        <fgColor rgb="FFFBF8F5"/>
        <bgColor rgb="FFFBF8F5"/>
      </patternFill>
    </fill>
    <fill>
      <patternFill patternType="solid">
        <fgColor rgb="FFFEF08A"/>
        <bgColor rgb="FFFEF08A"/>
      </patternFill>
    </fill>
    <fill>
      <patternFill patternType="solid">
        <fgColor rgb="FF5A3718"/>
        <bgColor rgb="FF5A3718"/>
      </patternFill>
    </fill>
    <fill>
      <patternFill patternType="solid">
        <fgColor rgb="FFF7EDE2"/>
        <bgColor rgb="FFF7EDE2"/>
      </patternFill>
    </fill>
    <fill>
      <patternFill patternType="solid">
        <fgColor rgb="FFDCFCE7"/>
        <bgColor rgb="FFDCFCE7"/>
      </patternFill>
    </fill>
  </fills>
  <borders count="4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164" fontId="5" fillId="0" borderId="1" xfId="0" applyNumberFormat="1" applyFont="1" applyBorder="1" applyAlignment="1">
      <alignment horizontal="right" vertical="center"/>
    </xf>
    <xf numFmtId="0" fontId="7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0" fontId="0" fillId="0" borderId="1" xfId="0" applyBorder="1"/>
    <xf numFmtId="0" fontId="7" fillId="0" borderId="1" xfId="0" applyFont="1" applyBorder="1"/>
    <xf numFmtId="164" fontId="7" fillId="0" borderId="1" xfId="0" applyNumberFormat="1" applyFont="1" applyBorder="1"/>
    <xf numFmtId="164" fontId="0" fillId="0" borderId="1" xfId="0" applyNumberFormat="1" applyBorder="1"/>
    <xf numFmtId="0" fontId="8" fillId="0" borderId="1" xfId="0" applyFont="1" applyBorder="1"/>
    <xf numFmtId="164" fontId="9" fillId="5" borderId="1" xfId="0" applyNumberFormat="1" applyFont="1" applyFill="1" applyBorder="1"/>
    <xf numFmtId="0" fontId="4" fillId="0" borderId="0" xfId="0" applyFont="1" applyAlignment="1">
      <alignment horizontal="right" vertical="center"/>
    </xf>
    <xf numFmtId="14" fontId="15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2" fontId="22" fillId="8" borderId="0" xfId="0" applyNumberFormat="1" applyFont="1" applyFill="1" applyAlignment="1">
      <alignment horizontal="center" vertical="center"/>
    </xf>
    <xf numFmtId="0" fontId="23" fillId="0" borderId="0" xfId="0" applyFont="1"/>
    <xf numFmtId="0" fontId="24" fillId="0" borderId="0" xfId="0" applyFont="1"/>
    <xf numFmtId="164" fontId="7" fillId="4" borderId="1" xfId="0" applyNumberFormat="1" applyFont="1" applyFill="1" applyBorder="1" applyAlignment="1">
      <alignment horizontal="right" vertical="center"/>
    </xf>
    <xf numFmtId="14" fontId="7" fillId="4" borderId="1" xfId="0" applyNumberFormat="1" applyFont="1" applyFill="1" applyBorder="1" applyAlignment="1">
      <alignment horizontal="center" vertical="center"/>
    </xf>
    <xf numFmtId="167" fontId="7" fillId="4" borderId="1" xfId="0" applyNumberFormat="1" applyFont="1" applyFill="1" applyBorder="1" applyAlignment="1">
      <alignment horizontal="center" vertical="center"/>
    </xf>
    <xf numFmtId="2" fontId="7" fillId="4" borderId="1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18" fillId="7" borderId="1" xfId="0" applyFont="1" applyFill="1" applyBorder="1" applyAlignment="1">
      <alignment horizontal="left" vertical="center"/>
    </xf>
    <xf numFmtId="14" fontId="18" fillId="7" borderId="1" xfId="0" applyNumberFormat="1" applyFont="1" applyFill="1" applyBorder="1" applyAlignment="1">
      <alignment horizontal="center" vertical="center"/>
    </xf>
    <xf numFmtId="0" fontId="0" fillId="0" borderId="0" xfId="0"/>
    <xf numFmtId="0" fontId="17" fillId="0" borderId="0" xfId="0" applyFont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18" fillId="7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0" fillId="6" borderId="0" xfId="0" applyFont="1" applyFill="1" applyAlignment="1">
      <alignment horizontal="left" vertical="center" indent="1"/>
    </xf>
    <xf numFmtId="0" fontId="14" fillId="0" borderId="0" xfId="0" applyFont="1"/>
    <xf numFmtId="0" fontId="20" fillId="0" borderId="0" xfId="0" applyFont="1" applyAlignment="1">
      <alignment horizontal="center" vertical="center"/>
    </xf>
    <xf numFmtId="164" fontId="21" fillId="4" borderId="0" xfId="0" applyNumberFormat="1" applyFont="1" applyFill="1" applyAlignment="1">
      <alignment horizontal="center" vertical="center"/>
    </xf>
    <xf numFmtId="164" fontId="21" fillId="7" borderId="0" xfId="0" applyNumberFormat="1" applyFont="1" applyFill="1" applyAlignment="1">
      <alignment horizontal="center" vertical="center"/>
    </xf>
    <xf numFmtId="164" fontId="22" fillId="8" borderId="0" xfId="0" applyNumberFormat="1" applyFont="1" applyFill="1" applyAlignment="1">
      <alignment horizontal="center" vertical="center"/>
    </xf>
    <xf numFmtId="164" fontId="21" fillId="2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0" fontId="18" fillId="7" borderId="0" xfId="0" applyFont="1" applyFill="1"/>
    <xf numFmtId="0" fontId="5" fillId="0" borderId="0" xfId="0" applyFont="1" applyAlignment="1">
      <alignment horizontal="left" vertical="top" wrapText="1"/>
    </xf>
    <xf numFmtId="168" fontId="0" fillId="0" borderId="1" xfId="0" applyNumberFormat="1" applyBorder="1" applyAlignment="1">
      <alignment horizontal="center" vertical="center"/>
    </xf>
    <xf numFmtId="0" fontId="27" fillId="4" borderId="1" xfId="0" applyFont="1" applyFill="1" applyBorder="1" applyAlignment="1">
      <alignment horizontal="left" vertical="center"/>
    </xf>
    <xf numFmtId="0" fontId="28" fillId="3" borderId="1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left" vertical="center" indent="1"/>
    </xf>
    <xf numFmtId="0" fontId="29" fillId="0" borderId="1" xfId="0" applyFont="1" applyBorder="1" applyAlignment="1">
      <alignment horizontal="left" vertical="center" indent="2"/>
    </xf>
    <xf numFmtId="0" fontId="30" fillId="0" borderId="1" xfId="0" applyFont="1" applyBorder="1" applyAlignment="1">
      <alignment horizontal="left" vertical="center" indent="2"/>
    </xf>
    <xf numFmtId="0" fontId="30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left" vertical="center" indent="3"/>
    </xf>
    <xf numFmtId="0" fontId="30" fillId="0" borderId="1" xfId="0" applyFont="1" applyBorder="1" applyAlignment="1">
      <alignment horizontal="left" vertical="center" indent="3"/>
    </xf>
    <xf numFmtId="0" fontId="32" fillId="3" borderId="1" xfId="0" applyFont="1" applyFill="1" applyBorder="1" applyAlignment="1">
      <alignment horizontal="center" vertical="center"/>
    </xf>
    <xf numFmtId="0" fontId="33" fillId="7" borderId="1" xfId="0" applyFont="1" applyFill="1" applyBorder="1" applyAlignment="1">
      <alignment horizontal="left" vertical="center" indent="2"/>
    </xf>
    <xf numFmtId="168" fontId="12" fillId="0" borderId="0" xfId="0" applyNumberFormat="1" applyFont="1" applyAlignment="1">
      <alignment horizontal="center" vertical="center"/>
    </xf>
    <xf numFmtId="168" fontId="13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50800</xdr:rowOff>
    </xdr:from>
    <xdr:to>
      <xdr:col>37</xdr:col>
      <xdr:colOff>0</xdr:colOff>
      <xdr:row>5</xdr:row>
      <xdr:rowOff>114300</xdr:rowOff>
    </xdr:to>
    <xdr:sp macro="" textlink="">
      <xdr:nvSpPr>
        <xdr:cNvPr id="2" name="Gantt_S_6">
          <a:extLst>
            <a:ext uri="{FF2B5EF4-FFF2-40B4-BE49-F238E27FC236}">
              <a16:creationId xmlns:a16="http://schemas.microsoft.com/office/drawing/2014/main" id="{7033E104-5227-AC89-D46D-B04557D5E7C9}"/>
            </a:ext>
          </a:extLst>
        </xdr:cNvPr>
        <xdr:cNvSpPr/>
      </xdr:nvSpPr>
      <xdr:spPr>
        <a:xfrm>
          <a:off x="17297400" y="1447800"/>
          <a:ext cx="10058400" cy="635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0</xdr:colOff>
      <xdr:row>5</xdr:row>
      <xdr:rowOff>114300</xdr:rowOff>
    </xdr:from>
    <xdr:to>
      <xdr:col>13</xdr:col>
      <xdr:colOff>50800</xdr:colOff>
      <xdr:row>5</xdr:row>
      <xdr:rowOff>165100</xdr:rowOff>
    </xdr:to>
    <xdr:sp macro="" textlink="">
      <xdr:nvSpPr>
        <xdr:cNvPr id="3" name="Gantt_S_BL_6">
          <a:extLst>
            <a:ext uri="{FF2B5EF4-FFF2-40B4-BE49-F238E27FC236}">
              <a16:creationId xmlns:a16="http://schemas.microsoft.com/office/drawing/2014/main" id="{30C1617E-30A3-5526-132E-B6FB8013174A}"/>
            </a:ext>
          </a:extLst>
        </xdr:cNvPr>
        <xdr:cNvSpPr/>
      </xdr:nvSpPr>
      <xdr:spPr>
        <a:xfrm>
          <a:off x="17297400" y="15113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36</xdr:col>
      <xdr:colOff>368300</xdr:colOff>
      <xdr:row>5</xdr:row>
      <xdr:rowOff>114300</xdr:rowOff>
    </xdr:from>
    <xdr:to>
      <xdr:col>37</xdr:col>
      <xdr:colOff>0</xdr:colOff>
      <xdr:row>5</xdr:row>
      <xdr:rowOff>165100</xdr:rowOff>
    </xdr:to>
    <xdr:sp macro="" textlink="">
      <xdr:nvSpPr>
        <xdr:cNvPr id="4" name="Gantt_S_BR_6">
          <a:extLst>
            <a:ext uri="{FF2B5EF4-FFF2-40B4-BE49-F238E27FC236}">
              <a16:creationId xmlns:a16="http://schemas.microsoft.com/office/drawing/2014/main" id="{ED0EA1B2-6D7C-951D-4BFE-3F4F23CC08CD}"/>
            </a:ext>
          </a:extLst>
        </xdr:cNvPr>
        <xdr:cNvSpPr/>
      </xdr:nvSpPr>
      <xdr:spPr>
        <a:xfrm>
          <a:off x="27305000" y="15113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12</xdr:col>
      <xdr:colOff>914400</xdr:colOff>
      <xdr:row>4</xdr:row>
      <xdr:rowOff>292100</xdr:rowOff>
    </xdr:from>
    <xdr:to>
      <xdr:col>13</xdr:col>
      <xdr:colOff>0</xdr:colOff>
      <xdr:row>5</xdr:row>
      <xdr:rowOff>139700</xdr:rowOff>
    </xdr:to>
    <xdr:sp macro="" textlink="">
      <xdr:nvSpPr>
        <xdr:cNvPr id="5" name="GTag_S_6">
          <a:extLst>
            <a:ext uri="{FF2B5EF4-FFF2-40B4-BE49-F238E27FC236}">
              <a16:creationId xmlns:a16="http://schemas.microsoft.com/office/drawing/2014/main" id="{089E8EF2-EC1D-7103-D32F-8874FBB1A3BD}"/>
            </a:ext>
          </a:extLst>
        </xdr:cNvPr>
        <xdr:cNvSpPr txBox="1"/>
      </xdr:nvSpPr>
      <xdr:spPr>
        <a:xfrm>
          <a:off x="16992600" y="1384300"/>
          <a:ext cx="304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01/12</a:t>
          </a:r>
        </a:p>
      </xdr:txBody>
    </xdr:sp>
    <xdr:clientData/>
  </xdr:twoCellAnchor>
  <xdr:twoCellAnchor>
    <xdr:from>
      <xdr:col>37</xdr:col>
      <xdr:colOff>25400</xdr:colOff>
      <xdr:row>4</xdr:row>
      <xdr:rowOff>292100</xdr:rowOff>
    </xdr:from>
    <xdr:to>
      <xdr:col>37</xdr:col>
      <xdr:colOff>355600</xdr:colOff>
      <xdr:row>5</xdr:row>
      <xdr:rowOff>139700</xdr:rowOff>
    </xdr:to>
    <xdr:sp macro="" textlink="">
      <xdr:nvSpPr>
        <xdr:cNvPr id="6" name="GTag_E_6">
          <a:extLst>
            <a:ext uri="{FF2B5EF4-FFF2-40B4-BE49-F238E27FC236}">
              <a16:creationId xmlns:a16="http://schemas.microsoft.com/office/drawing/2014/main" id="{542870BD-4CBF-5719-5F33-3553589BFAEA}"/>
            </a:ext>
          </a:extLst>
        </xdr:cNvPr>
        <xdr:cNvSpPr txBox="1"/>
      </xdr:nvSpPr>
      <xdr:spPr>
        <a:xfrm>
          <a:off x="27381200" y="13843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22/11</a:t>
          </a:r>
        </a:p>
      </xdr:txBody>
    </xdr:sp>
    <xdr:clientData/>
  </xdr:twoCellAnchor>
  <xdr:twoCellAnchor>
    <xdr:from>
      <xdr:col>13</xdr:col>
      <xdr:colOff>0</xdr:colOff>
      <xdr:row>6</xdr:row>
      <xdr:rowOff>50800</xdr:rowOff>
    </xdr:from>
    <xdr:to>
      <xdr:col>16</xdr:col>
      <xdr:colOff>219418</xdr:colOff>
      <xdr:row>6</xdr:row>
      <xdr:rowOff>114300</xdr:rowOff>
    </xdr:to>
    <xdr:sp macro="" textlink="">
      <xdr:nvSpPr>
        <xdr:cNvPr id="7" name="Gantt_S_7">
          <a:extLst>
            <a:ext uri="{FF2B5EF4-FFF2-40B4-BE49-F238E27FC236}">
              <a16:creationId xmlns:a16="http://schemas.microsoft.com/office/drawing/2014/main" id="{A6AED3F8-4F0C-0563-C5B8-73FEE33B0C04}"/>
            </a:ext>
          </a:extLst>
        </xdr:cNvPr>
        <xdr:cNvSpPr/>
      </xdr:nvSpPr>
      <xdr:spPr>
        <a:xfrm>
          <a:off x="17297400" y="1689100"/>
          <a:ext cx="1476718" cy="635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0</xdr:colOff>
      <xdr:row>6</xdr:row>
      <xdr:rowOff>114300</xdr:rowOff>
    </xdr:from>
    <xdr:to>
      <xdr:col>13</xdr:col>
      <xdr:colOff>50800</xdr:colOff>
      <xdr:row>6</xdr:row>
      <xdr:rowOff>165100</xdr:rowOff>
    </xdr:to>
    <xdr:sp macro="" textlink="">
      <xdr:nvSpPr>
        <xdr:cNvPr id="8" name="Gantt_S_BL_7">
          <a:extLst>
            <a:ext uri="{FF2B5EF4-FFF2-40B4-BE49-F238E27FC236}">
              <a16:creationId xmlns:a16="http://schemas.microsoft.com/office/drawing/2014/main" id="{3AA407F8-7577-7B46-1A83-B2018321672E}"/>
            </a:ext>
          </a:extLst>
        </xdr:cNvPr>
        <xdr:cNvSpPr/>
      </xdr:nvSpPr>
      <xdr:spPr>
        <a:xfrm>
          <a:off x="17297400" y="17526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16</xdr:col>
      <xdr:colOff>168618</xdr:colOff>
      <xdr:row>6</xdr:row>
      <xdr:rowOff>114300</xdr:rowOff>
    </xdr:from>
    <xdr:to>
      <xdr:col>16</xdr:col>
      <xdr:colOff>219418</xdr:colOff>
      <xdr:row>6</xdr:row>
      <xdr:rowOff>165100</xdr:rowOff>
    </xdr:to>
    <xdr:sp macro="" textlink="">
      <xdr:nvSpPr>
        <xdr:cNvPr id="9" name="Gantt_S_BR_7">
          <a:extLst>
            <a:ext uri="{FF2B5EF4-FFF2-40B4-BE49-F238E27FC236}">
              <a16:creationId xmlns:a16="http://schemas.microsoft.com/office/drawing/2014/main" id="{3D5178BB-F6CA-456C-47DC-7DF253C7625A}"/>
            </a:ext>
          </a:extLst>
        </xdr:cNvPr>
        <xdr:cNvSpPr/>
      </xdr:nvSpPr>
      <xdr:spPr>
        <a:xfrm>
          <a:off x="18723318" y="17526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12</xdr:col>
      <xdr:colOff>914400</xdr:colOff>
      <xdr:row>5</xdr:row>
      <xdr:rowOff>228600</xdr:rowOff>
    </xdr:from>
    <xdr:to>
      <xdr:col>13</xdr:col>
      <xdr:colOff>0</xdr:colOff>
      <xdr:row>6</xdr:row>
      <xdr:rowOff>139700</xdr:rowOff>
    </xdr:to>
    <xdr:sp macro="" textlink="">
      <xdr:nvSpPr>
        <xdr:cNvPr id="10" name="GTag_S_7">
          <a:extLst>
            <a:ext uri="{FF2B5EF4-FFF2-40B4-BE49-F238E27FC236}">
              <a16:creationId xmlns:a16="http://schemas.microsoft.com/office/drawing/2014/main" id="{54CB5E21-D5EB-2F36-86E5-48B2672F2BF6}"/>
            </a:ext>
          </a:extLst>
        </xdr:cNvPr>
        <xdr:cNvSpPr txBox="1"/>
      </xdr:nvSpPr>
      <xdr:spPr>
        <a:xfrm>
          <a:off x="16992600" y="1625600"/>
          <a:ext cx="304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01/12</a:t>
          </a:r>
        </a:p>
      </xdr:txBody>
    </xdr:sp>
    <xdr:clientData/>
  </xdr:twoCellAnchor>
  <xdr:twoCellAnchor>
    <xdr:from>
      <xdr:col>16</xdr:col>
      <xdr:colOff>244818</xdr:colOff>
      <xdr:row>5</xdr:row>
      <xdr:rowOff>228600</xdr:rowOff>
    </xdr:from>
    <xdr:to>
      <xdr:col>17</xdr:col>
      <xdr:colOff>155918</xdr:colOff>
      <xdr:row>6</xdr:row>
      <xdr:rowOff>139700</xdr:rowOff>
    </xdr:to>
    <xdr:sp macro="" textlink="">
      <xdr:nvSpPr>
        <xdr:cNvPr id="11" name="GTag_E_7">
          <a:extLst>
            <a:ext uri="{FF2B5EF4-FFF2-40B4-BE49-F238E27FC236}">
              <a16:creationId xmlns:a16="http://schemas.microsoft.com/office/drawing/2014/main" id="{B61CE243-7E86-5C0F-A4B6-1EAF8ADC24F7}"/>
            </a:ext>
          </a:extLst>
        </xdr:cNvPr>
        <xdr:cNvSpPr txBox="1"/>
      </xdr:nvSpPr>
      <xdr:spPr>
        <a:xfrm>
          <a:off x="18799518" y="16256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16/03</a:t>
          </a:r>
        </a:p>
      </xdr:txBody>
    </xdr:sp>
    <xdr:clientData/>
  </xdr:twoCellAnchor>
  <xdr:twoCellAnchor>
    <xdr:from>
      <xdr:col>13</xdr:col>
      <xdr:colOff>0</xdr:colOff>
      <xdr:row>7</xdr:row>
      <xdr:rowOff>44450</xdr:rowOff>
    </xdr:from>
    <xdr:to>
      <xdr:col>13</xdr:col>
      <xdr:colOff>390077</xdr:colOff>
      <xdr:row>7</xdr:row>
      <xdr:rowOff>196850</xdr:rowOff>
    </xdr:to>
    <xdr:sp macro="" textlink="">
      <xdr:nvSpPr>
        <xdr:cNvPr id="12" name="Gantt_T_8">
          <a:extLst>
            <a:ext uri="{FF2B5EF4-FFF2-40B4-BE49-F238E27FC236}">
              <a16:creationId xmlns:a16="http://schemas.microsoft.com/office/drawing/2014/main" id="{A32287D7-4C68-A8C6-BA1F-277643EF2C73}"/>
            </a:ext>
          </a:extLst>
        </xdr:cNvPr>
        <xdr:cNvSpPr/>
      </xdr:nvSpPr>
      <xdr:spPr>
        <a:xfrm>
          <a:off x="17297400" y="1924050"/>
          <a:ext cx="390077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12</xdr:col>
      <xdr:colOff>939800</xdr:colOff>
      <xdr:row>7</xdr:row>
      <xdr:rowOff>12700</xdr:rowOff>
    </xdr:from>
    <xdr:to>
      <xdr:col>13</xdr:col>
      <xdr:colOff>0</xdr:colOff>
      <xdr:row>7</xdr:row>
      <xdr:rowOff>165100</xdr:rowOff>
    </xdr:to>
    <xdr:sp macro="" textlink="">
      <xdr:nvSpPr>
        <xdr:cNvPr id="13" name="GTag_S_8">
          <a:extLst>
            <a:ext uri="{FF2B5EF4-FFF2-40B4-BE49-F238E27FC236}">
              <a16:creationId xmlns:a16="http://schemas.microsoft.com/office/drawing/2014/main" id="{4390F1A2-18B8-905C-AB11-83F472F0A3E7}"/>
            </a:ext>
          </a:extLst>
        </xdr:cNvPr>
        <xdr:cNvSpPr txBox="1"/>
      </xdr:nvSpPr>
      <xdr:spPr>
        <a:xfrm>
          <a:off x="17018000" y="18923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13</xdr:col>
      <xdr:colOff>415477</xdr:colOff>
      <xdr:row>7</xdr:row>
      <xdr:rowOff>12700</xdr:rowOff>
    </xdr:from>
    <xdr:to>
      <xdr:col>14</xdr:col>
      <xdr:colOff>326577</xdr:colOff>
      <xdr:row>7</xdr:row>
      <xdr:rowOff>165100</xdr:rowOff>
    </xdr:to>
    <xdr:sp macro="" textlink="">
      <xdr:nvSpPr>
        <xdr:cNvPr id="14" name="GTag_E_8">
          <a:extLst>
            <a:ext uri="{FF2B5EF4-FFF2-40B4-BE49-F238E27FC236}">
              <a16:creationId xmlns:a16="http://schemas.microsoft.com/office/drawing/2014/main" id="{03966924-984F-2C97-7501-12259C18FA42}"/>
            </a:ext>
          </a:extLst>
        </xdr:cNvPr>
        <xdr:cNvSpPr txBox="1"/>
      </xdr:nvSpPr>
      <xdr:spPr>
        <a:xfrm>
          <a:off x="17712877" y="18923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29/12</a:t>
          </a:r>
        </a:p>
      </xdr:txBody>
    </xdr:sp>
    <xdr:clientData/>
  </xdr:twoCellAnchor>
  <xdr:twoCellAnchor>
    <xdr:from>
      <xdr:col>13</xdr:col>
      <xdr:colOff>404008</xdr:colOff>
      <xdr:row>8</xdr:row>
      <xdr:rowOff>44450</xdr:rowOff>
    </xdr:from>
    <xdr:to>
      <xdr:col>16</xdr:col>
      <xdr:colOff>219418</xdr:colOff>
      <xdr:row>8</xdr:row>
      <xdr:rowOff>196850</xdr:rowOff>
    </xdr:to>
    <xdr:sp macro="" textlink="">
      <xdr:nvSpPr>
        <xdr:cNvPr id="15" name="Gantt_T_9">
          <a:extLst>
            <a:ext uri="{FF2B5EF4-FFF2-40B4-BE49-F238E27FC236}">
              <a16:creationId xmlns:a16="http://schemas.microsoft.com/office/drawing/2014/main" id="{591ED509-9417-EB34-09F4-BEDB5D796E5E}"/>
            </a:ext>
          </a:extLst>
        </xdr:cNvPr>
        <xdr:cNvSpPr/>
      </xdr:nvSpPr>
      <xdr:spPr>
        <a:xfrm>
          <a:off x="17701408" y="2165350"/>
          <a:ext cx="1072710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124608</xdr:colOff>
      <xdr:row>8</xdr:row>
      <xdr:rowOff>12700</xdr:rowOff>
    </xdr:from>
    <xdr:to>
      <xdr:col>13</xdr:col>
      <xdr:colOff>404008</xdr:colOff>
      <xdr:row>8</xdr:row>
      <xdr:rowOff>165100</xdr:rowOff>
    </xdr:to>
    <xdr:sp macro="" textlink="">
      <xdr:nvSpPr>
        <xdr:cNvPr id="16" name="GTag_S_9">
          <a:extLst>
            <a:ext uri="{FF2B5EF4-FFF2-40B4-BE49-F238E27FC236}">
              <a16:creationId xmlns:a16="http://schemas.microsoft.com/office/drawing/2014/main" id="{ADE241A4-0B38-F22D-D206-02A2E55169A3}"/>
            </a:ext>
          </a:extLst>
        </xdr:cNvPr>
        <xdr:cNvSpPr txBox="1"/>
      </xdr:nvSpPr>
      <xdr:spPr>
        <a:xfrm>
          <a:off x="17422008" y="21336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30</a:t>
          </a:r>
        </a:p>
      </xdr:txBody>
    </xdr:sp>
    <xdr:clientData/>
  </xdr:twoCellAnchor>
  <xdr:twoCellAnchor>
    <xdr:from>
      <xdr:col>16</xdr:col>
      <xdr:colOff>244818</xdr:colOff>
      <xdr:row>8</xdr:row>
      <xdr:rowOff>12700</xdr:rowOff>
    </xdr:from>
    <xdr:to>
      <xdr:col>17</xdr:col>
      <xdr:colOff>155918</xdr:colOff>
      <xdr:row>8</xdr:row>
      <xdr:rowOff>165100</xdr:rowOff>
    </xdr:to>
    <xdr:sp macro="" textlink="">
      <xdr:nvSpPr>
        <xdr:cNvPr id="17" name="GTag_E_9">
          <a:extLst>
            <a:ext uri="{FF2B5EF4-FFF2-40B4-BE49-F238E27FC236}">
              <a16:creationId xmlns:a16="http://schemas.microsoft.com/office/drawing/2014/main" id="{112DF8EA-277C-D049-418F-3D4BE5553B20}"/>
            </a:ext>
          </a:extLst>
        </xdr:cNvPr>
        <xdr:cNvSpPr txBox="1"/>
      </xdr:nvSpPr>
      <xdr:spPr>
        <a:xfrm>
          <a:off x="18799518" y="21336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16/3</a:t>
          </a:r>
        </a:p>
      </xdr:txBody>
    </xdr:sp>
    <xdr:clientData/>
  </xdr:twoCellAnchor>
  <xdr:twoCellAnchor>
    <xdr:from>
      <xdr:col>13</xdr:col>
      <xdr:colOff>0</xdr:colOff>
      <xdr:row>9</xdr:row>
      <xdr:rowOff>44450</xdr:rowOff>
    </xdr:from>
    <xdr:to>
      <xdr:col>13</xdr:col>
      <xdr:colOff>390077</xdr:colOff>
      <xdr:row>9</xdr:row>
      <xdr:rowOff>196850</xdr:rowOff>
    </xdr:to>
    <xdr:sp macro="" textlink="">
      <xdr:nvSpPr>
        <xdr:cNvPr id="18" name="Gantt_T_10">
          <a:extLst>
            <a:ext uri="{FF2B5EF4-FFF2-40B4-BE49-F238E27FC236}">
              <a16:creationId xmlns:a16="http://schemas.microsoft.com/office/drawing/2014/main" id="{99E6AAF0-E3DF-98C5-7F9E-64EF53DA8BDF}"/>
            </a:ext>
          </a:extLst>
        </xdr:cNvPr>
        <xdr:cNvSpPr/>
      </xdr:nvSpPr>
      <xdr:spPr>
        <a:xfrm>
          <a:off x="17297400" y="2406650"/>
          <a:ext cx="390077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12</xdr:col>
      <xdr:colOff>939800</xdr:colOff>
      <xdr:row>9</xdr:row>
      <xdr:rowOff>12700</xdr:rowOff>
    </xdr:from>
    <xdr:to>
      <xdr:col>13</xdr:col>
      <xdr:colOff>0</xdr:colOff>
      <xdr:row>9</xdr:row>
      <xdr:rowOff>165100</xdr:rowOff>
    </xdr:to>
    <xdr:sp macro="" textlink="">
      <xdr:nvSpPr>
        <xdr:cNvPr id="19" name="GTag_S_10">
          <a:extLst>
            <a:ext uri="{FF2B5EF4-FFF2-40B4-BE49-F238E27FC236}">
              <a16:creationId xmlns:a16="http://schemas.microsoft.com/office/drawing/2014/main" id="{B4B44EB5-CA2A-0D56-3993-309DE3884327}"/>
            </a:ext>
          </a:extLst>
        </xdr:cNvPr>
        <xdr:cNvSpPr txBox="1"/>
      </xdr:nvSpPr>
      <xdr:spPr>
        <a:xfrm>
          <a:off x="17018000" y="23749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13</xdr:col>
      <xdr:colOff>415477</xdr:colOff>
      <xdr:row>9</xdr:row>
      <xdr:rowOff>12700</xdr:rowOff>
    </xdr:from>
    <xdr:to>
      <xdr:col>14</xdr:col>
      <xdr:colOff>326577</xdr:colOff>
      <xdr:row>9</xdr:row>
      <xdr:rowOff>165100</xdr:rowOff>
    </xdr:to>
    <xdr:sp macro="" textlink="">
      <xdr:nvSpPr>
        <xdr:cNvPr id="20" name="GTag_E_10">
          <a:extLst>
            <a:ext uri="{FF2B5EF4-FFF2-40B4-BE49-F238E27FC236}">
              <a16:creationId xmlns:a16="http://schemas.microsoft.com/office/drawing/2014/main" id="{3FD74725-533B-E96E-D32B-39AFE87E5A06}"/>
            </a:ext>
          </a:extLst>
        </xdr:cNvPr>
        <xdr:cNvSpPr txBox="1"/>
      </xdr:nvSpPr>
      <xdr:spPr>
        <a:xfrm>
          <a:off x="17712877" y="23749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29/12</a:t>
          </a:r>
        </a:p>
      </xdr:txBody>
    </xdr:sp>
    <xdr:clientData/>
  </xdr:twoCellAnchor>
  <xdr:twoCellAnchor>
    <xdr:from>
      <xdr:col>13</xdr:col>
      <xdr:colOff>404008</xdr:colOff>
      <xdr:row>10</xdr:row>
      <xdr:rowOff>44450</xdr:rowOff>
    </xdr:from>
    <xdr:to>
      <xdr:col>16</xdr:col>
      <xdr:colOff>219418</xdr:colOff>
      <xdr:row>10</xdr:row>
      <xdr:rowOff>196850</xdr:rowOff>
    </xdr:to>
    <xdr:sp macro="" textlink="">
      <xdr:nvSpPr>
        <xdr:cNvPr id="21" name="Gantt_T_11">
          <a:extLst>
            <a:ext uri="{FF2B5EF4-FFF2-40B4-BE49-F238E27FC236}">
              <a16:creationId xmlns:a16="http://schemas.microsoft.com/office/drawing/2014/main" id="{2196F6BC-BBC1-649A-697C-CEEBCA5087B0}"/>
            </a:ext>
          </a:extLst>
        </xdr:cNvPr>
        <xdr:cNvSpPr/>
      </xdr:nvSpPr>
      <xdr:spPr>
        <a:xfrm>
          <a:off x="17701408" y="2647950"/>
          <a:ext cx="1072710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124608</xdr:colOff>
      <xdr:row>10</xdr:row>
      <xdr:rowOff>12700</xdr:rowOff>
    </xdr:from>
    <xdr:to>
      <xdr:col>13</xdr:col>
      <xdr:colOff>404008</xdr:colOff>
      <xdr:row>10</xdr:row>
      <xdr:rowOff>165100</xdr:rowOff>
    </xdr:to>
    <xdr:sp macro="" textlink="">
      <xdr:nvSpPr>
        <xdr:cNvPr id="22" name="GTag_S_11">
          <a:extLst>
            <a:ext uri="{FF2B5EF4-FFF2-40B4-BE49-F238E27FC236}">
              <a16:creationId xmlns:a16="http://schemas.microsoft.com/office/drawing/2014/main" id="{1CBE14E2-BAAB-385E-6313-7D2AC2A42419}"/>
            </a:ext>
          </a:extLst>
        </xdr:cNvPr>
        <xdr:cNvSpPr txBox="1"/>
      </xdr:nvSpPr>
      <xdr:spPr>
        <a:xfrm>
          <a:off x="17422008" y="26162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30</a:t>
          </a:r>
        </a:p>
      </xdr:txBody>
    </xdr:sp>
    <xdr:clientData/>
  </xdr:twoCellAnchor>
  <xdr:twoCellAnchor>
    <xdr:from>
      <xdr:col>16</xdr:col>
      <xdr:colOff>244818</xdr:colOff>
      <xdr:row>10</xdr:row>
      <xdr:rowOff>12700</xdr:rowOff>
    </xdr:from>
    <xdr:to>
      <xdr:col>17</xdr:col>
      <xdr:colOff>155918</xdr:colOff>
      <xdr:row>10</xdr:row>
      <xdr:rowOff>165100</xdr:rowOff>
    </xdr:to>
    <xdr:sp macro="" textlink="">
      <xdr:nvSpPr>
        <xdr:cNvPr id="23" name="GTag_E_11">
          <a:extLst>
            <a:ext uri="{FF2B5EF4-FFF2-40B4-BE49-F238E27FC236}">
              <a16:creationId xmlns:a16="http://schemas.microsoft.com/office/drawing/2014/main" id="{A9710806-4890-0F5F-E17A-00110C7BAE3D}"/>
            </a:ext>
          </a:extLst>
        </xdr:cNvPr>
        <xdr:cNvSpPr txBox="1"/>
      </xdr:nvSpPr>
      <xdr:spPr>
        <a:xfrm>
          <a:off x="18799518" y="26162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16/3</a:t>
          </a:r>
        </a:p>
      </xdr:txBody>
    </xdr:sp>
    <xdr:clientData/>
  </xdr:twoCellAnchor>
  <xdr:twoCellAnchor>
    <xdr:from>
      <xdr:col>13</xdr:col>
      <xdr:colOff>404008</xdr:colOff>
      <xdr:row>11</xdr:row>
      <xdr:rowOff>50800</xdr:rowOff>
    </xdr:from>
    <xdr:to>
      <xdr:col>31</xdr:col>
      <xdr:colOff>104485</xdr:colOff>
      <xdr:row>11</xdr:row>
      <xdr:rowOff>114300</xdr:rowOff>
    </xdr:to>
    <xdr:sp macro="" textlink="">
      <xdr:nvSpPr>
        <xdr:cNvPr id="24" name="Gantt_S_12">
          <a:extLst>
            <a:ext uri="{FF2B5EF4-FFF2-40B4-BE49-F238E27FC236}">
              <a16:creationId xmlns:a16="http://schemas.microsoft.com/office/drawing/2014/main" id="{B9AD4AB0-3A68-6DD3-8BEF-59CA51960653}"/>
            </a:ext>
          </a:extLst>
        </xdr:cNvPr>
        <xdr:cNvSpPr/>
      </xdr:nvSpPr>
      <xdr:spPr>
        <a:xfrm>
          <a:off x="17701408" y="2895600"/>
          <a:ext cx="7244277" cy="635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404008</xdr:colOff>
      <xdr:row>11</xdr:row>
      <xdr:rowOff>114300</xdr:rowOff>
    </xdr:from>
    <xdr:to>
      <xdr:col>14</xdr:col>
      <xdr:colOff>35708</xdr:colOff>
      <xdr:row>11</xdr:row>
      <xdr:rowOff>165100</xdr:rowOff>
    </xdr:to>
    <xdr:sp macro="" textlink="">
      <xdr:nvSpPr>
        <xdr:cNvPr id="25" name="Gantt_S_BL_12">
          <a:extLst>
            <a:ext uri="{FF2B5EF4-FFF2-40B4-BE49-F238E27FC236}">
              <a16:creationId xmlns:a16="http://schemas.microsoft.com/office/drawing/2014/main" id="{33E06208-8E7F-6A5E-7D2D-ABD7F7173551}"/>
            </a:ext>
          </a:extLst>
        </xdr:cNvPr>
        <xdr:cNvSpPr/>
      </xdr:nvSpPr>
      <xdr:spPr>
        <a:xfrm>
          <a:off x="17701408" y="29591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31</xdr:col>
      <xdr:colOff>53685</xdr:colOff>
      <xdr:row>11</xdr:row>
      <xdr:rowOff>114300</xdr:rowOff>
    </xdr:from>
    <xdr:to>
      <xdr:col>31</xdr:col>
      <xdr:colOff>104485</xdr:colOff>
      <xdr:row>11</xdr:row>
      <xdr:rowOff>165100</xdr:rowOff>
    </xdr:to>
    <xdr:sp macro="" textlink="">
      <xdr:nvSpPr>
        <xdr:cNvPr id="26" name="Gantt_S_BR_12">
          <a:extLst>
            <a:ext uri="{FF2B5EF4-FFF2-40B4-BE49-F238E27FC236}">
              <a16:creationId xmlns:a16="http://schemas.microsoft.com/office/drawing/2014/main" id="{D9F9FAAC-BBA5-39B0-A05B-A60DB27F2B82}"/>
            </a:ext>
          </a:extLst>
        </xdr:cNvPr>
        <xdr:cNvSpPr/>
      </xdr:nvSpPr>
      <xdr:spPr>
        <a:xfrm>
          <a:off x="24894885" y="29591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99208</xdr:colOff>
      <xdr:row>10</xdr:row>
      <xdr:rowOff>228600</xdr:rowOff>
    </xdr:from>
    <xdr:to>
      <xdr:col>13</xdr:col>
      <xdr:colOff>404008</xdr:colOff>
      <xdr:row>11</xdr:row>
      <xdr:rowOff>139700</xdr:rowOff>
    </xdr:to>
    <xdr:sp macro="" textlink="">
      <xdr:nvSpPr>
        <xdr:cNvPr id="27" name="GTag_S_12">
          <a:extLst>
            <a:ext uri="{FF2B5EF4-FFF2-40B4-BE49-F238E27FC236}">
              <a16:creationId xmlns:a16="http://schemas.microsoft.com/office/drawing/2014/main" id="{7C203CC3-E21E-C4E6-B581-9B3681FE50BD}"/>
            </a:ext>
          </a:extLst>
        </xdr:cNvPr>
        <xdr:cNvSpPr txBox="1"/>
      </xdr:nvSpPr>
      <xdr:spPr>
        <a:xfrm>
          <a:off x="17396608" y="2832100"/>
          <a:ext cx="304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30/12</a:t>
          </a:r>
        </a:p>
      </xdr:txBody>
    </xdr:sp>
    <xdr:clientData/>
  </xdr:twoCellAnchor>
  <xdr:twoCellAnchor>
    <xdr:from>
      <xdr:col>31</xdr:col>
      <xdr:colOff>129885</xdr:colOff>
      <xdr:row>10</xdr:row>
      <xdr:rowOff>228600</xdr:rowOff>
    </xdr:from>
    <xdr:to>
      <xdr:col>32</xdr:col>
      <xdr:colOff>40985</xdr:colOff>
      <xdr:row>11</xdr:row>
      <xdr:rowOff>139700</xdr:rowOff>
    </xdr:to>
    <xdr:sp macro="" textlink="">
      <xdr:nvSpPr>
        <xdr:cNvPr id="28" name="GTag_E_12">
          <a:extLst>
            <a:ext uri="{FF2B5EF4-FFF2-40B4-BE49-F238E27FC236}">
              <a16:creationId xmlns:a16="http://schemas.microsoft.com/office/drawing/2014/main" id="{753FAD59-BB51-8A2C-A79A-DCBE2E089307}"/>
            </a:ext>
          </a:extLst>
        </xdr:cNvPr>
        <xdr:cNvSpPr txBox="1"/>
      </xdr:nvSpPr>
      <xdr:spPr>
        <a:xfrm>
          <a:off x="24971085" y="28321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02/06</a:t>
          </a:r>
        </a:p>
      </xdr:txBody>
    </xdr:sp>
    <xdr:clientData/>
  </xdr:twoCellAnchor>
  <xdr:twoCellAnchor>
    <xdr:from>
      <xdr:col>13</xdr:col>
      <xdr:colOff>404008</xdr:colOff>
      <xdr:row>12</xdr:row>
      <xdr:rowOff>44450</xdr:rowOff>
    </xdr:from>
    <xdr:to>
      <xdr:col>16</xdr:col>
      <xdr:colOff>219418</xdr:colOff>
      <xdr:row>12</xdr:row>
      <xdr:rowOff>196850</xdr:rowOff>
    </xdr:to>
    <xdr:sp macro="" textlink="">
      <xdr:nvSpPr>
        <xdr:cNvPr id="29" name="Gantt_T_13">
          <a:extLst>
            <a:ext uri="{FF2B5EF4-FFF2-40B4-BE49-F238E27FC236}">
              <a16:creationId xmlns:a16="http://schemas.microsoft.com/office/drawing/2014/main" id="{36A61AFF-3EB7-4232-3376-1F662A0B5FA8}"/>
            </a:ext>
          </a:extLst>
        </xdr:cNvPr>
        <xdr:cNvSpPr/>
      </xdr:nvSpPr>
      <xdr:spPr>
        <a:xfrm>
          <a:off x="17701408" y="3130550"/>
          <a:ext cx="1072710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124608</xdr:colOff>
      <xdr:row>12</xdr:row>
      <xdr:rowOff>12700</xdr:rowOff>
    </xdr:from>
    <xdr:to>
      <xdr:col>13</xdr:col>
      <xdr:colOff>404008</xdr:colOff>
      <xdr:row>12</xdr:row>
      <xdr:rowOff>165100</xdr:rowOff>
    </xdr:to>
    <xdr:sp macro="" textlink="">
      <xdr:nvSpPr>
        <xdr:cNvPr id="30" name="GTag_S_13">
          <a:extLst>
            <a:ext uri="{FF2B5EF4-FFF2-40B4-BE49-F238E27FC236}">
              <a16:creationId xmlns:a16="http://schemas.microsoft.com/office/drawing/2014/main" id="{A549AE89-F540-9098-3D68-CBD76A99ABF7}"/>
            </a:ext>
          </a:extLst>
        </xdr:cNvPr>
        <xdr:cNvSpPr txBox="1"/>
      </xdr:nvSpPr>
      <xdr:spPr>
        <a:xfrm>
          <a:off x="17422008" y="30988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30</a:t>
          </a:r>
        </a:p>
      </xdr:txBody>
    </xdr:sp>
    <xdr:clientData/>
  </xdr:twoCellAnchor>
  <xdr:twoCellAnchor>
    <xdr:from>
      <xdr:col>16</xdr:col>
      <xdr:colOff>244818</xdr:colOff>
      <xdr:row>12</xdr:row>
      <xdr:rowOff>12700</xdr:rowOff>
    </xdr:from>
    <xdr:to>
      <xdr:col>17</xdr:col>
      <xdr:colOff>155918</xdr:colOff>
      <xdr:row>12</xdr:row>
      <xdr:rowOff>165100</xdr:rowOff>
    </xdr:to>
    <xdr:sp macro="" textlink="">
      <xdr:nvSpPr>
        <xdr:cNvPr id="31" name="GTag_E_13">
          <a:extLst>
            <a:ext uri="{FF2B5EF4-FFF2-40B4-BE49-F238E27FC236}">
              <a16:creationId xmlns:a16="http://schemas.microsoft.com/office/drawing/2014/main" id="{0821BCF2-7EE5-61BF-4D21-07510F36799F}"/>
            </a:ext>
          </a:extLst>
        </xdr:cNvPr>
        <xdr:cNvSpPr txBox="1"/>
      </xdr:nvSpPr>
      <xdr:spPr>
        <a:xfrm>
          <a:off x="18799518" y="30988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16/3</a:t>
          </a:r>
        </a:p>
      </xdr:txBody>
    </xdr:sp>
    <xdr:clientData/>
  </xdr:twoCellAnchor>
  <xdr:twoCellAnchor>
    <xdr:from>
      <xdr:col>14</xdr:col>
      <xdr:colOff>333191</xdr:colOff>
      <xdr:row>13</xdr:row>
      <xdr:rowOff>44450</xdr:rowOff>
    </xdr:from>
    <xdr:to>
      <xdr:col>19</xdr:col>
      <xdr:colOff>118416</xdr:colOff>
      <xdr:row>13</xdr:row>
      <xdr:rowOff>196850</xdr:rowOff>
    </xdr:to>
    <xdr:sp macro="" textlink="">
      <xdr:nvSpPr>
        <xdr:cNvPr id="32" name="Gantt_T_14">
          <a:extLst>
            <a:ext uri="{FF2B5EF4-FFF2-40B4-BE49-F238E27FC236}">
              <a16:creationId xmlns:a16="http://schemas.microsoft.com/office/drawing/2014/main" id="{BAFC4030-3202-1D56-D8BA-EF9E786A9EBA}"/>
            </a:ext>
          </a:extLst>
        </xdr:cNvPr>
        <xdr:cNvSpPr/>
      </xdr:nvSpPr>
      <xdr:spPr>
        <a:xfrm>
          <a:off x="18049691" y="3371850"/>
          <a:ext cx="1880725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14</xdr:col>
      <xdr:colOff>53791</xdr:colOff>
      <xdr:row>13</xdr:row>
      <xdr:rowOff>12700</xdr:rowOff>
    </xdr:from>
    <xdr:to>
      <xdr:col>14</xdr:col>
      <xdr:colOff>333191</xdr:colOff>
      <xdr:row>13</xdr:row>
      <xdr:rowOff>165100</xdr:rowOff>
    </xdr:to>
    <xdr:sp macro="" textlink="">
      <xdr:nvSpPr>
        <xdr:cNvPr id="33" name="GTag_S_14">
          <a:extLst>
            <a:ext uri="{FF2B5EF4-FFF2-40B4-BE49-F238E27FC236}">
              <a16:creationId xmlns:a16="http://schemas.microsoft.com/office/drawing/2014/main" id="{2B2E1ADE-5796-7CCA-798E-B6C2D0B26E11}"/>
            </a:ext>
          </a:extLst>
        </xdr:cNvPr>
        <xdr:cNvSpPr txBox="1"/>
      </xdr:nvSpPr>
      <xdr:spPr>
        <a:xfrm>
          <a:off x="17770291" y="33401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24</a:t>
          </a:r>
        </a:p>
      </xdr:txBody>
    </xdr:sp>
    <xdr:clientData/>
  </xdr:twoCellAnchor>
  <xdr:twoCellAnchor>
    <xdr:from>
      <xdr:col>19</xdr:col>
      <xdr:colOff>143816</xdr:colOff>
      <xdr:row>13</xdr:row>
      <xdr:rowOff>12700</xdr:rowOff>
    </xdr:from>
    <xdr:to>
      <xdr:col>20</xdr:col>
      <xdr:colOff>54916</xdr:colOff>
      <xdr:row>13</xdr:row>
      <xdr:rowOff>165100</xdr:rowOff>
    </xdr:to>
    <xdr:sp macro="" textlink="">
      <xdr:nvSpPr>
        <xdr:cNvPr id="34" name="GTag_E_14">
          <a:extLst>
            <a:ext uri="{FF2B5EF4-FFF2-40B4-BE49-F238E27FC236}">
              <a16:creationId xmlns:a16="http://schemas.microsoft.com/office/drawing/2014/main" id="{E621AAD1-5349-2572-2F13-145AD78A3A55}"/>
            </a:ext>
          </a:extLst>
        </xdr:cNvPr>
        <xdr:cNvSpPr txBox="1"/>
      </xdr:nvSpPr>
      <xdr:spPr>
        <a:xfrm>
          <a:off x="19955816" y="33401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7/6</a:t>
          </a:r>
        </a:p>
      </xdr:txBody>
    </xdr:sp>
    <xdr:clientData/>
  </xdr:twoCellAnchor>
  <xdr:twoCellAnchor>
    <xdr:from>
      <xdr:col>15</xdr:col>
      <xdr:colOff>248442</xdr:colOff>
      <xdr:row>14</xdr:row>
      <xdr:rowOff>44450</xdr:rowOff>
    </xdr:from>
    <xdr:to>
      <xdr:col>21</xdr:col>
      <xdr:colOff>143957</xdr:colOff>
      <xdr:row>14</xdr:row>
      <xdr:rowOff>196850</xdr:rowOff>
    </xdr:to>
    <xdr:sp macro="" textlink="">
      <xdr:nvSpPr>
        <xdr:cNvPr id="35" name="Gantt_T_15">
          <a:extLst>
            <a:ext uri="{FF2B5EF4-FFF2-40B4-BE49-F238E27FC236}">
              <a16:creationId xmlns:a16="http://schemas.microsoft.com/office/drawing/2014/main" id="{DC4EA50A-EEB2-31DA-B8D4-178A30E5BE4B}"/>
            </a:ext>
          </a:extLst>
        </xdr:cNvPr>
        <xdr:cNvSpPr/>
      </xdr:nvSpPr>
      <xdr:spPr>
        <a:xfrm>
          <a:off x="18384042" y="3613150"/>
          <a:ext cx="2410115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14</xdr:col>
      <xdr:colOff>388142</xdr:colOff>
      <xdr:row>14</xdr:row>
      <xdr:rowOff>12700</xdr:rowOff>
    </xdr:from>
    <xdr:to>
      <xdr:col>15</xdr:col>
      <xdr:colOff>248442</xdr:colOff>
      <xdr:row>14</xdr:row>
      <xdr:rowOff>165100</xdr:rowOff>
    </xdr:to>
    <xdr:sp macro="" textlink="">
      <xdr:nvSpPr>
        <xdr:cNvPr id="36" name="GTag_S_15">
          <a:extLst>
            <a:ext uri="{FF2B5EF4-FFF2-40B4-BE49-F238E27FC236}">
              <a16:creationId xmlns:a16="http://schemas.microsoft.com/office/drawing/2014/main" id="{D529C12F-5CBE-CB55-5A38-9FD5A3AC35C2}"/>
            </a:ext>
          </a:extLst>
        </xdr:cNvPr>
        <xdr:cNvSpPr txBox="1"/>
      </xdr:nvSpPr>
      <xdr:spPr>
        <a:xfrm>
          <a:off x="18104642" y="35814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17</a:t>
          </a:r>
        </a:p>
      </xdr:txBody>
    </xdr:sp>
    <xdr:clientData/>
  </xdr:twoCellAnchor>
  <xdr:twoCellAnchor>
    <xdr:from>
      <xdr:col>21</xdr:col>
      <xdr:colOff>169357</xdr:colOff>
      <xdr:row>14</xdr:row>
      <xdr:rowOff>12700</xdr:rowOff>
    </xdr:from>
    <xdr:to>
      <xdr:col>22</xdr:col>
      <xdr:colOff>80457</xdr:colOff>
      <xdr:row>14</xdr:row>
      <xdr:rowOff>165100</xdr:rowOff>
    </xdr:to>
    <xdr:sp macro="" textlink="">
      <xdr:nvSpPr>
        <xdr:cNvPr id="37" name="GTag_E_15">
          <a:extLst>
            <a:ext uri="{FF2B5EF4-FFF2-40B4-BE49-F238E27FC236}">
              <a16:creationId xmlns:a16="http://schemas.microsoft.com/office/drawing/2014/main" id="{A2241751-9C16-AF56-FFC5-6B97B555B2AC}"/>
            </a:ext>
          </a:extLst>
        </xdr:cNvPr>
        <xdr:cNvSpPr txBox="1"/>
      </xdr:nvSpPr>
      <xdr:spPr>
        <a:xfrm>
          <a:off x="20819557" y="35814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8/8</a:t>
          </a:r>
        </a:p>
      </xdr:txBody>
    </xdr:sp>
    <xdr:clientData/>
  </xdr:twoCellAnchor>
  <xdr:twoCellAnchor>
    <xdr:from>
      <xdr:col>16</xdr:col>
      <xdr:colOff>316937</xdr:colOff>
      <xdr:row>15</xdr:row>
      <xdr:rowOff>44450</xdr:rowOff>
    </xdr:from>
    <xdr:to>
      <xdr:col>22</xdr:col>
      <xdr:colOff>365697</xdr:colOff>
      <xdr:row>15</xdr:row>
      <xdr:rowOff>196850</xdr:rowOff>
    </xdr:to>
    <xdr:sp macro="" textlink="">
      <xdr:nvSpPr>
        <xdr:cNvPr id="38" name="Gantt_T_16">
          <a:extLst>
            <a:ext uri="{FF2B5EF4-FFF2-40B4-BE49-F238E27FC236}">
              <a16:creationId xmlns:a16="http://schemas.microsoft.com/office/drawing/2014/main" id="{12A2C74D-2D7D-34B3-19F6-F364D8B0E76B}"/>
            </a:ext>
          </a:extLst>
        </xdr:cNvPr>
        <xdr:cNvSpPr/>
      </xdr:nvSpPr>
      <xdr:spPr>
        <a:xfrm>
          <a:off x="18871637" y="3854450"/>
          <a:ext cx="2563360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16</xdr:col>
      <xdr:colOff>37537</xdr:colOff>
      <xdr:row>15</xdr:row>
      <xdr:rowOff>12700</xdr:rowOff>
    </xdr:from>
    <xdr:to>
      <xdr:col>16</xdr:col>
      <xdr:colOff>316937</xdr:colOff>
      <xdr:row>15</xdr:row>
      <xdr:rowOff>165100</xdr:rowOff>
    </xdr:to>
    <xdr:sp macro="" textlink="">
      <xdr:nvSpPr>
        <xdr:cNvPr id="39" name="GTag_S_16">
          <a:extLst>
            <a:ext uri="{FF2B5EF4-FFF2-40B4-BE49-F238E27FC236}">
              <a16:creationId xmlns:a16="http://schemas.microsoft.com/office/drawing/2014/main" id="{34B79A11-5533-9528-50E7-D34411A6E235}"/>
            </a:ext>
          </a:extLst>
        </xdr:cNvPr>
        <xdr:cNvSpPr txBox="1"/>
      </xdr:nvSpPr>
      <xdr:spPr>
        <a:xfrm>
          <a:off x="18592237" y="38227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23</a:t>
          </a:r>
        </a:p>
      </xdr:txBody>
    </xdr:sp>
    <xdr:clientData/>
  </xdr:twoCellAnchor>
  <xdr:twoCellAnchor>
    <xdr:from>
      <xdr:col>22</xdr:col>
      <xdr:colOff>391097</xdr:colOff>
      <xdr:row>15</xdr:row>
      <xdr:rowOff>12700</xdr:rowOff>
    </xdr:from>
    <xdr:to>
      <xdr:col>23</xdr:col>
      <xdr:colOff>302197</xdr:colOff>
      <xdr:row>15</xdr:row>
      <xdr:rowOff>165100</xdr:rowOff>
    </xdr:to>
    <xdr:sp macro="" textlink="">
      <xdr:nvSpPr>
        <xdr:cNvPr id="40" name="GTag_E_16">
          <a:extLst>
            <a:ext uri="{FF2B5EF4-FFF2-40B4-BE49-F238E27FC236}">
              <a16:creationId xmlns:a16="http://schemas.microsoft.com/office/drawing/2014/main" id="{274E2B30-BC1F-FE49-CD2E-4AAB04586FEF}"/>
            </a:ext>
          </a:extLst>
        </xdr:cNvPr>
        <xdr:cNvSpPr txBox="1"/>
      </xdr:nvSpPr>
      <xdr:spPr>
        <a:xfrm>
          <a:off x="21460397" y="38227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23/9</a:t>
          </a:r>
        </a:p>
      </xdr:txBody>
    </xdr:sp>
    <xdr:clientData/>
  </xdr:twoCellAnchor>
  <xdr:twoCellAnchor>
    <xdr:from>
      <xdr:col>22</xdr:col>
      <xdr:colOff>379628</xdr:colOff>
      <xdr:row>16</xdr:row>
      <xdr:rowOff>44450</xdr:rowOff>
    </xdr:from>
    <xdr:to>
      <xdr:col>25</xdr:col>
      <xdr:colOff>13931</xdr:colOff>
      <xdr:row>16</xdr:row>
      <xdr:rowOff>196850</xdr:rowOff>
    </xdr:to>
    <xdr:sp macro="" textlink="">
      <xdr:nvSpPr>
        <xdr:cNvPr id="41" name="Gantt_T_17">
          <a:extLst>
            <a:ext uri="{FF2B5EF4-FFF2-40B4-BE49-F238E27FC236}">
              <a16:creationId xmlns:a16="http://schemas.microsoft.com/office/drawing/2014/main" id="{AFBAD356-0FC1-290F-CE43-AD70D8C00366}"/>
            </a:ext>
          </a:extLst>
        </xdr:cNvPr>
        <xdr:cNvSpPr/>
      </xdr:nvSpPr>
      <xdr:spPr>
        <a:xfrm>
          <a:off x="21448928" y="4095750"/>
          <a:ext cx="891603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22</xdr:col>
      <xdr:colOff>100228</xdr:colOff>
      <xdr:row>16</xdr:row>
      <xdr:rowOff>12700</xdr:rowOff>
    </xdr:from>
    <xdr:to>
      <xdr:col>22</xdr:col>
      <xdr:colOff>379628</xdr:colOff>
      <xdr:row>16</xdr:row>
      <xdr:rowOff>165100</xdr:rowOff>
    </xdr:to>
    <xdr:sp macro="" textlink="">
      <xdr:nvSpPr>
        <xdr:cNvPr id="42" name="GTag_S_17">
          <a:extLst>
            <a:ext uri="{FF2B5EF4-FFF2-40B4-BE49-F238E27FC236}">
              <a16:creationId xmlns:a16="http://schemas.microsoft.com/office/drawing/2014/main" id="{B934AEDB-EDBE-970E-503F-D6410F42490A}"/>
            </a:ext>
          </a:extLst>
        </xdr:cNvPr>
        <xdr:cNvSpPr txBox="1"/>
      </xdr:nvSpPr>
      <xdr:spPr>
        <a:xfrm>
          <a:off x="21169528" y="40640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24</a:t>
          </a:r>
        </a:p>
      </xdr:txBody>
    </xdr:sp>
    <xdr:clientData/>
  </xdr:twoCellAnchor>
  <xdr:twoCellAnchor>
    <xdr:from>
      <xdr:col>25</xdr:col>
      <xdr:colOff>39331</xdr:colOff>
      <xdr:row>16</xdr:row>
      <xdr:rowOff>12700</xdr:rowOff>
    </xdr:from>
    <xdr:to>
      <xdr:col>25</xdr:col>
      <xdr:colOff>369531</xdr:colOff>
      <xdr:row>16</xdr:row>
      <xdr:rowOff>165100</xdr:rowOff>
    </xdr:to>
    <xdr:sp macro="" textlink="">
      <xdr:nvSpPr>
        <xdr:cNvPr id="43" name="GTag_E_17">
          <a:extLst>
            <a:ext uri="{FF2B5EF4-FFF2-40B4-BE49-F238E27FC236}">
              <a16:creationId xmlns:a16="http://schemas.microsoft.com/office/drawing/2014/main" id="{B95F9146-EB9D-E026-F92E-4F5130CB8A6B}"/>
            </a:ext>
          </a:extLst>
        </xdr:cNvPr>
        <xdr:cNvSpPr txBox="1"/>
      </xdr:nvSpPr>
      <xdr:spPr>
        <a:xfrm>
          <a:off x="22365931" y="40640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27/11</a:t>
          </a:r>
        </a:p>
      </xdr:txBody>
    </xdr:sp>
    <xdr:clientData/>
  </xdr:twoCellAnchor>
  <xdr:twoCellAnchor>
    <xdr:from>
      <xdr:col>16</xdr:col>
      <xdr:colOff>80105</xdr:colOff>
      <xdr:row>17</xdr:row>
      <xdr:rowOff>44450</xdr:rowOff>
    </xdr:from>
    <xdr:to>
      <xdr:col>17</xdr:col>
      <xdr:colOff>134669</xdr:colOff>
      <xdr:row>17</xdr:row>
      <xdr:rowOff>196850</xdr:rowOff>
    </xdr:to>
    <xdr:sp macro="" textlink="">
      <xdr:nvSpPr>
        <xdr:cNvPr id="44" name="Gantt_T_18">
          <a:extLst>
            <a:ext uri="{FF2B5EF4-FFF2-40B4-BE49-F238E27FC236}">
              <a16:creationId xmlns:a16="http://schemas.microsoft.com/office/drawing/2014/main" id="{608ACC67-7B9D-DE7A-318A-81D058E8492D}"/>
            </a:ext>
          </a:extLst>
        </xdr:cNvPr>
        <xdr:cNvSpPr/>
      </xdr:nvSpPr>
      <xdr:spPr>
        <a:xfrm>
          <a:off x="18634805" y="4337050"/>
          <a:ext cx="473664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15</xdr:col>
      <xdr:colOff>219805</xdr:colOff>
      <xdr:row>17</xdr:row>
      <xdr:rowOff>12700</xdr:rowOff>
    </xdr:from>
    <xdr:to>
      <xdr:col>16</xdr:col>
      <xdr:colOff>80105</xdr:colOff>
      <xdr:row>17</xdr:row>
      <xdr:rowOff>165100</xdr:rowOff>
    </xdr:to>
    <xdr:sp macro="" textlink="">
      <xdr:nvSpPr>
        <xdr:cNvPr id="45" name="GTag_S_18">
          <a:extLst>
            <a:ext uri="{FF2B5EF4-FFF2-40B4-BE49-F238E27FC236}">
              <a16:creationId xmlns:a16="http://schemas.microsoft.com/office/drawing/2014/main" id="{22D5C33E-B615-0434-258B-99E34D0EE81F}"/>
            </a:ext>
          </a:extLst>
        </xdr:cNvPr>
        <xdr:cNvSpPr txBox="1"/>
      </xdr:nvSpPr>
      <xdr:spPr>
        <a:xfrm>
          <a:off x="18355405" y="43053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17</xdr:col>
      <xdr:colOff>160069</xdr:colOff>
      <xdr:row>17</xdr:row>
      <xdr:rowOff>12700</xdr:rowOff>
    </xdr:from>
    <xdr:to>
      <xdr:col>18</xdr:col>
      <xdr:colOff>71169</xdr:colOff>
      <xdr:row>17</xdr:row>
      <xdr:rowOff>165100</xdr:rowOff>
    </xdr:to>
    <xdr:sp macro="" textlink="">
      <xdr:nvSpPr>
        <xdr:cNvPr id="46" name="GTag_E_18">
          <a:extLst>
            <a:ext uri="{FF2B5EF4-FFF2-40B4-BE49-F238E27FC236}">
              <a16:creationId xmlns:a16="http://schemas.microsoft.com/office/drawing/2014/main" id="{D8FDAB0C-569D-C493-570A-263A15DAD453}"/>
            </a:ext>
          </a:extLst>
        </xdr:cNvPr>
        <xdr:cNvSpPr txBox="1"/>
      </xdr:nvSpPr>
      <xdr:spPr>
        <a:xfrm>
          <a:off x="19133869" y="43053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9/4</a:t>
          </a:r>
        </a:p>
      </xdr:txBody>
    </xdr:sp>
    <xdr:clientData/>
  </xdr:twoCellAnchor>
  <xdr:twoCellAnchor>
    <xdr:from>
      <xdr:col>23</xdr:col>
      <xdr:colOff>113773</xdr:colOff>
      <xdr:row>18</xdr:row>
      <xdr:rowOff>44450</xdr:rowOff>
    </xdr:from>
    <xdr:to>
      <xdr:col>25</xdr:col>
      <xdr:colOff>236832</xdr:colOff>
      <xdr:row>18</xdr:row>
      <xdr:rowOff>196850</xdr:rowOff>
    </xdr:to>
    <xdr:sp macro="" textlink="">
      <xdr:nvSpPr>
        <xdr:cNvPr id="47" name="Gantt_T_19">
          <a:extLst>
            <a:ext uri="{FF2B5EF4-FFF2-40B4-BE49-F238E27FC236}">
              <a16:creationId xmlns:a16="http://schemas.microsoft.com/office/drawing/2014/main" id="{55487F80-2185-23CB-3DA9-6414B2C521F1}"/>
            </a:ext>
          </a:extLst>
        </xdr:cNvPr>
        <xdr:cNvSpPr/>
      </xdr:nvSpPr>
      <xdr:spPr>
        <a:xfrm>
          <a:off x="21602173" y="4578350"/>
          <a:ext cx="961259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22</xdr:col>
      <xdr:colOff>253473</xdr:colOff>
      <xdr:row>18</xdr:row>
      <xdr:rowOff>12700</xdr:rowOff>
    </xdr:from>
    <xdr:to>
      <xdr:col>23</xdr:col>
      <xdr:colOff>113773</xdr:colOff>
      <xdr:row>18</xdr:row>
      <xdr:rowOff>165100</xdr:rowOff>
    </xdr:to>
    <xdr:sp macro="" textlink="">
      <xdr:nvSpPr>
        <xdr:cNvPr id="48" name="GTag_S_19">
          <a:extLst>
            <a:ext uri="{FF2B5EF4-FFF2-40B4-BE49-F238E27FC236}">
              <a16:creationId xmlns:a16="http://schemas.microsoft.com/office/drawing/2014/main" id="{D938368F-AF1F-28B6-3B96-BE4B7A3811D8}"/>
            </a:ext>
          </a:extLst>
        </xdr:cNvPr>
        <xdr:cNvSpPr txBox="1"/>
      </xdr:nvSpPr>
      <xdr:spPr>
        <a:xfrm>
          <a:off x="21322773" y="45466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25</xdr:col>
      <xdr:colOff>262232</xdr:colOff>
      <xdr:row>18</xdr:row>
      <xdr:rowOff>12700</xdr:rowOff>
    </xdr:from>
    <xdr:to>
      <xdr:col>26</xdr:col>
      <xdr:colOff>173332</xdr:colOff>
      <xdr:row>18</xdr:row>
      <xdr:rowOff>165100</xdr:rowOff>
    </xdr:to>
    <xdr:sp macro="" textlink="">
      <xdr:nvSpPr>
        <xdr:cNvPr id="49" name="GTag_E_19">
          <a:extLst>
            <a:ext uri="{FF2B5EF4-FFF2-40B4-BE49-F238E27FC236}">
              <a16:creationId xmlns:a16="http://schemas.microsoft.com/office/drawing/2014/main" id="{9ACD72FD-2523-31AD-D672-600D14CD795B}"/>
            </a:ext>
          </a:extLst>
        </xdr:cNvPr>
        <xdr:cNvSpPr txBox="1"/>
      </xdr:nvSpPr>
      <xdr:spPr>
        <a:xfrm>
          <a:off x="22588832" y="45466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13/12</a:t>
          </a:r>
        </a:p>
      </xdr:txBody>
    </xdr:sp>
    <xdr:clientData/>
  </xdr:twoCellAnchor>
  <xdr:twoCellAnchor>
    <xdr:from>
      <xdr:col>25</xdr:col>
      <xdr:colOff>27862</xdr:colOff>
      <xdr:row>19</xdr:row>
      <xdr:rowOff>44450</xdr:rowOff>
    </xdr:from>
    <xdr:to>
      <xdr:col>25</xdr:col>
      <xdr:colOff>334350</xdr:colOff>
      <xdr:row>19</xdr:row>
      <xdr:rowOff>196850</xdr:rowOff>
    </xdr:to>
    <xdr:sp macro="" textlink="">
      <xdr:nvSpPr>
        <xdr:cNvPr id="50" name="Gantt_T_20">
          <a:extLst>
            <a:ext uri="{FF2B5EF4-FFF2-40B4-BE49-F238E27FC236}">
              <a16:creationId xmlns:a16="http://schemas.microsoft.com/office/drawing/2014/main" id="{C49F6A8D-4CCE-A3F2-F7E7-DA5D44BDAB67}"/>
            </a:ext>
          </a:extLst>
        </xdr:cNvPr>
        <xdr:cNvSpPr/>
      </xdr:nvSpPr>
      <xdr:spPr>
        <a:xfrm>
          <a:off x="22354462" y="4819650"/>
          <a:ext cx="306488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24</xdr:col>
      <xdr:colOff>167562</xdr:colOff>
      <xdr:row>19</xdr:row>
      <xdr:rowOff>12700</xdr:rowOff>
    </xdr:from>
    <xdr:to>
      <xdr:col>25</xdr:col>
      <xdr:colOff>27862</xdr:colOff>
      <xdr:row>19</xdr:row>
      <xdr:rowOff>165100</xdr:rowOff>
    </xdr:to>
    <xdr:sp macro="" textlink="">
      <xdr:nvSpPr>
        <xdr:cNvPr id="51" name="GTag_S_20">
          <a:extLst>
            <a:ext uri="{FF2B5EF4-FFF2-40B4-BE49-F238E27FC236}">
              <a16:creationId xmlns:a16="http://schemas.microsoft.com/office/drawing/2014/main" id="{D3DA5155-2003-5635-4481-A9143C10676C}"/>
            </a:ext>
          </a:extLst>
        </xdr:cNvPr>
        <xdr:cNvSpPr txBox="1"/>
      </xdr:nvSpPr>
      <xdr:spPr>
        <a:xfrm>
          <a:off x="22075062" y="47879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28</a:t>
          </a:r>
        </a:p>
      </xdr:txBody>
    </xdr:sp>
    <xdr:clientData/>
  </xdr:twoCellAnchor>
  <xdr:twoCellAnchor>
    <xdr:from>
      <xdr:col>25</xdr:col>
      <xdr:colOff>359752</xdr:colOff>
      <xdr:row>19</xdr:row>
      <xdr:rowOff>12700</xdr:rowOff>
    </xdr:from>
    <xdr:to>
      <xdr:col>26</xdr:col>
      <xdr:colOff>270852</xdr:colOff>
      <xdr:row>19</xdr:row>
      <xdr:rowOff>165100</xdr:rowOff>
    </xdr:to>
    <xdr:sp macro="" textlink="">
      <xdr:nvSpPr>
        <xdr:cNvPr id="52" name="GTag_E_20">
          <a:extLst>
            <a:ext uri="{FF2B5EF4-FFF2-40B4-BE49-F238E27FC236}">
              <a16:creationId xmlns:a16="http://schemas.microsoft.com/office/drawing/2014/main" id="{EAE91F59-CAE2-A722-DDAF-2EFE3468DC78}"/>
            </a:ext>
          </a:extLst>
        </xdr:cNvPr>
        <xdr:cNvSpPr txBox="1"/>
      </xdr:nvSpPr>
      <xdr:spPr>
        <a:xfrm>
          <a:off x="22686352" y="47879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20/12</a:t>
          </a:r>
        </a:p>
      </xdr:txBody>
    </xdr:sp>
    <xdr:clientData/>
  </xdr:twoCellAnchor>
  <xdr:twoCellAnchor>
    <xdr:from>
      <xdr:col>25</xdr:col>
      <xdr:colOff>376144</xdr:colOff>
      <xdr:row>20</xdr:row>
      <xdr:rowOff>44450</xdr:rowOff>
    </xdr:from>
    <xdr:to>
      <xdr:col>26</xdr:col>
      <xdr:colOff>277464</xdr:colOff>
      <xdr:row>20</xdr:row>
      <xdr:rowOff>196850</xdr:rowOff>
    </xdr:to>
    <xdr:sp macro="" textlink="">
      <xdr:nvSpPr>
        <xdr:cNvPr id="53" name="Gantt_T_21">
          <a:extLst>
            <a:ext uri="{FF2B5EF4-FFF2-40B4-BE49-F238E27FC236}">
              <a16:creationId xmlns:a16="http://schemas.microsoft.com/office/drawing/2014/main" id="{6EDB6B9E-FA83-2C4C-F348-ECC545497868}"/>
            </a:ext>
          </a:extLst>
        </xdr:cNvPr>
        <xdr:cNvSpPr/>
      </xdr:nvSpPr>
      <xdr:spPr>
        <a:xfrm>
          <a:off x="22702744" y="5060950"/>
          <a:ext cx="320420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25</xdr:col>
      <xdr:colOff>96744</xdr:colOff>
      <xdr:row>20</xdr:row>
      <xdr:rowOff>12700</xdr:rowOff>
    </xdr:from>
    <xdr:to>
      <xdr:col>25</xdr:col>
      <xdr:colOff>376144</xdr:colOff>
      <xdr:row>20</xdr:row>
      <xdr:rowOff>165100</xdr:rowOff>
    </xdr:to>
    <xdr:sp macro="" textlink="">
      <xdr:nvSpPr>
        <xdr:cNvPr id="54" name="GTag_S_21">
          <a:extLst>
            <a:ext uri="{FF2B5EF4-FFF2-40B4-BE49-F238E27FC236}">
              <a16:creationId xmlns:a16="http://schemas.microsoft.com/office/drawing/2014/main" id="{00A493BA-A9AE-AF83-DFD7-E7C055FE82CC}"/>
            </a:ext>
          </a:extLst>
        </xdr:cNvPr>
        <xdr:cNvSpPr txBox="1"/>
      </xdr:nvSpPr>
      <xdr:spPr>
        <a:xfrm>
          <a:off x="22423344" y="50292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23</a:t>
          </a:r>
        </a:p>
      </xdr:txBody>
    </xdr:sp>
    <xdr:clientData/>
  </xdr:twoCellAnchor>
  <xdr:twoCellAnchor>
    <xdr:from>
      <xdr:col>26</xdr:col>
      <xdr:colOff>302865</xdr:colOff>
      <xdr:row>20</xdr:row>
      <xdr:rowOff>12700</xdr:rowOff>
    </xdr:from>
    <xdr:to>
      <xdr:col>27</xdr:col>
      <xdr:colOff>213965</xdr:colOff>
      <xdr:row>20</xdr:row>
      <xdr:rowOff>165100</xdr:rowOff>
    </xdr:to>
    <xdr:sp macro="" textlink="">
      <xdr:nvSpPr>
        <xdr:cNvPr id="55" name="GTag_E_21">
          <a:extLst>
            <a:ext uri="{FF2B5EF4-FFF2-40B4-BE49-F238E27FC236}">
              <a16:creationId xmlns:a16="http://schemas.microsoft.com/office/drawing/2014/main" id="{5EC6A5A3-5D72-FD99-E404-3A7EC74710B1}"/>
            </a:ext>
          </a:extLst>
        </xdr:cNvPr>
        <xdr:cNvSpPr txBox="1"/>
      </xdr:nvSpPr>
      <xdr:spPr>
        <a:xfrm>
          <a:off x="23048565" y="50292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15/1</a:t>
          </a:r>
        </a:p>
      </xdr:txBody>
    </xdr:sp>
    <xdr:clientData/>
  </xdr:twoCellAnchor>
  <xdr:twoCellAnchor>
    <xdr:from>
      <xdr:col>26</xdr:col>
      <xdr:colOff>305327</xdr:colOff>
      <xdr:row>21</xdr:row>
      <xdr:rowOff>44450</xdr:rowOff>
    </xdr:from>
    <xdr:to>
      <xdr:col>27</xdr:col>
      <xdr:colOff>220579</xdr:colOff>
      <xdr:row>21</xdr:row>
      <xdr:rowOff>196850</xdr:rowOff>
    </xdr:to>
    <xdr:sp macro="" textlink="">
      <xdr:nvSpPr>
        <xdr:cNvPr id="56" name="Gantt_T_22">
          <a:extLst>
            <a:ext uri="{FF2B5EF4-FFF2-40B4-BE49-F238E27FC236}">
              <a16:creationId xmlns:a16="http://schemas.microsoft.com/office/drawing/2014/main" id="{7441489F-F14B-E6F2-6932-DC6D3C684260}"/>
            </a:ext>
          </a:extLst>
        </xdr:cNvPr>
        <xdr:cNvSpPr/>
      </xdr:nvSpPr>
      <xdr:spPr>
        <a:xfrm>
          <a:off x="23051027" y="5302250"/>
          <a:ext cx="334352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26</xdr:col>
      <xdr:colOff>25927</xdr:colOff>
      <xdr:row>21</xdr:row>
      <xdr:rowOff>12700</xdr:rowOff>
    </xdr:from>
    <xdr:to>
      <xdr:col>26</xdr:col>
      <xdr:colOff>305327</xdr:colOff>
      <xdr:row>21</xdr:row>
      <xdr:rowOff>165100</xdr:rowOff>
    </xdr:to>
    <xdr:sp macro="" textlink="">
      <xdr:nvSpPr>
        <xdr:cNvPr id="57" name="GTag_S_22">
          <a:extLst>
            <a:ext uri="{FF2B5EF4-FFF2-40B4-BE49-F238E27FC236}">
              <a16:creationId xmlns:a16="http://schemas.microsoft.com/office/drawing/2014/main" id="{510791DF-C4DE-66E4-14D4-268A071C1BD3}"/>
            </a:ext>
          </a:extLst>
        </xdr:cNvPr>
        <xdr:cNvSpPr txBox="1"/>
      </xdr:nvSpPr>
      <xdr:spPr>
        <a:xfrm>
          <a:off x="22771627" y="52705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17</a:t>
          </a:r>
        </a:p>
      </xdr:txBody>
    </xdr:sp>
    <xdr:clientData/>
  </xdr:twoCellAnchor>
  <xdr:twoCellAnchor>
    <xdr:from>
      <xdr:col>27</xdr:col>
      <xdr:colOff>245979</xdr:colOff>
      <xdr:row>21</xdr:row>
      <xdr:rowOff>12700</xdr:rowOff>
    </xdr:from>
    <xdr:to>
      <xdr:col>28</xdr:col>
      <xdr:colOff>157079</xdr:colOff>
      <xdr:row>21</xdr:row>
      <xdr:rowOff>165100</xdr:rowOff>
    </xdr:to>
    <xdr:sp macro="" textlink="">
      <xdr:nvSpPr>
        <xdr:cNvPr id="58" name="GTag_E_22">
          <a:extLst>
            <a:ext uri="{FF2B5EF4-FFF2-40B4-BE49-F238E27FC236}">
              <a16:creationId xmlns:a16="http://schemas.microsoft.com/office/drawing/2014/main" id="{638E3146-5FC7-B545-875A-7BC9922CBC35}"/>
            </a:ext>
          </a:extLst>
        </xdr:cNvPr>
        <xdr:cNvSpPr txBox="1"/>
      </xdr:nvSpPr>
      <xdr:spPr>
        <a:xfrm>
          <a:off x="23410779" y="52705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10/2</a:t>
          </a:r>
        </a:p>
      </xdr:txBody>
    </xdr:sp>
    <xdr:clientData/>
  </xdr:twoCellAnchor>
  <xdr:twoCellAnchor>
    <xdr:from>
      <xdr:col>27</xdr:col>
      <xdr:colOff>387755</xdr:colOff>
      <xdr:row>22</xdr:row>
      <xdr:rowOff>44450</xdr:rowOff>
    </xdr:from>
    <xdr:to>
      <xdr:col>29</xdr:col>
      <xdr:colOff>371501</xdr:colOff>
      <xdr:row>22</xdr:row>
      <xdr:rowOff>196850</xdr:rowOff>
    </xdr:to>
    <xdr:sp macro="" textlink="">
      <xdr:nvSpPr>
        <xdr:cNvPr id="59" name="Gantt_T_23">
          <a:extLst>
            <a:ext uri="{FF2B5EF4-FFF2-40B4-BE49-F238E27FC236}">
              <a16:creationId xmlns:a16="http://schemas.microsoft.com/office/drawing/2014/main" id="{4E8BC0FA-17C3-779E-A8AA-D3CBD931042B}"/>
            </a:ext>
          </a:extLst>
        </xdr:cNvPr>
        <xdr:cNvSpPr/>
      </xdr:nvSpPr>
      <xdr:spPr>
        <a:xfrm>
          <a:off x="23552555" y="5543550"/>
          <a:ext cx="821946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27</xdr:col>
      <xdr:colOff>108355</xdr:colOff>
      <xdr:row>22</xdr:row>
      <xdr:rowOff>12700</xdr:rowOff>
    </xdr:from>
    <xdr:to>
      <xdr:col>27</xdr:col>
      <xdr:colOff>387755</xdr:colOff>
      <xdr:row>22</xdr:row>
      <xdr:rowOff>165100</xdr:rowOff>
    </xdr:to>
    <xdr:sp macro="" textlink="">
      <xdr:nvSpPr>
        <xdr:cNvPr id="60" name="GTag_S_23">
          <a:extLst>
            <a:ext uri="{FF2B5EF4-FFF2-40B4-BE49-F238E27FC236}">
              <a16:creationId xmlns:a16="http://schemas.microsoft.com/office/drawing/2014/main" id="{224351A3-3CEB-775F-7542-CDD9EEA8D554}"/>
            </a:ext>
          </a:extLst>
        </xdr:cNvPr>
        <xdr:cNvSpPr txBox="1"/>
      </xdr:nvSpPr>
      <xdr:spPr>
        <a:xfrm>
          <a:off x="23273155" y="55118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22</a:t>
          </a:r>
        </a:p>
      </xdr:txBody>
    </xdr:sp>
    <xdr:clientData/>
  </xdr:twoCellAnchor>
  <xdr:twoCellAnchor>
    <xdr:from>
      <xdr:col>29</xdr:col>
      <xdr:colOff>396901</xdr:colOff>
      <xdr:row>22</xdr:row>
      <xdr:rowOff>12700</xdr:rowOff>
    </xdr:from>
    <xdr:to>
      <xdr:col>30</xdr:col>
      <xdr:colOff>308001</xdr:colOff>
      <xdr:row>22</xdr:row>
      <xdr:rowOff>165100</xdr:rowOff>
    </xdr:to>
    <xdr:sp macro="" textlink="">
      <xdr:nvSpPr>
        <xdr:cNvPr id="61" name="GTag_E_23">
          <a:extLst>
            <a:ext uri="{FF2B5EF4-FFF2-40B4-BE49-F238E27FC236}">
              <a16:creationId xmlns:a16="http://schemas.microsoft.com/office/drawing/2014/main" id="{5F4A8749-0494-2564-D488-09097F78E325}"/>
            </a:ext>
          </a:extLst>
        </xdr:cNvPr>
        <xdr:cNvSpPr txBox="1"/>
      </xdr:nvSpPr>
      <xdr:spPr>
        <a:xfrm>
          <a:off x="24399901" y="55118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22/4</a:t>
          </a:r>
        </a:p>
      </xdr:txBody>
    </xdr:sp>
    <xdr:clientData/>
  </xdr:twoCellAnchor>
  <xdr:twoCellAnchor>
    <xdr:from>
      <xdr:col>30</xdr:col>
      <xdr:colOff>49921</xdr:colOff>
      <xdr:row>23</xdr:row>
      <xdr:rowOff>44450</xdr:rowOff>
    </xdr:from>
    <xdr:to>
      <xdr:col>31</xdr:col>
      <xdr:colOff>104485</xdr:colOff>
      <xdr:row>23</xdr:row>
      <xdr:rowOff>196850</xdr:rowOff>
    </xdr:to>
    <xdr:sp macro="" textlink="">
      <xdr:nvSpPr>
        <xdr:cNvPr id="62" name="Gantt_T_24">
          <a:extLst>
            <a:ext uri="{FF2B5EF4-FFF2-40B4-BE49-F238E27FC236}">
              <a16:creationId xmlns:a16="http://schemas.microsoft.com/office/drawing/2014/main" id="{D1B69A0F-F436-D514-621E-BA251D29011F}"/>
            </a:ext>
          </a:extLst>
        </xdr:cNvPr>
        <xdr:cNvSpPr/>
      </xdr:nvSpPr>
      <xdr:spPr>
        <a:xfrm>
          <a:off x="24472021" y="5784850"/>
          <a:ext cx="473664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29</xdr:col>
      <xdr:colOff>189621</xdr:colOff>
      <xdr:row>23</xdr:row>
      <xdr:rowOff>12700</xdr:rowOff>
    </xdr:from>
    <xdr:to>
      <xdr:col>30</xdr:col>
      <xdr:colOff>49921</xdr:colOff>
      <xdr:row>23</xdr:row>
      <xdr:rowOff>165100</xdr:rowOff>
    </xdr:to>
    <xdr:sp macro="" textlink="">
      <xdr:nvSpPr>
        <xdr:cNvPr id="63" name="GTag_S_24">
          <a:extLst>
            <a:ext uri="{FF2B5EF4-FFF2-40B4-BE49-F238E27FC236}">
              <a16:creationId xmlns:a16="http://schemas.microsoft.com/office/drawing/2014/main" id="{5E3F0846-5929-0A09-BDA1-9750ADAA7FC7}"/>
            </a:ext>
          </a:extLst>
        </xdr:cNvPr>
        <xdr:cNvSpPr txBox="1"/>
      </xdr:nvSpPr>
      <xdr:spPr>
        <a:xfrm>
          <a:off x="24192621" y="57531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29</a:t>
          </a:r>
        </a:p>
      </xdr:txBody>
    </xdr:sp>
    <xdr:clientData/>
  </xdr:twoCellAnchor>
  <xdr:twoCellAnchor>
    <xdr:from>
      <xdr:col>31</xdr:col>
      <xdr:colOff>129885</xdr:colOff>
      <xdr:row>23</xdr:row>
      <xdr:rowOff>12700</xdr:rowOff>
    </xdr:from>
    <xdr:to>
      <xdr:col>32</xdr:col>
      <xdr:colOff>40985</xdr:colOff>
      <xdr:row>23</xdr:row>
      <xdr:rowOff>165100</xdr:rowOff>
    </xdr:to>
    <xdr:sp macro="" textlink="">
      <xdr:nvSpPr>
        <xdr:cNvPr id="64" name="GTag_E_24">
          <a:extLst>
            <a:ext uri="{FF2B5EF4-FFF2-40B4-BE49-F238E27FC236}">
              <a16:creationId xmlns:a16="http://schemas.microsoft.com/office/drawing/2014/main" id="{49D0EDAD-BE4D-F084-49F4-F26987CF861C}"/>
            </a:ext>
          </a:extLst>
        </xdr:cNvPr>
        <xdr:cNvSpPr txBox="1"/>
      </xdr:nvSpPr>
      <xdr:spPr>
        <a:xfrm>
          <a:off x="24971085" y="57531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2/6</a:t>
          </a:r>
        </a:p>
      </xdr:txBody>
    </xdr:sp>
    <xdr:clientData/>
  </xdr:twoCellAnchor>
  <xdr:twoCellAnchor>
    <xdr:from>
      <xdr:col>14</xdr:col>
      <xdr:colOff>249602</xdr:colOff>
      <xdr:row>24</xdr:row>
      <xdr:rowOff>50800</xdr:rowOff>
    </xdr:from>
    <xdr:to>
      <xdr:col>33</xdr:col>
      <xdr:colOff>4643</xdr:colOff>
      <xdr:row>24</xdr:row>
      <xdr:rowOff>114300</xdr:rowOff>
    </xdr:to>
    <xdr:sp macro="" textlink="">
      <xdr:nvSpPr>
        <xdr:cNvPr id="65" name="Gantt_S_25">
          <a:extLst>
            <a:ext uri="{FF2B5EF4-FFF2-40B4-BE49-F238E27FC236}">
              <a16:creationId xmlns:a16="http://schemas.microsoft.com/office/drawing/2014/main" id="{539750E5-BBA8-1046-3391-20A166FD283D}"/>
            </a:ext>
          </a:extLst>
        </xdr:cNvPr>
        <xdr:cNvSpPr/>
      </xdr:nvSpPr>
      <xdr:spPr>
        <a:xfrm>
          <a:off x="17966102" y="6032500"/>
          <a:ext cx="7717941" cy="635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14</xdr:col>
      <xdr:colOff>249602</xdr:colOff>
      <xdr:row>24</xdr:row>
      <xdr:rowOff>114300</xdr:rowOff>
    </xdr:from>
    <xdr:to>
      <xdr:col>14</xdr:col>
      <xdr:colOff>300402</xdr:colOff>
      <xdr:row>24</xdr:row>
      <xdr:rowOff>165100</xdr:rowOff>
    </xdr:to>
    <xdr:sp macro="" textlink="">
      <xdr:nvSpPr>
        <xdr:cNvPr id="66" name="Gantt_S_BL_25">
          <a:extLst>
            <a:ext uri="{FF2B5EF4-FFF2-40B4-BE49-F238E27FC236}">
              <a16:creationId xmlns:a16="http://schemas.microsoft.com/office/drawing/2014/main" id="{5E61EC2C-CF63-AA2E-C0B1-96B867BAEADA}"/>
            </a:ext>
          </a:extLst>
        </xdr:cNvPr>
        <xdr:cNvSpPr/>
      </xdr:nvSpPr>
      <xdr:spPr>
        <a:xfrm>
          <a:off x="17966102" y="60960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32</xdr:col>
      <xdr:colOff>372943</xdr:colOff>
      <xdr:row>24</xdr:row>
      <xdr:rowOff>114300</xdr:rowOff>
    </xdr:from>
    <xdr:to>
      <xdr:col>33</xdr:col>
      <xdr:colOff>4643</xdr:colOff>
      <xdr:row>24</xdr:row>
      <xdr:rowOff>165100</xdr:rowOff>
    </xdr:to>
    <xdr:sp macro="" textlink="">
      <xdr:nvSpPr>
        <xdr:cNvPr id="67" name="Gantt_S_BR_25">
          <a:extLst>
            <a:ext uri="{FF2B5EF4-FFF2-40B4-BE49-F238E27FC236}">
              <a16:creationId xmlns:a16="http://schemas.microsoft.com/office/drawing/2014/main" id="{FB8674E5-4FDA-8FDF-F508-2844D66F72F9}"/>
            </a:ext>
          </a:extLst>
        </xdr:cNvPr>
        <xdr:cNvSpPr/>
      </xdr:nvSpPr>
      <xdr:spPr>
        <a:xfrm>
          <a:off x="25633243" y="60960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363902</xdr:colOff>
      <xdr:row>23</xdr:row>
      <xdr:rowOff>228600</xdr:rowOff>
    </xdr:from>
    <xdr:to>
      <xdr:col>14</xdr:col>
      <xdr:colOff>249602</xdr:colOff>
      <xdr:row>24</xdr:row>
      <xdr:rowOff>139700</xdr:rowOff>
    </xdr:to>
    <xdr:sp macro="" textlink="">
      <xdr:nvSpPr>
        <xdr:cNvPr id="68" name="GTag_S_25">
          <a:extLst>
            <a:ext uri="{FF2B5EF4-FFF2-40B4-BE49-F238E27FC236}">
              <a16:creationId xmlns:a16="http://schemas.microsoft.com/office/drawing/2014/main" id="{E51D0B13-9616-0E45-80D1-2BAF56F5A140}"/>
            </a:ext>
          </a:extLst>
        </xdr:cNvPr>
        <xdr:cNvSpPr txBox="1"/>
      </xdr:nvSpPr>
      <xdr:spPr>
        <a:xfrm>
          <a:off x="17661302" y="5969000"/>
          <a:ext cx="304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18/01</a:t>
          </a:r>
        </a:p>
      </xdr:txBody>
    </xdr:sp>
    <xdr:clientData/>
  </xdr:twoCellAnchor>
  <xdr:twoCellAnchor>
    <xdr:from>
      <xdr:col>33</xdr:col>
      <xdr:colOff>30043</xdr:colOff>
      <xdr:row>23</xdr:row>
      <xdr:rowOff>228600</xdr:rowOff>
    </xdr:from>
    <xdr:to>
      <xdr:col>33</xdr:col>
      <xdr:colOff>360243</xdr:colOff>
      <xdr:row>24</xdr:row>
      <xdr:rowOff>139700</xdr:rowOff>
    </xdr:to>
    <xdr:sp macro="" textlink="">
      <xdr:nvSpPr>
        <xdr:cNvPr id="69" name="GTag_E_25">
          <a:extLst>
            <a:ext uri="{FF2B5EF4-FFF2-40B4-BE49-F238E27FC236}">
              <a16:creationId xmlns:a16="http://schemas.microsoft.com/office/drawing/2014/main" id="{D20FD94F-3A2E-94CA-B89B-D2C300633512}"/>
            </a:ext>
          </a:extLst>
        </xdr:cNvPr>
        <xdr:cNvSpPr txBox="1"/>
      </xdr:nvSpPr>
      <xdr:spPr>
        <a:xfrm>
          <a:off x="25709443" y="59690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25/07</a:t>
          </a:r>
        </a:p>
      </xdr:txBody>
    </xdr:sp>
    <xdr:clientData/>
  </xdr:twoCellAnchor>
  <xdr:twoCellAnchor>
    <xdr:from>
      <xdr:col>14</xdr:col>
      <xdr:colOff>249602</xdr:colOff>
      <xdr:row>25</xdr:row>
      <xdr:rowOff>44450</xdr:rowOff>
    </xdr:from>
    <xdr:to>
      <xdr:col>16</xdr:col>
      <xdr:colOff>219418</xdr:colOff>
      <xdr:row>25</xdr:row>
      <xdr:rowOff>196850</xdr:rowOff>
    </xdr:to>
    <xdr:sp macro="" textlink="">
      <xdr:nvSpPr>
        <xdr:cNvPr id="70" name="Gantt_T_26">
          <a:extLst>
            <a:ext uri="{FF2B5EF4-FFF2-40B4-BE49-F238E27FC236}">
              <a16:creationId xmlns:a16="http://schemas.microsoft.com/office/drawing/2014/main" id="{0CDA3486-D075-5E98-ADC1-40246F8BAC9C}"/>
            </a:ext>
          </a:extLst>
        </xdr:cNvPr>
        <xdr:cNvSpPr/>
      </xdr:nvSpPr>
      <xdr:spPr>
        <a:xfrm>
          <a:off x="17966102" y="6267450"/>
          <a:ext cx="808016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13</xdr:col>
      <xdr:colOff>389302</xdr:colOff>
      <xdr:row>25</xdr:row>
      <xdr:rowOff>12700</xdr:rowOff>
    </xdr:from>
    <xdr:to>
      <xdr:col>14</xdr:col>
      <xdr:colOff>249602</xdr:colOff>
      <xdr:row>25</xdr:row>
      <xdr:rowOff>165100</xdr:rowOff>
    </xdr:to>
    <xdr:sp macro="" textlink="">
      <xdr:nvSpPr>
        <xdr:cNvPr id="71" name="GTag_S_26">
          <a:extLst>
            <a:ext uri="{FF2B5EF4-FFF2-40B4-BE49-F238E27FC236}">
              <a16:creationId xmlns:a16="http://schemas.microsoft.com/office/drawing/2014/main" id="{23EEB0C8-9F91-CA2D-1184-1FCCE83E6D9E}"/>
            </a:ext>
          </a:extLst>
        </xdr:cNvPr>
        <xdr:cNvSpPr txBox="1"/>
      </xdr:nvSpPr>
      <xdr:spPr>
        <a:xfrm>
          <a:off x="17686702" y="62357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18</a:t>
          </a:r>
        </a:p>
      </xdr:txBody>
    </xdr:sp>
    <xdr:clientData/>
  </xdr:twoCellAnchor>
  <xdr:twoCellAnchor>
    <xdr:from>
      <xdr:col>16</xdr:col>
      <xdr:colOff>244818</xdr:colOff>
      <xdr:row>25</xdr:row>
      <xdr:rowOff>12700</xdr:rowOff>
    </xdr:from>
    <xdr:to>
      <xdr:col>17</xdr:col>
      <xdr:colOff>155918</xdr:colOff>
      <xdr:row>25</xdr:row>
      <xdr:rowOff>165100</xdr:rowOff>
    </xdr:to>
    <xdr:sp macro="" textlink="">
      <xdr:nvSpPr>
        <xdr:cNvPr id="72" name="GTag_E_26">
          <a:extLst>
            <a:ext uri="{FF2B5EF4-FFF2-40B4-BE49-F238E27FC236}">
              <a16:creationId xmlns:a16="http://schemas.microsoft.com/office/drawing/2014/main" id="{C3DD9154-7C65-4AA2-16C0-BC9D3D4BA6F4}"/>
            </a:ext>
          </a:extLst>
        </xdr:cNvPr>
        <xdr:cNvSpPr txBox="1"/>
      </xdr:nvSpPr>
      <xdr:spPr>
        <a:xfrm>
          <a:off x="18799518" y="62357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16/3</a:t>
          </a:r>
        </a:p>
      </xdr:txBody>
    </xdr:sp>
    <xdr:clientData/>
  </xdr:twoCellAnchor>
  <xdr:twoCellAnchor>
    <xdr:from>
      <xdr:col>15</xdr:col>
      <xdr:colOff>81266</xdr:colOff>
      <xdr:row>26</xdr:row>
      <xdr:rowOff>44450</xdr:rowOff>
    </xdr:from>
    <xdr:to>
      <xdr:col>19</xdr:col>
      <xdr:colOff>90554</xdr:colOff>
      <xdr:row>26</xdr:row>
      <xdr:rowOff>196850</xdr:rowOff>
    </xdr:to>
    <xdr:sp macro="" textlink="">
      <xdr:nvSpPr>
        <xdr:cNvPr id="73" name="Gantt_T_27">
          <a:extLst>
            <a:ext uri="{FF2B5EF4-FFF2-40B4-BE49-F238E27FC236}">
              <a16:creationId xmlns:a16="http://schemas.microsoft.com/office/drawing/2014/main" id="{11E78007-D7E6-FECC-CBA8-FBCD25255049}"/>
            </a:ext>
          </a:extLst>
        </xdr:cNvPr>
        <xdr:cNvSpPr/>
      </xdr:nvSpPr>
      <xdr:spPr>
        <a:xfrm>
          <a:off x="18216866" y="6508750"/>
          <a:ext cx="1685688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14</xdr:col>
      <xdr:colOff>220966</xdr:colOff>
      <xdr:row>26</xdr:row>
      <xdr:rowOff>12700</xdr:rowOff>
    </xdr:from>
    <xdr:to>
      <xdr:col>15</xdr:col>
      <xdr:colOff>81266</xdr:colOff>
      <xdr:row>26</xdr:row>
      <xdr:rowOff>165100</xdr:rowOff>
    </xdr:to>
    <xdr:sp macro="" textlink="">
      <xdr:nvSpPr>
        <xdr:cNvPr id="74" name="GTag_S_27">
          <a:extLst>
            <a:ext uri="{FF2B5EF4-FFF2-40B4-BE49-F238E27FC236}">
              <a16:creationId xmlns:a16="http://schemas.microsoft.com/office/drawing/2014/main" id="{A5FC9C0F-2E82-89E7-3866-7C7F4EA48B18}"/>
            </a:ext>
          </a:extLst>
        </xdr:cNvPr>
        <xdr:cNvSpPr txBox="1"/>
      </xdr:nvSpPr>
      <xdr:spPr>
        <a:xfrm>
          <a:off x="17937466" y="64770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19</xdr:col>
      <xdr:colOff>115954</xdr:colOff>
      <xdr:row>26</xdr:row>
      <xdr:rowOff>12700</xdr:rowOff>
    </xdr:from>
    <xdr:to>
      <xdr:col>20</xdr:col>
      <xdr:colOff>27054</xdr:colOff>
      <xdr:row>26</xdr:row>
      <xdr:rowOff>165100</xdr:rowOff>
    </xdr:to>
    <xdr:sp macro="" textlink="">
      <xdr:nvSpPr>
        <xdr:cNvPr id="75" name="GTag_E_27">
          <a:extLst>
            <a:ext uri="{FF2B5EF4-FFF2-40B4-BE49-F238E27FC236}">
              <a16:creationId xmlns:a16="http://schemas.microsoft.com/office/drawing/2014/main" id="{34DED121-DF58-69E2-9B73-CEF158720346}"/>
            </a:ext>
          </a:extLst>
        </xdr:cNvPr>
        <xdr:cNvSpPr txBox="1"/>
      </xdr:nvSpPr>
      <xdr:spPr>
        <a:xfrm>
          <a:off x="19927954" y="64770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5/6</a:t>
          </a:r>
        </a:p>
      </xdr:txBody>
    </xdr:sp>
    <xdr:clientData/>
  </xdr:twoCellAnchor>
  <xdr:twoCellAnchor>
    <xdr:from>
      <xdr:col>15</xdr:col>
      <xdr:colOff>415616</xdr:colOff>
      <xdr:row>27</xdr:row>
      <xdr:rowOff>44450</xdr:rowOff>
    </xdr:from>
    <xdr:to>
      <xdr:col>22</xdr:col>
      <xdr:colOff>184589</xdr:colOff>
      <xdr:row>27</xdr:row>
      <xdr:rowOff>196850</xdr:rowOff>
    </xdr:to>
    <xdr:sp macro="" textlink="">
      <xdr:nvSpPr>
        <xdr:cNvPr id="76" name="Gantt_T_28">
          <a:extLst>
            <a:ext uri="{FF2B5EF4-FFF2-40B4-BE49-F238E27FC236}">
              <a16:creationId xmlns:a16="http://schemas.microsoft.com/office/drawing/2014/main" id="{20AF8F52-769F-4B4A-7772-4EBF950FF9DF}"/>
            </a:ext>
          </a:extLst>
        </xdr:cNvPr>
        <xdr:cNvSpPr/>
      </xdr:nvSpPr>
      <xdr:spPr>
        <a:xfrm>
          <a:off x="18551216" y="6750050"/>
          <a:ext cx="2702673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15</xdr:col>
      <xdr:colOff>136216</xdr:colOff>
      <xdr:row>27</xdr:row>
      <xdr:rowOff>12700</xdr:rowOff>
    </xdr:from>
    <xdr:to>
      <xdr:col>15</xdr:col>
      <xdr:colOff>415616</xdr:colOff>
      <xdr:row>27</xdr:row>
      <xdr:rowOff>165100</xdr:rowOff>
    </xdr:to>
    <xdr:sp macro="" textlink="">
      <xdr:nvSpPr>
        <xdr:cNvPr id="77" name="GTag_S_28">
          <a:extLst>
            <a:ext uri="{FF2B5EF4-FFF2-40B4-BE49-F238E27FC236}">
              <a16:creationId xmlns:a16="http://schemas.microsoft.com/office/drawing/2014/main" id="{6BBC4600-F766-13A8-211B-9E22935B2004}"/>
            </a:ext>
          </a:extLst>
        </xdr:cNvPr>
        <xdr:cNvSpPr txBox="1"/>
      </xdr:nvSpPr>
      <xdr:spPr>
        <a:xfrm>
          <a:off x="18271816" y="67183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29</a:t>
          </a:r>
        </a:p>
      </xdr:txBody>
    </xdr:sp>
    <xdr:clientData/>
  </xdr:twoCellAnchor>
  <xdr:twoCellAnchor>
    <xdr:from>
      <xdr:col>22</xdr:col>
      <xdr:colOff>209990</xdr:colOff>
      <xdr:row>27</xdr:row>
      <xdr:rowOff>12700</xdr:rowOff>
    </xdr:from>
    <xdr:to>
      <xdr:col>23</xdr:col>
      <xdr:colOff>121090</xdr:colOff>
      <xdr:row>27</xdr:row>
      <xdr:rowOff>165100</xdr:rowOff>
    </xdr:to>
    <xdr:sp macro="" textlink="">
      <xdr:nvSpPr>
        <xdr:cNvPr id="78" name="GTag_E_28">
          <a:extLst>
            <a:ext uri="{FF2B5EF4-FFF2-40B4-BE49-F238E27FC236}">
              <a16:creationId xmlns:a16="http://schemas.microsoft.com/office/drawing/2014/main" id="{7FA2C77C-6ECE-BF8F-D22C-FAFB94B80359}"/>
            </a:ext>
          </a:extLst>
        </xdr:cNvPr>
        <xdr:cNvSpPr txBox="1"/>
      </xdr:nvSpPr>
      <xdr:spPr>
        <a:xfrm>
          <a:off x="21279290" y="67183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10/9</a:t>
          </a:r>
        </a:p>
      </xdr:txBody>
    </xdr:sp>
    <xdr:clientData/>
  </xdr:twoCellAnchor>
  <xdr:twoCellAnchor>
    <xdr:from>
      <xdr:col>16</xdr:col>
      <xdr:colOff>400524</xdr:colOff>
      <xdr:row>28</xdr:row>
      <xdr:rowOff>44450</xdr:rowOff>
    </xdr:from>
    <xdr:to>
      <xdr:col>23</xdr:col>
      <xdr:colOff>406329</xdr:colOff>
      <xdr:row>28</xdr:row>
      <xdr:rowOff>196850</xdr:rowOff>
    </xdr:to>
    <xdr:sp macro="" textlink="">
      <xdr:nvSpPr>
        <xdr:cNvPr id="79" name="Gantt_T_29">
          <a:extLst>
            <a:ext uri="{FF2B5EF4-FFF2-40B4-BE49-F238E27FC236}">
              <a16:creationId xmlns:a16="http://schemas.microsoft.com/office/drawing/2014/main" id="{B0B415FA-C556-E1BE-F441-6860255BF632}"/>
            </a:ext>
          </a:extLst>
        </xdr:cNvPr>
        <xdr:cNvSpPr/>
      </xdr:nvSpPr>
      <xdr:spPr>
        <a:xfrm>
          <a:off x="18955224" y="6991350"/>
          <a:ext cx="2939505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16</xdr:col>
      <xdr:colOff>121124</xdr:colOff>
      <xdr:row>28</xdr:row>
      <xdr:rowOff>12700</xdr:rowOff>
    </xdr:from>
    <xdr:to>
      <xdr:col>16</xdr:col>
      <xdr:colOff>400524</xdr:colOff>
      <xdr:row>28</xdr:row>
      <xdr:rowOff>165100</xdr:rowOff>
    </xdr:to>
    <xdr:sp macro="" textlink="">
      <xdr:nvSpPr>
        <xdr:cNvPr id="80" name="GTag_S_29">
          <a:extLst>
            <a:ext uri="{FF2B5EF4-FFF2-40B4-BE49-F238E27FC236}">
              <a16:creationId xmlns:a16="http://schemas.microsoft.com/office/drawing/2014/main" id="{E040899E-12C9-1371-1E57-7FAA286491EA}"/>
            </a:ext>
          </a:extLst>
        </xdr:cNvPr>
        <xdr:cNvSpPr txBox="1"/>
      </xdr:nvSpPr>
      <xdr:spPr>
        <a:xfrm>
          <a:off x="18675824" y="69596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29</a:t>
          </a:r>
        </a:p>
      </xdr:txBody>
    </xdr:sp>
    <xdr:clientData/>
  </xdr:twoCellAnchor>
  <xdr:twoCellAnchor>
    <xdr:from>
      <xdr:col>24</xdr:col>
      <xdr:colOff>12630</xdr:colOff>
      <xdr:row>28</xdr:row>
      <xdr:rowOff>12700</xdr:rowOff>
    </xdr:from>
    <xdr:to>
      <xdr:col>24</xdr:col>
      <xdr:colOff>342830</xdr:colOff>
      <xdr:row>28</xdr:row>
      <xdr:rowOff>165100</xdr:rowOff>
    </xdr:to>
    <xdr:sp macro="" textlink="">
      <xdr:nvSpPr>
        <xdr:cNvPr id="81" name="GTag_E_29">
          <a:extLst>
            <a:ext uri="{FF2B5EF4-FFF2-40B4-BE49-F238E27FC236}">
              <a16:creationId xmlns:a16="http://schemas.microsoft.com/office/drawing/2014/main" id="{95038E5F-4D32-0BDA-CF80-4BBF427AAF8B}"/>
            </a:ext>
          </a:extLst>
        </xdr:cNvPr>
        <xdr:cNvSpPr txBox="1"/>
      </xdr:nvSpPr>
      <xdr:spPr>
        <a:xfrm>
          <a:off x="21920130" y="69596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26/10</a:t>
          </a:r>
        </a:p>
      </xdr:txBody>
    </xdr:sp>
    <xdr:clientData/>
  </xdr:twoCellAnchor>
  <xdr:twoCellAnchor>
    <xdr:from>
      <xdr:col>24</xdr:col>
      <xdr:colOff>15092</xdr:colOff>
      <xdr:row>29</xdr:row>
      <xdr:rowOff>44450</xdr:rowOff>
    </xdr:from>
    <xdr:to>
      <xdr:col>26</xdr:col>
      <xdr:colOff>277465</xdr:colOff>
      <xdr:row>29</xdr:row>
      <xdr:rowOff>196850</xdr:rowOff>
    </xdr:to>
    <xdr:sp macro="" textlink="">
      <xdr:nvSpPr>
        <xdr:cNvPr id="82" name="Gantt_T_30">
          <a:extLst>
            <a:ext uri="{FF2B5EF4-FFF2-40B4-BE49-F238E27FC236}">
              <a16:creationId xmlns:a16="http://schemas.microsoft.com/office/drawing/2014/main" id="{DC66C877-9433-DA0D-45BC-53E14351458E}"/>
            </a:ext>
          </a:extLst>
        </xdr:cNvPr>
        <xdr:cNvSpPr/>
      </xdr:nvSpPr>
      <xdr:spPr>
        <a:xfrm>
          <a:off x="21922592" y="7232650"/>
          <a:ext cx="1100573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23</xdr:col>
      <xdr:colOff>154792</xdr:colOff>
      <xdr:row>29</xdr:row>
      <xdr:rowOff>12700</xdr:rowOff>
    </xdr:from>
    <xdr:to>
      <xdr:col>24</xdr:col>
      <xdr:colOff>15092</xdr:colOff>
      <xdr:row>29</xdr:row>
      <xdr:rowOff>165100</xdr:rowOff>
    </xdr:to>
    <xdr:sp macro="" textlink="">
      <xdr:nvSpPr>
        <xdr:cNvPr id="83" name="GTag_S_30">
          <a:extLst>
            <a:ext uri="{FF2B5EF4-FFF2-40B4-BE49-F238E27FC236}">
              <a16:creationId xmlns:a16="http://schemas.microsoft.com/office/drawing/2014/main" id="{C915186B-BCD8-41D9-76D8-2C3294BDE164}"/>
            </a:ext>
          </a:extLst>
        </xdr:cNvPr>
        <xdr:cNvSpPr txBox="1"/>
      </xdr:nvSpPr>
      <xdr:spPr>
        <a:xfrm>
          <a:off x="21643192" y="72009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28</a:t>
          </a:r>
        </a:p>
      </xdr:txBody>
    </xdr:sp>
    <xdr:clientData/>
  </xdr:twoCellAnchor>
  <xdr:twoCellAnchor>
    <xdr:from>
      <xdr:col>26</xdr:col>
      <xdr:colOff>302865</xdr:colOff>
      <xdr:row>29</xdr:row>
      <xdr:rowOff>12700</xdr:rowOff>
    </xdr:from>
    <xdr:to>
      <xdr:col>27</xdr:col>
      <xdr:colOff>213965</xdr:colOff>
      <xdr:row>29</xdr:row>
      <xdr:rowOff>165100</xdr:rowOff>
    </xdr:to>
    <xdr:sp macro="" textlink="">
      <xdr:nvSpPr>
        <xdr:cNvPr id="84" name="GTag_E_30">
          <a:extLst>
            <a:ext uri="{FF2B5EF4-FFF2-40B4-BE49-F238E27FC236}">
              <a16:creationId xmlns:a16="http://schemas.microsoft.com/office/drawing/2014/main" id="{3448E938-419E-3F2B-5D2D-BBC2AE01286B}"/>
            </a:ext>
          </a:extLst>
        </xdr:cNvPr>
        <xdr:cNvSpPr txBox="1"/>
      </xdr:nvSpPr>
      <xdr:spPr>
        <a:xfrm>
          <a:off x="23048565" y="72009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15/1</a:t>
          </a:r>
        </a:p>
      </xdr:txBody>
    </xdr:sp>
    <xdr:clientData/>
  </xdr:twoCellAnchor>
  <xdr:twoCellAnchor>
    <xdr:from>
      <xdr:col>16</xdr:col>
      <xdr:colOff>163692</xdr:colOff>
      <xdr:row>30</xdr:row>
      <xdr:rowOff>44450</xdr:rowOff>
    </xdr:from>
    <xdr:to>
      <xdr:col>17</xdr:col>
      <xdr:colOff>315776</xdr:colOff>
      <xdr:row>30</xdr:row>
      <xdr:rowOff>196850</xdr:rowOff>
    </xdr:to>
    <xdr:sp macro="" textlink="">
      <xdr:nvSpPr>
        <xdr:cNvPr id="85" name="Gantt_T_31">
          <a:extLst>
            <a:ext uri="{FF2B5EF4-FFF2-40B4-BE49-F238E27FC236}">
              <a16:creationId xmlns:a16="http://schemas.microsoft.com/office/drawing/2014/main" id="{D52B48F9-7EDA-BFE4-4A2E-3CED33AF93E7}"/>
            </a:ext>
          </a:extLst>
        </xdr:cNvPr>
        <xdr:cNvSpPr/>
      </xdr:nvSpPr>
      <xdr:spPr>
        <a:xfrm>
          <a:off x="18718392" y="7473950"/>
          <a:ext cx="571184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15</xdr:col>
      <xdr:colOff>303392</xdr:colOff>
      <xdr:row>30</xdr:row>
      <xdr:rowOff>12700</xdr:rowOff>
    </xdr:from>
    <xdr:to>
      <xdr:col>16</xdr:col>
      <xdr:colOff>163692</xdr:colOff>
      <xdr:row>30</xdr:row>
      <xdr:rowOff>165100</xdr:rowOff>
    </xdr:to>
    <xdr:sp macro="" textlink="">
      <xdr:nvSpPr>
        <xdr:cNvPr id="86" name="GTag_S_31">
          <a:extLst>
            <a:ext uri="{FF2B5EF4-FFF2-40B4-BE49-F238E27FC236}">
              <a16:creationId xmlns:a16="http://schemas.microsoft.com/office/drawing/2014/main" id="{DB6BACAC-5C67-0269-F41B-4A2FB8CD003A}"/>
            </a:ext>
          </a:extLst>
        </xdr:cNvPr>
        <xdr:cNvSpPr txBox="1"/>
      </xdr:nvSpPr>
      <xdr:spPr>
        <a:xfrm>
          <a:off x="18438992" y="74422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12</a:t>
          </a:r>
        </a:p>
      </xdr:txBody>
    </xdr:sp>
    <xdr:clientData/>
  </xdr:twoCellAnchor>
  <xdr:twoCellAnchor>
    <xdr:from>
      <xdr:col>17</xdr:col>
      <xdr:colOff>341176</xdr:colOff>
      <xdr:row>30</xdr:row>
      <xdr:rowOff>12700</xdr:rowOff>
    </xdr:from>
    <xdr:to>
      <xdr:col>18</xdr:col>
      <xdr:colOff>252276</xdr:colOff>
      <xdr:row>30</xdr:row>
      <xdr:rowOff>165100</xdr:rowOff>
    </xdr:to>
    <xdr:sp macro="" textlink="">
      <xdr:nvSpPr>
        <xdr:cNvPr id="87" name="GTag_E_31">
          <a:extLst>
            <a:ext uri="{FF2B5EF4-FFF2-40B4-BE49-F238E27FC236}">
              <a16:creationId xmlns:a16="http://schemas.microsoft.com/office/drawing/2014/main" id="{BCC7C23A-2393-CD8E-4F20-ADB024B8FAC1}"/>
            </a:ext>
          </a:extLst>
        </xdr:cNvPr>
        <xdr:cNvSpPr txBox="1"/>
      </xdr:nvSpPr>
      <xdr:spPr>
        <a:xfrm>
          <a:off x="19314976" y="74422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22/4</a:t>
          </a:r>
        </a:p>
      </xdr:txBody>
    </xdr:sp>
    <xdr:clientData/>
  </xdr:twoCellAnchor>
  <xdr:twoCellAnchor>
    <xdr:from>
      <xdr:col>24</xdr:col>
      <xdr:colOff>168337</xdr:colOff>
      <xdr:row>31</xdr:row>
      <xdr:rowOff>44450</xdr:rowOff>
    </xdr:from>
    <xdr:to>
      <xdr:col>26</xdr:col>
      <xdr:colOff>388916</xdr:colOff>
      <xdr:row>31</xdr:row>
      <xdr:rowOff>196850</xdr:rowOff>
    </xdr:to>
    <xdr:sp macro="" textlink="">
      <xdr:nvSpPr>
        <xdr:cNvPr id="88" name="Gantt_T_32">
          <a:extLst>
            <a:ext uri="{FF2B5EF4-FFF2-40B4-BE49-F238E27FC236}">
              <a16:creationId xmlns:a16="http://schemas.microsoft.com/office/drawing/2014/main" id="{DCE9F18A-3A2D-8B43-7B54-807401651DC0}"/>
            </a:ext>
          </a:extLst>
        </xdr:cNvPr>
        <xdr:cNvSpPr/>
      </xdr:nvSpPr>
      <xdr:spPr>
        <a:xfrm>
          <a:off x="22075837" y="7715250"/>
          <a:ext cx="1058779" cy="152400"/>
        </a:xfrm>
        <a:prstGeom prst="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23</xdr:col>
      <xdr:colOff>308037</xdr:colOff>
      <xdr:row>31</xdr:row>
      <xdr:rowOff>12700</xdr:rowOff>
    </xdr:from>
    <xdr:to>
      <xdr:col>24</xdr:col>
      <xdr:colOff>168337</xdr:colOff>
      <xdr:row>31</xdr:row>
      <xdr:rowOff>165100</xdr:rowOff>
    </xdr:to>
    <xdr:sp macro="" textlink="">
      <xdr:nvSpPr>
        <xdr:cNvPr id="89" name="GTag_S_32">
          <a:extLst>
            <a:ext uri="{FF2B5EF4-FFF2-40B4-BE49-F238E27FC236}">
              <a16:creationId xmlns:a16="http://schemas.microsoft.com/office/drawing/2014/main" id="{44CE5E24-850A-1B88-98DA-6661E8D4F328}"/>
            </a:ext>
          </a:extLst>
        </xdr:cNvPr>
        <xdr:cNvSpPr txBox="1"/>
      </xdr:nvSpPr>
      <xdr:spPr>
        <a:xfrm>
          <a:off x="21796437" y="76835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26</xdr:col>
      <xdr:colOff>414316</xdr:colOff>
      <xdr:row>31</xdr:row>
      <xdr:rowOff>12700</xdr:rowOff>
    </xdr:from>
    <xdr:to>
      <xdr:col>27</xdr:col>
      <xdr:colOff>325416</xdr:colOff>
      <xdr:row>31</xdr:row>
      <xdr:rowOff>165100</xdr:rowOff>
    </xdr:to>
    <xdr:sp macro="" textlink="">
      <xdr:nvSpPr>
        <xdr:cNvPr id="90" name="GTag_E_32">
          <a:extLst>
            <a:ext uri="{FF2B5EF4-FFF2-40B4-BE49-F238E27FC236}">
              <a16:creationId xmlns:a16="http://schemas.microsoft.com/office/drawing/2014/main" id="{C8841F7B-35AC-1FBC-CCC4-FE4FD35721AD}"/>
            </a:ext>
          </a:extLst>
        </xdr:cNvPr>
        <xdr:cNvSpPr txBox="1"/>
      </xdr:nvSpPr>
      <xdr:spPr>
        <a:xfrm>
          <a:off x="23160016" y="76835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23/1</a:t>
          </a:r>
        </a:p>
      </xdr:txBody>
    </xdr:sp>
    <xdr:clientData/>
  </xdr:twoCellAnchor>
  <xdr:twoCellAnchor>
    <xdr:from>
      <xdr:col>26</xdr:col>
      <xdr:colOff>291396</xdr:colOff>
      <xdr:row>32</xdr:row>
      <xdr:rowOff>44450</xdr:rowOff>
    </xdr:from>
    <xdr:to>
      <xdr:col>27</xdr:col>
      <xdr:colOff>290235</xdr:colOff>
      <xdr:row>32</xdr:row>
      <xdr:rowOff>196850</xdr:rowOff>
    </xdr:to>
    <xdr:sp macro="" textlink="">
      <xdr:nvSpPr>
        <xdr:cNvPr id="91" name="Gantt_T_33">
          <a:extLst>
            <a:ext uri="{FF2B5EF4-FFF2-40B4-BE49-F238E27FC236}">
              <a16:creationId xmlns:a16="http://schemas.microsoft.com/office/drawing/2014/main" id="{046FCDB6-BAF0-D8C5-6918-9A595DBDEC8E}"/>
            </a:ext>
          </a:extLst>
        </xdr:cNvPr>
        <xdr:cNvSpPr/>
      </xdr:nvSpPr>
      <xdr:spPr>
        <a:xfrm>
          <a:off x="23037096" y="7956550"/>
          <a:ext cx="417939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26</xdr:col>
      <xdr:colOff>11996</xdr:colOff>
      <xdr:row>32</xdr:row>
      <xdr:rowOff>12700</xdr:rowOff>
    </xdr:from>
    <xdr:to>
      <xdr:col>26</xdr:col>
      <xdr:colOff>291396</xdr:colOff>
      <xdr:row>32</xdr:row>
      <xdr:rowOff>165100</xdr:rowOff>
    </xdr:to>
    <xdr:sp macro="" textlink="">
      <xdr:nvSpPr>
        <xdr:cNvPr id="92" name="GTag_S_33">
          <a:extLst>
            <a:ext uri="{FF2B5EF4-FFF2-40B4-BE49-F238E27FC236}">
              <a16:creationId xmlns:a16="http://schemas.microsoft.com/office/drawing/2014/main" id="{E34F405B-5595-8FBA-2A69-844159AAEE07}"/>
            </a:ext>
          </a:extLst>
        </xdr:cNvPr>
        <xdr:cNvSpPr txBox="1"/>
      </xdr:nvSpPr>
      <xdr:spPr>
        <a:xfrm>
          <a:off x="22757696" y="79248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16</a:t>
          </a:r>
        </a:p>
      </xdr:txBody>
    </xdr:sp>
    <xdr:clientData/>
  </xdr:twoCellAnchor>
  <xdr:twoCellAnchor>
    <xdr:from>
      <xdr:col>27</xdr:col>
      <xdr:colOff>315635</xdr:colOff>
      <xdr:row>32</xdr:row>
      <xdr:rowOff>12700</xdr:rowOff>
    </xdr:from>
    <xdr:to>
      <xdr:col>28</xdr:col>
      <xdr:colOff>226735</xdr:colOff>
      <xdr:row>32</xdr:row>
      <xdr:rowOff>165100</xdr:rowOff>
    </xdr:to>
    <xdr:sp macro="" textlink="">
      <xdr:nvSpPr>
        <xdr:cNvPr id="93" name="GTag_E_33">
          <a:extLst>
            <a:ext uri="{FF2B5EF4-FFF2-40B4-BE49-F238E27FC236}">
              <a16:creationId xmlns:a16="http://schemas.microsoft.com/office/drawing/2014/main" id="{A014266F-ABE0-09B0-F4E4-601A7195B1DF}"/>
            </a:ext>
          </a:extLst>
        </xdr:cNvPr>
        <xdr:cNvSpPr txBox="1"/>
      </xdr:nvSpPr>
      <xdr:spPr>
        <a:xfrm>
          <a:off x="23480435" y="79248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15/2</a:t>
          </a:r>
        </a:p>
      </xdr:txBody>
    </xdr:sp>
    <xdr:clientData/>
  </xdr:twoCellAnchor>
  <xdr:twoCellAnchor>
    <xdr:from>
      <xdr:col>27</xdr:col>
      <xdr:colOff>332029</xdr:colOff>
      <xdr:row>33</xdr:row>
      <xdr:rowOff>44450</xdr:rowOff>
    </xdr:from>
    <xdr:to>
      <xdr:col>28</xdr:col>
      <xdr:colOff>233349</xdr:colOff>
      <xdr:row>33</xdr:row>
      <xdr:rowOff>196850</xdr:rowOff>
    </xdr:to>
    <xdr:sp macro="" textlink="">
      <xdr:nvSpPr>
        <xdr:cNvPr id="94" name="Gantt_T_34">
          <a:extLst>
            <a:ext uri="{FF2B5EF4-FFF2-40B4-BE49-F238E27FC236}">
              <a16:creationId xmlns:a16="http://schemas.microsoft.com/office/drawing/2014/main" id="{9692D78B-6B45-63C4-8826-87CF2A2528E0}"/>
            </a:ext>
          </a:extLst>
        </xdr:cNvPr>
        <xdr:cNvSpPr/>
      </xdr:nvSpPr>
      <xdr:spPr>
        <a:xfrm>
          <a:off x="23496829" y="8197850"/>
          <a:ext cx="320420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27</xdr:col>
      <xdr:colOff>52629</xdr:colOff>
      <xdr:row>33</xdr:row>
      <xdr:rowOff>12700</xdr:rowOff>
    </xdr:from>
    <xdr:to>
      <xdr:col>27</xdr:col>
      <xdr:colOff>332029</xdr:colOff>
      <xdr:row>33</xdr:row>
      <xdr:rowOff>165100</xdr:rowOff>
    </xdr:to>
    <xdr:sp macro="" textlink="">
      <xdr:nvSpPr>
        <xdr:cNvPr id="95" name="GTag_S_34">
          <a:extLst>
            <a:ext uri="{FF2B5EF4-FFF2-40B4-BE49-F238E27FC236}">
              <a16:creationId xmlns:a16="http://schemas.microsoft.com/office/drawing/2014/main" id="{35F81487-FA67-3011-CA6D-4F8D4EBD9055}"/>
            </a:ext>
          </a:extLst>
        </xdr:cNvPr>
        <xdr:cNvSpPr txBox="1"/>
      </xdr:nvSpPr>
      <xdr:spPr>
        <a:xfrm>
          <a:off x="23217429" y="81661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18</a:t>
          </a:r>
        </a:p>
      </xdr:txBody>
    </xdr:sp>
    <xdr:clientData/>
  </xdr:twoCellAnchor>
  <xdr:twoCellAnchor>
    <xdr:from>
      <xdr:col>28</xdr:col>
      <xdr:colOff>258749</xdr:colOff>
      <xdr:row>33</xdr:row>
      <xdr:rowOff>12700</xdr:rowOff>
    </xdr:from>
    <xdr:to>
      <xdr:col>29</xdr:col>
      <xdr:colOff>169849</xdr:colOff>
      <xdr:row>33</xdr:row>
      <xdr:rowOff>165100</xdr:rowOff>
    </xdr:to>
    <xdr:sp macro="" textlink="">
      <xdr:nvSpPr>
        <xdr:cNvPr id="96" name="GTag_E_34">
          <a:extLst>
            <a:ext uri="{FF2B5EF4-FFF2-40B4-BE49-F238E27FC236}">
              <a16:creationId xmlns:a16="http://schemas.microsoft.com/office/drawing/2014/main" id="{268E0190-F8BD-4937-AA6F-113B16AA53F0}"/>
            </a:ext>
          </a:extLst>
        </xdr:cNvPr>
        <xdr:cNvSpPr txBox="1"/>
      </xdr:nvSpPr>
      <xdr:spPr>
        <a:xfrm>
          <a:off x="23842649" y="81661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13/3</a:t>
          </a:r>
        </a:p>
      </xdr:txBody>
    </xdr:sp>
    <xdr:clientData/>
  </xdr:twoCellAnchor>
  <xdr:twoCellAnchor>
    <xdr:from>
      <xdr:col>28</xdr:col>
      <xdr:colOff>261212</xdr:colOff>
      <xdr:row>34</xdr:row>
      <xdr:rowOff>44450</xdr:rowOff>
    </xdr:from>
    <xdr:to>
      <xdr:col>29</xdr:col>
      <xdr:colOff>92875</xdr:colOff>
      <xdr:row>34</xdr:row>
      <xdr:rowOff>196850</xdr:rowOff>
    </xdr:to>
    <xdr:sp macro="" textlink="">
      <xdr:nvSpPr>
        <xdr:cNvPr id="97" name="Gantt_T_35">
          <a:extLst>
            <a:ext uri="{FF2B5EF4-FFF2-40B4-BE49-F238E27FC236}">
              <a16:creationId xmlns:a16="http://schemas.microsoft.com/office/drawing/2014/main" id="{2A901E32-6F39-1F03-BB4A-09EE736134D2}"/>
            </a:ext>
          </a:extLst>
        </xdr:cNvPr>
        <xdr:cNvSpPr/>
      </xdr:nvSpPr>
      <xdr:spPr>
        <a:xfrm>
          <a:off x="23845112" y="8439150"/>
          <a:ext cx="250763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27</xdr:col>
      <xdr:colOff>400912</xdr:colOff>
      <xdr:row>34</xdr:row>
      <xdr:rowOff>12700</xdr:rowOff>
    </xdr:from>
    <xdr:to>
      <xdr:col>28</xdr:col>
      <xdr:colOff>261212</xdr:colOff>
      <xdr:row>34</xdr:row>
      <xdr:rowOff>165100</xdr:rowOff>
    </xdr:to>
    <xdr:sp macro="" textlink="">
      <xdr:nvSpPr>
        <xdr:cNvPr id="98" name="GTag_S_35">
          <a:extLst>
            <a:ext uri="{FF2B5EF4-FFF2-40B4-BE49-F238E27FC236}">
              <a16:creationId xmlns:a16="http://schemas.microsoft.com/office/drawing/2014/main" id="{CC69C6B4-B3A5-AEBC-405B-BF02D38ACE34}"/>
            </a:ext>
          </a:extLst>
        </xdr:cNvPr>
        <xdr:cNvSpPr txBox="1"/>
      </xdr:nvSpPr>
      <xdr:spPr>
        <a:xfrm>
          <a:off x="23565712" y="84074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15</a:t>
          </a:r>
        </a:p>
      </xdr:txBody>
    </xdr:sp>
    <xdr:clientData/>
  </xdr:twoCellAnchor>
  <xdr:twoCellAnchor>
    <xdr:from>
      <xdr:col>29</xdr:col>
      <xdr:colOff>118275</xdr:colOff>
      <xdr:row>34</xdr:row>
      <xdr:rowOff>12700</xdr:rowOff>
    </xdr:from>
    <xdr:to>
      <xdr:col>30</xdr:col>
      <xdr:colOff>29375</xdr:colOff>
      <xdr:row>34</xdr:row>
      <xdr:rowOff>165100</xdr:rowOff>
    </xdr:to>
    <xdr:sp macro="" textlink="">
      <xdr:nvSpPr>
        <xdr:cNvPr id="99" name="GTag_E_35">
          <a:extLst>
            <a:ext uri="{FF2B5EF4-FFF2-40B4-BE49-F238E27FC236}">
              <a16:creationId xmlns:a16="http://schemas.microsoft.com/office/drawing/2014/main" id="{345D0ADD-7518-9195-2BC5-DAC92DEDA0FD}"/>
            </a:ext>
          </a:extLst>
        </xdr:cNvPr>
        <xdr:cNvSpPr txBox="1"/>
      </xdr:nvSpPr>
      <xdr:spPr>
        <a:xfrm>
          <a:off x="24121275" y="84074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2/4</a:t>
          </a:r>
        </a:p>
      </xdr:txBody>
    </xdr:sp>
    <xdr:clientData/>
  </xdr:twoCellAnchor>
  <xdr:twoCellAnchor>
    <xdr:from>
      <xdr:col>29</xdr:col>
      <xdr:colOff>287914</xdr:colOff>
      <xdr:row>35</xdr:row>
      <xdr:rowOff>44450</xdr:rowOff>
    </xdr:from>
    <xdr:to>
      <xdr:col>31</xdr:col>
      <xdr:colOff>313455</xdr:colOff>
      <xdr:row>35</xdr:row>
      <xdr:rowOff>196850</xdr:rowOff>
    </xdr:to>
    <xdr:sp macro="" textlink="">
      <xdr:nvSpPr>
        <xdr:cNvPr id="100" name="Gantt_T_36">
          <a:extLst>
            <a:ext uri="{FF2B5EF4-FFF2-40B4-BE49-F238E27FC236}">
              <a16:creationId xmlns:a16="http://schemas.microsoft.com/office/drawing/2014/main" id="{22772D52-4CB2-74D7-2697-BE47E96492DB}"/>
            </a:ext>
          </a:extLst>
        </xdr:cNvPr>
        <xdr:cNvSpPr/>
      </xdr:nvSpPr>
      <xdr:spPr>
        <a:xfrm>
          <a:off x="24290914" y="8680450"/>
          <a:ext cx="863741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29</xdr:col>
      <xdr:colOff>8514</xdr:colOff>
      <xdr:row>35</xdr:row>
      <xdr:rowOff>12700</xdr:rowOff>
    </xdr:from>
    <xdr:to>
      <xdr:col>29</xdr:col>
      <xdr:colOff>287914</xdr:colOff>
      <xdr:row>35</xdr:row>
      <xdr:rowOff>165100</xdr:rowOff>
    </xdr:to>
    <xdr:sp macro="" textlink="">
      <xdr:nvSpPr>
        <xdr:cNvPr id="101" name="GTag_S_36">
          <a:extLst>
            <a:ext uri="{FF2B5EF4-FFF2-40B4-BE49-F238E27FC236}">
              <a16:creationId xmlns:a16="http://schemas.microsoft.com/office/drawing/2014/main" id="{513297B6-3DDF-F5B0-4453-652E9D5C2007}"/>
            </a:ext>
          </a:extLst>
        </xdr:cNvPr>
        <xdr:cNvSpPr txBox="1"/>
      </xdr:nvSpPr>
      <xdr:spPr>
        <a:xfrm>
          <a:off x="24011514" y="86487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16</a:t>
          </a:r>
        </a:p>
      </xdr:txBody>
    </xdr:sp>
    <xdr:clientData/>
  </xdr:twoCellAnchor>
  <xdr:twoCellAnchor>
    <xdr:from>
      <xdr:col>31</xdr:col>
      <xdr:colOff>338854</xdr:colOff>
      <xdr:row>35</xdr:row>
      <xdr:rowOff>12700</xdr:rowOff>
    </xdr:from>
    <xdr:to>
      <xdr:col>32</xdr:col>
      <xdr:colOff>249954</xdr:colOff>
      <xdr:row>35</xdr:row>
      <xdr:rowOff>165100</xdr:rowOff>
    </xdr:to>
    <xdr:sp macro="" textlink="">
      <xdr:nvSpPr>
        <xdr:cNvPr id="102" name="GTag_E_36">
          <a:extLst>
            <a:ext uri="{FF2B5EF4-FFF2-40B4-BE49-F238E27FC236}">
              <a16:creationId xmlns:a16="http://schemas.microsoft.com/office/drawing/2014/main" id="{8B980131-6846-E45A-CBDA-BAEC62B82999}"/>
            </a:ext>
          </a:extLst>
        </xdr:cNvPr>
        <xdr:cNvSpPr txBox="1"/>
      </xdr:nvSpPr>
      <xdr:spPr>
        <a:xfrm>
          <a:off x="25180054" y="86487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17/6</a:t>
          </a:r>
        </a:p>
      </xdr:txBody>
    </xdr:sp>
    <xdr:clientData/>
  </xdr:twoCellAnchor>
  <xdr:twoCellAnchor>
    <xdr:from>
      <xdr:col>31</xdr:col>
      <xdr:colOff>410973</xdr:colOff>
      <xdr:row>36</xdr:row>
      <xdr:rowOff>44450</xdr:rowOff>
    </xdr:from>
    <xdr:to>
      <xdr:col>33</xdr:col>
      <xdr:colOff>4643</xdr:colOff>
      <xdr:row>36</xdr:row>
      <xdr:rowOff>196850</xdr:rowOff>
    </xdr:to>
    <xdr:sp macro="" textlink="">
      <xdr:nvSpPr>
        <xdr:cNvPr id="103" name="Gantt_T_37">
          <a:extLst>
            <a:ext uri="{FF2B5EF4-FFF2-40B4-BE49-F238E27FC236}">
              <a16:creationId xmlns:a16="http://schemas.microsoft.com/office/drawing/2014/main" id="{5C0BF534-6809-4CCA-B683-1EC3C9E06E50}"/>
            </a:ext>
          </a:extLst>
        </xdr:cNvPr>
        <xdr:cNvSpPr/>
      </xdr:nvSpPr>
      <xdr:spPr>
        <a:xfrm>
          <a:off x="25252173" y="8921750"/>
          <a:ext cx="431870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31</xdr:col>
      <xdr:colOff>131573</xdr:colOff>
      <xdr:row>36</xdr:row>
      <xdr:rowOff>12700</xdr:rowOff>
    </xdr:from>
    <xdr:to>
      <xdr:col>31</xdr:col>
      <xdr:colOff>410973</xdr:colOff>
      <xdr:row>36</xdr:row>
      <xdr:rowOff>165100</xdr:rowOff>
    </xdr:to>
    <xdr:sp macro="" textlink="">
      <xdr:nvSpPr>
        <xdr:cNvPr id="104" name="GTag_S_37">
          <a:extLst>
            <a:ext uri="{FF2B5EF4-FFF2-40B4-BE49-F238E27FC236}">
              <a16:creationId xmlns:a16="http://schemas.microsoft.com/office/drawing/2014/main" id="{1C6206C5-29D9-CE0A-0704-9351022D8356}"/>
            </a:ext>
          </a:extLst>
        </xdr:cNvPr>
        <xdr:cNvSpPr txBox="1"/>
      </xdr:nvSpPr>
      <xdr:spPr>
        <a:xfrm>
          <a:off x="24972773" y="88900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24</a:t>
          </a:r>
        </a:p>
      </xdr:txBody>
    </xdr:sp>
    <xdr:clientData/>
  </xdr:twoCellAnchor>
  <xdr:twoCellAnchor>
    <xdr:from>
      <xdr:col>33</xdr:col>
      <xdr:colOff>30043</xdr:colOff>
      <xdr:row>36</xdr:row>
      <xdr:rowOff>12700</xdr:rowOff>
    </xdr:from>
    <xdr:to>
      <xdr:col>33</xdr:col>
      <xdr:colOff>360243</xdr:colOff>
      <xdr:row>36</xdr:row>
      <xdr:rowOff>165100</xdr:rowOff>
    </xdr:to>
    <xdr:sp macro="" textlink="">
      <xdr:nvSpPr>
        <xdr:cNvPr id="105" name="GTag_E_37">
          <a:extLst>
            <a:ext uri="{FF2B5EF4-FFF2-40B4-BE49-F238E27FC236}">
              <a16:creationId xmlns:a16="http://schemas.microsoft.com/office/drawing/2014/main" id="{BE7F4188-67C3-D75B-712C-688476FC5B9D}"/>
            </a:ext>
          </a:extLst>
        </xdr:cNvPr>
        <xdr:cNvSpPr txBox="1"/>
      </xdr:nvSpPr>
      <xdr:spPr>
        <a:xfrm>
          <a:off x="25709443" y="88900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25/7</a:t>
          </a:r>
        </a:p>
      </xdr:txBody>
    </xdr:sp>
    <xdr:clientData/>
  </xdr:twoCellAnchor>
  <xdr:twoCellAnchor>
    <xdr:from>
      <xdr:col>33</xdr:col>
      <xdr:colOff>102163</xdr:colOff>
      <xdr:row>37</xdr:row>
      <xdr:rowOff>50800</xdr:rowOff>
    </xdr:from>
    <xdr:to>
      <xdr:col>37</xdr:col>
      <xdr:colOff>0</xdr:colOff>
      <xdr:row>37</xdr:row>
      <xdr:rowOff>114300</xdr:rowOff>
    </xdr:to>
    <xdr:sp macro="" textlink="">
      <xdr:nvSpPr>
        <xdr:cNvPr id="106" name="Gantt_S_38">
          <a:extLst>
            <a:ext uri="{FF2B5EF4-FFF2-40B4-BE49-F238E27FC236}">
              <a16:creationId xmlns:a16="http://schemas.microsoft.com/office/drawing/2014/main" id="{5F6ABE64-A904-AFFE-EEB5-1B57006635D6}"/>
            </a:ext>
          </a:extLst>
        </xdr:cNvPr>
        <xdr:cNvSpPr/>
      </xdr:nvSpPr>
      <xdr:spPr>
        <a:xfrm>
          <a:off x="25781563" y="9169400"/>
          <a:ext cx="1574237" cy="635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33</xdr:col>
      <xdr:colOff>102163</xdr:colOff>
      <xdr:row>37</xdr:row>
      <xdr:rowOff>114300</xdr:rowOff>
    </xdr:from>
    <xdr:to>
      <xdr:col>33</xdr:col>
      <xdr:colOff>152963</xdr:colOff>
      <xdr:row>37</xdr:row>
      <xdr:rowOff>165100</xdr:rowOff>
    </xdr:to>
    <xdr:sp macro="" textlink="">
      <xdr:nvSpPr>
        <xdr:cNvPr id="107" name="Gantt_S_BL_38">
          <a:extLst>
            <a:ext uri="{FF2B5EF4-FFF2-40B4-BE49-F238E27FC236}">
              <a16:creationId xmlns:a16="http://schemas.microsoft.com/office/drawing/2014/main" id="{B776348E-F44A-DFCE-2A4F-26D0714195E6}"/>
            </a:ext>
          </a:extLst>
        </xdr:cNvPr>
        <xdr:cNvSpPr/>
      </xdr:nvSpPr>
      <xdr:spPr>
        <a:xfrm>
          <a:off x="25781563" y="92329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36</xdr:col>
      <xdr:colOff>368300</xdr:colOff>
      <xdr:row>37</xdr:row>
      <xdr:rowOff>114300</xdr:rowOff>
    </xdr:from>
    <xdr:to>
      <xdr:col>37</xdr:col>
      <xdr:colOff>0</xdr:colOff>
      <xdr:row>37</xdr:row>
      <xdr:rowOff>165100</xdr:rowOff>
    </xdr:to>
    <xdr:sp macro="" textlink="">
      <xdr:nvSpPr>
        <xdr:cNvPr id="108" name="Gantt_S_BR_38">
          <a:extLst>
            <a:ext uri="{FF2B5EF4-FFF2-40B4-BE49-F238E27FC236}">
              <a16:creationId xmlns:a16="http://schemas.microsoft.com/office/drawing/2014/main" id="{A6B9A073-83FD-C5CA-F87C-52D6AFA9CF70}"/>
            </a:ext>
          </a:extLst>
        </xdr:cNvPr>
        <xdr:cNvSpPr/>
      </xdr:nvSpPr>
      <xdr:spPr>
        <a:xfrm>
          <a:off x="27305000" y="9232900"/>
          <a:ext cx="50800" cy="50800"/>
        </a:xfrm>
        <a:prstGeom prst="rect">
          <a:avLst/>
        </a:prstGeom>
        <a:solidFill>
          <a:srgbClr val="5A37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32</xdr:col>
      <xdr:colOff>216463</xdr:colOff>
      <xdr:row>36</xdr:row>
      <xdr:rowOff>228600</xdr:rowOff>
    </xdr:from>
    <xdr:to>
      <xdr:col>33</xdr:col>
      <xdr:colOff>102163</xdr:colOff>
      <xdr:row>37</xdr:row>
      <xdr:rowOff>139700</xdr:rowOff>
    </xdr:to>
    <xdr:sp macro="" textlink="">
      <xdr:nvSpPr>
        <xdr:cNvPr id="109" name="GTag_S_38">
          <a:extLst>
            <a:ext uri="{FF2B5EF4-FFF2-40B4-BE49-F238E27FC236}">
              <a16:creationId xmlns:a16="http://schemas.microsoft.com/office/drawing/2014/main" id="{DD3F1A5C-CC27-8498-E46C-EC9A9FF6E9A9}"/>
            </a:ext>
          </a:extLst>
        </xdr:cNvPr>
        <xdr:cNvSpPr txBox="1"/>
      </xdr:nvSpPr>
      <xdr:spPr>
        <a:xfrm>
          <a:off x="25476763" y="9105900"/>
          <a:ext cx="3048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01/08</a:t>
          </a:r>
        </a:p>
      </xdr:txBody>
    </xdr:sp>
    <xdr:clientData/>
  </xdr:twoCellAnchor>
  <xdr:twoCellAnchor>
    <xdr:from>
      <xdr:col>37</xdr:col>
      <xdr:colOff>25400</xdr:colOff>
      <xdr:row>36</xdr:row>
      <xdr:rowOff>228600</xdr:rowOff>
    </xdr:from>
    <xdr:to>
      <xdr:col>37</xdr:col>
      <xdr:colOff>355600</xdr:colOff>
      <xdr:row>37</xdr:row>
      <xdr:rowOff>139700</xdr:rowOff>
    </xdr:to>
    <xdr:sp macro="" textlink="">
      <xdr:nvSpPr>
        <xdr:cNvPr id="110" name="GTag_E_38">
          <a:extLst>
            <a:ext uri="{FF2B5EF4-FFF2-40B4-BE49-F238E27FC236}">
              <a16:creationId xmlns:a16="http://schemas.microsoft.com/office/drawing/2014/main" id="{5813AAEA-06C2-5F4A-A633-5386C20AFE24}"/>
            </a:ext>
          </a:extLst>
        </xdr:cNvPr>
        <xdr:cNvSpPr txBox="1"/>
      </xdr:nvSpPr>
      <xdr:spPr>
        <a:xfrm>
          <a:off x="27381200" y="91059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6E3812"/>
              </a:solidFill>
              <a:latin typeface="Segoe UI" panose="020B0502040204020203" pitchFamily="34" charset="0"/>
            </a:rPr>
            <a:t>22/11</a:t>
          </a:r>
        </a:p>
      </xdr:txBody>
    </xdr:sp>
    <xdr:clientData/>
  </xdr:twoCellAnchor>
  <xdr:twoCellAnchor>
    <xdr:from>
      <xdr:col>33</xdr:col>
      <xdr:colOff>102163</xdr:colOff>
      <xdr:row>38</xdr:row>
      <xdr:rowOff>44450</xdr:rowOff>
    </xdr:from>
    <xdr:to>
      <xdr:col>33</xdr:col>
      <xdr:colOff>408651</xdr:colOff>
      <xdr:row>38</xdr:row>
      <xdr:rowOff>196850</xdr:rowOff>
    </xdr:to>
    <xdr:sp macro="" textlink="">
      <xdr:nvSpPr>
        <xdr:cNvPr id="111" name="Gantt_T_39">
          <a:extLst>
            <a:ext uri="{FF2B5EF4-FFF2-40B4-BE49-F238E27FC236}">
              <a16:creationId xmlns:a16="http://schemas.microsoft.com/office/drawing/2014/main" id="{8CEE7CB3-DC98-0D1E-5A25-816F29A5033C}"/>
            </a:ext>
          </a:extLst>
        </xdr:cNvPr>
        <xdr:cNvSpPr/>
      </xdr:nvSpPr>
      <xdr:spPr>
        <a:xfrm>
          <a:off x="25781563" y="9404350"/>
          <a:ext cx="306488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32</xdr:col>
      <xdr:colOff>241863</xdr:colOff>
      <xdr:row>38</xdr:row>
      <xdr:rowOff>12700</xdr:rowOff>
    </xdr:from>
    <xdr:to>
      <xdr:col>33</xdr:col>
      <xdr:colOff>102163</xdr:colOff>
      <xdr:row>38</xdr:row>
      <xdr:rowOff>165100</xdr:rowOff>
    </xdr:to>
    <xdr:sp macro="" textlink="">
      <xdr:nvSpPr>
        <xdr:cNvPr id="112" name="GTag_S_39">
          <a:extLst>
            <a:ext uri="{FF2B5EF4-FFF2-40B4-BE49-F238E27FC236}">
              <a16:creationId xmlns:a16="http://schemas.microsoft.com/office/drawing/2014/main" id="{091C643E-A801-F99A-6A36-935B89540B90}"/>
            </a:ext>
          </a:extLst>
        </xdr:cNvPr>
        <xdr:cNvSpPr txBox="1"/>
      </xdr:nvSpPr>
      <xdr:spPr>
        <a:xfrm>
          <a:off x="25502163" y="93726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34</xdr:col>
      <xdr:colOff>14951</xdr:colOff>
      <xdr:row>38</xdr:row>
      <xdr:rowOff>12700</xdr:rowOff>
    </xdr:from>
    <xdr:to>
      <xdr:col>34</xdr:col>
      <xdr:colOff>345151</xdr:colOff>
      <xdr:row>38</xdr:row>
      <xdr:rowOff>165100</xdr:rowOff>
    </xdr:to>
    <xdr:sp macro="" textlink="">
      <xdr:nvSpPr>
        <xdr:cNvPr id="113" name="GTag_E_39">
          <a:extLst>
            <a:ext uri="{FF2B5EF4-FFF2-40B4-BE49-F238E27FC236}">
              <a16:creationId xmlns:a16="http://schemas.microsoft.com/office/drawing/2014/main" id="{CC99809C-5C8F-A00D-3E63-6CFF7B1FA7C1}"/>
            </a:ext>
          </a:extLst>
        </xdr:cNvPr>
        <xdr:cNvSpPr txBox="1"/>
      </xdr:nvSpPr>
      <xdr:spPr>
        <a:xfrm>
          <a:off x="26113451" y="93726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23/8</a:t>
          </a:r>
        </a:p>
      </xdr:txBody>
    </xdr:sp>
    <xdr:clientData/>
  </xdr:twoCellAnchor>
  <xdr:twoCellAnchor>
    <xdr:from>
      <xdr:col>34</xdr:col>
      <xdr:colOff>17413</xdr:colOff>
      <xdr:row>39</xdr:row>
      <xdr:rowOff>44450</xdr:rowOff>
    </xdr:from>
    <xdr:to>
      <xdr:col>35</xdr:col>
      <xdr:colOff>16253</xdr:colOff>
      <xdr:row>39</xdr:row>
      <xdr:rowOff>196850</xdr:rowOff>
    </xdr:to>
    <xdr:sp macro="" textlink="">
      <xdr:nvSpPr>
        <xdr:cNvPr id="114" name="Gantt_T_40">
          <a:extLst>
            <a:ext uri="{FF2B5EF4-FFF2-40B4-BE49-F238E27FC236}">
              <a16:creationId xmlns:a16="http://schemas.microsoft.com/office/drawing/2014/main" id="{5F2A82A1-8497-CD10-78F7-24311C119413}"/>
            </a:ext>
          </a:extLst>
        </xdr:cNvPr>
        <xdr:cNvSpPr/>
      </xdr:nvSpPr>
      <xdr:spPr>
        <a:xfrm>
          <a:off x="26115913" y="9645650"/>
          <a:ext cx="417940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33</xdr:col>
      <xdr:colOff>157114</xdr:colOff>
      <xdr:row>39</xdr:row>
      <xdr:rowOff>12700</xdr:rowOff>
    </xdr:from>
    <xdr:to>
      <xdr:col>34</xdr:col>
      <xdr:colOff>17414</xdr:colOff>
      <xdr:row>39</xdr:row>
      <xdr:rowOff>165100</xdr:rowOff>
    </xdr:to>
    <xdr:sp macro="" textlink="">
      <xdr:nvSpPr>
        <xdr:cNvPr id="115" name="GTag_S_40">
          <a:extLst>
            <a:ext uri="{FF2B5EF4-FFF2-40B4-BE49-F238E27FC236}">
              <a16:creationId xmlns:a16="http://schemas.microsoft.com/office/drawing/2014/main" id="{651A3C5B-D4E9-ACF5-C350-991214C72BF4}"/>
            </a:ext>
          </a:extLst>
        </xdr:cNvPr>
        <xdr:cNvSpPr txBox="1"/>
      </xdr:nvSpPr>
      <xdr:spPr>
        <a:xfrm>
          <a:off x="25836514" y="96139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25</a:t>
          </a:r>
        </a:p>
      </xdr:txBody>
    </xdr:sp>
    <xdr:clientData/>
  </xdr:twoCellAnchor>
  <xdr:twoCellAnchor>
    <xdr:from>
      <xdr:col>35</xdr:col>
      <xdr:colOff>41653</xdr:colOff>
      <xdr:row>39</xdr:row>
      <xdr:rowOff>12700</xdr:rowOff>
    </xdr:from>
    <xdr:to>
      <xdr:col>35</xdr:col>
      <xdr:colOff>371853</xdr:colOff>
      <xdr:row>39</xdr:row>
      <xdr:rowOff>165100</xdr:rowOff>
    </xdr:to>
    <xdr:sp macro="" textlink="">
      <xdr:nvSpPr>
        <xdr:cNvPr id="116" name="GTag_E_40">
          <a:extLst>
            <a:ext uri="{FF2B5EF4-FFF2-40B4-BE49-F238E27FC236}">
              <a16:creationId xmlns:a16="http://schemas.microsoft.com/office/drawing/2014/main" id="{D89CFB02-DC0E-C95C-9620-E979057D611F}"/>
            </a:ext>
          </a:extLst>
        </xdr:cNvPr>
        <xdr:cNvSpPr txBox="1"/>
      </xdr:nvSpPr>
      <xdr:spPr>
        <a:xfrm>
          <a:off x="26559253" y="96139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24/9</a:t>
          </a:r>
        </a:p>
      </xdr:txBody>
    </xdr:sp>
    <xdr:clientData/>
  </xdr:twoCellAnchor>
  <xdr:twoCellAnchor>
    <xdr:from>
      <xdr:col>35</xdr:col>
      <xdr:colOff>30184</xdr:colOff>
      <xdr:row>40</xdr:row>
      <xdr:rowOff>44450</xdr:rowOff>
    </xdr:from>
    <xdr:to>
      <xdr:col>36</xdr:col>
      <xdr:colOff>321580</xdr:colOff>
      <xdr:row>40</xdr:row>
      <xdr:rowOff>196850</xdr:rowOff>
    </xdr:to>
    <xdr:sp macro="" textlink="">
      <xdr:nvSpPr>
        <xdr:cNvPr id="117" name="Gantt_T_41">
          <a:extLst>
            <a:ext uri="{FF2B5EF4-FFF2-40B4-BE49-F238E27FC236}">
              <a16:creationId xmlns:a16="http://schemas.microsoft.com/office/drawing/2014/main" id="{781354F7-9FE1-FA28-E87D-AAAD7E222AAA}"/>
            </a:ext>
          </a:extLst>
        </xdr:cNvPr>
        <xdr:cNvSpPr/>
      </xdr:nvSpPr>
      <xdr:spPr>
        <a:xfrm>
          <a:off x="26547784" y="9886950"/>
          <a:ext cx="710496" cy="152400"/>
        </a:xfrm>
        <a:prstGeom prst="rect">
          <a:avLst/>
        </a:prstGeom>
        <a:solidFill>
          <a:srgbClr val="DC262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34</xdr:col>
      <xdr:colOff>169884</xdr:colOff>
      <xdr:row>40</xdr:row>
      <xdr:rowOff>12700</xdr:rowOff>
    </xdr:from>
    <xdr:to>
      <xdr:col>35</xdr:col>
      <xdr:colOff>30184</xdr:colOff>
      <xdr:row>40</xdr:row>
      <xdr:rowOff>165100</xdr:rowOff>
    </xdr:to>
    <xdr:sp macro="" textlink="">
      <xdr:nvSpPr>
        <xdr:cNvPr id="118" name="GTag_S_41">
          <a:extLst>
            <a:ext uri="{FF2B5EF4-FFF2-40B4-BE49-F238E27FC236}">
              <a16:creationId xmlns:a16="http://schemas.microsoft.com/office/drawing/2014/main" id="{27FC728B-A332-B26F-DBB9-45DE4D513621}"/>
            </a:ext>
          </a:extLst>
        </xdr:cNvPr>
        <xdr:cNvSpPr txBox="1"/>
      </xdr:nvSpPr>
      <xdr:spPr>
        <a:xfrm>
          <a:off x="26268384" y="9855200"/>
          <a:ext cx="279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25</a:t>
          </a:r>
        </a:p>
      </xdr:txBody>
    </xdr:sp>
    <xdr:clientData/>
  </xdr:twoCellAnchor>
  <xdr:twoCellAnchor>
    <xdr:from>
      <xdr:col>36</xdr:col>
      <xdr:colOff>346980</xdr:colOff>
      <xdr:row>40</xdr:row>
      <xdr:rowOff>12700</xdr:rowOff>
    </xdr:from>
    <xdr:to>
      <xdr:col>37</xdr:col>
      <xdr:colOff>258080</xdr:colOff>
      <xdr:row>40</xdr:row>
      <xdr:rowOff>165100</xdr:rowOff>
    </xdr:to>
    <xdr:sp macro="" textlink="">
      <xdr:nvSpPr>
        <xdr:cNvPr id="119" name="GTag_E_41">
          <a:extLst>
            <a:ext uri="{FF2B5EF4-FFF2-40B4-BE49-F238E27FC236}">
              <a16:creationId xmlns:a16="http://schemas.microsoft.com/office/drawing/2014/main" id="{28419F94-2DBE-52B1-73C4-281228A718AF}"/>
            </a:ext>
          </a:extLst>
        </xdr:cNvPr>
        <xdr:cNvSpPr txBox="1"/>
      </xdr:nvSpPr>
      <xdr:spPr>
        <a:xfrm>
          <a:off x="27283680" y="9855200"/>
          <a:ext cx="3302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>
              <a:solidFill>
                <a:srgbClr val="64748B"/>
              </a:solidFill>
              <a:latin typeface="Segoe UI" panose="020B0502040204020203" pitchFamily="34" charset="0"/>
            </a:rPr>
            <a:t>15/11</a:t>
          </a:r>
        </a:p>
      </xdr:txBody>
    </xdr:sp>
    <xdr:clientData/>
  </xdr:twoCellAnchor>
  <xdr:twoCellAnchor>
    <xdr:from>
      <xdr:col>36</xdr:col>
      <xdr:colOff>355600</xdr:colOff>
      <xdr:row>41</xdr:row>
      <xdr:rowOff>50800</xdr:rowOff>
    </xdr:from>
    <xdr:to>
      <xdr:col>37</xdr:col>
      <xdr:colOff>63500</xdr:colOff>
      <xdr:row>41</xdr:row>
      <xdr:rowOff>177800</xdr:rowOff>
    </xdr:to>
    <xdr:sp macro="" textlink="">
      <xdr:nvSpPr>
        <xdr:cNvPr id="120" name="Gantt_M_42">
          <a:extLst>
            <a:ext uri="{FF2B5EF4-FFF2-40B4-BE49-F238E27FC236}">
              <a16:creationId xmlns:a16="http://schemas.microsoft.com/office/drawing/2014/main" id="{93F2FAD4-0A43-00D3-662F-0E3D8FC8C9F6}"/>
            </a:ext>
          </a:extLst>
        </xdr:cNvPr>
        <xdr:cNvSpPr/>
      </xdr:nvSpPr>
      <xdr:spPr>
        <a:xfrm>
          <a:off x="27292300" y="10134600"/>
          <a:ext cx="127000" cy="127000"/>
        </a:xfrm>
        <a:prstGeom prst="pentagon">
          <a:avLst/>
        </a:prstGeom>
        <a:solidFill>
          <a:srgbClr val="B91C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37</xdr:col>
      <xdr:colOff>101600</xdr:colOff>
      <xdr:row>41</xdr:row>
      <xdr:rowOff>12700</xdr:rowOff>
    </xdr:from>
    <xdr:to>
      <xdr:col>37</xdr:col>
      <xdr:colOff>482600</xdr:colOff>
      <xdr:row>41</xdr:row>
      <xdr:rowOff>165100</xdr:rowOff>
    </xdr:to>
    <xdr:sp macro="" textlink="">
      <xdr:nvSpPr>
        <xdr:cNvPr id="121" name="GTag_M_42">
          <a:extLst>
            <a:ext uri="{FF2B5EF4-FFF2-40B4-BE49-F238E27FC236}">
              <a16:creationId xmlns:a16="http://schemas.microsoft.com/office/drawing/2014/main" id="{35BD499B-D388-F228-39B6-E3517BC5CA1C}"/>
            </a:ext>
          </a:extLst>
        </xdr:cNvPr>
        <xdr:cNvSpPr txBox="1"/>
      </xdr:nvSpPr>
      <xdr:spPr>
        <a:xfrm>
          <a:off x="27457400" y="10096500"/>
          <a:ext cx="381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vi-VN" sz="650" b="1">
              <a:solidFill>
                <a:srgbClr val="B91C1C"/>
              </a:solidFill>
              <a:latin typeface="Segoe UI" panose="020B0502040204020203" pitchFamily="34" charset="0"/>
            </a:rPr>
            <a:t>22/11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RowHeight="14" x14ac:dyDescent="0.3"/>
  <cols>
    <col min="1" max="1" width="6.58203125" customWidth="1"/>
    <col min="2" max="2" width="28.58203125" customWidth="1"/>
    <col min="3" max="3" width="46.58203125" customWidth="1"/>
    <col min="4" max="4" width="16.58203125" customWidth="1"/>
    <col min="5" max="5" width="38.58203125" customWidth="1"/>
    <col min="6" max="6" width="52.58203125" customWidth="1"/>
  </cols>
  <sheetData>
    <row r="1" spans="1:6" ht="20" x14ac:dyDescent="0.55000000000000004">
      <c r="A1" s="1" t="s">
        <v>0</v>
      </c>
    </row>
    <row r="2" spans="1:6" ht="15" x14ac:dyDescent="0.4">
      <c r="A2" s="2" t="s">
        <v>1</v>
      </c>
    </row>
    <row r="4" spans="1:6" ht="17" x14ac:dyDescent="0.5">
      <c r="A4" s="3" t="s">
        <v>2</v>
      </c>
    </row>
    <row r="5" spans="1:6" x14ac:dyDescent="0.3">
      <c r="A5" s="4" t="s">
        <v>3</v>
      </c>
      <c r="B5" s="4" t="s">
        <v>4</v>
      </c>
      <c r="C5" s="4" t="s">
        <v>5</v>
      </c>
      <c r="D5" s="4" t="s">
        <v>6</v>
      </c>
      <c r="E5" s="4" t="s">
        <v>7</v>
      </c>
      <c r="F5" s="4" t="s">
        <v>8</v>
      </c>
    </row>
    <row r="6" spans="1:6" x14ac:dyDescent="0.3">
      <c r="A6" s="5">
        <v>1</v>
      </c>
      <c r="B6" s="5" t="s">
        <v>9</v>
      </c>
      <c r="C6" s="6" t="s">
        <v>10</v>
      </c>
      <c r="D6" s="5">
        <v>1</v>
      </c>
      <c r="E6" s="5">
        <v>0</v>
      </c>
      <c r="F6" s="6" t="s">
        <v>11</v>
      </c>
    </row>
    <row r="7" spans="1:6" x14ac:dyDescent="0.3">
      <c r="A7" s="5">
        <v>2</v>
      </c>
      <c r="B7" s="5" t="s">
        <v>12</v>
      </c>
      <c r="C7" s="6" t="s">
        <v>13</v>
      </c>
      <c r="D7" s="5">
        <v>7</v>
      </c>
      <c r="E7" s="5">
        <v>0</v>
      </c>
      <c r="F7" s="6" t="s">
        <v>14</v>
      </c>
    </row>
    <row r="8" spans="1:6" x14ac:dyDescent="0.3">
      <c r="A8" s="5">
        <v>3</v>
      </c>
      <c r="B8" s="5" t="s">
        <v>15</v>
      </c>
      <c r="C8" s="6" t="s">
        <v>16</v>
      </c>
      <c r="D8" s="5">
        <v>1</v>
      </c>
      <c r="E8" s="5">
        <v>0</v>
      </c>
      <c r="F8" s="6" t="s">
        <v>17</v>
      </c>
    </row>
    <row r="9" spans="1:6" x14ac:dyDescent="0.3">
      <c r="A9" s="5">
        <v>4</v>
      </c>
      <c r="B9" s="5" t="s">
        <v>18</v>
      </c>
      <c r="C9" s="6" t="s">
        <v>19</v>
      </c>
      <c r="D9" s="5">
        <v>2</v>
      </c>
      <c r="E9" s="5">
        <v>0</v>
      </c>
      <c r="F9" s="6" t="s">
        <v>20</v>
      </c>
    </row>
    <row r="10" spans="1:6" x14ac:dyDescent="0.3">
      <c r="A10" s="5">
        <v>5</v>
      </c>
      <c r="B10" s="5" t="s">
        <v>21</v>
      </c>
      <c r="C10" s="6" t="s">
        <v>22</v>
      </c>
      <c r="D10" s="5">
        <v>2</v>
      </c>
      <c r="E10" s="5">
        <v>0</v>
      </c>
      <c r="F10" s="6" t="s">
        <v>23</v>
      </c>
    </row>
    <row r="11" spans="1:6" x14ac:dyDescent="0.3">
      <c r="A11" s="5">
        <v>6</v>
      </c>
      <c r="B11" s="5" t="s">
        <v>24</v>
      </c>
      <c r="C11" s="6" t="s">
        <v>25</v>
      </c>
      <c r="D11" s="5">
        <v>1</v>
      </c>
      <c r="E11" s="5">
        <v>0</v>
      </c>
      <c r="F11" s="6" t="s">
        <v>26</v>
      </c>
    </row>
    <row r="12" spans="1:6" x14ac:dyDescent="0.3">
      <c r="A12" s="5">
        <v>7</v>
      </c>
      <c r="B12" s="5" t="s">
        <v>27</v>
      </c>
      <c r="C12" s="6" t="s">
        <v>28</v>
      </c>
      <c r="D12" s="5">
        <v>7</v>
      </c>
      <c r="E12" s="5">
        <v>0</v>
      </c>
      <c r="F12" s="6" t="s">
        <v>29</v>
      </c>
    </row>
    <row r="13" spans="1:6" x14ac:dyDescent="0.3">
      <c r="A13" s="5">
        <v>8</v>
      </c>
      <c r="B13" s="5" t="s">
        <v>30</v>
      </c>
      <c r="C13" s="6" t="s">
        <v>31</v>
      </c>
      <c r="D13" s="5">
        <v>1</v>
      </c>
      <c r="E13" s="5">
        <v>0</v>
      </c>
      <c r="F13" s="6" t="s">
        <v>26</v>
      </c>
    </row>
    <row r="14" spans="1:6" x14ac:dyDescent="0.3">
      <c r="A14" s="5">
        <v>9</v>
      </c>
      <c r="B14" s="5" t="s">
        <v>32</v>
      </c>
      <c r="C14" s="6" t="s">
        <v>33</v>
      </c>
      <c r="D14" s="5">
        <v>2</v>
      </c>
      <c r="E14" s="5">
        <v>0</v>
      </c>
      <c r="F14" s="6" t="s">
        <v>34</v>
      </c>
    </row>
    <row r="15" spans="1:6" x14ac:dyDescent="0.3">
      <c r="A15" s="5">
        <v>10</v>
      </c>
      <c r="B15" s="5" t="s">
        <v>35</v>
      </c>
      <c r="C15" s="6" t="s">
        <v>36</v>
      </c>
      <c r="D15" s="5">
        <v>2</v>
      </c>
      <c r="E15" s="5">
        <v>0</v>
      </c>
      <c r="F15" s="6" t="s">
        <v>37</v>
      </c>
    </row>
    <row r="18" spans="1:6" ht="17" x14ac:dyDescent="0.5">
      <c r="A18" s="3" t="s">
        <v>38</v>
      </c>
    </row>
    <row r="19" spans="1:6" x14ac:dyDescent="0.3">
      <c r="A19" s="4" t="s">
        <v>3</v>
      </c>
      <c r="B19" s="4" t="s">
        <v>39</v>
      </c>
      <c r="C19" s="4" t="s">
        <v>40</v>
      </c>
      <c r="D19" s="4" t="s">
        <v>7</v>
      </c>
      <c r="E19" s="4" t="s">
        <v>41</v>
      </c>
      <c r="F19" s="4" t="s">
        <v>42</v>
      </c>
    </row>
    <row r="20" spans="1:6" x14ac:dyDescent="0.3">
      <c r="A20" s="5">
        <v>1</v>
      </c>
      <c r="B20" s="5" t="s">
        <v>43</v>
      </c>
      <c r="C20" s="6" t="s">
        <v>44</v>
      </c>
      <c r="D20" s="5">
        <v>1</v>
      </c>
      <c r="E20" s="6" t="s">
        <v>45</v>
      </c>
      <c r="F20" s="7" t="s">
        <v>46</v>
      </c>
    </row>
    <row r="21" spans="1:6" x14ac:dyDescent="0.3">
      <c r="A21" s="5">
        <v>2</v>
      </c>
      <c r="B21" s="5" t="s">
        <v>47</v>
      </c>
      <c r="C21" s="6" t="s">
        <v>48</v>
      </c>
      <c r="D21" s="5">
        <v>0.65</v>
      </c>
      <c r="E21" s="6" t="s">
        <v>49</v>
      </c>
      <c r="F21" s="7" t="s">
        <v>50</v>
      </c>
    </row>
    <row r="22" spans="1:6" x14ac:dyDescent="0.3">
      <c r="A22" s="5">
        <v>3</v>
      </c>
      <c r="B22" s="5" t="s">
        <v>51</v>
      </c>
      <c r="C22" s="6" t="s">
        <v>52</v>
      </c>
      <c r="D22" s="5">
        <v>1</v>
      </c>
      <c r="E22" s="6" t="s">
        <v>53</v>
      </c>
      <c r="F22" s="7" t="s">
        <v>46</v>
      </c>
    </row>
    <row r="23" spans="1:6" x14ac:dyDescent="0.3">
      <c r="A23" s="5">
        <v>4</v>
      </c>
      <c r="B23" s="5" t="s">
        <v>54</v>
      </c>
      <c r="C23" s="6" t="s">
        <v>55</v>
      </c>
      <c r="D23" s="5">
        <v>0.7</v>
      </c>
      <c r="E23" s="6" t="s">
        <v>56</v>
      </c>
      <c r="F23" s="7" t="s">
        <v>57</v>
      </c>
    </row>
    <row r="24" spans="1:6" x14ac:dyDescent="0.3">
      <c r="A24" s="5">
        <v>5</v>
      </c>
      <c r="B24" s="5" t="s">
        <v>58</v>
      </c>
      <c r="C24" s="6" t="s">
        <v>59</v>
      </c>
      <c r="D24" s="5">
        <v>1</v>
      </c>
      <c r="E24" s="6" t="s">
        <v>60</v>
      </c>
      <c r="F24" s="7" t="s">
        <v>46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4" x14ac:dyDescent="0.3"/>
  <cols>
    <col min="1" max="1" width="6.58203125" customWidth="1"/>
    <col min="2" max="2" width="16.58203125" customWidth="1"/>
    <col min="3" max="3" width="48.58203125" customWidth="1"/>
    <col min="4" max="4" width="12.58203125" customWidth="1"/>
    <col min="5" max="5" width="38.58203125" customWidth="1"/>
    <col min="6" max="6" width="18.58203125" customWidth="1"/>
    <col min="7" max="7" width="24.58203125" customWidth="1"/>
    <col min="8" max="8" width="20.58203125" customWidth="1"/>
  </cols>
  <sheetData>
    <row r="1" spans="1:8" ht="20" x14ac:dyDescent="0.55000000000000004">
      <c r="A1" s="1" t="s">
        <v>61</v>
      </c>
    </row>
    <row r="2" spans="1:8" ht="15" x14ac:dyDescent="0.4">
      <c r="A2" s="2" t="s">
        <v>62</v>
      </c>
    </row>
    <row r="4" spans="1:8" x14ac:dyDescent="0.3">
      <c r="A4" s="4" t="s">
        <v>3</v>
      </c>
      <c r="B4" s="4" t="s">
        <v>63</v>
      </c>
      <c r="C4" s="4" t="s">
        <v>64</v>
      </c>
      <c r="D4" s="4" t="s">
        <v>65</v>
      </c>
      <c r="E4" s="4" t="s">
        <v>66</v>
      </c>
      <c r="F4" s="4" t="s">
        <v>67</v>
      </c>
      <c r="G4" s="4" t="s">
        <v>68</v>
      </c>
      <c r="H4" s="4" t="s">
        <v>69</v>
      </c>
    </row>
    <row r="5" spans="1:8" x14ac:dyDescent="0.3">
      <c r="A5" s="5">
        <v>1</v>
      </c>
      <c r="B5" s="5" t="s">
        <v>70</v>
      </c>
      <c r="C5" s="6" t="s">
        <v>71</v>
      </c>
      <c r="D5" s="5" t="s">
        <v>72</v>
      </c>
      <c r="E5" s="6" t="s">
        <v>73</v>
      </c>
      <c r="F5" s="6" t="s">
        <v>74</v>
      </c>
      <c r="G5" s="8">
        <v>2850000</v>
      </c>
      <c r="H5" s="5" t="s">
        <v>75</v>
      </c>
    </row>
    <row r="6" spans="1:8" x14ac:dyDescent="0.3">
      <c r="A6" s="5">
        <v>2</v>
      </c>
      <c r="B6" s="5" t="s">
        <v>76</v>
      </c>
      <c r="C6" s="6" t="s">
        <v>77</v>
      </c>
      <c r="D6" s="5" t="s">
        <v>72</v>
      </c>
      <c r="E6" s="6" t="s">
        <v>78</v>
      </c>
      <c r="F6" s="6" t="s">
        <v>79</v>
      </c>
      <c r="G6" s="8">
        <v>3620000</v>
      </c>
      <c r="H6" s="5" t="s">
        <v>75</v>
      </c>
    </row>
    <row r="7" spans="1:8" x14ac:dyDescent="0.3">
      <c r="A7" s="5">
        <v>3</v>
      </c>
      <c r="B7" s="5" t="s">
        <v>80</v>
      </c>
      <c r="C7" s="6" t="s">
        <v>81</v>
      </c>
      <c r="D7" s="5" t="s">
        <v>72</v>
      </c>
      <c r="E7" s="6" t="s">
        <v>82</v>
      </c>
      <c r="F7" s="6" t="s">
        <v>83</v>
      </c>
      <c r="G7" s="8">
        <v>11500000</v>
      </c>
      <c r="H7" s="5" t="s">
        <v>75</v>
      </c>
    </row>
    <row r="8" spans="1:8" x14ac:dyDescent="0.3">
      <c r="A8" s="5">
        <v>4</v>
      </c>
      <c r="B8" s="5" t="s">
        <v>84</v>
      </c>
      <c r="C8" s="6" t="s">
        <v>85</v>
      </c>
      <c r="D8" s="5" t="s">
        <v>72</v>
      </c>
      <c r="E8" s="6" t="s">
        <v>86</v>
      </c>
      <c r="F8" s="6" t="s">
        <v>87</v>
      </c>
      <c r="G8" s="8">
        <v>4800000</v>
      </c>
      <c r="H8" s="5" t="s">
        <v>75</v>
      </c>
    </row>
    <row r="9" spans="1:8" x14ac:dyDescent="0.3">
      <c r="A9" s="5">
        <v>5</v>
      </c>
      <c r="B9" s="5" t="s">
        <v>88</v>
      </c>
      <c r="C9" s="6" t="s">
        <v>89</v>
      </c>
      <c r="D9" s="5" t="s">
        <v>72</v>
      </c>
      <c r="E9" s="6" t="s">
        <v>90</v>
      </c>
      <c r="F9" s="6" t="s">
        <v>91</v>
      </c>
      <c r="G9" s="8">
        <v>5800000</v>
      </c>
      <c r="H9" s="5" t="s">
        <v>75</v>
      </c>
    </row>
    <row r="10" spans="1:8" x14ac:dyDescent="0.3">
      <c r="A10" s="5">
        <v>6</v>
      </c>
      <c r="B10" s="5" t="s">
        <v>92</v>
      </c>
      <c r="C10" s="6" t="s">
        <v>93</v>
      </c>
      <c r="D10" s="5" t="s">
        <v>72</v>
      </c>
      <c r="E10" s="6" t="s">
        <v>94</v>
      </c>
      <c r="F10" s="6" t="s">
        <v>95</v>
      </c>
      <c r="G10" s="8">
        <v>1850000</v>
      </c>
      <c r="H10" s="5" t="s">
        <v>75</v>
      </c>
    </row>
    <row r="11" spans="1:8" x14ac:dyDescent="0.3">
      <c r="A11" s="5">
        <v>7</v>
      </c>
      <c r="B11" s="5" t="s">
        <v>96</v>
      </c>
      <c r="C11" s="6" t="s">
        <v>97</v>
      </c>
      <c r="D11" s="5" t="s">
        <v>98</v>
      </c>
      <c r="E11" s="6" t="s">
        <v>99</v>
      </c>
      <c r="F11" s="6" t="s">
        <v>100</v>
      </c>
      <c r="G11" s="8">
        <v>850000</v>
      </c>
      <c r="H11" s="5" t="s">
        <v>75</v>
      </c>
    </row>
    <row r="12" spans="1:8" x14ac:dyDescent="0.3">
      <c r="A12" s="5">
        <v>8</v>
      </c>
      <c r="B12" s="5" t="s">
        <v>101</v>
      </c>
      <c r="C12" s="6" t="s">
        <v>102</v>
      </c>
      <c r="D12" s="5" t="s">
        <v>72</v>
      </c>
      <c r="E12" s="6" t="s">
        <v>103</v>
      </c>
      <c r="F12" s="6" t="s">
        <v>104</v>
      </c>
      <c r="G12" s="8">
        <v>4200000</v>
      </c>
      <c r="H12" s="5" t="s">
        <v>75</v>
      </c>
    </row>
    <row r="13" spans="1:8" x14ac:dyDescent="0.3">
      <c r="A13" s="5">
        <v>9</v>
      </c>
      <c r="B13" s="5" t="s">
        <v>105</v>
      </c>
      <c r="C13" s="6" t="s">
        <v>106</v>
      </c>
      <c r="D13" s="5" t="s">
        <v>107</v>
      </c>
      <c r="E13" s="6" t="s">
        <v>108</v>
      </c>
      <c r="F13" s="6" t="s">
        <v>109</v>
      </c>
      <c r="G13" s="8">
        <v>4650000</v>
      </c>
      <c r="H13" s="5" t="s">
        <v>75</v>
      </c>
    </row>
    <row r="14" spans="1:8" x14ac:dyDescent="0.3">
      <c r="A14" s="5">
        <v>10</v>
      </c>
      <c r="B14" s="5" t="s">
        <v>110</v>
      </c>
      <c r="C14" s="6" t="s">
        <v>111</v>
      </c>
      <c r="D14" s="5" t="s">
        <v>112</v>
      </c>
      <c r="E14" s="6" t="s">
        <v>113</v>
      </c>
      <c r="F14" s="6" t="s">
        <v>114</v>
      </c>
      <c r="G14" s="8">
        <v>1250000</v>
      </c>
      <c r="H14" s="5" t="s">
        <v>75</v>
      </c>
    </row>
    <row r="15" spans="1:8" x14ac:dyDescent="0.3">
      <c r="A15" s="5">
        <v>11</v>
      </c>
      <c r="B15" s="5" t="s">
        <v>115</v>
      </c>
      <c r="C15" s="6" t="s">
        <v>116</v>
      </c>
      <c r="D15" s="5" t="s">
        <v>72</v>
      </c>
      <c r="E15" s="6" t="s">
        <v>117</v>
      </c>
      <c r="F15" s="6" t="s">
        <v>100</v>
      </c>
      <c r="G15" s="8">
        <v>5670000</v>
      </c>
      <c r="H15" s="5" t="s">
        <v>75</v>
      </c>
    </row>
    <row r="16" spans="1:8" x14ac:dyDescent="0.3">
      <c r="A16" s="5">
        <v>12</v>
      </c>
      <c r="B16" s="5" t="s">
        <v>118</v>
      </c>
      <c r="C16" s="6" t="s">
        <v>119</v>
      </c>
      <c r="D16" s="5" t="s">
        <v>72</v>
      </c>
      <c r="E16" s="6" t="s">
        <v>120</v>
      </c>
      <c r="F16" s="6" t="s">
        <v>121</v>
      </c>
      <c r="G16" s="8">
        <v>6530000</v>
      </c>
      <c r="H16" s="5" t="s">
        <v>75</v>
      </c>
    </row>
    <row r="17" spans="1:8" x14ac:dyDescent="0.3">
      <c r="A17" s="5">
        <v>13</v>
      </c>
      <c r="B17" s="5" t="s">
        <v>122</v>
      </c>
      <c r="C17" s="6" t="s">
        <v>123</v>
      </c>
      <c r="D17" s="5" t="s">
        <v>72</v>
      </c>
      <c r="E17" s="6" t="s">
        <v>124</v>
      </c>
      <c r="F17" s="6" t="s">
        <v>125</v>
      </c>
      <c r="G17" s="8">
        <v>9670000</v>
      </c>
      <c r="H17" s="5" t="s">
        <v>75</v>
      </c>
    </row>
    <row r="18" spans="1:8" x14ac:dyDescent="0.3">
      <c r="A18" s="5">
        <v>14</v>
      </c>
      <c r="B18" s="5" t="s">
        <v>126</v>
      </c>
      <c r="C18" s="6" t="s">
        <v>127</v>
      </c>
      <c r="D18" s="5" t="s">
        <v>128</v>
      </c>
      <c r="E18" s="6" t="s">
        <v>129</v>
      </c>
      <c r="F18" s="6" t="s">
        <v>130</v>
      </c>
      <c r="G18" s="8">
        <v>24000000</v>
      </c>
      <c r="H18" s="5" t="s">
        <v>75</v>
      </c>
    </row>
    <row r="19" spans="1:8" x14ac:dyDescent="0.3">
      <c r="A19" s="5">
        <v>15</v>
      </c>
      <c r="B19" s="5" t="s">
        <v>131</v>
      </c>
      <c r="C19" s="6" t="s">
        <v>132</v>
      </c>
      <c r="D19" s="5" t="s">
        <v>128</v>
      </c>
      <c r="E19" s="6" t="s">
        <v>133</v>
      </c>
      <c r="F19" s="6" t="s">
        <v>134</v>
      </c>
      <c r="G19" s="8">
        <v>21500000</v>
      </c>
      <c r="H19" s="5" t="s">
        <v>75</v>
      </c>
    </row>
    <row r="20" spans="1:8" x14ac:dyDescent="0.3">
      <c r="A20" s="5">
        <v>16</v>
      </c>
      <c r="B20" s="5" t="s">
        <v>135</v>
      </c>
      <c r="C20" s="6" t="s">
        <v>136</v>
      </c>
      <c r="D20" s="5" t="s">
        <v>137</v>
      </c>
      <c r="E20" s="6" t="s">
        <v>138</v>
      </c>
      <c r="F20" s="6" t="s">
        <v>139</v>
      </c>
      <c r="G20" s="8">
        <v>81800000</v>
      </c>
      <c r="H20" s="5" t="s">
        <v>75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5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4" x14ac:dyDescent="0.3"/>
  <cols>
    <col min="1" max="1" width="6.58203125" customWidth="1"/>
    <col min="2" max="2" width="14.58203125" customWidth="1"/>
    <col min="3" max="3" width="56.58203125" customWidth="1"/>
    <col min="4" max="4" width="10.58203125" customWidth="1"/>
    <col min="5" max="5" width="18.58203125" customWidth="1"/>
    <col min="6" max="6" width="22.58203125" customWidth="1"/>
    <col min="7" max="7" width="26.58203125" customWidth="1"/>
    <col min="8" max="8" width="14.58203125" customWidth="1"/>
    <col min="9" max="9" width="18.58203125" customWidth="1"/>
    <col min="10" max="10" width="16.58203125" customWidth="1"/>
  </cols>
  <sheetData>
    <row r="1" spans="1:10" ht="20" x14ac:dyDescent="0.55000000000000004">
      <c r="A1" s="1" t="s">
        <v>140</v>
      </c>
    </row>
    <row r="2" spans="1:10" ht="15" x14ac:dyDescent="0.4">
      <c r="A2" s="2" t="s">
        <v>141</v>
      </c>
    </row>
    <row r="4" spans="1:10" x14ac:dyDescent="0.3">
      <c r="A4" s="4" t="s">
        <v>3</v>
      </c>
      <c r="B4" s="4" t="s">
        <v>63</v>
      </c>
      <c r="C4" s="4" t="s">
        <v>142</v>
      </c>
      <c r="D4" s="4" t="s">
        <v>65</v>
      </c>
      <c r="E4" s="4" t="s">
        <v>143</v>
      </c>
      <c r="F4" s="4" t="s">
        <v>144</v>
      </c>
      <c r="G4" s="4" t="s">
        <v>145</v>
      </c>
      <c r="H4" s="4" t="s">
        <v>146</v>
      </c>
      <c r="I4" s="4" t="s">
        <v>147</v>
      </c>
      <c r="J4" s="4" t="s">
        <v>148</v>
      </c>
    </row>
    <row r="5" spans="1:10" x14ac:dyDescent="0.3">
      <c r="A5" s="9" t="s">
        <v>149</v>
      </c>
      <c r="B5" s="10"/>
      <c r="C5" s="11" t="s">
        <v>150</v>
      </c>
      <c r="D5" s="10"/>
      <c r="E5" s="12"/>
      <c r="F5" s="12"/>
      <c r="G5" s="13">
        <f>SUM(G6:G17)</f>
        <v>47286000000</v>
      </c>
      <c r="H5" s="10" t="s">
        <v>151</v>
      </c>
      <c r="I5" s="12"/>
      <c r="J5" s="10"/>
    </row>
    <row r="6" spans="1:10" x14ac:dyDescent="0.3">
      <c r="A6" s="10">
        <v>1</v>
      </c>
      <c r="B6" s="10" t="s">
        <v>70</v>
      </c>
      <c r="C6" s="14" t="s">
        <v>152</v>
      </c>
      <c r="D6" s="10" t="s">
        <v>112</v>
      </c>
      <c r="E6" s="15">
        <v>27000</v>
      </c>
      <c r="F6" s="16">
        <v>28500</v>
      </c>
      <c r="G6" s="16">
        <f t="shared" ref="G6:G17" si="0">ROUND(E6*F6, 0)</f>
        <v>769500000</v>
      </c>
      <c r="H6" s="10" t="s">
        <v>153</v>
      </c>
      <c r="I6" s="15">
        <v>450</v>
      </c>
      <c r="J6" s="10">
        <f t="shared" ref="J6:J17" si="1">ROUNDUP(E6/I6, 0)</f>
        <v>60</v>
      </c>
    </row>
    <row r="7" spans="1:10" x14ac:dyDescent="0.3">
      <c r="A7" s="10">
        <v>2</v>
      </c>
      <c r="B7" s="10" t="s">
        <v>76</v>
      </c>
      <c r="C7" s="14" t="s">
        <v>154</v>
      </c>
      <c r="D7" s="10" t="s">
        <v>112</v>
      </c>
      <c r="E7" s="15">
        <v>145000</v>
      </c>
      <c r="F7" s="16">
        <v>36200</v>
      </c>
      <c r="G7" s="16">
        <f t="shared" si="0"/>
        <v>5249000000</v>
      </c>
      <c r="H7" s="10" t="s">
        <v>155</v>
      </c>
      <c r="I7" s="15">
        <v>1350</v>
      </c>
      <c r="J7" s="10">
        <f t="shared" si="1"/>
        <v>108</v>
      </c>
    </row>
    <row r="8" spans="1:10" x14ac:dyDescent="0.3">
      <c r="A8" s="10">
        <v>3</v>
      </c>
      <c r="B8" s="10" t="s">
        <v>80</v>
      </c>
      <c r="C8" s="14" t="s">
        <v>156</v>
      </c>
      <c r="D8" s="10" t="s">
        <v>112</v>
      </c>
      <c r="E8" s="15">
        <v>38000</v>
      </c>
      <c r="F8" s="16">
        <v>115000</v>
      </c>
      <c r="G8" s="16">
        <f t="shared" si="0"/>
        <v>4370000000</v>
      </c>
      <c r="H8" s="10" t="s">
        <v>157</v>
      </c>
      <c r="I8" s="15">
        <v>260</v>
      </c>
      <c r="J8" s="10">
        <f t="shared" si="1"/>
        <v>147</v>
      </c>
    </row>
    <row r="9" spans="1:10" x14ac:dyDescent="0.3">
      <c r="A9" s="10">
        <v>4</v>
      </c>
      <c r="B9" s="10" t="s">
        <v>84</v>
      </c>
      <c r="C9" s="14" t="s">
        <v>158</v>
      </c>
      <c r="D9" s="10" t="s">
        <v>112</v>
      </c>
      <c r="E9" s="15">
        <v>95000</v>
      </c>
      <c r="F9" s="16">
        <v>48000</v>
      </c>
      <c r="G9" s="16">
        <f t="shared" si="0"/>
        <v>4560000000</v>
      </c>
      <c r="H9" s="10" t="s">
        <v>159</v>
      </c>
      <c r="I9" s="15">
        <v>830</v>
      </c>
      <c r="J9" s="10">
        <f t="shared" si="1"/>
        <v>115</v>
      </c>
    </row>
    <row r="10" spans="1:10" x14ac:dyDescent="0.3">
      <c r="A10" s="10">
        <v>5</v>
      </c>
      <c r="B10" s="10" t="s">
        <v>88</v>
      </c>
      <c r="C10" s="14" t="s">
        <v>160</v>
      </c>
      <c r="D10" s="10" t="s">
        <v>112</v>
      </c>
      <c r="E10" s="15">
        <v>18000</v>
      </c>
      <c r="F10" s="16">
        <v>58000</v>
      </c>
      <c r="G10" s="16">
        <f t="shared" si="0"/>
        <v>1044000000</v>
      </c>
      <c r="H10" s="10" t="s">
        <v>161</v>
      </c>
      <c r="I10" s="15">
        <v>320</v>
      </c>
      <c r="J10" s="10">
        <f t="shared" si="1"/>
        <v>57</v>
      </c>
    </row>
    <row r="11" spans="1:10" x14ac:dyDescent="0.3">
      <c r="A11" s="10">
        <v>6</v>
      </c>
      <c r="B11" s="10" t="s">
        <v>105</v>
      </c>
      <c r="C11" s="14" t="s">
        <v>162</v>
      </c>
      <c r="D11" s="10" t="s">
        <v>107</v>
      </c>
      <c r="E11" s="15">
        <v>360</v>
      </c>
      <c r="F11" s="16">
        <v>4650000</v>
      </c>
      <c r="G11" s="16">
        <f t="shared" si="0"/>
        <v>1674000000</v>
      </c>
      <c r="H11" s="10" t="s">
        <v>163</v>
      </c>
      <c r="I11" s="15">
        <v>12</v>
      </c>
      <c r="J11" s="10">
        <f t="shared" si="1"/>
        <v>30</v>
      </c>
    </row>
    <row r="12" spans="1:10" x14ac:dyDescent="0.3">
      <c r="A12" s="10">
        <v>7</v>
      </c>
      <c r="B12" s="10" t="s">
        <v>110</v>
      </c>
      <c r="C12" s="14" t="s">
        <v>164</v>
      </c>
      <c r="D12" s="10" t="s">
        <v>107</v>
      </c>
      <c r="E12" s="15">
        <v>2400</v>
      </c>
      <c r="F12" s="16">
        <v>1120000</v>
      </c>
      <c r="G12" s="16">
        <f t="shared" si="0"/>
        <v>2688000000</v>
      </c>
      <c r="H12" s="10" t="s">
        <v>165</v>
      </c>
      <c r="I12" s="15">
        <v>40</v>
      </c>
      <c r="J12" s="10">
        <f t="shared" si="1"/>
        <v>60</v>
      </c>
    </row>
    <row r="13" spans="1:10" x14ac:dyDescent="0.3">
      <c r="A13" s="10">
        <v>8</v>
      </c>
      <c r="B13" s="10" t="s">
        <v>115</v>
      </c>
      <c r="C13" s="14" t="s">
        <v>166</v>
      </c>
      <c r="D13" s="10" t="s">
        <v>167</v>
      </c>
      <c r="E13" s="15">
        <v>36000</v>
      </c>
      <c r="F13" s="16">
        <v>85000</v>
      </c>
      <c r="G13" s="16">
        <f t="shared" si="0"/>
        <v>3060000000</v>
      </c>
      <c r="H13" s="10" t="s">
        <v>168</v>
      </c>
      <c r="I13" s="15">
        <v>1800</v>
      </c>
      <c r="J13" s="10">
        <f t="shared" si="1"/>
        <v>20</v>
      </c>
    </row>
    <row r="14" spans="1:10" x14ac:dyDescent="0.3">
      <c r="A14" s="10">
        <v>9</v>
      </c>
      <c r="B14" s="10" t="s">
        <v>118</v>
      </c>
      <c r="C14" s="14" t="s">
        <v>169</v>
      </c>
      <c r="D14" s="10" t="s">
        <v>167</v>
      </c>
      <c r="E14" s="15">
        <v>34000</v>
      </c>
      <c r="F14" s="16">
        <v>98000</v>
      </c>
      <c r="G14" s="16">
        <f t="shared" si="0"/>
        <v>3332000000</v>
      </c>
      <c r="H14" s="10" t="s">
        <v>170</v>
      </c>
      <c r="I14" s="15">
        <v>1700</v>
      </c>
      <c r="J14" s="10">
        <f t="shared" si="1"/>
        <v>20</v>
      </c>
    </row>
    <row r="15" spans="1:10" x14ac:dyDescent="0.3">
      <c r="A15" s="10">
        <v>10</v>
      </c>
      <c r="B15" s="10" t="s">
        <v>122</v>
      </c>
      <c r="C15" s="14" t="s">
        <v>171</v>
      </c>
      <c r="D15" s="10" t="s">
        <v>167</v>
      </c>
      <c r="E15" s="15">
        <v>32000</v>
      </c>
      <c r="F15" s="16">
        <v>145000</v>
      </c>
      <c r="G15" s="16">
        <f t="shared" si="0"/>
        <v>4640000000</v>
      </c>
      <c r="H15" s="10" t="s">
        <v>172</v>
      </c>
      <c r="I15" s="15">
        <v>2100</v>
      </c>
      <c r="J15" s="10">
        <f t="shared" si="1"/>
        <v>16</v>
      </c>
    </row>
    <row r="16" spans="1:10" x14ac:dyDescent="0.3">
      <c r="A16" s="10">
        <v>11</v>
      </c>
      <c r="B16" s="10" t="s">
        <v>126</v>
      </c>
      <c r="C16" s="14" t="s">
        <v>173</v>
      </c>
      <c r="D16" s="10" t="s">
        <v>167</v>
      </c>
      <c r="E16" s="15">
        <v>30000</v>
      </c>
      <c r="F16" s="16">
        <v>455000</v>
      </c>
      <c r="G16" s="16">
        <f t="shared" si="0"/>
        <v>13650000000</v>
      </c>
      <c r="H16" s="10" t="s">
        <v>174</v>
      </c>
      <c r="I16" s="15">
        <v>1200</v>
      </c>
      <c r="J16" s="10">
        <f t="shared" si="1"/>
        <v>25</v>
      </c>
    </row>
    <row r="17" spans="1:10" x14ac:dyDescent="0.3">
      <c r="A17" s="10">
        <v>12</v>
      </c>
      <c r="B17" s="10" t="s">
        <v>135</v>
      </c>
      <c r="C17" s="14" t="s">
        <v>175</v>
      </c>
      <c r="D17" s="10" t="s">
        <v>137</v>
      </c>
      <c r="E17" s="15">
        <v>2.75</v>
      </c>
      <c r="F17" s="16">
        <v>818000000</v>
      </c>
      <c r="G17" s="16">
        <f t="shared" si="0"/>
        <v>2249500000</v>
      </c>
      <c r="H17" s="10" t="s">
        <v>176</v>
      </c>
      <c r="I17" s="15">
        <v>0.1</v>
      </c>
      <c r="J17" s="10">
        <f t="shared" si="1"/>
        <v>28</v>
      </c>
    </row>
    <row r="18" spans="1:10" x14ac:dyDescent="0.3">
      <c r="A18" s="9" t="s">
        <v>177</v>
      </c>
      <c r="B18" s="10"/>
      <c r="C18" s="11" t="s">
        <v>178</v>
      </c>
      <c r="D18" s="10"/>
      <c r="E18" s="12"/>
      <c r="F18" s="12"/>
      <c r="G18" s="13">
        <f>SUM(G19:G30)</f>
        <v>50024500000</v>
      </c>
      <c r="H18" s="10" t="s">
        <v>179</v>
      </c>
      <c r="I18" s="12"/>
      <c r="J18" s="10"/>
    </row>
    <row r="19" spans="1:10" x14ac:dyDescent="0.3">
      <c r="A19" s="10">
        <v>13</v>
      </c>
      <c r="B19" s="10" t="s">
        <v>70</v>
      </c>
      <c r="C19" s="14" t="s">
        <v>180</v>
      </c>
      <c r="D19" s="10" t="s">
        <v>112</v>
      </c>
      <c r="E19" s="15">
        <v>20000</v>
      </c>
      <c r="F19" s="16">
        <v>28500</v>
      </c>
      <c r="G19" s="16">
        <f t="shared" ref="G19:G30" si="2">ROUND(E19*F19, 0)</f>
        <v>570000000</v>
      </c>
      <c r="H19" s="10" t="s">
        <v>181</v>
      </c>
      <c r="I19" s="15">
        <v>450</v>
      </c>
      <c r="J19" s="10">
        <f t="shared" ref="J19:J30" si="3">ROUNDUP(E19/I19, 0)</f>
        <v>45</v>
      </c>
    </row>
    <row r="20" spans="1:10" x14ac:dyDescent="0.3">
      <c r="A20" s="10">
        <v>14</v>
      </c>
      <c r="B20" s="10" t="s">
        <v>76</v>
      </c>
      <c r="C20" s="14" t="s">
        <v>154</v>
      </c>
      <c r="D20" s="10" t="s">
        <v>112</v>
      </c>
      <c r="E20" s="15">
        <v>130000</v>
      </c>
      <c r="F20" s="16">
        <v>36200</v>
      </c>
      <c r="G20" s="16">
        <f t="shared" si="2"/>
        <v>4706000000</v>
      </c>
      <c r="H20" s="10" t="s">
        <v>182</v>
      </c>
      <c r="I20" s="15">
        <v>1350</v>
      </c>
      <c r="J20" s="10">
        <f t="shared" si="3"/>
        <v>97</v>
      </c>
    </row>
    <row r="21" spans="1:10" x14ac:dyDescent="0.3">
      <c r="A21" s="10">
        <v>15</v>
      </c>
      <c r="B21" s="10" t="s">
        <v>80</v>
      </c>
      <c r="C21" s="14" t="s">
        <v>156</v>
      </c>
      <c r="D21" s="10" t="s">
        <v>112</v>
      </c>
      <c r="E21" s="15">
        <v>42000</v>
      </c>
      <c r="F21" s="16">
        <v>115000</v>
      </c>
      <c r="G21" s="16">
        <f t="shared" si="2"/>
        <v>4830000000</v>
      </c>
      <c r="H21" s="10" t="s">
        <v>183</v>
      </c>
      <c r="I21" s="15">
        <v>260</v>
      </c>
      <c r="J21" s="10">
        <f t="shared" si="3"/>
        <v>162</v>
      </c>
    </row>
    <row r="22" spans="1:10" x14ac:dyDescent="0.3">
      <c r="A22" s="10">
        <v>16</v>
      </c>
      <c r="B22" s="10" t="s">
        <v>84</v>
      </c>
      <c r="C22" s="14" t="s">
        <v>158</v>
      </c>
      <c r="D22" s="10" t="s">
        <v>112</v>
      </c>
      <c r="E22" s="15">
        <v>110000</v>
      </c>
      <c r="F22" s="16">
        <v>48000</v>
      </c>
      <c r="G22" s="16">
        <f t="shared" si="2"/>
        <v>5280000000</v>
      </c>
      <c r="H22" s="10" t="s">
        <v>184</v>
      </c>
      <c r="I22" s="15">
        <v>830</v>
      </c>
      <c r="J22" s="10">
        <f t="shared" si="3"/>
        <v>133</v>
      </c>
    </row>
    <row r="23" spans="1:10" x14ac:dyDescent="0.3">
      <c r="A23" s="10">
        <v>17</v>
      </c>
      <c r="B23" s="10" t="s">
        <v>88</v>
      </c>
      <c r="C23" s="14" t="s">
        <v>160</v>
      </c>
      <c r="D23" s="10" t="s">
        <v>112</v>
      </c>
      <c r="E23" s="15">
        <v>22000</v>
      </c>
      <c r="F23" s="16">
        <v>58000</v>
      </c>
      <c r="G23" s="16">
        <f t="shared" si="2"/>
        <v>1276000000</v>
      </c>
      <c r="H23" s="10" t="s">
        <v>185</v>
      </c>
      <c r="I23" s="15">
        <v>320</v>
      </c>
      <c r="J23" s="10">
        <f t="shared" si="3"/>
        <v>69</v>
      </c>
    </row>
    <row r="24" spans="1:10" x14ac:dyDescent="0.3">
      <c r="A24" s="10">
        <v>18</v>
      </c>
      <c r="B24" s="10" t="s">
        <v>105</v>
      </c>
      <c r="C24" s="14" t="s">
        <v>162</v>
      </c>
      <c r="D24" s="10" t="s">
        <v>107</v>
      </c>
      <c r="E24" s="15">
        <v>420</v>
      </c>
      <c r="F24" s="16">
        <v>4650000</v>
      </c>
      <c r="G24" s="16">
        <f t="shared" si="2"/>
        <v>1953000000</v>
      </c>
      <c r="H24" s="10" t="s">
        <v>186</v>
      </c>
      <c r="I24" s="15">
        <v>12</v>
      </c>
      <c r="J24" s="10">
        <f t="shared" si="3"/>
        <v>35</v>
      </c>
    </row>
    <row r="25" spans="1:10" x14ac:dyDescent="0.3">
      <c r="A25" s="10">
        <v>19</v>
      </c>
      <c r="B25" s="10" t="s">
        <v>110</v>
      </c>
      <c r="C25" s="14" t="s">
        <v>164</v>
      </c>
      <c r="D25" s="10" t="s">
        <v>107</v>
      </c>
      <c r="E25" s="15">
        <v>2600</v>
      </c>
      <c r="F25" s="16">
        <v>1120000</v>
      </c>
      <c r="G25" s="16">
        <f t="shared" si="2"/>
        <v>2912000000</v>
      </c>
      <c r="H25" s="10" t="s">
        <v>187</v>
      </c>
      <c r="I25" s="15">
        <v>40</v>
      </c>
      <c r="J25" s="10">
        <f t="shared" si="3"/>
        <v>65</v>
      </c>
    </row>
    <row r="26" spans="1:10" x14ac:dyDescent="0.3">
      <c r="A26" s="10">
        <v>20</v>
      </c>
      <c r="B26" s="10" t="s">
        <v>115</v>
      </c>
      <c r="C26" s="14" t="s">
        <v>166</v>
      </c>
      <c r="D26" s="10" t="s">
        <v>167</v>
      </c>
      <c r="E26" s="15">
        <v>38000</v>
      </c>
      <c r="F26" s="16">
        <v>85000</v>
      </c>
      <c r="G26" s="16">
        <f t="shared" si="2"/>
        <v>3230000000</v>
      </c>
      <c r="H26" s="10" t="s">
        <v>188</v>
      </c>
      <c r="I26" s="15">
        <v>1800</v>
      </c>
      <c r="J26" s="10">
        <f t="shared" si="3"/>
        <v>22</v>
      </c>
    </row>
    <row r="27" spans="1:10" x14ac:dyDescent="0.3">
      <c r="A27" s="10">
        <v>21</v>
      </c>
      <c r="B27" s="10" t="s">
        <v>118</v>
      </c>
      <c r="C27" s="14" t="s">
        <v>169</v>
      </c>
      <c r="D27" s="10" t="s">
        <v>167</v>
      </c>
      <c r="E27" s="15">
        <v>36000</v>
      </c>
      <c r="F27" s="16">
        <v>98000</v>
      </c>
      <c r="G27" s="16">
        <f t="shared" si="2"/>
        <v>3528000000</v>
      </c>
      <c r="H27" s="10" t="s">
        <v>189</v>
      </c>
      <c r="I27" s="15">
        <v>1700</v>
      </c>
      <c r="J27" s="10">
        <f t="shared" si="3"/>
        <v>22</v>
      </c>
    </row>
    <row r="28" spans="1:10" x14ac:dyDescent="0.3">
      <c r="A28" s="10">
        <v>22</v>
      </c>
      <c r="B28" s="10" t="s">
        <v>122</v>
      </c>
      <c r="C28" s="14" t="s">
        <v>171</v>
      </c>
      <c r="D28" s="10" t="s">
        <v>167</v>
      </c>
      <c r="E28" s="15">
        <v>34000</v>
      </c>
      <c r="F28" s="16">
        <v>145000</v>
      </c>
      <c r="G28" s="16">
        <f t="shared" si="2"/>
        <v>4930000000</v>
      </c>
      <c r="H28" s="10" t="s">
        <v>190</v>
      </c>
      <c r="I28" s="15">
        <v>2100</v>
      </c>
      <c r="J28" s="10">
        <f t="shared" si="3"/>
        <v>17</v>
      </c>
    </row>
    <row r="29" spans="1:10" x14ac:dyDescent="0.3">
      <c r="A29" s="10">
        <v>23</v>
      </c>
      <c r="B29" s="10" t="s">
        <v>126</v>
      </c>
      <c r="C29" s="14" t="s">
        <v>173</v>
      </c>
      <c r="D29" s="10" t="s">
        <v>167</v>
      </c>
      <c r="E29" s="15">
        <v>32000</v>
      </c>
      <c r="F29" s="16">
        <v>455000</v>
      </c>
      <c r="G29" s="16">
        <f t="shared" si="2"/>
        <v>14560000000</v>
      </c>
      <c r="H29" s="10" t="s">
        <v>191</v>
      </c>
      <c r="I29" s="15">
        <v>1200</v>
      </c>
      <c r="J29" s="10">
        <f t="shared" si="3"/>
        <v>27</v>
      </c>
    </row>
    <row r="30" spans="1:10" x14ac:dyDescent="0.3">
      <c r="A30" s="10">
        <v>24</v>
      </c>
      <c r="B30" s="10" t="s">
        <v>135</v>
      </c>
      <c r="C30" s="14" t="s">
        <v>192</v>
      </c>
      <c r="D30" s="10" t="s">
        <v>137</v>
      </c>
      <c r="E30" s="15">
        <v>2.75</v>
      </c>
      <c r="F30" s="16">
        <v>818000000</v>
      </c>
      <c r="G30" s="16">
        <f t="shared" si="2"/>
        <v>2249500000</v>
      </c>
      <c r="H30" s="10" t="s">
        <v>193</v>
      </c>
      <c r="I30" s="15">
        <v>0.1</v>
      </c>
      <c r="J30" s="10">
        <f t="shared" si="3"/>
        <v>28</v>
      </c>
    </row>
    <row r="31" spans="1:10" ht="15" x14ac:dyDescent="0.4">
      <c r="A31" s="17"/>
      <c r="B31" s="17"/>
      <c r="C31" s="18" t="s">
        <v>194</v>
      </c>
      <c r="D31" s="17"/>
      <c r="E31" s="17"/>
      <c r="F31" s="17"/>
      <c r="G31" s="19">
        <f>G5+G18</f>
        <v>97310500000</v>
      </c>
      <c r="H31" s="17"/>
      <c r="I31" s="17"/>
      <c r="J31" s="17"/>
    </row>
    <row r="32" spans="1:10" x14ac:dyDescent="0.3">
      <c r="A32" s="17"/>
      <c r="B32" s="17"/>
      <c r="C32" s="17" t="s">
        <v>195</v>
      </c>
      <c r="D32" s="17"/>
      <c r="E32" s="17"/>
      <c r="F32" s="17"/>
      <c r="G32" s="20">
        <f>ROUND(G31 * 0.065, 0)</f>
        <v>6325182500</v>
      </c>
      <c r="H32" s="17"/>
      <c r="I32" s="17"/>
      <c r="J32" s="17"/>
    </row>
    <row r="33" spans="1:10" x14ac:dyDescent="0.3">
      <c r="A33" s="17"/>
      <c r="B33" s="17"/>
      <c r="C33" s="17" t="s">
        <v>196</v>
      </c>
      <c r="D33" s="17"/>
      <c r="E33" s="17"/>
      <c r="F33" s="17"/>
      <c r="G33" s="20">
        <f>ROUND((G31 + G32) * 0.055, 0)</f>
        <v>5699962538</v>
      </c>
      <c r="H33" s="17"/>
      <c r="I33" s="17"/>
      <c r="J33" s="17"/>
    </row>
    <row r="34" spans="1:10" x14ac:dyDescent="0.3">
      <c r="A34" s="17"/>
      <c r="B34" s="17"/>
      <c r="C34" s="17" t="s">
        <v>197</v>
      </c>
      <c r="D34" s="17"/>
      <c r="E34" s="17"/>
      <c r="F34" s="17"/>
      <c r="G34" s="20">
        <f>ROUND((G31 + G32 + G33) * 0.1, 0)</f>
        <v>10933564504</v>
      </c>
      <c r="H34" s="17"/>
      <c r="I34" s="17"/>
      <c r="J34" s="17"/>
    </row>
    <row r="35" spans="1:10" ht="17.5" x14ac:dyDescent="0.45">
      <c r="A35" s="17"/>
      <c r="B35" s="17"/>
      <c r="C35" s="21" t="s">
        <v>198</v>
      </c>
      <c r="D35" s="17"/>
      <c r="E35" s="17"/>
      <c r="F35" s="17"/>
      <c r="G35" s="22">
        <f>G31 + G32 + G33 + G34</f>
        <v>120269209542</v>
      </c>
      <c r="H35" s="17"/>
      <c r="I35" s="17"/>
      <c r="J35" s="17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42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sqref="A1:AK1"/>
    </sheetView>
  </sheetViews>
  <sheetFormatPr defaultRowHeight="14" x14ac:dyDescent="0.3"/>
  <cols>
    <col min="1" max="1" width="6.58203125" customWidth="1"/>
    <col min="2" max="2" width="12.58203125" customWidth="1"/>
    <col min="3" max="3" width="52.58203125" customWidth="1"/>
    <col min="4" max="4" width="12.58203125" customWidth="1"/>
    <col min="5" max="5" width="24.58203125" customWidth="1"/>
    <col min="6" max="6" width="16.58203125" customWidth="1"/>
    <col min="7" max="7" width="12.58203125" customWidth="1"/>
    <col min="8" max="10" width="14.58203125" customWidth="1"/>
    <col min="11" max="12" width="12.58203125" customWidth="1"/>
    <col min="13" max="13" width="16.58203125" customWidth="1"/>
    <col min="14" max="37" width="5.5" customWidth="1"/>
  </cols>
  <sheetData>
    <row r="1" spans="1:37" ht="26" customHeight="1" x14ac:dyDescent="0.3">
      <c r="A1" s="55" t="s">
        <v>199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</row>
    <row r="2" spans="1:37" ht="18" customHeight="1" x14ac:dyDescent="0.3">
      <c r="A2" s="54" t="s">
        <v>200</v>
      </c>
      <c r="B2" s="48"/>
      <c r="C2" s="48"/>
      <c r="D2" s="48"/>
      <c r="E2" s="23" t="s">
        <v>201</v>
      </c>
      <c r="F2" s="77">
        <v>45261</v>
      </c>
      <c r="G2" s="23" t="s">
        <v>202</v>
      </c>
      <c r="H2" s="78">
        <v>45983</v>
      </c>
      <c r="I2" s="48"/>
      <c r="J2" s="48"/>
      <c r="K2" s="48"/>
      <c r="L2" s="48"/>
    </row>
    <row r="3" spans="1:37" ht="18" customHeight="1" x14ac:dyDescent="0.3">
      <c r="A3" s="56" t="s">
        <v>203</v>
      </c>
      <c r="B3" s="48"/>
      <c r="C3" s="24">
        <v>45473</v>
      </c>
      <c r="E3" s="25" t="s">
        <v>204</v>
      </c>
      <c r="F3" s="26" t="s">
        <v>205</v>
      </c>
      <c r="G3" s="25" t="s">
        <v>206</v>
      </c>
      <c r="H3" s="49" t="s">
        <v>207</v>
      </c>
      <c r="I3" s="48"/>
      <c r="J3" s="48"/>
      <c r="K3" s="48"/>
      <c r="L3" s="48"/>
    </row>
    <row r="4" spans="1:37" ht="24" customHeight="1" x14ac:dyDescent="0.3">
      <c r="A4" s="53" t="s">
        <v>208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2"/>
      <c r="N4" s="28" t="s">
        <v>209</v>
      </c>
      <c r="O4" s="50" t="s">
        <v>210</v>
      </c>
      <c r="P4" s="51"/>
      <c r="Q4" s="51"/>
      <c r="R4" s="51"/>
      <c r="S4" s="51"/>
      <c r="T4" s="51"/>
      <c r="U4" s="51"/>
      <c r="V4" s="51"/>
      <c r="W4" s="51"/>
      <c r="X4" s="51"/>
      <c r="Y4" s="51"/>
      <c r="Z4" s="52"/>
      <c r="AA4" s="50" t="s">
        <v>211</v>
      </c>
      <c r="AB4" s="51"/>
      <c r="AC4" s="51"/>
      <c r="AD4" s="51"/>
      <c r="AE4" s="51"/>
      <c r="AF4" s="51"/>
      <c r="AG4" s="51"/>
      <c r="AH4" s="51"/>
      <c r="AI4" s="51"/>
      <c r="AJ4" s="51"/>
      <c r="AK4" s="52"/>
    </row>
    <row r="5" spans="1:37" ht="24" customHeight="1" x14ac:dyDescent="0.3">
      <c r="A5" s="29" t="s">
        <v>3</v>
      </c>
      <c r="B5" s="29" t="s">
        <v>212</v>
      </c>
      <c r="C5" s="29" t="s">
        <v>213</v>
      </c>
      <c r="D5" s="29" t="s">
        <v>214</v>
      </c>
      <c r="E5" s="29" t="s">
        <v>215</v>
      </c>
      <c r="F5" s="29" t="s">
        <v>216</v>
      </c>
      <c r="G5" s="29" t="s">
        <v>217</v>
      </c>
      <c r="H5" s="29" t="s">
        <v>218</v>
      </c>
      <c r="I5" s="29" t="s">
        <v>219</v>
      </c>
      <c r="J5" s="29" t="s">
        <v>220</v>
      </c>
      <c r="K5" s="29" t="s">
        <v>221</v>
      </c>
      <c r="L5" s="29" t="s">
        <v>222</v>
      </c>
      <c r="M5" s="29" t="s">
        <v>223</v>
      </c>
      <c r="N5" s="30" t="s">
        <v>224</v>
      </c>
      <c r="O5" s="30" t="s">
        <v>225</v>
      </c>
      <c r="P5" s="30" t="s">
        <v>226</v>
      </c>
      <c r="Q5" s="30" t="s">
        <v>227</v>
      </c>
      <c r="R5" s="30" t="s">
        <v>228</v>
      </c>
      <c r="S5" s="30" t="s">
        <v>229</v>
      </c>
      <c r="T5" s="30" t="s">
        <v>230</v>
      </c>
      <c r="U5" s="30" t="s">
        <v>231</v>
      </c>
      <c r="V5" s="30" t="s">
        <v>232</v>
      </c>
      <c r="W5" s="30" t="s">
        <v>233</v>
      </c>
      <c r="X5" s="30" t="s">
        <v>234</v>
      </c>
      <c r="Y5" s="30" t="s">
        <v>235</v>
      </c>
      <c r="Z5" s="30" t="s">
        <v>236</v>
      </c>
      <c r="AA5" s="30" t="s">
        <v>237</v>
      </c>
      <c r="AB5" s="30" t="s">
        <v>238</v>
      </c>
      <c r="AC5" s="30" t="s">
        <v>239</v>
      </c>
      <c r="AD5" s="30" t="s">
        <v>240</v>
      </c>
      <c r="AE5" s="30" t="s">
        <v>241</v>
      </c>
      <c r="AF5" s="30" t="s">
        <v>242</v>
      </c>
      <c r="AG5" s="30" t="s">
        <v>243</v>
      </c>
      <c r="AH5" s="30" t="s">
        <v>244</v>
      </c>
      <c r="AI5" s="30" t="s">
        <v>245</v>
      </c>
      <c r="AJ5" s="30" t="s">
        <v>246</v>
      </c>
      <c r="AK5" s="30" t="s">
        <v>247</v>
      </c>
    </row>
    <row r="6" spans="1:37" ht="19" customHeight="1" x14ac:dyDescent="0.3">
      <c r="A6" s="9">
        <v>1</v>
      </c>
      <c r="B6" s="9" t="s">
        <v>248</v>
      </c>
      <c r="C6" s="66" t="s">
        <v>249</v>
      </c>
      <c r="D6" s="10" t="s">
        <v>250</v>
      </c>
      <c r="E6" s="10"/>
      <c r="F6" s="12">
        <v>730</v>
      </c>
      <c r="G6" s="10">
        <v>1</v>
      </c>
      <c r="H6" s="65">
        <v>45261</v>
      </c>
      <c r="I6" s="65">
        <v>45983</v>
      </c>
      <c r="J6" s="10">
        <v>723</v>
      </c>
      <c r="K6" s="10">
        <v>0</v>
      </c>
      <c r="L6" s="67" t="s">
        <v>491</v>
      </c>
      <c r="M6" s="32">
        <v>0.32</v>
      </c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9" customHeight="1" x14ac:dyDescent="0.3">
      <c r="A7" s="9">
        <v>2</v>
      </c>
      <c r="B7" s="9" t="s">
        <v>251</v>
      </c>
      <c r="C7" s="68" t="s">
        <v>252</v>
      </c>
      <c r="D7" s="10" t="s">
        <v>250</v>
      </c>
      <c r="E7" s="10"/>
      <c r="F7" s="12">
        <v>85</v>
      </c>
      <c r="G7" s="10">
        <v>1</v>
      </c>
      <c r="H7" s="65">
        <v>45261</v>
      </c>
      <c r="I7" s="65">
        <v>45367</v>
      </c>
      <c r="J7" s="10">
        <v>107</v>
      </c>
      <c r="K7" s="10">
        <v>0</v>
      </c>
      <c r="L7" s="67" t="s">
        <v>491</v>
      </c>
      <c r="M7" s="32">
        <v>1</v>
      </c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9" customHeight="1" x14ac:dyDescent="0.3">
      <c r="A8" s="10">
        <v>3</v>
      </c>
      <c r="B8" s="10" t="s">
        <v>253</v>
      </c>
      <c r="C8" s="69" t="s">
        <v>254</v>
      </c>
      <c r="D8" s="10" t="s">
        <v>255</v>
      </c>
      <c r="E8" s="10"/>
      <c r="F8" s="12">
        <v>25</v>
      </c>
      <c r="G8" s="10">
        <v>1</v>
      </c>
      <c r="H8" s="65">
        <v>45261</v>
      </c>
      <c r="I8" s="65">
        <v>45289</v>
      </c>
      <c r="J8" s="10">
        <v>29</v>
      </c>
      <c r="K8" s="10">
        <v>147</v>
      </c>
      <c r="L8" s="67"/>
      <c r="M8" s="32">
        <v>1</v>
      </c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9" customHeight="1" x14ac:dyDescent="0.3">
      <c r="A9" s="10">
        <v>4</v>
      </c>
      <c r="B9" s="10" t="s">
        <v>256</v>
      </c>
      <c r="C9" s="69" t="s">
        <v>257</v>
      </c>
      <c r="D9" s="10" t="s">
        <v>255</v>
      </c>
      <c r="E9" s="10" t="s">
        <v>258</v>
      </c>
      <c r="F9" s="12">
        <v>60</v>
      </c>
      <c r="G9" s="10">
        <v>1</v>
      </c>
      <c r="H9" s="65">
        <v>45290</v>
      </c>
      <c r="I9" s="65">
        <v>45367</v>
      </c>
      <c r="J9" s="10">
        <v>78</v>
      </c>
      <c r="K9" s="10">
        <v>511</v>
      </c>
      <c r="L9" s="67"/>
      <c r="M9" s="32">
        <v>1</v>
      </c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9" customHeight="1" x14ac:dyDescent="0.3">
      <c r="A10" s="10">
        <v>5</v>
      </c>
      <c r="B10" s="10" t="s">
        <v>259</v>
      </c>
      <c r="C10" s="70" t="s">
        <v>260</v>
      </c>
      <c r="D10" s="10" t="s">
        <v>255</v>
      </c>
      <c r="E10" s="10"/>
      <c r="F10" s="12">
        <v>25</v>
      </c>
      <c r="G10" s="10">
        <v>1</v>
      </c>
      <c r="H10" s="65">
        <v>45261</v>
      </c>
      <c r="I10" s="65">
        <v>45289</v>
      </c>
      <c r="J10" s="10">
        <v>29</v>
      </c>
      <c r="K10" s="10">
        <v>0</v>
      </c>
      <c r="L10" s="71" t="s">
        <v>491</v>
      </c>
      <c r="M10" s="32">
        <v>1</v>
      </c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9" customHeight="1" x14ac:dyDescent="0.3">
      <c r="A11" s="10">
        <v>6</v>
      </c>
      <c r="B11" s="10" t="s">
        <v>261</v>
      </c>
      <c r="C11" s="69" t="s">
        <v>262</v>
      </c>
      <c r="D11" s="10" t="s">
        <v>255</v>
      </c>
      <c r="E11" s="10" t="s">
        <v>263</v>
      </c>
      <c r="F11" s="12">
        <v>60</v>
      </c>
      <c r="G11" s="10">
        <v>1</v>
      </c>
      <c r="H11" s="65">
        <v>45290</v>
      </c>
      <c r="I11" s="65">
        <v>45367</v>
      </c>
      <c r="J11" s="10">
        <v>78</v>
      </c>
      <c r="K11" s="10">
        <v>511</v>
      </c>
      <c r="L11" s="72"/>
      <c r="M11" s="32">
        <v>1</v>
      </c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9" customHeight="1" x14ac:dyDescent="0.3">
      <c r="A12" s="9">
        <v>7</v>
      </c>
      <c r="B12" s="9" t="s">
        <v>151</v>
      </c>
      <c r="C12" s="68" t="s">
        <v>264</v>
      </c>
      <c r="D12" s="10" t="s">
        <v>250</v>
      </c>
      <c r="E12" s="10"/>
      <c r="F12" s="12">
        <v>610</v>
      </c>
      <c r="G12" s="10">
        <v>1</v>
      </c>
      <c r="H12" s="65">
        <v>45290</v>
      </c>
      <c r="I12" s="65">
        <v>45810</v>
      </c>
      <c r="J12" s="10">
        <v>521</v>
      </c>
      <c r="K12" s="10">
        <v>147</v>
      </c>
      <c r="L12" s="67"/>
      <c r="M12" s="32">
        <v>0.45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9" customHeight="1" x14ac:dyDescent="0.3">
      <c r="A13" s="10">
        <v>8</v>
      </c>
      <c r="B13" s="10" t="s">
        <v>153</v>
      </c>
      <c r="C13" s="73" t="s">
        <v>265</v>
      </c>
      <c r="D13" s="10" t="s">
        <v>255</v>
      </c>
      <c r="E13" s="10" t="s">
        <v>258</v>
      </c>
      <c r="F13" s="12">
        <v>60</v>
      </c>
      <c r="G13" s="10">
        <v>1</v>
      </c>
      <c r="H13" s="65">
        <v>45290</v>
      </c>
      <c r="I13" s="65">
        <v>45367</v>
      </c>
      <c r="J13" s="10">
        <v>78</v>
      </c>
      <c r="K13" s="10">
        <v>147</v>
      </c>
      <c r="L13" s="67"/>
      <c r="M13" s="32">
        <v>1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9" customHeight="1" x14ac:dyDescent="0.3">
      <c r="A14" s="10">
        <v>9</v>
      </c>
      <c r="B14" s="10" t="s">
        <v>155</v>
      </c>
      <c r="C14" s="73" t="s">
        <v>266</v>
      </c>
      <c r="D14" s="10" t="s">
        <v>255</v>
      </c>
      <c r="E14" s="10" t="s">
        <v>267</v>
      </c>
      <c r="F14" s="12">
        <v>108</v>
      </c>
      <c r="G14" s="10">
        <v>1</v>
      </c>
      <c r="H14" s="65">
        <v>45315</v>
      </c>
      <c r="I14" s="65">
        <v>45450</v>
      </c>
      <c r="J14" s="10">
        <v>136</v>
      </c>
      <c r="K14" s="10">
        <v>147</v>
      </c>
      <c r="L14" s="67"/>
      <c r="M14" s="32">
        <v>1</v>
      </c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9" customHeight="1" x14ac:dyDescent="0.3">
      <c r="A15" s="10">
        <v>10</v>
      </c>
      <c r="B15" s="10" t="s">
        <v>157</v>
      </c>
      <c r="C15" s="73" t="s">
        <v>268</v>
      </c>
      <c r="D15" s="10" t="s">
        <v>255</v>
      </c>
      <c r="E15" s="10" t="s">
        <v>269</v>
      </c>
      <c r="F15" s="12">
        <v>146</v>
      </c>
      <c r="G15" s="10">
        <v>1</v>
      </c>
      <c r="H15" s="65">
        <v>45339</v>
      </c>
      <c r="I15" s="65">
        <v>45512</v>
      </c>
      <c r="J15" s="10">
        <v>174</v>
      </c>
      <c r="K15" s="10">
        <v>390</v>
      </c>
      <c r="L15" s="67"/>
      <c r="M15" s="32">
        <v>0.85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9" customHeight="1" x14ac:dyDescent="0.3">
      <c r="A16" s="10">
        <v>11</v>
      </c>
      <c r="B16" s="10" t="s">
        <v>159</v>
      </c>
      <c r="C16" s="73" t="s">
        <v>270</v>
      </c>
      <c r="D16" s="10" t="s">
        <v>255</v>
      </c>
      <c r="E16" s="10" t="s">
        <v>271</v>
      </c>
      <c r="F16" s="12">
        <v>115</v>
      </c>
      <c r="G16" s="10">
        <v>0.75</v>
      </c>
      <c r="H16" s="65">
        <v>45374</v>
      </c>
      <c r="I16" s="65">
        <v>45558</v>
      </c>
      <c r="J16" s="10">
        <v>185</v>
      </c>
      <c r="K16" s="10">
        <v>147</v>
      </c>
      <c r="L16" s="67"/>
      <c r="M16" s="32">
        <v>0.65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9" customHeight="1" x14ac:dyDescent="0.3">
      <c r="A17" s="10">
        <v>12</v>
      </c>
      <c r="B17" s="10" t="s">
        <v>161</v>
      </c>
      <c r="C17" s="73" t="s">
        <v>272</v>
      </c>
      <c r="D17" s="10" t="s">
        <v>255</v>
      </c>
      <c r="E17" s="10" t="s">
        <v>273</v>
      </c>
      <c r="F17" s="12">
        <v>56</v>
      </c>
      <c r="G17" s="10">
        <v>1</v>
      </c>
      <c r="H17" s="65">
        <v>45559</v>
      </c>
      <c r="I17" s="65">
        <v>45623</v>
      </c>
      <c r="J17" s="10">
        <v>65</v>
      </c>
      <c r="K17" s="10">
        <v>147</v>
      </c>
      <c r="L17" s="67"/>
      <c r="M17" s="32">
        <v>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9" customHeight="1" x14ac:dyDescent="0.3">
      <c r="A18" s="10">
        <v>13</v>
      </c>
      <c r="B18" s="10" t="s">
        <v>163</v>
      </c>
      <c r="C18" s="73" t="s">
        <v>274</v>
      </c>
      <c r="D18" s="10" t="s">
        <v>255</v>
      </c>
      <c r="E18" s="10" t="s">
        <v>275</v>
      </c>
      <c r="F18" s="12">
        <v>30</v>
      </c>
      <c r="G18" s="10">
        <v>1</v>
      </c>
      <c r="H18" s="65">
        <v>45357</v>
      </c>
      <c r="I18" s="65">
        <v>45391</v>
      </c>
      <c r="J18" s="10">
        <v>35</v>
      </c>
      <c r="K18" s="10">
        <v>491</v>
      </c>
      <c r="L18" s="72"/>
      <c r="M18" s="32">
        <v>1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9" customHeight="1" x14ac:dyDescent="0.3">
      <c r="A19" s="10">
        <v>14</v>
      </c>
      <c r="B19" s="10" t="s">
        <v>165</v>
      </c>
      <c r="C19" s="73" t="s">
        <v>276</v>
      </c>
      <c r="D19" s="10" t="s">
        <v>255</v>
      </c>
      <c r="E19" s="10" t="s">
        <v>277</v>
      </c>
      <c r="F19" s="12">
        <v>60</v>
      </c>
      <c r="G19" s="10">
        <v>1</v>
      </c>
      <c r="H19" s="65">
        <v>45570</v>
      </c>
      <c r="I19" s="65">
        <v>45639</v>
      </c>
      <c r="J19" s="10">
        <v>70</v>
      </c>
      <c r="K19" s="10">
        <v>283</v>
      </c>
      <c r="L19" s="72"/>
      <c r="M19" s="32">
        <v>0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9" customHeight="1" x14ac:dyDescent="0.3">
      <c r="A20" s="10">
        <v>15</v>
      </c>
      <c r="B20" s="10" t="s">
        <v>168</v>
      </c>
      <c r="C20" s="73" t="s">
        <v>278</v>
      </c>
      <c r="D20" s="10" t="s">
        <v>255</v>
      </c>
      <c r="E20" s="10" t="s">
        <v>279</v>
      </c>
      <c r="F20" s="12">
        <v>20</v>
      </c>
      <c r="G20" s="10">
        <v>1</v>
      </c>
      <c r="H20" s="65">
        <v>45624</v>
      </c>
      <c r="I20" s="65">
        <v>45646</v>
      </c>
      <c r="J20" s="10">
        <v>23</v>
      </c>
      <c r="K20" s="10">
        <v>147</v>
      </c>
      <c r="L20" s="67"/>
      <c r="M20" s="32">
        <v>0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9" customHeight="1" x14ac:dyDescent="0.3">
      <c r="A21" s="10">
        <v>16</v>
      </c>
      <c r="B21" s="10" t="s">
        <v>170</v>
      </c>
      <c r="C21" s="73" t="s">
        <v>280</v>
      </c>
      <c r="D21" s="10" t="s">
        <v>255</v>
      </c>
      <c r="E21" s="10" t="s">
        <v>281</v>
      </c>
      <c r="F21" s="12">
        <v>20</v>
      </c>
      <c r="G21" s="10">
        <v>1</v>
      </c>
      <c r="H21" s="65">
        <v>45649</v>
      </c>
      <c r="I21" s="65">
        <v>45672</v>
      </c>
      <c r="J21" s="10">
        <v>24</v>
      </c>
      <c r="K21" s="10">
        <v>147</v>
      </c>
      <c r="L21" s="67"/>
      <c r="M21" s="32">
        <v>0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9" customHeight="1" x14ac:dyDescent="0.3">
      <c r="A22" s="10">
        <v>17</v>
      </c>
      <c r="B22" s="10" t="s">
        <v>172</v>
      </c>
      <c r="C22" s="73" t="s">
        <v>282</v>
      </c>
      <c r="D22" s="10" t="s">
        <v>255</v>
      </c>
      <c r="E22" s="10" t="s">
        <v>283</v>
      </c>
      <c r="F22" s="12">
        <v>15</v>
      </c>
      <c r="G22" s="10">
        <v>1</v>
      </c>
      <c r="H22" s="65">
        <v>45674</v>
      </c>
      <c r="I22" s="65">
        <v>45698</v>
      </c>
      <c r="J22" s="10">
        <v>25</v>
      </c>
      <c r="K22" s="10">
        <v>147</v>
      </c>
      <c r="L22" s="67"/>
      <c r="M22" s="32">
        <v>0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9" customHeight="1" x14ac:dyDescent="0.3">
      <c r="A23" s="10">
        <v>18</v>
      </c>
      <c r="B23" s="10" t="s">
        <v>174</v>
      </c>
      <c r="C23" s="73" t="s">
        <v>284</v>
      </c>
      <c r="D23" s="10" t="s">
        <v>255</v>
      </c>
      <c r="E23" s="10" t="s">
        <v>285</v>
      </c>
      <c r="F23" s="12">
        <v>50</v>
      </c>
      <c r="G23" s="10">
        <v>1</v>
      </c>
      <c r="H23" s="65">
        <v>45710</v>
      </c>
      <c r="I23" s="65">
        <v>45769</v>
      </c>
      <c r="J23" s="10">
        <v>60</v>
      </c>
      <c r="K23" s="10">
        <v>147</v>
      </c>
      <c r="L23" s="67"/>
      <c r="M23" s="32">
        <v>0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9" customHeight="1" x14ac:dyDescent="0.3">
      <c r="A24" s="10">
        <v>19</v>
      </c>
      <c r="B24" s="10" t="s">
        <v>176</v>
      </c>
      <c r="C24" s="73" t="s">
        <v>286</v>
      </c>
      <c r="D24" s="10" t="s">
        <v>255</v>
      </c>
      <c r="E24" s="10" t="s">
        <v>287</v>
      </c>
      <c r="F24" s="12">
        <v>28</v>
      </c>
      <c r="G24" s="10">
        <v>1</v>
      </c>
      <c r="H24" s="65">
        <v>45776</v>
      </c>
      <c r="I24" s="65">
        <v>45810</v>
      </c>
      <c r="J24" s="10">
        <v>35</v>
      </c>
      <c r="K24" s="10">
        <v>147</v>
      </c>
      <c r="L24" s="72"/>
      <c r="M24" s="32">
        <v>0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9" customHeight="1" x14ac:dyDescent="0.3">
      <c r="A25" s="9">
        <v>20</v>
      </c>
      <c r="B25" s="9" t="s">
        <v>179</v>
      </c>
      <c r="C25" s="68" t="s">
        <v>288</v>
      </c>
      <c r="D25" s="10" t="s">
        <v>250</v>
      </c>
      <c r="E25" s="10"/>
      <c r="F25" s="12">
        <v>630</v>
      </c>
      <c r="G25" s="10">
        <v>1</v>
      </c>
      <c r="H25" s="65">
        <v>45309</v>
      </c>
      <c r="I25" s="65">
        <v>45863</v>
      </c>
      <c r="J25" s="10">
        <v>555</v>
      </c>
      <c r="K25" s="10">
        <v>0</v>
      </c>
      <c r="L25" s="67" t="s">
        <v>491</v>
      </c>
      <c r="M25" s="32">
        <v>0.35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9" customHeight="1" x14ac:dyDescent="0.3">
      <c r="A26" s="10">
        <v>21</v>
      </c>
      <c r="B26" s="10" t="s">
        <v>181</v>
      </c>
      <c r="C26" s="74" t="s">
        <v>289</v>
      </c>
      <c r="D26" s="10" t="s">
        <v>255</v>
      </c>
      <c r="E26" s="10" t="s">
        <v>290</v>
      </c>
      <c r="F26" s="12">
        <v>45</v>
      </c>
      <c r="G26" s="10">
        <v>1</v>
      </c>
      <c r="H26" s="65">
        <v>45309</v>
      </c>
      <c r="I26" s="65">
        <v>45367</v>
      </c>
      <c r="J26" s="10">
        <v>59</v>
      </c>
      <c r="K26" s="10">
        <v>0</v>
      </c>
      <c r="L26" s="71" t="s">
        <v>491</v>
      </c>
      <c r="M26" s="32">
        <v>1</v>
      </c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9" customHeight="1" x14ac:dyDescent="0.3">
      <c r="A27" s="10">
        <v>22</v>
      </c>
      <c r="B27" s="10" t="s">
        <v>182</v>
      </c>
      <c r="C27" s="74" t="s">
        <v>291</v>
      </c>
      <c r="D27" s="10" t="s">
        <v>255</v>
      </c>
      <c r="E27" s="10" t="s">
        <v>292</v>
      </c>
      <c r="F27" s="12">
        <v>96</v>
      </c>
      <c r="G27" s="10">
        <v>1</v>
      </c>
      <c r="H27" s="65">
        <v>45327</v>
      </c>
      <c r="I27" s="65">
        <v>45448</v>
      </c>
      <c r="J27" s="10">
        <v>122</v>
      </c>
      <c r="K27" s="10">
        <v>0</v>
      </c>
      <c r="L27" s="71" t="s">
        <v>491</v>
      </c>
      <c r="M27" s="32">
        <v>1</v>
      </c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9" customHeight="1" x14ac:dyDescent="0.3">
      <c r="A28" s="10">
        <v>23</v>
      </c>
      <c r="B28" s="10" t="s">
        <v>183</v>
      </c>
      <c r="C28" s="73" t="s">
        <v>293</v>
      </c>
      <c r="D28" s="10" t="s">
        <v>255</v>
      </c>
      <c r="E28" s="10" t="s">
        <v>294</v>
      </c>
      <c r="F28" s="12">
        <v>162</v>
      </c>
      <c r="G28" s="10">
        <v>1</v>
      </c>
      <c r="H28" s="65">
        <v>45351</v>
      </c>
      <c r="I28" s="65">
        <v>45545</v>
      </c>
      <c r="J28" s="10">
        <v>195</v>
      </c>
      <c r="K28" s="10">
        <v>364</v>
      </c>
      <c r="L28" s="67"/>
      <c r="M28" s="32">
        <v>0.78</v>
      </c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9" customHeight="1" x14ac:dyDescent="0.3">
      <c r="A29" s="10">
        <v>24</v>
      </c>
      <c r="B29" s="10" t="s">
        <v>184</v>
      </c>
      <c r="C29" s="74" t="s">
        <v>295</v>
      </c>
      <c r="D29" s="10" t="s">
        <v>255</v>
      </c>
      <c r="E29" s="10" t="s">
        <v>296</v>
      </c>
      <c r="F29" s="12">
        <v>133</v>
      </c>
      <c r="G29" s="10">
        <v>0.75</v>
      </c>
      <c r="H29" s="65">
        <v>45380</v>
      </c>
      <c r="I29" s="65">
        <v>45591</v>
      </c>
      <c r="J29" s="10">
        <v>212</v>
      </c>
      <c r="K29" s="10">
        <v>0</v>
      </c>
      <c r="L29" s="75" t="s">
        <v>491</v>
      </c>
      <c r="M29" s="32">
        <v>0.55000000000000004</v>
      </c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9" customHeight="1" x14ac:dyDescent="0.3">
      <c r="A30" s="10">
        <v>25</v>
      </c>
      <c r="B30" s="10" t="s">
        <v>185</v>
      </c>
      <c r="C30" s="74" t="s">
        <v>297</v>
      </c>
      <c r="D30" s="10" t="s">
        <v>255</v>
      </c>
      <c r="E30" s="10" t="s">
        <v>298</v>
      </c>
      <c r="F30" s="12">
        <v>68</v>
      </c>
      <c r="G30" s="10">
        <v>1</v>
      </c>
      <c r="H30" s="65">
        <v>45593</v>
      </c>
      <c r="I30" s="65">
        <v>45672</v>
      </c>
      <c r="J30" s="10">
        <v>80</v>
      </c>
      <c r="K30" s="10">
        <v>0</v>
      </c>
      <c r="L30" s="75" t="s">
        <v>491</v>
      </c>
      <c r="M30" s="32">
        <v>0</v>
      </c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9" customHeight="1" x14ac:dyDescent="0.3">
      <c r="A31" s="10">
        <v>26</v>
      </c>
      <c r="B31" s="10" t="s">
        <v>186</v>
      </c>
      <c r="C31" s="73" t="s">
        <v>299</v>
      </c>
      <c r="D31" s="10" t="s">
        <v>255</v>
      </c>
      <c r="E31" s="10" t="s">
        <v>300</v>
      </c>
      <c r="F31" s="12">
        <v>35</v>
      </c>
      <c r="G31" s="10">
        <v>1</v>
      </c>
      <c r="H31" s="65">
        <v>45363</v>
      </c>
      <c r="I31" s="65">
        <v>45404</v>
      </c>
      <c r="J31" s="10">
        <v>42</v>
      </c>
      <c r="K31" s="10">
        <v>481</v>
      </c>
      <c r="L31" s="72"/>
      <c r="M31" s="32">
        <v>1</v>
      </c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9" customHeight="1" x14ac:dyDescent="0.3">
      <c r="A32" s="10">
        <v>27</v>
      </c>
      <c r="B32" s="10" t="s">
        <v>187</v>
      </c>
      <c r="C32" s="73" t="s">
        <v>301</v>
      </c>
      <c r="D32" s="10" t="s">
        <v>255</v>
      </c>
      <c r="E32" s="10" t="s">
        <v>302</v>
      </c>
      <c r="F32" s="12">
        <v>65</v>
      </c>
      <c r="G32" s="10">
        <v>1</v>
      </c>
      <c r="H32" s="65">
        <v>45604</v>
      </c>
      <c r="I32" s="65">
        <v>45680</v>
      </c>
      <c r="J32" s="10">
        <v>77</v>
      </c>
      <c r="K32" s="10">
        <v>249</v>
      </c>
      <c r="L32" s="72"/>
      <c r="M32" s="32">
        <v>0</v>
      </c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9" customHeight="1" x14ac:dyDescent="0.3">
      <c r="A33" s="10">
        <v>28</v>
      </c>
      <c r="B33" s="10" t="s">
        <v>188</v>
      </c>
      <c r="C33" s="74" t="s">
        <v>303</v>
      </c>
      <c r="D33" s="10" t="s">
        <v>255</v>
      </c>
      <c r="E33" s="10" t="s">
        <v>304</v>
      </c>
      <c r="F33" s="12">
        <v>21</v>
      </c>
      <c r="G33" s="10">
        <v>1</v>
      </c>
      <c r="H33" s="65">
        <v>45673</v>
      </c>
      <c r="I33" s="65">
        <v>45703</v>
      </c>
      <c r="J33" s="10">
        <v>31</v>
      </c>
      <c r="K33" s="10">
        <v>0</v>
      </c>
      <c r="L33" s="75" t="s">
        <v>491</v>
      </c>
      <c r="M33" s="32">
        <v>0</v>
      </c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9" customHeight="1" x14ac:dyDescent="0.3">
      <c r="A34" s="10">
        <v>29</v>
      </c>
      <c r="B34" s="10" t="s">
        <v>189</v>
      </c>
      <c r="C34" s="74" t="s">
        <v>305</v>
      </c>
      <c r="D34" s="10" t="s">
        <v>255</v>
      </c>
      <c r="E34" s="10" t="s">
        <v>306</v>
      </c>
      <c r="F34" s="12">
        <v>21</v>
      </c>
      <c r="G34" s="10">
        <v>1</v>
      </c>
      <c r="H34" s="65">
        <v>45706</v>
      </c>
      <c r="I34" s="65">
        <v>45729</v>
      </c>
      <c r="J34" s="10">
        <v>24</v>
      </c>
      <c r="K34" s="10">
        <v>0</v>
      </c>
      <c r="L34" s="75" t="s">
        <v>491</v>
      </c>
      <c r="M34" s="32">
        <v>0</v>
      </c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9" customHeight="1" x14ac:dyDescent="0.3">
      <c r="A35" s="10">
        <v>30</v>
      </c>
      <c r="B35" s="10" t="s">
        <v>190</v>
      </c>
      <c r="C35" s="74" t="s">
        <v>307</v>
      </c>
      <c r="D35" s="10" t="s">
        <v>255</v>
      </c>
      <c r="E35" s="10" t="s">
        <v>308</v>
      </c>
      <c r="F35" s="12">
        <v>16</v>
      </c>
      <c r="G35" s="10">
        <v>1</v>
      </c>
      <c r="H35" s="65">
        <v>45731</v>
      </c>
      <c r="I35" s="65">
        <v>45749</v>
      </c>
      <c r="J35" s="10">
        <v>19</v>
      </c>
      <c r="K35" s="10">
        <v>0</v>
      </c>
      <c r="L35" s="75" t="s">
        <v>491</v>
      </c>
      <c r="M35" s="32">
        <v>0</v>
      </c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9" customHeight="1" x14ac:dyDescent="0.3">
      <c r="A36" s="10">
        <v>31</v>
      </c>
      <c r="B36" s="10" t="s">
        <v>191</v>
      </c>
      <c r="C36" s="74" t="s">
        <v>309</v>
      </c>
      <c r="D36" s="10" t="s">
        <v>255</v>
      </c>
      <c r="E36" s="10" t="s">
        <v>310</v>
      </c>
      <c r="F36" s="12">
        <v>52</v>
      </c>
      <c r="G36" s="10">
        <v>1</v>
      </c>
      <c r="H36" s="65">
        <v>45763</v>
      </c>
      <c r="I36" s="65">
        <v>45825</v>
      </c>
      <c r="J36" s="10">
        <v>63</v>
      </c>
      <c r="K36" s="10">
        <v>0</v>
      </c>
      <c r="L36" s="75" t="s">
        <v>491</v>
      </c>
      <c r="M36" s="32">
        <v>0</v>
      </c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9" customHeight="1" x14ac:dyDescent="0.3">
      <c r="A37" s="10">
        <v>32</v>
      </c>
      <c r="B37" s="10" t="s">
        <v>193</v>
      </c>
      <c r="C37" s="74" t="s">
        <v>311</v>
      </c>
      <c r="D37" s="10" t="s">
        <v>255</v>
      </c>
      <c r="E37" s="10" t="s">
        <v>312</v>
      </c>
      <c r="F37" s="12">
        <v>28</v>
      </c>
      <c r="G37" s="10">
        <v>1</v>
      </c>
      <c r="H37" s="65">
        <v>45832</v>
      </c>
      <c r="I37" s="65">
        <v>45863</v>
      </c>
      <c r="J37" s="10">
        <v>32</v>
      </c>
      <c r="K37" s="10">
        <v>0</v>
      </c>
      <c r="L37" s="71" t="s">
        <v>491</v>
      </c>
      <c r="M37" s="32">
        <v>0</v>
      </c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9" customHeight="1" x14ac:dyDescent="0.3">
      <c r="A38" s="9">
        <v>33</v>
      </c>
      <c r="B38" s="9" t="s">
        <v>313</v>
      </c>
      <c r="C38" s="68" t="s">
        <v>314</v>
      </c>
      <c r="D38" s="10" t="s">
        <v>250</v>
      </c>
      <c r="E38" s="10"/>
      <c r="F38" s="12">
        <v>120</v>
      </c>
      <c r="G38" s="10">
        <v>1</v>
      </c>
      <c r="H38" s="65">
        <v>45870</v>
      </c>
      <c r="I38" s="65">
        <v>45983</v>
      </c>
      <c r="J38" s="10">
        <v>114</v>
      </c>
      <c r="K38" s="10">
        <v>0</v>
      </c>
      <c r="L38" s="67" t="s">
        <v>491</v>
      </c>
      <c r="M38" s="32">
        <v>0</v>
      </c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9" customHeight="1" x14ac:dyDescent="0.3">
      <c r="A39" s="10">
        <v>34</v>
      </c>
      <c r="B39" s="10" t="s">
        <v>315</v>
      </c>
      <c r="C39" s="70" t="s">
        <v>316</v>
      </c>
      <c r="D39" s="10" t="s">
        <v>255</v>
      </c>
      <c r="E39" s="10" t="s">
        <v>317</v>
      </c>
      <c r="F39" s="12">
        <v>20</v>
      </c>
      <c r="G39" s="10">
        <v>1</v>
      </c>
      <c r="H39" s="65">
        <v>45870</v>
      </c>
      <c r="I39" s="65">
        <v>45892</v>
      </c>
      <c r="J39" s="10">
        <v>23</v>
      </c>
      <c r="K39" s="10">
        <v>0</v>
      </c>
      <c r="L39" s="75" t="s">
        <v>491</v>
      </c>
      <c r="M39" s="32">
        <v>0</v>
      </c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9" customHeight="1" x14ac:dyDescent="0.3">
      <c r="A40" s="10">
        <v>35</v>
      </c>
      <c r="B40" s="10" t="s">
        <v>318</v>
      </c>
      <c r="C40" s="70" t="s">
        <v>319</v>
      </c>
      <c r="D40" s="10" t="s">
        <v>255</v>
      </c>
      <c r="E40" s="10" t="s">
        <v>320</v>
      </c>
      <c r="F40" s="12">
        <v>25</v>
      </c>
      <c r="G40" s="10">
        <v>1</v>
      </c>
      <c r="H40" s="65">
        <v>45894</v>
      </c>
      <c r="I40" s="65">
        <v>45924</v>
      </c>
      <c r="J40" s="10">
        <v>31</v>
      </c>
      <c r="K40" s="10">
        <v>0</v>
      </c>
      <c r="L40" s="75" t="s">
        <v>491</v>
      </c>
      <c r="M40" s="32">
        <v>0</v>
      </c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9" customHeight="1" x14ac:dyDescent="0.3">
      <c r="A41" s="10">
        <v>36</v>
      </c>
      <c r="B41" s="10" t="s">
        <v>321</v>
      </c>
      <c r="C41" s="70" t="s">
        <v>322</v>
      </c>
      <c r="D41" s="10" t="s">
        <v>255</v>
      </c>
      <c r="E41" s="10" t="s">
        <v>323</v>
      </c>
      <c r="F41" s="12">
        <v>45</v>
      </c>
      <c r="G41" s="10">
        <v>1</v>
      </c>
      <c r="H41" s="65">
        <v>45925</v>
      </c>
      <c r="I41" s="65">
        <v>45976</v>
      </c>
      <c r="J41" s="10">
        <v>52</v>
      </c>
      <c r="K41" s="10">
        <v>0</v>
      </c>
      <c r="L41" s="75" t="s">
        <v>491</v>
      </c>
      <c r="M41" s="32">
        <v>0</v>
      </c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9" customHeight="1" x14ac:dyDescent="0.3">
      <c r="A42" s="33">
        <v>37</v>
      </c>
      <c r="B42" s="10" t="s">
        <v>324</v>
      </c>
      <c r="C42" s="76" t="s">
        <v>325</v>
      </c>
      <c r="D42" s="10" t="s">
        <v>326</v>
      </c>
      <c r="E42" s="10" t="s">
        <v>327</v>
      </c>
      <c r="F42" s="12">
        <v>0</v>
      </c>
      <c r="G42" s="10">
        <v>1</v>
      </c>
      <c r="H42" s="65">
        <v>45983</v>
      </c>
      <c r="I42" s="65">
        <v>45983</v>
      </c>
      <c r="J42" s="10">
        <v>1</v>
      </c>
      <c r="K42" s="10">
        <v>0</v>
      </c>
      <c r="L42" s="75" t="s">
        <v>491</v>
      </c>
      <c r="M42" s="32">
        <v>0</v>
      </c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</sheetData>
  <mergeCells count="8">
    <mergeCell ref="A1:AK1"/>
    <mergeCell ref="A3:B3"/>
    <mergeCell ref="O4:Z4"/>
    <mergeCell ref="H2:L2"/>
    <mergeCell ref="H3:L3"/>
    <mergeCell ref="AA4:AK4"/>
    <mergeCell ref="A4:M4"/>
    <mergeCell ref="A2:D2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47"/>
  <sheetViews>
    <sheetView zoomScale="85" zoomScaleNormal="85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D11" sqref="D11"/>
    </sheetView>
  </sheetViews>
  <sheetFormatPr defaultRowHeight="14" x14ac:dyDescent="0.3"/>
  <cols>
    <col min="1" max="1" width="6.58203125" customWidth="1"/>
    <col min="2" max="2" width="12.58203125" customWidth="1"/>
    <col min="3" max="3" width="46.58203125" customWidth="1"/>
    <col min="4" max="4" width="22.58203125" customWidth="1"/>
    <col min="5" max="8" width="16.58203125" customWidth="1"/>
    <col min="9" max="9" width="14.58203125" customWidth="1"/>
    <col min="10" max="12" width="22.58203125" customWidth="1"/>
    <col min="13" max="14" width="12.58203125" customWidth="1"/>
  </cols>
  <sheetData>
    <row r="1" spans="1:14" ht="20" x14ac:dyDescent="0.55000000000000004">
      <c r="A1" s="1" t="s">
        <v>328</v>
      </c>
    </row>
    <row r="2" spans="1:14" ht="15" x14ac:dyDescent="0.4">
      <c r="A2" s="2" t="s">
        <v>329</v>
      </c>
    </row>
    <row r="4" spans="1:14" x14ac:dyDescent="0.3">
      <c r="B4" s="57" t="s">
        <v>330</v>
      </c>
      <c r="C4" s="48"/>
      <c r="D4" s="57" t="s">
        <v>331</v>
      </c>
      <c r="E4" s="48"/>
      <c r="F4" s="57" t="s">
        <v>332</v>
      </c>
      <c r="G4" s="48"/>
      <c r="H4" s="57" t="s">
        <v>333</v>
      </c>
      <c r="I4" s="48"/>
      <c r="J4" s="57" t="s">
        <v>334</v>
      </c>
      <c r="K4" s="48"/>
      <c r="L4" s="34" t="s">
        <v>335</v>
      </c>
      <c r="N4" s="34" t="s">
        <v>336</v>
      </c>
    </row>
    <row r="5" spans="1:14" ht="17.5" x14ac:dyDescent="0.3">
      <c r="B5" s="59">
        <f>BOQ_TIEN_DO!G35</f>
        <v>120269209542</v>
      </c>
      <c r="C5" s="48"/>
      <c r="D5" s="61">
        <f>SUM(J11:J47)</f>
        <v>28915123998</v>
      </c>
      <c r="E5" s="48"/>
      <c r="F5" s="60">
        <f>SUM(K11:K47)</f>
        <v>30271400000</v>
      </c>
      <c r="G5" s="48"/>
      <c r="H5" s="62">
        <f>SUM(L11:L47)</f>
        <v>30658000000</v>
      </c>
      <c r="I5" s="48"/>
      <c r="J5" s="58">
        <f>F5-D5</f>
        <v>1356276002</v>
      </c>
      <c r="K5" s="48"/>
      <c r="L5" s="35">
        <f>IF(D5&gt;0, F5/D5, 1)</f>
        <v>1.0469054188421882</v>
      </c>
      <c r="N5" s="35">
        <f>IF(H5&gt;0, F5/H5, 1)</f>
        <v>0.98738991454106595</v>
      </c>
    </row>
    <row r="8" spans="1:14" ht="17" x14ac:dyDescent="0.5">
      <c r="B8" s="3" t="s">
        <v>337</v>
      </c>
      <c r="E8" s="36" t="str">
        <f>IF(L5&gt;=1, "TIẾN ĐỘ: ĐẠT / VƯỢT KẾ HOẠCH (SPI &gt;= 1.0)", "CẢNH BÁO: CHẬM TIẾN ĐỘ NHẸ (SPI &lt; 1.0)")</f>
        <v>TIẾN ĐỘ: ĐẠT / VƯỢT KẾ HOẠCH (SPI &gt;= 1.0)</v>
      </c>
      <c r="K8" s="37" t="str">
        <f>IF(N5&gt;=1, "CHI PHÍ: TIẾT KIỆM SO VỚI DỰ TOÁN (CPI &gt;= 1.0)", "CẢNH BÁO: VƯỢT DỰ TOÁN (CPI &lt; 1.0)")</f>
        <v>CẢNH BÁO: VƯỢT DỰ TOÁN (CPI &lt; 1.0)</v>
      </c>
    </row>
    <row r="10" spans="1:14" x14ac:dyDescent="0.3">
      <c r="A10" s="4" t="s">
        <v>3</v>
      </c>
      <c r="B10" s="4" t="s">
        <v>338</v>
      </c>
      <c r="C10" s="4" t="s">
        <v>339</v>
      </c>
      <c r="D10" s="4" t="s">
        <v>340</v>
      </c>
      <c r="E10" s="4" t="s">
        <v>341</v>
      </c>
      <c r="F10" s="4" t="s">
        <v>342</v>
      </c>
      <c r="G10" s="4" t="s">
        <v>343</v>
      </c>
      <c r="H10" s="4" t="s">
        <v>344</v>
      </c>
      <c r="I10" s="4" t="s">
        <v>345</v>
      </c>
      <c r="J10" s="4" t="s">
        <v>346</v>
      </c>
      <c r="K10" s="4" t="s">
        <v>347</v>
      </c>
      <c r="L10" s="4" t="s">
        <v>348</v>
      </c>
      <c r="M10" s="4" t="s">
        <v>349</v>
      </c>
      <c r="N10" s="4" t="s">
        <v>350</v>
      </c>
    </row>
    <row r="11" spans="1:14" x14ac:dyDescent="0.3">
      <c r="A11" s="9">
        <v>1</v>
      </c>
      <c r="B11" s="9" t="str">
        <f>TIEN_DO!B6</f>
        <v>1</v>
      </c>
      <c r="C11" s="11" t="str">
        <f>TIEN_DO!C6</f>
        <v>GÓI THẦU SỐ 01: XÂY LẮP ĐƯỜNG GIAO THÔNG (Km 0+000 – Km 5+500)</v>
      </c>
      <c r="D11" s="38">
        <v>0</v>
      </c>
      <c r="E11" s="39">
        <v>45261</v>
      </c>
      <c r="F11" s="39">
        <v>45991</v>
      </c>
      <c r="G11" s="39">
        <f>TIEN_DO!H6</f>
        <v>45261</v>
      </c>
      <c r="H11" s="39">
        <f>TIEN_DO!I6</f>
        <v>45983</v>
      </c>
      <c r="I11" s="40">
        <f>TIEN_DO!M6</f>
        <v>0.32</v>
      </c>
      <c r="J11" s="38">
        <f>ROUND(D11 * IF(TIEN_DO!$C$3&gt;=F11, 1, IF(TIEN_DO!$C$3&lt;=E11, 0, (TIEN_DO!$C$3-E11)/(F11-E11+1))), 0)</f>
        <v>0</v>
      </c>
      <c r="K11" s="38">
        <f t="shared" ref="K11:K47" si="0">ROUND(D11 * I11, 0)</f>
        <v>0</v>
      </c>
      <c r="L11" s="38">
        <v>0</v>
      </c>
      <c r="M11" s="41">
        <f t="shared" ref="M11:M47" si="1">IF(J11&gt;0, K11/J11, 1)</f>
        <v>1</v>
      </c>
      <c r="N11" s="41">
        <f t="shared" ref="N11:N47" si="2">IF(L11&gt;0, K11/L11, 1)</f>
        <v>1</v>
      </c>
    </row>
    <row r="12" spans="1:14" x14ac:dyDescent="0.3">
      <c r="A12" s="9">
        <v>2</v>
      </c>
      <c r="B12" s="9" t="str">
        <f>TIEN_DO!B7</f>
        <v>1.1</v>
      </c>
      <c r="C12" s="11" t="str">
        <f>TIEN_DO!C7</f>
        <v>Công tác chuẩn bị &amp; phụ trợ thi công công trường</v>
      </c>
      <c r="D12" s="38">
        <v>0</v>
      </c>
      <c r="E12" s="39">
        <v>45261</v>
      </c>
      <c r="F12" s="39">
        <v>45366</v>
      </c>
      <c r="G12" s="39">
        <f>TIEN_DO!H7</f>
        <v>45261</v>
      </c>
      <c r="H12" s="39">
        <f>TIEN_DO!I7</f>
        <v>45367</v>
      </c>
      <c r="I12" s="40">
        <f>TIEN_DO!M7</f>
        <v>1</v>
      </c>
      <c r="J12" s="38">
        <f>ROUND(D12 * IF(TIEN_DO!$C$3&gt;=F12, 1, IF(TIEN_DO!$C$3&lt;=E12, 0, (TIEN_DO!$C$3-E12)/(F12-E12+1))), 0)</f>
        <v>0</v>
      </c>
      <c r="K12" s="38">
        <f t="shared" si="0"/>
        <v>0</v>
      </c>
      <c r="L12" s="38">
        <v>0</v>
      </c>
      <c r="M12" s="41">
        <f t="shared" si="1"/>
        <v>1</v>
      </c>
      <c r="N12" s="41">
        <f t="shared" si="2"/>
        <v>1</v>
      </c>
    </row>
    <row r="13" spans="1:14" x14ac:dyDescent="0.3">
      <c r="A13" s="10">
        <v>3</v>
      </c>
      <c r="B13" s="10" t="str">
        <f>TIEN_DO!B8</f>
        <v>1.1.1</v>
      </c>
      <c r="C13" s="14" t="str">
        <f>TIEN_DO!C8</f>
        <v>Huy động nhân lực, thiết bị &amp; mặt bằng công trường A</v>
      </c>
      <c r="D13" s="16">
        <v>350000000</v>
      </c>
      <c r="E13" s="31">
        <v>45261</v>
      </c>
      <c r="F13" s="31">
        <v>45289</v>
      </c>
      <c r="G13" s="31">
        <f>TIEN_DO!H8</f>
        <v>45261</v>
      </c>
      <c r="H13" s="31">
        <f>TIEN_DO!I8</f>
        <v>45289</v>
      </c>
      <c r="I13" s="32">
        <f>TIEN_DO!M8</f>
        <v>1</v>
      </c>
      <c r="J13" s="16">
        <f>ROUND(D13 * IF(TIEN_DO!$C$3&gt;=F13, 1, IF(TIEN_DO!$C$3&lt;=E13, 0, (TIEN_DO!$C$3-E13)/(F13-E13+1))), 0)</f>
        <v>350000000</v>
      </c>
      <c r="K13" s="16">
        <f t="shared" si="0"/>
        <v>350000000</v>
      </c>
      <c r="L13" s="16">
        <v>345000000</v>
      </c>
      <c r="M13" s="42">
        <f t="shared" si="1"/>
        <v>1</v>
      </c>
      <c r="N13" s="42">
        <f t="shared" si="2"/>
        <v>1.0144927536231885</v>
      </c>
    </row>
    <row r="14" spans="1:14" x14ac:dyDescent="0.3">
      <c r="A14" s="10">
        <v>4</v>
      </c>
      <c r="B14" s="10" t="str">
        <f>TIEN_DO!B9</f>
        <v>1.1.2</v>
      </c>
      <c r="C14" s="14" t="str">
        <f>TIEN_DO!C9</f>
        <v>Đường công vụ, lán trại, bãi tập kết vật liệu công trường A</v>
      </c>
      <c r="D14" s="16">
        <v>650000000</v>
      </c>
      <c r="E14" s="31">
        <v>45290</v>
      </c>
      <c r="F14" s="31">
        <v>45363</v>
      </c>
      <c r="G14" s="31">
        <f>TIEN_DO!H9</f>
        <v>45290</v>
      </c>
      <c r="H14" s="31">
        <f>TIEN_DO!I9</f>
        <v>45367</v>
      </c>
      <c r="I14" s="32">
        <f>TIEN_DO!M9</f>
        <v>1</v>
      </c>
      <c r="J14" s="16">
        <f>ROUND(D14 * IF(TIEN_DO!$C$3&gt;=F14, 1, IF(TIEN_DO!$C$3&lt;=E14, 0, (TIEN_DO!$C$3-E14)/(F14-E14+1))), 0)</f>
        <v>650000000</v>
      </c>
      <c r="K14" s="16">
        <f t="shared" si="0"/>
        <v>650000000</v>
      </c>
      <c r="L14" s="16">
        <v>660000000</v>
      </c>
      <c r="M14" s="42">
        <f t="shared" si="1"/>
        <v>1</v>
      </c>
      <c r="N14" s="42">
        <f t="shared" si="2"/>
        <v>0.98484848484848486</v>
      </c>
    </row>
    <row r="15" spans="1:14" x14ac:dyDescent="0.3">
      <c r="A15" s="10">
        <v>5</v>
      </c>
      <c r="B15" s="10" t="str">
        <f>TIEN_DO!B10</f>
        <v>1.1.3</v>
      </c>
      <c r="C15" s="14" t="str">
        <f>TIEN_DO!C10</f>
        <v>Huy động nhân lực, thiết bị &amp; mặt bằng công trường B</v>
      </c>
      <c r="D15" s="16">
        <v>350000000</v>
      </c>
      <c r="E15" s="31">
        <v>45261</v>
      </c>
      <c r="F15" s="31">
        <v>45289</v>
      </c>
      <c r="G15" s="31">
        <f>TIEN_DO!H10</f>
        <v>45261</v>
      </c>
      <c r="H15" s="31">
        <f>TIEN_DO!I10</f>
        <v>45289</v>
      </c>
      <c r="I15" s="32">
        <f>TIEN_DO!M10</f>
        <v>1</v>
      </c>
      <c r="J15" s="16">
        <f>ROUND(D15 * IF(TIEN_DO!$C$3&gt;=F15, 1, IF(TIEN_DO!$C$3&lt;=E15, 0, (TIEN_DO!$C$3-E15)/(F15-E15+1))), 0)</f>
        <v>350000000</v>
      </c>
      <c r="K15" s="16">
        <f t="shared" si="0"/>
        <v>350000000</v>
      </c>
      <c r="L15" s="16">
        <v>348000000</v>
      </c>
      <c r="M15" s="42">
        <f t="shared" si="1"/>
        <v>1</v>
      </c>
      <c r="N15" s="42">
        <f t="shared" si="2"/>
        <v>1.0057471264367817</v>
      </c>
    </row>
    <row r="16" spans="1:14" x14ac:dyDescent="0.3">
      <c r="A16" s="10">
        <v>6</v>
      </c>
      <c r="B16" s="10" t="str">
        <f>TIEN_DO!B11</f>
        <v>1.1.4</v>
      </c>
      <c r="C16" s="14" t="str">
        <f>TIEN_DO!C11</f>
        <v>Đường công vụ, lán trại, bãi tập kết vật liệu công trường B</v>
      </c>
      <c r="D16" s="16">
        <v>650000000</v>
      </c>
      <c r="E16" s="31">
        <v>45290</v>
      </c>
      <c r="F16" s="31">
        <v>45363</v>
      </c>
      <c r="G16" s="31">
        <f>TIEN_DO!H11</f>
        <v>45290</v>
      </c>
      <c r="H16" s="31">
        <f>TIEN_DO!I11</f>
        <v>45367</v>
      </c>
      <c r="I16" s="32">
        <f>TIEN_DO!M11</f>
        <v>1</v>
      </c>
      <c r="J16" s="16">
        <f>ROUND(D16 * IF(TIEN_DO!$C$3&gt;=F16, 1, IF(TIEN_DO!$C$3&lt;=E16, 0, (TIEN_DO!$C$3-E16)/(F16-E16+1))), 0)</f>
        <v>650000000</v>
      </c>
      <c r="K16" s="16">
        <f t="shared" si="0"/>
        <v>650000000</v>
      </c>
      <c r="L16" s="16">
        <v>655000000</v>
      </c>
      <c r="M16" s="42">
        <f t="shared" si="1"/>
        <v>1</v>
      </c>
      <c r="N16" s="42">
        <f t="shared" si="2"/>
        <v>0.99236641221374045</v>
      </c>
    </row>
    <row r="17" spans="1:14" x14ac:dyDescent="0.3">
      <c r="A17" s="9">
        <v>7</v>
      </c>
      <c r="B17" s="9" t="str">
        <f>TIEN_DO!B12</f>
        <v>1.2</v>
      </c>
      <c r="C17" s="11" t="str">
        <f>TIEN_DO!C12</f>
        <v>Tuyến chính Phân đoạn A1 (Km 0+000 – Km 2+750, L = 2.75 km)</v>
      </c>
      <c r="D17" s="38">
        <v>0</v>
      </c>
      <c r="E17" s="39">
        <v>45290</v>
      </c>
      <c r="F17" s="39">
        <v>45915</v>
      </c>
      <c r="G17" s="39">
        <f>TIEN_DO!H12</f>
        <v>45290</v>
      </c>
      <c r="H17" s="39">
        <f>TIEN_DO!I12</f>
        <v>45810</v>
      </c>
      <c r="I17" s="40">
        <f>TIEN_DO!M12</f>
        <v>0.45</v>
      </c>
      <c r="J17" s="38">
        <f>ROUND(D17 * IF(TIEN_DO!$C$3&gt;=F17, 1, IF(TIEN_DO!$C$3&lt;=E17, 0, (TIEN_DO!$C$3-E17)/(F17-E17+1))), 0)</f>
        <v>0</v>
      </c>
      <c r="K17" s="38">
        <f t="shared" si="0"/>
        <v>0</v>
      </c>
      <c r="L17" s="38">
        <v>0</v>
      </c>
      <c r="M17" s="41">
        <f t="shared" si="1"/>
        <v>1</v>
      </c>
      <c r="N17" s="41">
        <f t="shared" si="2"/>
        <v>1</v>
      </c>
    </row>
    <row r="18" spans="1:14" x14ac:dyDescent="0.3">
      <c r="A18" s="10">
        <v>8</v>
      </c>
      <c r="B18" s="10" t="str">
        <f>TIEN_DO!B13</f>
        <v>1.2.1.1</v>
      </c>
      <c r="C18" s="14" t="str">
        <f>TIEN_DO!C13</f>
        <v>Dọn dẹp mặt bằng, phát quang &amp; bóc đất hữu cơ (27.000 m3)</v>
      </c>
      <c r="D18" s="16">
        <v>769500000</v>
      </c>
      <c r="E18" s="31">
        <v>45290</v>
      </c>
      <c r="F18" s="31">
        <v>45363</v>
      </c>
      <c r="G18" s="31">
        <f>TIEN_DO!H13</f>
        <v>45290</v>
      </c>
      <c r="H18" s="31">
        <f>TIEN_DO!I13</f>
        <v>45367</v>
      </c>
      <c r="I18" s="32">
        <f>TIEN_DO!M13</f>
        <v>1</v>
      </c>
      <c r="J18" s="16">
        <f>ROUND(D18 * IF(TIEN_DO!$C$3&gt;=F18, 1, IF(TIEN_DO!$C$3&lt;=E18, 0, (TIEN_DO!$C$3-E18)/(F18-E18+1))), 0)</f>
        <v>769500000</v>
      </c>
      <c r="K18" s="16">
        <f t="shared" si="0"/>
        <v>769500000</v>
      </c>
      <c r="L18" s="16">
        <v>775000000</v>
      </c>
      <c r="M18" s="42">
        <f t="shared" si="1"/>
        <v>1</v>
      </c>
      <c r="N18" s="42">
        <f t="shared" si="2"/>
        <v>0.99290322580645163</v>
      </c>
    </row>
    <row r="19" spans="1:14" x14ac:dyDescent="0.3">
      <c r="A19" s="10">
        <v>9</v>
      </c>
      <c r="B19" s="10" t="str">
        <f>TIEN_DO!B14</f>
        <v>1.2.1.2</v>
      </c>
      <c r="C19" s="14" t="str">
        <f>TIEN_DO!C14</f>
        <v>Đào đất nền đường &amp; vận chuyển điều phối (145.000 m3)</v>
      </c>
      <c r="D19" s="16">
        <v>5249000000</v>
      </c>
      <c r="E19" s="31">
        <v>45313</v>
      </c>
      <c r="F19" s="31">
        <v>45443</v>
      </c>
      <c r="G19" s="31">
        <f>TIEN_DO!H14</f>
        <v>45315</v>
      </c>
      <c r="H19" s="31">
        <f>TIEN_DO!I14</f>
        <v>45450</v>
      </c>
      <c r="I19" s="32">
        <f>TIEN_DO!M14</f>
        <v>1</v>
      </c>
      <c r="J19" s="16">
        <f>ROUND(D19 * IF(TIEN_DO!$C$3&gt;=F19, 1, IF(TIEN_DO!$C$3&lt;=E19, 0, (TIEN_DO!$C$3-E19)/(F19-E19+1))), 0)</f>
        <v>5249000000</v>
      </c>
      <c r="K19" s="16">
        <f t="shared" si="0"/>
        <v>5249000000</v>
      </c>
      <c r="L19" s="16">
        <v>5310000000</v>
      </c>
      <c r="M19" s="42">
        <f t="shared" si="1"/>
        <v>1</v>
      </c>
      <c r="N19" s="42">
        <f t="shared" si="2"/>
        <v>0.98851224105461388</v>
      </c>
    </row>
    <row r="20" spans="1:14" x14ac:dyDescent="0.3">
      <c r="A20" s="10">
        <v>10</v>
      </c>
      <c r="B20" s="10" t="str">
        <f>TIEN_DO!B15</f>
        <v>1.2.1.3</v>
      </c>
      <c r="C20" s="14" t="str">
        <f>TIEN_DO!C15</f>
        <v>Đào phá đá nền đường bằng búa đập thủy lực (38.000 m3)</v>
      </c>
      <c r="D20" s="16">
        <v>4370000000</v>
      </c>
      <c r="E20" s="31">
        <v>45330</v>
      </c>
      <c r="F20" s="31">
        <v>45509</v>
      </c>
      <c r="G20" s="31">
        <f>TIEN_DO!H15</f>
        <v>45339</v>
      </c>
      <c r="H20" s="31">
        <f>TIEN_DO!I15</f>
        <v>45512</v>
      </c>
      <c r="I20" s="32">
        <f>TIEN_DO!M15</f>
        <v>0.85</v>
      </c>
      <c r="J20" s="16">
        <f>ROUND(D20 * IF(TIEN_DO!$C$3&gt;=F20, 1, IF(TIEN_DO!$C$3&lt;=E20, 0, (TIEN_DO!$C$3-E20)/(F20-E20+1))), 0)</f>
        <v>3471722222</v>
      </c>
      <c r="K20" s="16">
        <f t="shared" si="0"/>
        <v>3714500000</v>
      </c>
      <c r="L20" s="16">
        <v>3780000000</v>
      </c>
      <c r="M20" s="42">
        <f t="shared" si="1"/>
        <v>1.0699300699985552</v>
      </c>
      <c r="N20" s="42">
        <f t="shared" si="2"/>
        <v>0.9826719576719577</v>
      </c>
    </row>
    <row r="21" spans="1:14" x14ac:dyDescent="0.3">
      <c r="A21" s="10">
        <v>11</v>
      </c>
      <c r="B21" s="10" t="str">
        <f>TIEN_DO!B16</f>
        <v>1.2.1.4</v>
      </c>
      <c r="C21" s="14" t="str">
        <f>TIEN_DO!C16</f>
        <v>Thi công đắp đất nền đường độ chặt K95 (95.000 m3)</v>
      </c>
      <c r="D21" s="16">
        <v>4560000000</v>
      </c>
      <c r="E21" s="31">
        <v>45366</v>
      </c>
      <c r="F21" s="31">
        <v>45550</v>
      </c>
      <c r="G21" s="31">
        <f>TIEN_DO!H16</f>
        <v>45374</v>
      </c>
      <c r="H21" s="31">
        <f>TIEN_DO!I16</f>
        <v>45558</v>
      </c>
      <c r="I21" s="32">
        <f>TIEN_DO!M16</f>
        <v>0.65</v>
      </c>
      <c r="J21" s="16">
        <f>ROUND(D21 * IF(TIEN_DO!$C$3&gt;=F21, 1, IF(TIEN_DO!$C$3&lt;=E21, 0, (TIEN_DO!$C$3-E21)/(F21-E21+1))), 0)</f>
        <v>2637405405</v>
      </c>
      <c r="K21" s="16">
        <f t="shared" si="0"/>
        <v>2964000000</v>
      </c>
      <c r="L21" s="16">
        <v>3020000000</v>
      </c>
      <c r="M21" s="42">
        <f t="shared" si="1"/>
        <v>1.1238317758736829</v>
      </c>
      <c r="N21" s="42">
        <f t="shared" si="2"/>
        <v>0.98145695364238406</v>
      </c>
    </row>
    <row r="22" spans="1:14" x14ac:dyDescent="0.3">
      <c r="A22" s="10">
        <v>12</v>
      </c>
      <c r="B22" s="10" t="str">
        <f>TIEN_DO!B17</f>
        <v>1.2.1.5</v>
      </c>
      <c r="C22" s="14" t="str">
        <f>TIEN_DO!C17</f>
        <v>Thi công đắp đất bao &amp; hoàn thiện nền K98 (18.000 m3)</v>
      </c>
      <c r="D22" s="16">
        <v>1044000000</v>
      </c>
      <c r="E22" s="31">
        <v>45551</v>
      </c>
      <c r="F22" s="31">
        <v>45616</v>
      </c>
      <c r="G22" s="31">
        <f>TIEN_DO!H17</f>
        <v>45559</v>
      </c>
      <c r="H22" s="31">
        <f>TIEN_DO!I17</f>
        <v>45623</v>
      </c>
      <c r="I22" s="32">
        <f>TIEN_DO!M17</f>
        <v>0</v>
      </c>
      <c r="J22" s="16">
        <f>ROUND(D22 * IF(TIEN_DO!$C$3&gt;=F22, 1, IF(TIEN_DO!$C$3&lt;=E22, 0, (TIEN_DO!$C$3-E22)/(F22-E22+1))), 0)</f>
        <v>0</v>
      </c>
      <c r="K22" s="16">
        <f t="shared" si="0"/>
        <v>0</v>
      </c>
      <c r="L22" s="16">
        <v>0</v>
      </c>
      <c r="M22" s="42">
        <f t="shared" si="1"/>
        <v>1</v>
      </c>
      <c r="N22" s="42">
        <f t="shared" si="2"/>
        <v>1</v>
      </c>
    </row>
    <row r="23" spans="1:14" x14ac:dyDescent="0.3">
      <c r="A23" s="10">
        <v>13</v>
      </c>
      <c r="B23" s="10" t="str">
        <f>TIEN_DO!B18</f>
        <v>1.2.1.6</v>
      </c>
      <c r="C23" s="14" t="str">
        <f>TIEN_DO!C18</f>
        <v>Xây dựng cống tròn thoát nước ngang D1000/D1500 (360m)</v>
      </c>
      <c r="D23" s="16">
        <v>1674000000</v>
      </c>
      <c r="E23" s="31">
        <v>45348</v>
      </c>
      <c r="F23" s="31">
        <v>45384</v>
      </c>
      <c r="G23" s="31">
        <f>TIEN_DO!H18</f>
        <v>45357</v>
      </c>
      <c r="H23" s="31">
        <f>TIEN_DO!I18</f>
        <v>45391</v>
      </c>
      <c r="I23" s="32">
        <f>TIEN_DO!M18</f>
        <v>1</v>
      </c>
      <c r="J23" s="16">
        <f>ROUND(D23 * IF(TIEN_DO!$C$3&gt;=F23, 1, IF(TIEN_DO!$C$3&lt;=E23, 0, (TIEN_DO!$C$3-E23)/(F23-E23+1))), 0)</f>
        <v>1674000000</v>
      </c>
      <c r="K23" s="16">
        <f t="shared" si="0"/>
        <v>1674000000</v>
      </c>
      <c r="L23" s="16">
        <v>1690000000</v>
      </c>
      <c r="M23" s="42">
        <f t="shared" si="1"/>
        <v>1</v>
      </c>
      <c r="N23" s="42">
        <f t="shared" si="2"/>
        <v>0.9905325443786982</v>
      </c>
    </row>
    <row r="24" spans="1:14" x14ac:dyDescent="0.3">
      <c r="A24" s="10">
        <v>14</v>
      </c>
      <c r="B24" s="10" t="str">
        <f>TIEN_DO!B19</f>
        <v>1.2.1.7</v>
      </c>
      <c r="C24" s="14" t="str">
        <f>TIEN_DO!C19</f>
        <v>Xây dựng rãnh biên hình thang &amp; gia cố mái taluy (2.400m)</v>
      </c>
      <c r="D24" s="16">
        <v>2688000000</v>
      </c>
      <c r="E24" s="31">
        <v>45563</v>
      </c>
      <c r="F24" s="31">
        <v>45634</v>
      </c>
      <c r="G24" s="31">
        <f>TIEN_DO!H19</f>
        <v>45570</v>
      </c>
      <c r="H24" s="31">
        <f>TIEN_DO!I19</f>
        <v>45639</v>
      </c>
      <c r="I24" s="32">
        <f>TIEN_DO!M19</f>
        <v>0</v>
      </c>
      <c r="J24" s="16">
        <f>ROUND(D24 * IF(TIEN_DO!$C$3&gt;=F24, 1, IF(TIEN_DO!$C$3&lt;=E24, 0, (TIEN_DO!$C$3-E24)/(F24-E24+1))), 0)</f>
        <v>0</v>
      </c>
      <c r="K24" s="16">
        <f t="shared" si="0"/>
        <v>0</v>
      </c>
      <c r="L24" s="16">
        <v>0</v>
      </c>
      <c r="M24" s="42">
        <f t="shared" si="1"/>
        <v>1</v>
      </c>
      <c r="N24" s="42">
        <f t="shared" si="2"/>
        <v>1</v>
      </c>
    </row>
    <row r="25" spans="1:14" x14ac:dyDescent="0.3">
      <c r="A25" s="10">
        <v>15</v>
      </c>
      <c r="B25" s="10" t="str">
        <f>TIEN_DO!B20</f>
        <v>1.2.1.8</v>
      </c>
      <c r="C25" s="14" t="str">
        <f>TIEN_DO!C20</f>
        <v>Thi công móng Cấp phối đá dăm loại 2 (36.000 m2)</v>
      </c>
      <c r="D25" s="16">
        <v>3060000000</v>
      </c>
      <c r="E25" s="31">
        <v>45617</v>
      </c>
      <c r="F25" s="31">
        <v>45640</v>
      </c>
      <c r="G25" s="31">
        <f>TIEN_DO!H20</f>
        <v>45624</v>
      </c>
      <c r="H25" s="31">
        <f>TIEN_DO!I20</f>
        <v>45646</v>
      </c>
      <c r="I25" s="32">
        <f>TIEN_DO!M20</f>
        <v>0</v>
      </c>
      <c r="J25" s="16">
        <f>ROUND(D25 * IF(TIEN_DO!$C$3&gt;=F25, 1, IF(TIEN_DO!$C$3&lt;=E25, 0, (TIEN_DO!$C$3-E25)/(F25-E25+1))), 0)</f>
        <v>0</v>
      </c>
      <c r="K25" s="16">
        <f t="shared" si="0"/>
        <v>0</v>
      </c>
      <c r="L25" s="16">
        <v>0</v>
      </c>
      <c r="M25" s="42">
        <f t="shared" si="1"/>
        <v>1</v>
      </c>
      <c r="N25" s="42">
        <f t="shared" si="2"/>
        <v>1</v>
      </c>
    </row>
    <row r="26" spans="1:14" x14ac:dyDescent="0.3">
      <c r="A26" s="10">
        <v>16</v>
      </c>
      <c r="B26" s="10" t="str">
        <f>TIEN_DO!B21</f>
        <v>1.2.1.9</v>
      </c>
      <c r="C26" s="14" t="str">
        <f>TIEN_DO!C21</f>
        <v>Thi công móng Cấp phối đá dăm loại 1 (34.000 m2)</v>
      </c>
      <c r="D26" s="16">
        <v>3332000000</v>
      </c>
      <c r="E26" s="31">
        <v>45642</v>
      </c>
      <c r="F26" s="31">
        <v>45665</v>
      </c>
      <c r="G26" s="31">
        <f>TIEN_DO!H21</f>
        <v>45649</v>
      </c>
      <c r="H26" s="31">
        <f>TIEN_DO!I21</f>
        <v>45672</v>
      </c>
      <c r="I26" s="32">
        <f>TIEN_DO!M21</f>
        <v>0</v>
      </c>
      <c r="J26" s="16">
        <f>ROUND(D26 * IF(TIEN_DO!$C$3&gt;=F26, 1, IF(TIEN_DO!$C$3&lt;=E26, 0, (TIEN_DO!$C$3-E26)/(F26-E26+1))), 0)</f>
        <v>0</v>
      </c>
      <c r="K26" s="16">
        <f t="shared" si="0"/>
        <v>0</v>
      </c>
      <c r="L26" s="16">
        <v>0</v>
      </c>
      <c r="M26" s="42">
        <f t="shared" si="1"/>
        <v>1</v>
      </c>
      <c r="N26" s="42">
        <f t="shared" si="2"/>
        <v>1</v>
      </c>
    </row>
    <row r="27" spans="1:14" x14ac:dyDescent="0.3">
      <c r="A27" s="10">
        <v>17</v>
      </c>
      <c r="B27" s="10" t="str">
        <f>TIEN_DO!B22</f>
        <v>1.2.1.10</v>
      </c>
      <c r="C27" s="14" t="str">
        <f>TIEN_DO!C22</f>
        <v>Thi công móng CPĐD gia cố xi măng (CTB - Mùa khô T1/25)</v>
      </c>
      <c r="D27" s="16">
        <v>4640000000</v>
      </c>
      <c r="E27" s="31">
        <v>45666</v>
      </c>
      <c r="F27" s="31">
        <v>45682</v>
      </c>
      <c r="G27" s="31">
        <f>TIEN_DO!H22</f>
        <v>45674</v>
      </c>
      <c r="H27" s="31">
        <f>TIEN_DO!I22</f>
        <v>45698</v>
      </c>
      <c r="I27" s="32">
        <f>TIEN_DO!M22</f>
        <v>0</v>
      </c>
      <c r="J27" s="16">
        <f>ROUND(D27 * IF(TIEN_DO!$C$3&gt;=F27, 1, IF(TIEN_DO!$C$3&lt;=E27, 0, (TIEN_DO!$C$3-E27)/(F27-E27+1))), 0)</f>
        <v>0</v>
      </c>
      <c r="K27" s="16">
        <f t="shared" si="0"/>
        <v>0</v>
      </c>
      <c r="L27" s="16">
        <v>0</v>
      </c>
      <c r="M27" s="42">
        <f t="shared" si="1"/>
        <v>1</v>
      </c>
      <c r="N27" s="42">
        <f t="shared" si="2"/>
        <v>1</v>
      </c>
    </row>
    <row r="28" spans="1:14" x14ac:dyDescent="0.3">
      <c r="A28" s="10">
        <v>18</v>
      </c>
      <c r="B28" s="10" t="str">
        <f>TIEN_DO!B23</f>
        <v>1.2.1.11</v>
      </c>
      <c r="C28" s="14" t="str">
        <f>TIEN_DO!C23</f>
        <v>Mặt đường BTN C19 (7cm) &amp; BTN C12.5 (5cm) (Mùa khô T2-4/25)</v>
      </c>
      <c r="D28" s="16">
        <v>13650000000</v>
      </c>
      <c r="E28" s="31">
        <v>45703</v>
      </c>
      <c r="F28" s="31">
        <v>45762</v>
      </c>
      <c r="G28" s="31">
        <f>TIEN_DO!H23</f>
        <v>45710</v>
      </c>
      <c r="H28" s="31">
        <f>TIEN_DO!I23</f>
        <v>45769</v>
      </c>
      <c r="I28" s="32">
        <f>TIEN_DO!M23</f>
        <v>0</v>
      </c>
      <c r="J28" s="16">
        <f>ROUND(D28 * IF(TIEN_DO!$C$3&gt;=F28, 1, IF(TIEN_DO!$C$3&lt;=E28, 0, (TIEN_DO!$C$3-E28)/(F28-E28+1))), 0)</f>
        <v>0</v>
      </c>
      <c r="K28" s="16">
        <f t="shared" si="0"/>
        <v>0</v>
      </c>
      <c r="L28" s="16">
        <v>0</v>
      </c>
      <c r="M28" s="42">
        <f t="shared" si="1"/>
        <v>1</v>
      </c>
      <c r="N28" s="42">
        <f t="shared" si="2"/>
        <v>1</v>
      </c>
    </row>
    <row r="29" spans="1:14" x14ac:dyDescent="0.3">
      <c r="A29" s="10">
        <v>19</v>
      </c>
      <c r="B29" s="10" t="str">
        <f>TIEN_DO!B24</f>
        <v>1.2.1.12</v>
      </c>
      <c r="C29" s="14" t="str">
        <f>TIEN_DO!C24</f>
        <v>Lắp đặt hệ thống ATGT: Sơn đường, biển báo, hộ lan Phân đoạn A1</v>
      </c>
      <c r="D29" s="16">
        <v>2249500000</v>
      </c>
      <c r="E29" s="31">
        <v>45768</v>
      </c>
      <c r="F29" s="31">
        <v>45801</v>
      </c>
      <c r="G29" s="31">
        <f>TIEN_DO!H24</f>
        <v>45776</v>
      </c>
      <c r="H29" s="31">
        <f>TIEN_DO!I24</f>
        <v>45810</v>
      </c>
      <c r="I29" s="32">
        <f>TIEN_DO!M24</f>
        <v>0</v>
      </c>
      <c r="J29" s="16">
        <f>ROUND(D29 * IF(TIEN_DO!$C$3&gt;=F29, 1, IF(TIEN_DO!$C$3&lt;=E29, 0, (TIEN_DO!$C$3-E29)/(F29-E29+1))), 0)</f>
        <v>0</v>
      </c>
      <c r="K29" s="16">
        <f t="shared" si="0"/>
        <v>0</v>
      </c>
      <c r="L29" s="16">
        <v>0</v>
      </c>
      <c r="M29" s="42">
        <f t="shared" si="1"/>
        <v>1</v>
      </c>
      <c r="N29" s="42">
        <f t="shared" si="2"/>
        <v>1</v>
      </c>
    </row>
    <row r="30" spans="1:14" x14ac:dyDescent="0.3">
      <c r="A30" s="9">
        <v>20</v>
      </c>
      <c r="B30" s="9" t="str">
        <f>TIEN_DO!B25</f>
        <v>1.3</v>
      </c>
      <c r="C30" s="11" t="str">
        <f>TIEN_DO!C25</f>
        <v>Tuyến chính Phân đoạn A2 (Km 2+750 – Km 5+500, L = 2.75 km)</v>
      </c>
      <c r="D30" s="38">
        <v>0</v>
      </c>
      <c r="E30" s="39">
        <v>45306</v>
      </c>
      <c r="F30" s="39">
        <v>45945</v>
      </c>
      <c r="G30" s="39">
        <f>TIEN_DO!H25</f>
        <v>45309</v>
      </c>
      <c r="H30" s="39">
        <f>TIEN_DO!I25</f>
        <v>45863</v>
      </c>
      <c r="I30" s="40">
        <f>TIEN_DO!M25</f>
        <v>0.35</v>
      </c>
      <c r="J30" s="38">
        <f>ROUND(D30 * IF(TIEN_DO!$C$3&gt;=F30, 1, IF(TIEN_DO!$C$3&lt;=E30, 0, (TIEN_DO!$C$3-E30)/(F30-E30+1))), 0)</f>
        <v>0</v>
      </c>
      <c r="K30" s="38">
        <f t="shared" si="0"/>
        <v>0</v>
      </c>
      <c r="L30" s="38">
        <v>0</v>
      </c>
      <c r="M30" s="41">
        <f t="shared" si="1"/>
        <v>1</v>
      </c>
      <c r="N30" s="41">
        <f t="shared" si="2"/>
        <v>1</v>
      </c>
    </row>
    <row r="31" spans="1:14" x14ac:dyDescent="0.3">
      <c r="A31" s="10">
        <v>21</v>
      </c>
      <c r="B31" s="10" t="str">
        <f>TIEN_DO!B26</f>
        <v>1.3.1.1</v>
      </c>
      <c r="C31" s="14" t="str">
        <f>TIEN_DO!C26</f>
        <v>Dọn dẹp mặt bằng, phát quang &amp; bóc đất hữu cơ (20.000 m3)</v>
      </c>
      <c r="D31" s="16">
        <v>570000000</v>
      </c>
      <c r="E31" s="31">
        <v>45306</v>
      </c>
      <c r="F31" s="31">
        <v>45359</v>
      </c>
      <c r="G31" s="31">
        <f>TIEN_DO!H26</f>
        <v>45309</v>
      </c>
      <c r="H31" s="31">
        <f>TIEN_DO!I26</f>
        <v>45367</v>
      </c>
      <c r="I31" s="32">
        <f>TIEN_DO!M26</f>
        <v>1</v>
      </c>
      <c r="J31" s="16">
        <f>ROUND(D31 * IF(TIEN_DO!$C$3&gt;=F31, 1, IF(TIEN_DO!$C$3&lt;=E31, 0, (TIEN_DO!$C$3-E31)/(F31-E31+1))), 0)</f>
        <v>570000000</v>
      </c>
      <c r="K31" s="16">
        <f t="shared" si="0"/>
        <v>570000000</v>
      </c>
      <c r="L31" s="16">
        <v>575000000</v>
      </c>
      <c r="M31" s="42">
        <f t="shared" si="1"/>
        <v>1</v>
      </c>
      <c r="N31" s="42">
        <f t="shared" si="2"/>
        <v>0.99130434782608701</v>
      </c>
    </row>
    <row r="32" spans="1:14" x14ac:dyDescent="0.3">
      <c r="A32" s="10">
        <v>22</v>
      </c>
      <c r="B32" s="10" t="str">
        <f>TIEN_DO!B27</f>
        <v>1.3.1.2</v>
      </c>
      <c r="C32" s="14" t="str">
        <f>TIEN_DO!C27</f>
        <v>Đào đất nền đường &amp; vận chuyển điều phối (130.000 m3)</v>
      </c>
      <c r="D32" s="16">
        <v>4706000000</v>
      </c>
      <c r="E32" s="31">
        <v>45323</v>
      </c>
      <c r="F32" s="31">
        <v>45440</v>
      </c>
      <c r="G32" s="31">
        <f>TIEN_DO!H27</f>
        <v>45327</v>
      </c>
      <c r="H32" s="31">
        <f>TIEN_DO!I27</f>
        <v>45448</v>
      </c>
      <c r="I32" s="32">
        <f>TIEN_DO!M27</f>
        <v>1</v>
      </c>
      <c r="J32" s="16">
        <f>ROUND(D32 * IF(TIEN_DO!$C$3&gt;=F32, 1, IF(TIEN_DO!$C$3&lt;=E32, 0, (TIEN_DO!$C$3-E32)/(F32-E32+1))), 0)</f>
        <v>4706000000</v>
      </c>
      <c r="K32" s="16">
        <f t="shared" si="0"/>
        <v>4706000000</v>
      </c>
      <c r="L32" s="16">
        <v>4750000000</v>
      </c>
      <c r="M32" s="42">
        <f t="shared" si="1"/>
        <v>1</v>
      </c>
      <c r="N32" s="42">
        <f t="shared" si="2"/>
        <v>0.99073684210526314</v>
      </c>
    </row>
    <row r="33" spans="1:14" x14ac:dyDescent="0.3">
      <c r="A33" s="10">
        <v>23</v>
      </c>
      <c r="B33" s="10" t="str">
        <f>TIEN_DO!B28</f>
        <v>1.3.1.3</v>
      </c>
      <c r="C33" s="14" t="str">
        <f>TIEN_DO!C28</f>
        <v>Đào phá đá nền đường bằng búa đập thủy lực (42.000 m3)</v>
      </c>
      <c r="D33" s="16">
        <v>4830000000</v>
      </c>
      <c r="E33" s="31">
        <v>45340</v>
      </c>
      <c r="F33" s="31">
        <v>45534</v>
      </c>
      <c r="G33" s="31">
        <f>TIEN_DO!H28</f>
        <v>45351</v>
      </c>
      <c r="H33" s="31">
        <f>TIEN_DO!I28</f>
        <v>45545</v>
      </c>
      <c r="I33" s="32">
        <f>TIEN_DO!M28</f>
        <v>0.78</v>
      </c>
      <c r="J33" s="16">
        <f>ROUND(D33 * IF(TIEN_DO!$C$3&gt;=F33, 1, IF(TIEN_DO!$C$3&lt;=E33, 0, (TIEN_DO!$C$3-E33)/(F33-E33+1))), 0)</f>
        <v>3294307692</v>
      </c>
      <c r="K33" s="16">
        <f t="shared" si="0"/>
        <v>3767400000</v>
      </c>
      <c r="L33" s="16">
        <v>3810000000</v>
      </c>
      <c r="M33" s="42">
        <f t="shared" si="1"/>
        <v>1.1436090226632054</v>
      </c>
      <c r="N33" s="42">
        <f t="shared" si="2"/>
        <v>0.98881889763779529</v>
      </c>
    </row>
    <row r="34" spans="1:14" x14ac:dyDescent="0.3">
      <c r="A34" s="10">
        <v>24</v>
      </c>
      <c r="B34" s="10" t="str">
        <f>TIEN_DO!B29</f>
        <v>1.3.1.4</v>
      </c>
      <c r="C34" s="14" t="str">
        <f>TIEN_DO!C29</f>
        <v>Thi công đắp đất nền đường độ chặt K95 (110.000 m3)</v>
      </c>
      <c r="D34" s="16">
        <v>5280000000</v>
      </c>
      <c r="E34" s="31">
        <v>45369</v>
      </c>
      <c r="F34" s="31">
        <v>45580</v>
      </c>
      <c r="G34" s="31">
        <f>TIEN_DO!H29</f>
        <v>45380</v>
      </c>
      <c r="H34" s="31">
        <f>TIEN_DO!I29</f>
        <v>45591</v>
      </c>
      <c r="I34" s="32">
        <f>TIEN_DO!M29</f>
        <v>0.55000000000000004</v>
      </c>
      <c r="J34" s="16">
        <f>ROUND(D34 * IF(TIEN_DO!$C$3&gt;=F34, 1, IF(TIEN_DO!$C$3&lt;=E34, 0, (TIEN_DO!$C$3-E34)/(F34-E34+1))), 0)</f>
        <v>2590188679</v>
      </c>
      <c r="K34" s="16">
        <f t="shared" si="0"/>
        <v>2904000000</v>
      </c>
      <c r="L34" s="16">
        <v>2980000000</v>
      </c>
      <c r="M34" s="42">
        <f t="shared" si="1"/>
        <v>1.1211538462600161</v>
      </c>
      <c r="N34" s="42">
        <f t="shared" si="2"/>
        <v>0.97449664429530203</v>
      </c>
    </row>
    <row r="35" spans="1:14" x14ac:dyDescent="0.3">
      <c r="A35" s="10">
        <v>25</v>
      </c>
      <c r="B35" s="10" t="str">
        <f>TIEN_DO!B30</f>
        <v>1.3.1.5</v>
      </c>
      <c r="C35" s="14" t="str">
        <f>TIEN_DO!C30</f>
        <v>Thi công đắp đất bao &amp; hoàn thiện nền K98 (22.000 m3)</v>
      </c>
      <c r="D35" s="16">
        <v>1276000000</v>
      </c>
      <c r="E35" s="31">
        <v>45581</v>
      </c>
      <c r="F35" s="31">
        <v>45665</v>
      </c>
      <c r="G35" s="31">
        <f>TIEN_DO!H30</f>
        <v>45593</v>
      </c>
      <c r="H35" s="31">
        <f>TIEN_DO!I30</f>
        <v>45672</v>
      </c>
      <c r="I35" s="32">
        <f>TIEN_DO!M30</f>
        <v>0</v>
      </c>
      <c r="J35" s="16">
        <f>ROUND(D35 * IF(TIEN_DO!$C$3&gt;=F35, 1, IF(TIEN_DO!$C$3&lt;=E35, 0, (TIEN_DO!$C$3-E35)/(F35-E35+1))), 0)</f>
        <v>0</v>
      </c>
      <c r="K35" s="16">
        <f t="shared" si="0"/>
        <v>0</v>
      </c>
      <c r="L35" s="16">
        <v>0</v>
      </c>
      <c r="M35" s="42">
        <f t="shared" si="1"/>
        <v>1</v>
      </c>
      <c r="N35" s="42">
        <f t="shared" si="2"/>
        <v>1</v>
      </c>
    </row>
    <row r="36" spans="1:14" x14ac:dyDescent="0.3">
      <c r="A36" s="10">
        <v>26</v>
      </c>
      <c r="B36" s="10" t="str">
        <f>TIEN_DO!B31</f>
        <v>1.3.1.6</v>
      </c>
      <c r="C36" s="14" t="str">
        <f>TIEN_DO!C31</f>
        <v>Xây dựng cống tròn thoát nước ngang D1000/D1500 (420m)</v>
      </c>
      <c r="D36" s="16">
        <v>1953000000</v>
      </c>
      <c r="E36" s="31">
        <v>45352</v>
      </c>
      <c r="F36" s="31">
        <v>45394</v>
      </c>
      <c r="G36" s="31">
        <f>TIEN_DO!H31</f>
        <v>45363</v>
      </c>
      <c r="H36" s="31">
        <f>TIEN_DO!I31</f>
        <v>45404</v>
      </c>
      <c r="I36" s="32">
        <f>TIEN_DO!M31</f>
        <v>1</v>
      </c>
      <c r="J36" s="16">
        <f>ROUND(D36 * IF(TIEN_DO!$C$3&gt;=F36, 1, IF(TIEN_DO!$C$3&lt;=E36, 0, (TIEN_DO!$C$3-E36)/(F36-E36+1))), 0)</f>
        <v>1953000000</v>
      </c>
      <c r="K36" s="16">
        <f t="shared" si="0"/>
        <v>1953000000</v>
      </c>
      <c r="L36" s="16">
        <v>1960000000</v>
      </c>
      <c r="M36" s="42">
        <f t="shared" si="1"/>
        <v>1</v>
      </c>
      <c r="N36" s="42">
        <f t="shared" si="2"/>
        <v>0.99642857142857144</v>
      </c>
    </row>
    <row r="37" spans="1:14" x14ac:dyDescent="0.3">
      <c r="A37" s="10">
        <v>27</v>
      </c>
      <c r="B37" s="10" t="str">
        <f>TIEN_DO!B32</f>
        <v>1.3.1.7</v>
      </c>
      <c r="C37" s="14" t="str">
        <f>TIEN_DO!C32</f>
        <v>Xây dựng rãnh biên hình thang &amp; gia cố mái taluy (2.600m)</v>
      </c>
      <c r="D37" s="16">
        <v>2912000000</v>
      </c>
      <c r="E37" s="31">
        <v>45593</v>
      </c>
      <c r="F37" s="31">
        <v>45672</v>
      </c>
      <c r="G37" s="31">
        <f>TIEN_DO!H32</f>
        <v>45604</v>
      </c>
      <c r="H37" s="31">
        <f>TIEN_DO!I32</f>
        <v>45680</v>
      </c>
      <c r="I37" s="32">
        <f>TIEN_DO!M32</f>
        <v>0</v>
      </c>
      <c r="J37" s="16">
        <f>ROUND(D37 * IF(TIEN_DO!$C$3&gt;=F37, 1, IF(TIEN_DO!$C$3&lt;=E37, 0, (TIEN_DO!$C$3-E37)/(F37-E37+1))), 0)</f>
        <v>0</v>
      </c>
      <c r="K37" s="16">
        <f t="shared" si="0"/>
        <v>0</v>
      </c>
      <c r="L37" s="16">
        <v>0</v>
      </c>
      <c r="M37" s="42">
        <f t="shared" si="1"/>
        <v>1</v>
      </c>
      <c r="N37" s="42">
        <f t="shared" si="2"/>
        <v>1</v>
      </c>
    </row>
    <row r="38" spans="1:14" x14ac:dyDescent="0.3">
      <c r="A38" s="10">
        <v>28</v>
      </c>
      <c r="B38" s="10" t="str">
        <f>TIEN_DO!B33</f>
        <v>1.3.1.8</v>
      </c>
      <c r="C38" s="14" t="str">
        <f>TIEN_DO!C33</f>
        <v>Thi công móng Cấp phối đá dăm loại 2 (38.000 m2)</v>
      </c>
      <c r="D38" s="16">
        <v>3230000000</v>
      </c>
      <c r="E38" s="31">
        <v>45666</v>
      </c>
      <c r="F38" s="31">
        <v>45691</v>
      </c>
      <c r="G38" s="31">
        <f>TIEN_DO!H33</f>
        <v>45673</v>
      </c>
      <c r="H38" s="31">
        <f>TIEN_DO!I33</f>
        <v>45703</v>
      </c>
      <c r="I38" s="32">
        <f>TIEN_DO!M33</f>
        <v>0</v>
      </c>
      <c r="J38" s="16">
        <f>ROUND(D38 * IF(TIEN_DO!$C$3&gt;=F38, 1, IF(TIEN_DO!$C$3&lt;=E38, 0, (TIEN_DO!$C$3-E38)/(F38-E38+1))), 0)</f>
        <v>0</v>
      </c>
      <c r="K38" s="16">
        <f t="shared" si="0"/>
        <v>0</v>
      </c>
      <c r="L38" s="16">
        <v>0</v>
      </c>
      <c r="M38" s="42">
        <f t="shared" si="1"/>
        <v>1</v>
      </c>
      <c r="N38" s="42">
        <f t="shared" si="2"/>
        <v>1</v>
      </c>
    </row>
    <row r="39" spans="1:14" x14ac:dyDescent="0.3">
      <c r="A39" s="10">
        <v>29</v>
      </c>
      <c r="B39" s="10" t="str">
        <f>TIEN_DO!B34</f>
        <v>1.3.1.9</v>
      </c>
      <c r="C39" s="14" t="str">
        <f>TIEN_DO!C34</f>
        <v>Thi công móng Cấp phối đá dăm loại 1 (36.000 m2)</v>
      </c>
      <c r="D39" s="16">
        <v>3528000000</v>
      </c>
      <c r="E39" s="31">
        <v>45692</v>
      </c>
      <c r="F39" s="31">
        <v>45716</v>
      </c>
      <c r="G39" s="31">
        <f>TIEN_DO!H34</f>
        <v>45706</v>
      </c>
      <c r="H39" s="31">
        <f>TIEN_DO!I34</f>
        <v>45729</v>
      </c>
      <c r="I39" s="32">
        <f>TIEN_DO!M34</f>
        <v>0</v>
      </c>
      <c r="J39" s="16">
        <f>ROUND(D39 * IF(TIEN_DO!$C$3&gt;=F39, 1, IF(TIEN_DO!$C$3&lt;=E39, 0, (TIEN_DO!$C$3-E39)/(F39-E39+1))), 0)</f>
        <v>0</v>
      </c>
      <c r="K39" s="16">
        <f t="shared" si="0"/>
        <v>0</v>
      </c>
      <c r="L39" s="16">
        <v>0</v>
      </c>
      <c r="M39" s="42">
        <f t="shared" si="1"/>
        <v>1</v>
      </c>
      <c r="N39" s="42">
        <f t="shared" si="2"/>
        <v>1</v>
      </c>
    </row>
    <row r="40" spans="1:14" x14ac:dyDescent="0.3">
      <c r="A40" s="10">
        <v>30</v>
      </c>
      <c r="B40" s="10" t="str">
        <f>TIEN_DO!B35</f>
        <v>1.3.1.10</v>
      </c>
      <c r="C40" s="14" t="str">
        <f>TIEN_DO!C35</f>
        <v>Thi công móng CPĐD gia cố xi măng (CTB - Mùa khô T3/25)</v>
      </c>
      <c r="D40" s="16">
        <v>4930000000</v>
      </c>
      <c r="E40" s="31">
        <v>45717</v>
      </c>
      <c r="F40" s="31">
        <v>45736</v>
      </c>
      <c r="G40" s="31">
        <f>TIEN_DO!H35</f>
        <v>45731</v>
      </c>
      <c r="H40" s="31">
        <f>TIEN_DO!I35</f>
        <v>45749</v>
      </c>
      <c r="I40" s="32">
        <f>TIEN_DO!M35</f>
        <v>0</v>
      </c>
      <c r="J40" s="16">
        <f>ROUND(D40 * IF(TIEN_DO!$C$3&gt;=F40, 1, IF(TIEN_DO!$C$3&lt;=E40, 0, (TIEN_DO!$C$3-E40)/(F40-E40+1))), 0)</f>
        <v>0</v>
      </c>
      <c r="K40" s="16">
        <f t="shared" si="0"/>
        <v>0</v>
      </c>
      <c r="L40" s="16">
        <v>0</v>
      </c>
      <c r="M40" s="42">
        <f t="shared" si="1"/>
        <v>1</v>
      </c>
      <c r="N40" s="42">
        <f t="shared" si="2"/>
        <v>1</v>
      </c>
    </row>
    <row r="41" spans="1:14" x14ac:dyDescent="0.3">
      <c r="A41" s="10">
        <v>31</v>
      </c>
      <c r="B41" s="10" t="str">
        <f>TIEN_DO!B36</f>
        <v>1.3.1.11</v>
      </c>
      <c r="C41" s="14" t="str">
        <f>TIEN_DO!C36</f>
        <v>Mặt đường BTN C19 (7cm) &amp; BTN C12.5 (5cm) (Mùa khô T3-5/25)</v>
      </c>
      <c r="D41" s="16">
        <v>14560000000</v>
      </c>
      <c r="E41" s="31">
        <v>45748</v>
      </c>
      <c r="F41" s="31">
        <v>45813</v>
      </c>
      <c r="G41" s="31">
        <f>TIEN_DO!H36</f>
        <v>45763</v>
      </c>
      <c r="H41" s="31">
        <f>TIEN_DO!I36</f>
        <v>45825</v>
      </c>
      <c r="I41" s="32">
        <f>TIEN_DO!M36</f>
        <v>0</v>
      </c>
      <c r="J41" s="16">
        <f>ROUND(D41 * IF(TIEN_DO!$C$3&gt;=F41, 1, IF(TIEN_DO!$C$3&lt;=E41, 0, (TIEN_DO!$C$3-E41)/(F41-E41+1))), 0)</f>
        <v>0</v>
      </c>
      <c r="K41" s="16">
        <f t="shared" si="0"/>
        <v>0</v>
      </c>
      <c r="L41" s="16">
        <v>0</v>
      </c>
      <c r="M41" s="42">
        <f t="shared" si="1"/>
        <v>1</v>
      </c>
      <c r="N41" s="42">
        <f t="shared" si="2"/>
        <v>1</v>
      </c>
    </row>
    <row r="42" spans="1:14" x14ac:dyDescent="0.3">
      <c r="A42" s="10">
        <v>32</v>
      </c>
      <c r="B42" s="10" t="str">
        <f>TIEN_DO!B37</f>
        <v>1.3.1.12</v>
      </c>
      <c r="C42" s="14" t="str">
        <f>TIEN_DO!C37</f>
        <v>Lắp đặt hệ thống ATGT: Sơn đường, biển báo, hộ lan Phân đoạn A2</v>
      </c>
      <c r="D42" s="16">
        <v>2249500000</v>
      </c>
      <c r="E42" s="31">
        <v>45819</v>
      </c>
      <c r="F42" s="31">
        <v>45852</v>
      </c>
      <c r="G42" s="31">
        <f>TIEN_DO!H37</f>
        <v>45832</v>
      </c>
      <c r="H42" s="31">
        <f>TIEN_DO!I37</f>
        <v>45863</v>
      </c>
      <c r="I42" s="32">
        <f>TIEN_DO!M37</f>
        <v>0</v>
      </c>
      <c r="J42" s="16">
        <f>ROUND(D42 * IF(TIEN_DO!$C$3&gt;=F42, 1, IF(TIEN_DO!$C$3&lt;=E42, 0, (TIEN_DO!$C$3-E42)/(F42-E42+1))), 0)</f>
        <v>0</v>
      </c>
      <c r="K42" s="16">
        <f t="shared" si="0"/>
        <v>0</v>
      </c>
      <c r="L42" s="16">
        <v>0</v>
      </c>
      <c r="M42" s="42">
        <f t="shared" si="1"/>
        <v>1</v>
      </c>
      <c r="N42" s="42">
        <f t="shared" si="2"/>
        <v>1</v>
      </c>
    </row>
    <row r="43" spans="1:14" x14ac:dyDescent="0.3">
      <c r="A43" s="9">
        <v>33</v>
      </c>
      <c r="B43" s="9" t="str">
        <f>TIEN_DO!B38</f>
        <v>1.4</v>
      </c>
      <c r="C43" s="11" t="str">
        <f>TIEN_DO!C38</f>
        <v>Công tác hoàn thiện, nghiệm thu bàn giao &amp; hoàn công</v>
      </c>
      <c r="D43" s="38">
        <v>0</v>
      </c>
      <c r="E43" s="39">
        <v>45853</v>
      </c>
      <c r="F43" s="39">
        <v>45991</v>
      </c>
      <c r="G43" s="39">
        <f>TIEN_DO!H38</f>
        <v>45870</v>
      </c>
      <c r="H43" s="39">
        <f>TIEN_DO!I38</f>
        <v>45983</v>
      </c>
      <c r="I43" s="40">
        <f>TIEN_DO!M38</f>
        <v>0</v>
      </c>
      <c r="J43" s="38">
        <f>ROUND(D43 * IF(TIEN_DO!$C$3&gt;=F43, 1, IF(TIEN_DO!$C$3&lt;=E43, 0, (TIEN_DO!$C$3-E43)/(F43-E43+1))), 0)</f>
        <v>0</v>
      </c>
      <c r="K43" s="38">
        <f t="shared" si="0"/>
        <v>0</v>
      </c>
      <c r="L43" s="38">
        <v>0</v>
      </c>
      <c r="M43" s="41">
        <f t="shared" si="1"/>
        <v>1</v>
      </c>
      <c r="N43" s="41">
        <f t="shared" si="2"/>
        <v>1</v>
      </c>
    </row>
    <row r="44" spans="1:14" x14ac:dyDescent="0.3">
      <c r="A44" s="10">
        <v>34</v>
      </c>
      <c r="B44" s="10" t="str">
        <f>TIEN_DO!B39</f>
        <v>1.4.1</v>
      </c>
      <c r="C44" s="14" t="str">
        <f>TIEN_DO!C39</f>
        <v>Thí nghiệm kiểm tra độ bằng phẳng thước 3m, độ nhám, Benkelman</v>
      </c>
      <c r="D44" s="16">
        <v>250000000</v>
      </c>
      <c r="E44" s="31">
        <v>45858</v>
      </c>
      <c r="F44" s="31">
        <v>45881</v>
      </c>
      <c r="G44" s="31">
        <f>TIEN_DO!H39</f>
        <v>45870</v>
      </c>
      <c r="H44" s="31">
        <f>TIEN_DO!I39</f>
        <v>45892</v>
      </c>
      <c r="I44" s="32">
        <f>TIEN_DO!M39</f>
        <v>0</v>
      </c>
      <c r="J44" s="16">
        <f>ROUND(D44 * IF(TIEN_DO!$C$3&gt;=F44, 1, IF(TIEN_DO!$C$3&lt;=E44, 0, (TIEN_DO!$C$3-E44)/(F44-E44+1))), 0)</f>
        <v>0</v>
      </c>
      <c r="K44" s="16">
        <f t="shared" si="0"/>
        <v>0</v>
      </c>
      <c r="L44" s="16">
        <v>0</v>
      </c>
      <c r="M44" s="42">
        <f t="shared" si="1"/>
        <v>1</v>
      </c>
      <c r="N44" s="42">
        <f t="shared" si="2"/>
        <v>1</v>
      </c>
    </row>
    <row r="45" spans="1:14" x14ac:dyDescent="0.3">
      <c r="A45" s="10">
        <v>35</v>
      </c>
      <c r="B45" s="10" t="str">
        <f>TIEN_DO!B40</f>
        <v>1.4.2</v>
      </c>
      <c r="C45" s="14" t="str">
        <f>TIEN_DO!C40</f>
        <v>Dọn dẹp mặt bằng, hoàn trả đường công vụ &amp; vệ sinh môi trường</v>
      </c>
      <c r="D45" s="16">
        <v>350000000</v>
      </c>
      <c r="E45" s="31">
        <v>45882</v>
      </c>
      <c r="F45" s="31">
        <v>45912</v>
      </c>
      <c r="G45" s="31">
        <f>TIEN_DO!H40</f>
        <v>45894</v>
      </c>
      <c r="H45" s="31">
        <f>TIEN_DO!I40</f>
        <v>45924</v>
      </c>
      <c r="I45" s="32">
        <f>TIEN_DO!M40</f>
        <v>0</v>
      </c>
      <c r="J45" s="16">
        <f>ROUND(D45 * IF(TIEN_DO!$C$3&gt;=F45, 1, IF(TIEN_DO!$C$3&lt;=E45, 0, (TIEN_DO!$C$3-E45)/(F45-E45+1))), 0)</f>
        <v>0</v>
      </c>
      <c r="K45" s="16">
        <f t="shared" si="0"/>
        <v>0</v>
      </c>
      <c r="L45" s="16">
        <v>0</v>
      </c>
      <c r="M45" s="42">
        <f t="shared" si="1"/>
        <v>1</v>
      </c>
      <c r="N45" s="42">
        <f t="shared" si="2"/>
        <v>1</v>
      </c>
    </row>
    <row r="46" spans="1:14" x14ac:dyDescent="0.3">
      <c r="A46" s="10">
        <v>36</v>
      </c>
      <c r="B46" s="10" t="str">
        <f>TIEN_DO!B41</f>
        <v>1.4.3</v>
      </c>
      <c r="C46" s="14" t="str">
        <f>TIEN_DO!C41</f>
        <v>Lập trọn bộ hồ sơ hoàn công &amp; hồ sơ QLCL (NĐ 207/2026/NĐ-CP)</v>
      </c>
      <c r="D46" s="16">
        <v>450000000</v>
      </c>
      <c r="E46" s="31">
        <v>45913</v>
      </c>
      <c r="F46" s="31">
        <v>45966</v>
      </c>
      <c r="G46" s="31">
        <f>TIEN_DO!H41</f>
        <v>45925</v>
      </c>
      <c r="H46" s="31">
        <f>TIEN_DO!I41</f>
        <v>45976</v>
      </c>
      <c r="I46" s="32">
        <f>TIEN_DO!M41</f>
        <v>0</v>
      </c>
      <c r="J46" s="16">
        <f>ROUND(D46 * IF(TIEN_DO!$C$3&gt;=F46, 1, IF(TIEN_DO!$C$3&lt;=E46, 0, (TIEN_DO!$C$3-E46)/(F46-E46+1))), 0)</f>
        <v>0</v>
      </c>
      <c r="K46" s="16">
        <f t="shared" si="0"/>
        <v>0</v>
      </c>
      <c r="L46" s="16">
        <v>0</v>
      </c>
      <c r="M46" s="42">
        <f t="shared" si="1"/>
        <v>1</v>
      </c>
      <c r="N46" s="42">
        <f t="shared" si="2"/>
        <v>1</v>
      </c>
    </row>
    <row r="47" spans="1:14" x14ac:dyDescent="0.3">
      <c r="A47" s="10">
        <v>37</v>
      </c>
      <c r="B47" s="10" t="str">
        <f>TIEN_DO!B42</f>
        <v>1.4.4</v>
      </c>
      <c r="C47" s="14" t="str">
        <f>TIEN_DO!C42</f>
        <v>NGHIỆM THU HOÀN THÀNH CÔNG TRÌNH BÀN GIAO ĐƯA VÀO SỬ DỤNG</v>
      </c>
      <c r="D47" s="16">
        <v>0</v>
      </c>
      <c r="E47" s="31">
        <v>45991</v>
      </c>
      <c r="F47" s="31">
        <v>45991</v>
      </c>
      <c r="G47" s="31">
        <f>TIEN_DO!H42</f>
        <v>45983</v>
      </c>
      <c r="H47" s="31">
        <f>TIEN_DO!I42</f>
        <v>45983</v>
      </c>
      <c r="I47" s="32">
        <f>TIEN_DO!M42</f>
        <v>0</v>
      </c>
      <c r="J47" s="16">
        <f>ROUND(D47 * IF(TIEN_DO!$C$3&gt;=F47, 1, IF(TIEN_DO!$C$3&lt;=E47, 0, (TIEN_DO!$C$3-E47)/(F47-E47+1))), 0)</f>
        <v>0</v>
      </c>
      <c r="K47" s="16">
        <f t="shared" si="0"/>
        <v>0</v>
      </c>
      <c r="L47" s="16">
        <v>0</v>
      </c>
      <c r="M47" s="42">
        <f t="shared" si="1"/>
        <v>1</v>
      </c>
      <c r="N47" s="42">
        <f t="shared" si="2"/>
        <v>1</v>
      </c>
    </row>
  </sheetData>
  <mergeCells count="10">
    <mergeCell ref="F4:G4"/>
    <mergeCell ref="J4:K4"/>
    <mergeCell ref="J5:K5"/>
    <mergeCell ref="B5:C5"/>
    <mergeCell ref="F5:G5"/>
    <mergeCell ref="D5:E5"/>
    <mergeCell ref="H5:I5"/>
    <mergeCell ref="D4:E4"/>
    <mergeCell ref="H4:I4"/>
    <mergeCell ref="B4:C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12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4" x14ac:dyDescent="0.3"/>
  <cols>
    <col min="1" max="1" width="6.58203125" customWidth="1"/>
    <col min="2" max="2" width="36.58203125" customWidth="1"/>
    <col min="3" max="3" width="46.58203125" customWidth="1"/>
    <col min="4" max="4" width="10.58203125" customWidth="1"/>
    <col min="5" max="5" width="24.58203125" customWidth="1"/>
    <col min="6" max="29" width="5.5" customWidth="1"/>
  </cols>
  <sheetData>
    <row r="1" spans="1:29" ht="20" x14ac:dyDescent="0.55000000000000004">
      <c r="A1" s="1" t="s">
        <v>351</v>
      </c>
    </row>
    <row r="2" spans="1:29" ht="15" x14ac:dyDescent="0.4">
      <c r="A2" s="2" t="s">
        <v>352</v>
      </c>
    </row>
    <row r="4" spans="1:29" x14ac:dyDescent="0.3">
      <c r="A4" s="4" t="s">
        <v>3</v>
      </c>
      <c r="B4" s="4" t="s">
        <v>353</v>
      </c>
      <c r="C4" s="4" t="s">
        <v>354</v>
      </c>
      <c r="D4" s="4" t="s">
        <v>65</v>
      </c>
      <c r="E4" s="4" t="s">
        <v>355</v>
      </c>
      <c r="F4" s="43" t="s">
        <v>224</v>
      </c>
      <c r="G4" s="43" t="s">
        <v>225</v>
      </c>
      <c r="H4" s="43" t="s">
        <v>226</v>
      </c>
      <c r="I4" s="43" t="s">
        <v>227</v>
      </c>
      <c r="J4" s="43" t="s">
        <v>228</v>
      </c>
      <c r="K4" s="43" t="s">
        <v>229</v>
      </c>
      <c r="L4" s="43" t="s">
        <v>230</v>
      </c>
      <c r="M4" s="43" t="s">
        <v>231</v>
      </c>
      <c r="N4" s="43" t="s">
        <v>232</v>
      </c>
      <c r="O4" s="43" t="s">
        <v>233</v>
      </c>
      <c r="P4" s="43" t="s">
        <v>234</v>
      </c>
      <c r="Q4" s="43" t="s">
        <v>235</v>
      </c>
      <c r="R4" s="43" t="s">
        <v>236</v>
      </c>
      <c r="S4" s="43" t="s">
        <v>237</v>
      </c>
      <c r="T4" s="43" t="s">
        <v>238</v>
      </c>
      <c r="U4" s="43" t="s">
        <v>239</v>
      </c>
      <c r="V4" s="43" t="s">
        <v>240</v>
      </c>
      <c r="W4" s="43" t="s">
        <v>241</v>
      </c>
      <c r="X4" s="43" t="s">
        <v>242</v>
      </c>
      <c r="Y4" s="43" t="s">
        <v>243</v>
      </c>
      <c r="Z4" s="43" t="s">
        <v>244</v>
      </c>
      <c r="AA4" s="43" t="s">
        <v>245</v>
      </c>
      <c r="AB4" s="43" t="s">
        <v>246</v>
      </c>
      <c r="AC4" s="43" t="s">
        <v>247</v>
      </c>
    </row>
    <row r="5" spans="1:29" x14ac:dyDescent="0.3">
      <c r="A5" s="10">
        <v>1</v>
      </c>
      <c r="B5" s="14" t="s">
        <v>356</v>
      </c>
      <c r="C5" s="14" t="s">
        <v>357</v>
      </c>
      <c r="D5" s="10" t="s">
        <v>358</v>
      </c>
      <c r="E5" s="10">
        <v>8</v>
      </c>
      <c r="F5" s="5">
        <v>2</v>
      </c>
      <c r="G5" s="5">
        <v>4</v>
      </c>
      <c r="H5" s="5">
        <v>6</v>
      </c>
      <c r="I5" s="5">
        <v>6</v>
      </c>
      <c r="J5" s="5">
        <v>6</v>
      </c>
      <c r="K5" s="5">
        <v>6</v>
      </c>
      <c r="L5" s="5">
        <v>4</v>
      </c>
      <c r="M5" s="5">
        <v>4</v>
      </c>
      <c r="N5" s="5">
        <v>4</v>
      </c>
      <c r="O5" s="5">
        <v>4</v>
      </c>
      <c r="P5" s="5">
        <v>5</v>
      </c>
      <c r="Q5" s="5">
        <v>5</v>
      </c>
      <c r="R5" s="5">
        <v>4</v>
      </c>
      <c r="S5" s="5">
        <v>3</v>
      </c>
      <c r="T5" s="5">
        <v>3</v>
      </c>
      <c r="U5" s="5">
        <v>2</v>
      </c>
      <c r="V5" s="5">
        <v>2</v>
      </c>
      <c r="W5" s="5">
        <v>2</v>
      </c>
      <c r="X5" s="5">
        <v>2</v>
      </c>
      <c r="Y5" s="5">
        <v>2</v>
      </c>
      <c r="Z5" s="5">
        <v>2</v>
      </c>
      <c r="AA5" s="5">
        <v>1</v>
      </c>
      <c r="AB5" s="5">
        <v>1</v>
      </c>
      <c r="AC5" s="5">
        <v>0</v>
      </c>
    </row>
    <row r="6" spans="1:29" x14ac:dyDescent="0.3">
      <c r="A6" s="10">
        <v>2</v>
      </c>
      <c r="B6" s="14" t="s">
        <v>359</v>
      </c>
      <c r="C6" s="14" t="s">
        <v>360</v>
      </c>
      <c r="D6" s="10" t="s">
        <v>358</v>
      </c>
      <c r="E6" s="10">
        <v>4</v>
      </c>
      <c r="F6" s="5">
        <v>0</v>
      </c>
      <c r="G6" s="5">
        <v>0</v>
      </c>
      <c r="H6" s="5">
        <v>2</v>
      </c>
      <c r="I6" s="5">
        <v>2</v>
      </c>
      <c r="J6" s="5">
        <v>2</v>
      </c>
      <c r="K6" s="5">
        <v>2</v>
      </c>
      <c r="L6" s="5">
        <v>2</v>
      </c>
      <c r="M6" s="5">
        <v>2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</row>
    <row r="7" spans="1:29" x14ac:dyDescent="0.3">
      <c r="A7" s="10">
        <v>3</v>
      </c>
      <c r="B7" s="14" t="s">
        <v>361</v>
      </c>
      <c r="C7" s="14" t="s">
        <v>362</v>
      </c>
      <c r="D7" s="10" t="s">
        <v>358</v>
      </c>
      <c r="E7" s="10">
        <v>24</v>
      </c>
      <c r="F7" s="5">
        <v>6</v>
      </c>
      <c r="G7" s="5">
        <v>12</v>
      </c>
      <c r="H7" s="5">
        <v>18</v>
      </c>
      <c r="I7" s="5">
        <v>18</v>
      </c>
      <c r="J7" s="5">
        <v>18</v>
      </c>
      <c r="K7" s="5">
        <v>18</v>
      </c>
      <c r="L7" s="5">
        <v>14</v>
      </c>
      <c r="M7" s="5">
        <v>14</v>
      </c>
      <c r="N7" s="5">
        <v>14</v>
      </c>
      <c r="O7" s="5">
        <v>14</v>
      </c>
      <c r="P7" s="5">
        <v>16</v>
      </c>
      <c r="Q7" s="5">
        <v>16</v>
      </c>
      <c r="R7" s="5">
        <v>14</v>
      </c>
      <c r="S7" s="5">
        <v>10</v>
      </c>
      <c r="T7" s="5">
        <v>10</v>
      </c>
      <c r="U7" s="5">
        <v>8</v>
      </c>
      <c r="V7" s="5">
        <v>8</v>
      </c>
      <c r="W7" s="5">
        <v>8</v>
      </c>
      <c r="X7" s="5">
        <v>6</v>
      </c>
      <c r="Y7" s="5">
        <v>6</v>
      </c>
      <c r="Z7" s="5">
        <v>4</v>
      </c>
      <c r="AA7" s="5">
        <v>4</v>
      </c>
      <c r="AB7" s="5">
        <v>2</v>
      </c>
      <c r="AC7" s="5">
        <v>0</v>
      </c>
    </row>
    <row r="8" spans="1:29" x14ac:dyDescent="0.3">
      <c r="A8" s="10">
        <v>4</v>
      </c>
      <c r="B8" s="14" t="s">
        <v>363</v>
      </c>
      <c r="C8" s="14" t="s">
        <v>364</v>
      </c>
      <c r="D8" s="10" t="s">
        <v>358</v>
      </c>
      <c r="E8" s="10">
        <v>5</v>
      </c>
      <c r="F8" s="5">
        <v>2</v>
      </c>
      <c r="G8" s="5">
        <v>3</v>
      </c>
      <c r="H8" s="5">
        <v>3</v>
      </c>
      <c r="I8" s="5">
        <v>3</v>
      </c>
      <c r="J8" s="5">
        <v>3</v>
      </c>
      <c r="K8" s="5">
        <v>3</v>
      </c>
      <c r="L8" s="5">
        <v>2</v>
      </c>
      <c r="M8" s="5">
        <v>2</v>
      </c>
      <c r="N8" s="5">
        <v>2</v>
      </c>
      <c r="O8" s="5">
        <v>2</v>
      </c>
      <c r="P8" s="5">
        <v>3</v>
      </c>
      <c r="Q8" s="5">
        <v>3</v>
      </c>
      <c r="R8" s="5">
        <v>2</v>
      </c>
      <c r="S8" s="5">
        <v>2</v>
      </c>
      <c r="T8" s="5">
        <v>2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0</v>
      </c>
      <c r="AB8" s="5">
        <v>0</v>
      </c>
      <c r="AC8" s="5">
        <v>0</v>
      </c>
    </row>
    <row r="9" spans="1:29" x14ac:dyDescent="0.3">
      <c r="A9" s="10">
        <v>5</v>
      </c>
      <c r="B9" s="14" t="s">
        <v>365</v>
      </c>
      <c r="C9" s="14" t="s">
        <v>366</v>
      </c>
      <c r="D9" s="10" t="s">
        <v>358</v>
      </c>
      <c r="E9" s="10">
        <v>6</v>
      </c>
      <c r="F9" s="5">
        <v>2</v>
      </c>
      <c r="G9" s="5">
        <v>2</v>
      </c>
      <c r="H9" s="5">
        <v>4</v>
      </c>
      <c r="I9" s="5">
        <v>4</v>
      </c>
      <c r="J9" s="5">
        <v>4</v>
      </c>
      <c r="K9" s="5">
        <v>4</v>
      </c>
      <c r="L9" s="5">
        <v>3</v>
      </c>
      <c r="M9" s="5">
        <v>3</v>
      </c>
      <c r="N9" s="5">
        <v>3</v>
      </c>
      <c r="O9" s="5">
        <v>3</v>
      </c>
      <c r="P9" s="5">
        <v>4</v>
      </c>
      <c r="Q9" s="5">
        <v>4</v>
      </c>
      <c r="R9" s="5">
        <v>4</v>
      </c>
      <c r="S9" s="5">
        <v>3</v>
      </c>
      <c r="T9" s="5">
        <v>3</v>
      </c>
      <c r="U9" s="5">
        <v>2</v>
      </c>
      <c r="V9" s="5">
        <v>2</v>
      </c>
      <c r="W9" s="5">
        <v>2</v>
      </c>
      <c r="X9" s="5">
        <v>1</v>
      </c>
      <c r="Y9" s="5">
        <v>1</v>
      </c>
      <c r="Z9" s="5">
        <v>1</v>
      </c>
      <c r="AA9" s="5">
        <v>0</v>
      </c>
      <c r="AB9" s="5">
        <v>0</v>
      </c>
      <c r="AC9" s="5">
        <v>0</v>
      </c>
    </row>
    <row r="10" spans="1:29" x14ac:dyDescent="0.3">
      <c r="A10" s="10">
        <v>6</v>
      </c>
      <c r="B10" s="14" t="s">
        <v>367</v>
      </c>
      <c r="C10" s="14" t="s">
        <v>368</v>
      </c>
      <c r="D10" s="10" t="s">
        <v>358</v>
      </c>
      <c r="E10" s="10">
        <v>2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1</v>
      </c>
      <c r="Q10" s="5">
        <v>1</v>
      </c>
      <c r="R10" s="44">
        <v>2</v>
      </c>
      <c r="S10" s="44">
        <v>2</v>
      </c>
      <c r="T10" s="44">
        <v>2</v>
      </c>
      <c r="U10" s="44">
        <v>2</v>
      </c>
      <c r="V10" s="44">
        <v>2</v>
      </c>
      <c r="W10" s="44">
        <v>2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 x14ac:dyDescent="0.3">
      <c r="A11" s="10">
        <v>7</v>
      </c>
      <c r="B11" s="14" t="s">
        <v>369</v>
      </c>
      <c r="C11" s="14" t="s">
        <v>370</v>
      </c>
      <c r="D11" s="10" t="s">
        <v>371</v>
      </c>
      <c r="E11" s="10">
        <v>2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44">
        <v>2</v>
      </c>
      <c r="V11" s="44">
        <v>2</v>
      </c>
      <c r="W11" s="44">
        <v>2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</row>
    <row r="12" spans="1:29" x14ac:dyDescent="0.3">
      <c r="A12" s="10">
        <v>8</v>
      </c>
      <c r="B12" s="14" t="s">
        <v>372</v>
      </c>
      <c r="C12" s="14" t="s">
        <v>373</v>
      </c>
      <c r="D12" s="10" t="s">
        <v>358</v>
      </c>
      <c r="E12" s="10">
        <v>3</v>
      </c>
      <c r="F12" s="5">
        <v>1</v>
      </c>
      <c r="G12" s="5">
        <v>1</v>
      </c>
      <c r="H12" s="5">
        <v>2</v>
      </c>
      <c r="I12" s="5">
        <v>2</v>
      </c>
      <c r="J12" s="5">
        <v>2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0</v>
      </c>
      <c r="AC12" s="5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4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4" x14ac:dyDescent="0.3"/>
  <cols>
    <col min="1" max="1" width="8.58203125" customWidth="1"/>
    <col min="2" max="2" width="18.58203125" customWidth="1"/>
    <col min="3" max="3" width="54.58203125" customWidth="1"/>
    <col min="4" max="5" width="25.58203125" customWidth="1"/>
    <col min="6" max="6" width="22.58203125" customWidth="1"/>
    <col min="7" max="8" width="28.58203125" customWidth="1"/>
  </cols>
  <sheetData>
    <row r="1" spans="1:8" ht="20" x14ac:dyDescent="0.55000000000000004">
      <c r="A1" s="1" t="s">
        <v>374</v>
      </c>
    </row>
    <row r="2" spans="1:8" ht="15" x14ac:dyDescent="0.4">
      <c r="A2" s="2" t="s">
        <v>375</v>
      </c>
    </row>
    <row r="4" spans="1:8" x14ac:dyDescent="0.3">
      <c r="A4" s="4" t="s">
        <v>376</v>
      </c>
      <c r="B4" s="4" t="s">
        <v>377</v>
      </c>
      <c r="C4" s="4" t="s">
        <v>378</v>
      </c>
      <c r="D4" s="4" t="s">
        <v>379</v>
      </c>
      <c r="E4" s="4" t="s">
        <v>380</v>
      </c>
      <c r="F4" s="4" t="s">
        <v>381</v>
      </c>
      <c r="G4" s="4" t="s">
        <v>382</v>
      </c>
      <c r="H4" s="4" t="s">
        <v>383</v>
      </c>
    </row>
    <row r="5" spans="1:8" x14ac:dyDescent="0.3">
      <c r="A5" s="10">
        <v>0</v>
      </c>
      <c r="B5" s="10" t="s">
        <v>384</v>
      </c>
      <c r="C5" s="14" t="s">
        <v>385</v>
      </c>
      <c r="D5" s="16">
        <v>0</v>
      </c>
      <c r="E5" s="16">
        <v>0</v>
      </c>
      <c r="F5" s="16">
        <v>0</v>
      </c>
      <c r="G5" s="16">
        <f>ROUND(BOQ_TIEN_DO!$G$35 * 0.2, 0)</f>
        <v>24053841908</v>
      </c>
      <c r="H5" s="16">
        <f>G5</f>
        <v>24053841908</v>
      </c>
    </row>
    <row r="6" spans="1:8" x14ac:dyDescent="0.3">
      <c r="A6" s="10">
        <v>1</v>
      </c>
      <c r="B6" s="10" t="s">
        <v>386</v>
      </c>
      <c r="C6" s="14" t="s">
        <v>387</v>
      </c>
      <c r="D6" s="16">
        <f>ROUND(BOQ_TIEN_DO!$G$35 * 0.08, 0)</f>
        <v>9621536763</v>
      </c>
      <c r="E6" s="16">
        <v>0</v>
      </c>
      <c r="F6" s="16">
        <f t="shared" ref="F6:F13" si="0">ROUND(D6*0.05, 0)</f>
        <v>481076838</v>
      </c>
      <c r="G6" s="16">
        <f t="shared" ref="G6:G13" si="1">D6-E6-F6</f>
        <v>9140459925</v>
      </c>
      <c r="H6" s="16">
        <f t="shared" ref="H6:H14" si="2">H5+G6</f>
        <v>33194301833</v>
      </c>
    </row>
    <row r="7" spans="1:8" x14ac:dyDescent="0.3">
      <c r="A7" s="10">
        <v>2</v>
      </c>
      <c r="B7" s="10" t="s">
        <v>388</v>
      </c>
      <c r="C7" s="14" t="s">
        <v>389</v>
      </c>
      <c r="D7" s="16">
        <f>ROUND(BOQ_TIEN_DO!$G$35 * 0.14, 0)</f>
        <v>16837689336</v>
      </c>
      <c r="E7" s="16">
        <v>0</v>
      </c>
      <c r="F7" s="16">
        <f t="shared" si="0"/>
        <v>841884467</v>
      </c>
      <c r="G7" s="16">
        <f t="shared" si="1"/>
        <v>15995804869</v>
      </c>
      <c r="H7" s="16">
        <f t="shared" si="2"/>
        <v>49190106702</v>
      </c>
    </row>
    <row r="8" spans="1:8" x14ac:dyDescent="0.3">
      <c r="A8" s="10">
        <v>3</v>
      </c>
      <c r="B8" s="10" t="s">
        <v>390</v>
      </c>
      <c r="C8" s="14" t="s">
        <v>391</v>
      </c>
      <c r="D8" s="16">
        <f>ROUND(BOQ_TIEN_DO!$G$35 * 0.12, 0)</f>
        <v>14432305145</v>
      </c>
      <c r="E8" s="16">
        <f>ROUND(H$5*0.25, 0)</f>
        <v>6013460477</v>
      </c>
      <c r="F8" s="16">
        <f t="shared" si="0"/>
        <v>721615257</v>
      </c>
      <c r="G8" s="16">
        <f t="shared" si="1"/>
        <v>7697229411</v>
      </c>
      <c r="H8" s="16">
        <f t="shared" si="2"/>
        <v>56887336113</v>
      </c>
    </row>
    <row r="9" spans="1:8" x14ac:dyDescent="0.3">
      <c r="A9" s="10">
        <v>4</v>
      </c>
      <c r="B9" s="10" t="s">
        <v>392</v>
      </c>
      <c r="C9" s="14" t="s">
        <v>393</v>
      </c>
      <c r="D9" s="16">
        <f>ROUND(BOQ_TIEN_DO!$G$35 * 0.16, 0)</f>
        <v>19243073527</v>
      </c>
      <c r="E9" s="16">
        <f>ROUND(H$5*0.25, 0)</f>
        <v>6013460477</v>
      </c>
      <c r="F9" s="16">
        <f t="shared" si="0"/>
        <v>962153676</v>
      </c>
      <c r="G9" s="16">
        <f t="shared" si="1"/>
        <v>12267459374</v>
      </c>
      <c r="H9" s="16">
        <f t="shared" si="2"/>
        <v>69154795487</v>
      </c>
    </row>
    <row r="10" spans="1:8" x14ac:dyDescent="0.3">
      <c r="A10" s="10">
        <v>5</v>
      </c>
      <c r="B10" s="10" t="s">
        <v>394</v>
      </c>
      <c r="C10" s="14" t="s">
        <v>395</v>
      </c>
      <c r="D10" s="16">
        <f>ROUND(BOQ_TIEN_DO!$G$35 * 0.15, 0)</f>
        <v>18040381431</v>
      </c>
      <c r="E10" s="16">
        <f>ROUND(H$5*0.25, 0)</f>
        <v>6013460477</v>
      </c>
      <c r="F10" s="16">
        <f t="shared" si="0"/>
        <v>902019072</v>
      </c>
      <c r="G10" s="16">
        <f t="shared" si="1"/>
        <v>11124901882</v>
      </c>
      <c r="H10" s="16">
        <f t="shared" si="2"/>
        <v>80279697369</v>
      </c>
    </row>
    <row r="11" spans="1:8" x14ac:dyDescent="0.3">
      <c r="A11" s="10">
        <v>6</v>
      </c>
      <c r="B11" s="10" t="s">
        <v>396</v>
      </c>
      <c r="C11" s="14" t="s">
        <v>397</v>
      </c>
      <c r="D11" s="16">
        <f>ROUND(BOQ_TIEN_DO!$G$35 * 0.2, 0)</f>
        <v>24053841908</v>
      </c>
      <c r="E11" s="16">
        <f>ROUND(H$5*0.25, 0)</f>
        <v>6013460477</v>
      </c>
      <c r="F11" s="16">
        <f t="shared" si="0"/>
        <v>1202692095</v>
      </c>
      <c r="G11" s="16">
        <f t="shared" si="1"/>
        <v>16837689336</v>
      </c>
      <c r="H11" s="16">
        <f t="shared" si="2"/>
        <v>97117386705</v>
      </c>
    </row>
    <row r="12" spans="1:8" x14ac:dyDescent="0.3">
      <c r="A12" s="10">
        <v>7</v>
      </c>
      <c r="B12" s="10" t="s">
        <v>398</v>
      </c>
      <c r="C12" s="14" t="s">
        <v>399</v>
      </c>
      <c r="D12" s="16">
        <f>ROUND(BOQ_TIEN_DO!$G$35 * 0.1, 0)</f>
        <v>12026920954</v>
      </c>
      <c r="E12" s="16">
        <v>0</v>
      </c>
      <c r="F12" s="16">
        <f t="shared" si="0"/>
        <v>601346048</v>
      </c>
      <c r="G12" s="16">
        <f t="shared" si="1"/>
        <v>11425574906</v>
      </c>
      <c r="H12" s="16">
        <f t="shared" si="2"/>
        <v>108542961611</v>
      </c>
    </row>
    <row r="13" spans="1:8" x14ac:dyDescent="0.3">
      <c r="A13" s="10">
        <v>8</v>
      </c>
      <c r="B13" s="10" t="s">
        <v>400</v>
      </c>
      <c r="C13" s="14" t="s">
        <v>401</v>
      </c>
      <c r="D13" s="16">
        <f>ROUND(BOQ_TIEN_DO!$G$35 * 0.05, 0)</f>
        <v>6013460477</v>
      </c>
      <c r="E13" s="16">
        <v>0</v>
      </c>
      <c r="F13" s="16">
        <f t="shared" si="0"/>
        <v>300673024</v>
      </c>
      <c r="G13" s="16">
        <f t="shared" si="1"/>
        <v>5712787453</v>
      </c>
      <c r="H13" s="16">
        <f t="shared" si="2"/>
        <v>114255749064</v>
      </c>
    </row>
    <row r="14" spans="1:8" x14ac:dyDescent="0.3">
      <c r="A14" s="10">
        <v>9</v>
      </c>
      <c r="B14" s="10" t="s">
        <v>402</v>
      </c>
      <c r="C14" s="14" t="s">
        <v>403</v>
      </c>
      <c r="D14" s="16">
        <v>0</v>
      </c>
      <c r="E14" s="16">
        <v>0</v>
      </c>
      <c r="F14" s="16">
        <v>0</v>
      </c>
      <c r="G14" s="16">
        <f>SUM(F6:F13)</f>
        <v>6013460477</v>
      </c>
      <c r="H14" s="16">
        <f t="shared" si="2"/>
        <v>120269209541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8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4" x14ac:dyDescent="0.3"/>
  <cols>
    <col min="1" max="1" width="12.58203125" customWidth="1"/>
    <col min="2" max="2" width="48.58203125" customWidth="1"/>
    <col min="3" max="3" width="34.58203125" customWidth="1"/>
    <col min="4" max="5" width="16.58203125" customWidth="1"/>
    <col min="6" max="6" width="28.58203125" customWidth="1"/>
    <col min="7" max="7" width="46.58203125" customWidth="1"/>
  </cols>
  <sheetData>
    <row r="1" spans="1:7" ht="20" x14ac:dyDescent="0.55000000000000004">
      <c r="A1" s="1" t="s">
        <v>404</v>
      </c>
    </row>
    <row r="2" spans="1:7" ht="15" x14ac:dyDescent="0.4">
      <c r="A2" s="2" t="s">
        <v>405</v>
      </c>
    </row>
    <row r="4" spans="1:7" x14ac:dyDescent="0.3">
      <c r="A4" s="4" t="s">
        <v>406</v>
      </c>
      <c r="B4" s="4" t="s">
        <v>407</v>
      </c>
      <c r="C4" s="4" t="s">
        <v>408</v>
      </c>
      <c r="D4" s="4" t="s">
        <v>409</v>
      </c>
      <c r="E4" s="4" t="s">
        <v>410</v>
      </c>
      <c r="F4" s="4" t="s">
        <v>411</v>
      </c>
      <c r="G4" s="4" t="s">
        <v>412</v>
      </c>
    </row>
    <row r="5" spans="1:7" x14ac:dyDescent="0.3">
      <c r="A5" s="5" t="s">
        <v>413</v>
      </c>
      <c r="B5" s="6" t="s">
        <v>414</v>
      </c>
      <c r="C5" s="6" t="s">
        <v>415</v>
      </c>
      <c r="D5" s="45">
        <f>TIEN_DO!H13</f>
        <v>45290</v>
      </c>
      <c r="E5" s="45">
        <f>TIEN_DO!I13</f>
        <v>45367</v>
      </c>
      <c r="F5" s="6" t="s">
        <v>416</v>
      </c>
      <c r="G5" s="6" t="s">
        <v>417</v>
      </c>
    </row>
    <row r="6" spans="1:7" x14ac:dyDescent="0.3">
      <c r="A6" s="5" t="s">
        <v>418</v>
      </c>
      <c r="B6" s="6" t="s">
        <v>419</v>
      </c>
      <c r="C6" s="6" t="s">
        <v>420</v>
      </c>
      <c r="D6" s="45">
        <f>TIEN_DO!H14</f>
        <v>45315</v>
      </c>
      <c r="E6" s="45">
        <f>TIEN_DO!I14</f>
        <v>45450</v>
      </c>
      <c r="F6" s="6" t="s">
        <v>416</v>
      </c>
      <c r="G6" s="6" t="s">
        <v>421</v>
      </c>
    </row>
    <row r="7" spans="1:7" x14ac:dyDescent="0.3">
      <c r="A7" s="5" t="s">
        <v>422</v>
      </c>
      <c r="B7" s="6" t="s">
        <v>423</v>
      </c>
      <c r="C7" s="6" t="s">
        <v>424</v>
      </c>
      <c r="D7" s="45">
        <f>TIEN_DO!H15</f>
        <v>45339</v>
      </c>
      <c r="E7" s="45">
        <f>TIEN_DO!I15</f>
        <v>45512</v>
      </c>
      <c r="F7" s="6" t="s">
        <v>416</v>
      </c>
      <c r="G7" s="6" t="s">
        <v>425</v>
      </c>
    </row>
    <row r="8" spans="1:7" x14ac:dyDescent="0.3">
      <c r="A8" s="5" t="s">
        <v>426</v>
      </c>
      <c r="B8" s="6" t="s">
        <v>427</v>
      </c>
      <c r="C8" s="6" t="s">
        <v>428</v>
      </c>
      <c r="D8" s="45">
        <f>TIEN_DO!H16</f>
        <v>45374</v>
      </c>
      <c r="E8" s="45">
        <f>TIEN_DO!I16</f>
        <v>45558</v>
      </c>
      <c r="F8" s="6" t="s">
        <v>429</v>
      </c>
      <c r="G8" s="6" t="s">
        <v>430</v>
      </c>
    </row>
    <row r="9" spans="1:7" x14ac:dyDescent="0.3">
      <c r="A9" s="5" t="s">
        <v>431</v>
      </c>
      <c r="B9" s="6" t="s">
        <v>432</v>
      </c>
      <c r="C9" s="6" t="s">
        <v>433</v>
      </c>
      <c r="D9" s="45">
        <f>TIEN_DO!H17</f>
        <v>45559</v>
      </c>
      <c r="E9" s="45">
        <f>TIEN_DO!I17</f>
        <v>45623</v>
      </c>
      <c r="F9" s="6" t="s">
        <v>434</v>
      </c>
      <c r="G9" s="6" t="s">
        <v>435</v>
      </c>
    </row>
    <row r="10" spans="1:7" x14ac:dyDescent="0.3">
      <c r="A10" s="5" t="s">
        <v>436</v>
      </c>
      <c r="B10" s="6" t="s">
        <v>437</v>
      </c>
      <c r="C10" s="6" t="s">
        <v>438</v>
      </c>
      <c r="D10" s="45">
        <f>TIEN_DO!H18</f>
        <v>45357</v>
      </c>
      <c r="E10" s="45">
        <f>TIEN_DO!I18</f>
        <v>45391</v>
      </c>
      <c r="F10" s="6" t="s">
        <v>439</v>
      </c>
      <c r="G10" s="6" t="s">
        <v>440</v>
      </c>
    </row>
    <row r="11" spans="1:7" x14ac:dyDescent="0.3">
      <c r="A11" s="5" t="s">
        <v>441</v>
      </c>
      <c r="B11" s="6" t="s">
        <v>442</v>
      </c>
      <c r="C11" s="6" t="s">
        <v>443</v>
      </c>
      <c r="D11" s="45">
        <f>TIEN_DO!H19</f>
        <v>45570</v>
      </c>
      <c r="E11" s="45">
        <f>TIEN_DO!I19</f>
        <v>45639</v>
      </c>
      <c r="F11" s="6" t="s">
        <v>416</v>
      </c>
      <c r="G11" s="6" t="s">
        <v>444</v>
      </c>
    </row>
    <row r="12" spans="1:7" x14ac:dyDescent="0.3">
      <c r="A12" s="5" t="s">
        <v>445</v>
      </c>
      <c r="B12" s="6" t="s">
        <v>446</v>
      </c>
      <c r="C12" s="6" t="s">
        <v>447</v>
      </c>
      <c r="D12" s="45">
        <f>TIEN_DO!H20</f>
        <v>45624</v>
      </c>
      <c r="E12" s="45">
        <f>TIEN_DO!I20</f>
        <v>45646</v>
      </c>
      <c r="F12" s="6" t="s">
        <v>448</v>
      </c>
      <c r="G12" s="6" t="s">
        <v>449</v>
      </c>
    </row>
    <row r="13" spans="1:7" x14ac:dyDescent="0.3">
      <c r="A13" s="5" t="s">
        <v>450</v>
      </c>
      <c r="B13" s="6" t="s">
        <v>451</v>
      </c>
      <c r="C13" s="6" t="s">
        <v>452</v>
      </c>
      <c r="D13" s="45">
        <f>TIEN_DO!H21</f>
        <v>45649</v>
      </c>
      <c r="E13" s="45">
        <f>TIEN_DO!I21</f>
        <v>45672</v>
      </c>
      <c r="F13" s="6" t="s">
        <v>448</v>
      </c>
      <c r="G13" s="6" t="s">
        <v>453</v>
      </c>
    </row>
    <row r="14" spans="1:7" x14ac:dyDescent="0.3">
      <c r="A14" s="5" t="s">
        <v>454</v>
      </c>
      <c r="B14" s="6" t="s">
        <v>455</v>
      </c>
      <c r="C14" s="6" t="s">
        <v>456</v>
      </c>
      <c r="D14" s="45">
        <f>TIEN_DO!H22</f>
        <v>45674</v>
      </c>
      <c r="E14" s="45">
        <f>TIEN_DO!I22</f>
        <v>45698</v>
      </c>
      <c r="F14" s="6" t="s">
        <v>457</v>
      </c>
      <c r="G14" s="6" t="s">
        <v>458</v>
      </c>
    </row>
    <row r="15" spans="1:7" x14ac:dyDescent="0.3">
      <c r="A15" s="5" t="s">
        <v>459</v>
      </c>
      <c r="B15" s="6" t="s">
        <v>460</v>
      </c>
      <c r="C15" s="6" t="s">
        <v>461</v>
      </c>
      <c r="D15" s="45">
        <f>TIEN_DO!H23</f>
        <v>45710</v>
      </c>
      <c r="E15" s="45">
        <f>TIEN_DO!H23+25</f>
        <v>45735</v>
      </c>
      <c r="F15" s="6" t="s">
        <v>462</v>
      </c>
      <c r="G15" s="6" t="s">
        <v>463</v>
      </c>
    </row>
    <row r="16" spans="1:7" x14ac:dyDescent="0.3">
      <c r="A16" s="5" t="s">
        <v>464</v>
      </c>
      <c r="B16" s="6" t="s">
        <v>465</v>
      </c>
      <c r="C16" s="6" t="s">
        <v>461</v>
      </c>
      <c r="D16" s="45">
        <f>TIEN_DO!H23+26</f>
        <v>45736</v>
      </c>
      <c r="E16" s="45">
        <f>TIEN_DO!I23</f>
        <v>45769</v>
      </c>
      <c r="F16" s="6" t="s">
        <v>466</v>
      </c>
      <c r="G16" s="6" t="s">
        <v>467</v>
      </c>
    </row>
    <row r="17" spans="1:7" x14ac:dyDescent="0.3">
      <c r="A17" s="5" t="s">
        <v>468</v>
      </c>
      <c r="B17" s="6" t="s">
        <v>469</v>
      </c>
      <c r="C17" s="6" t="s">
        <v>470</v>
      </c>
      <c r="D17" s="45">
        <f>TIEN_DO!H36</f>
        <v>45763</v>
      </c>
      <c r="E17" s="45">
        <f>TIEN_DO!I36</f>
        <v>45825</v>
      </c>
      <c r="F17" s="6" t="s">
        <v>462</v>
      </c>
      <c r="G17" s="6" t="s">
        <v>471</v>
      </c>
    </row>
    <row r="18" spans="1:7" ht="16" x14ac:dyDescent="0.3">
      <c r="A18" s="27" t="s">
        <v>472</v>
      </c>
      <c r="B18" s="46" t="s">
        <v>473</v>
      </c>
      <c r="C18" s="46" t="s">
        <v>474</v>
      </c>
      <c r="D18" s="47">
        <f>TIEN_DO!H42</f>
        <v>45983</v>
      </c>
      <c r="E18" s="47">
        <f>TIEN_DO!I42</f>
        <v>45983</v>
      </c>
      <c r="F18" s="46" t="s">
        <v>475</v>
      </c>
      <c r="G18" s="46" t="s">
        <v>476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0"/>
  <sheetViews>
    <sheetView zoomScale="90" zoomScaleNormal="90" workbookViewId="0">
      <pane ySplit="3" topLeftCell="A4" activePane="bottomLeft" state="frozen"/>
      <selection pane="bottomLeft" activeCell="A4" sqref="A4:F4"/>
    </sheetView>
  </sheetViews>
  <sheetFormatPr defaultRowHeight="14" x14ac:dyDescent="0.3"/>
  <cols>
    <col min="1" max="1" width="18.58203125" customWidth="1"/>
    <col min="2" max="2" width="24.58203125" customWidth="1"/>
    <col min="3" max="3" width="30.58203125" customWidth="1"/>
    <col min="4" max="5" width="20.58203125" customWidth="1"/>
    <col min="6" max="6" width="40.58203125" customWidth="1"/>
  </cols>
  <sheetData>
    <row r="1" spans="1:6" ht="20" x14ac:dyDescent="0.55000000000000004">
      <c r="A1" s="1" t="s">
        <v>477</v>
      </c>
    </row>
    <row r="2" spans="1:6" ht="15" x14ac:dyDescent="0.4">
      <c r="A2" s="2" t="s">
        <v>478</v>
      </c>
    </row>
    <row r="4" spans="1:6" ht="16" x14ac:dyDescent="0.45">
      <c r="A4" s="63" t="s">
        <v>479</v>
      </c>
      <c r="B4" s="48"/>
      <c r="C4" s="48"/>
      <c r="D4" s="48"/>
      <c r="E4" s="48"/>
      <c r="F4" s="48"/>
    </row>
    <row r="5" spans="1:6" ht="72" customHeight="1" x14ac:dyDescent="0.3">
      <c r="A5" s="64" t="s">
        <v>480</v>
      </c>
      <c r="B5" s="48"/>
      <c r="C5" s="48"/>
      <c r="D5" s="48"/>
      <c r="E5" s="48"/>
      <c r="F5" s="48"/>
    </row>
    <row r="7" spans="1:6" ht="16" x14ac:dyDescent="0.45">
      <c r="A7" s="63" t="s">
        <v>481</v>
      </c>
      <c r="B7" s="48"/>
      <c r="C7" s="48"/>
      <c r="D7" s="48"/>
      <c r="E7" s="48"/>
      <c r="F7" s="48"/>
    </row>
    <row r="8" spans="1:6" ht="54" customHeight="1" x14ac:dyDescent="0.3">
      <c r="A8" s="64" t="s">
        <v>482</v>
      </c>
      <c r="B8" s="48"/>
      <c r="C8" s="48"/>
      <c r="D8" s="48"/>
      <c r="E8" s="48"/>
      <c r="F8" s="48"/>
    </row>
    <row r="10" spans="1:6" ht="16" x14ac:dyDescent="0.45">
      <c r="A10" s="63" t="s">
        <v>483</v>
      </c>
      <c r="B10" s="48"/>
      <c r="C10" s="48"/>
      <c r="D10" s="48"/>
      <c r="E10" s="48"/>
      <c r="F10" s="48"/>
    </row>
    <row r="11" spans="1:6" ht="126" customHeight="1" x14ac:dyDescent="0.3">
      <c r="A11" s="64" t="s">
        <v>484</v>
      </c>
      <c r="B11" s="48"/>
      <c r="C11" s="48"/>
      <c r="D11" s="48"/>
      <c r="E11" s="48"/>
      <c r="F11" s="48"/>
    </row>
    <row r="13" spans="1:6" ht="16" x14ac:dyDescent="0.45">
      <c r="A13" s="63" t="s">
        <v>485</v>
      </c>
      <c r="B13" s="48"/>
      <c r="C13" s="48"/>
      <c r="D13" s="48"/>
      <c r="E13" s="48"/>
      <c r="F13" s="48"/>
    </row>
    <row r="14" spans="1:6" ht="36" customHeight="1" x14ac:dyDescent="0.3">
      <c r="A14" s="64" t="s">
        <v>486</v>
      </c>
      <c r="B14" s="48"/>
      <c r="C14" s="48"/>
      <c r="D14" s="48"/>
      <c r="E14" s="48"/>
      <c r="F14" s="48"/>
    </row>
    <row r="16" spans="1:6" ht="16" x14ac:dyDescent="0.45">
      <c r="A16" s="63" t="s">
        <v>487</v>
      </c>
      <c r="B16" s="48"/>
      <c r="C16" s="48"/>
      <c r="D16" s="48"/>
      <c r="E16" s="48"/>
      <c r="F16" s="48"/>
    </row>
    <row r="17" spans="1:6" ht="36" customHeight="1" x14ac:dyDescent="0.3">
      <c r="A17" s="64" t="s">
        <v>488</v>
      </c>
      <c r="B17" s="48"/>
      <c r="C17" s="48"/>
      <c r="D17" s="48"/>
      <c r="E17" s="48"/>
      <c r="F17" s="48"/>
    </row>
    <row r="19" spans="1:6" ht="16" x14ac:dyDescent="0.45">
      <c r="A19" s="63" t="s">
        <v>489</v>
      </c>
      <c r="B19" s="48"/>
      <c r="C19" s="48"/>
      <c r="D19" s="48"/>
      <c r="E19" s="48"/>
      <c r="F19" s="48"/>
    </row>
    <row r="20" spans="1:6" ht="36" customHeight="1" x14ac:dyDescent="0.3">
      <c r="A20" s="64" t="s">
        <v>490</v>
      </c>
      <c r="B20" s="48"/>
      <c r="C20" s="48"/>
      <c r="D20" s="48"/>
      <c r="E20" s="48"/>
      <c r="F20" s="48"/>
    </row>
  </sheetData>
  <mergeCells count="12">
    <mergeCell ref="A20:F20"/>
    <mergeCell ref="A7:F7"/>
    <mergeCell ref="A19:F19"/>
    <mergeCell ref="A5:F5"/>
    <mergeCell ref="A8:F8"/>
    <mergeCell ref="A17:F17"/>
    <mergeCell ref="A4:F4"/>
    <mergeCell ref="A16:F16"/>
    <mergeCell ref="A11:F11"/>
    <mergeCell ref="A10:F10"/>
    <mergeCell ref="A13:F13"/>
    <mergeCell ref="A14:F14"/>
  </mergeCells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_23hg_assistant" label="23HG SCHEDULE ASSISTANT" insertAfterMso="TabHome">
        <!-- NHÓM 1: TIẾN ĐỘ CPM & GANTT -->
        <group id="grp_cpm" label="TIẾN ĐỘ CPM &amp; GANTT">
          <button id="btn_run_cpm" label="Cập Nhật Tiến Độ" size="large" onAction="CapNhatTienDo" imageMso="CalculateSheet" screentip="23HG Turbo CPM" supertip="Tính toán Forward/Backward pass và vẽ lại Gantt Canvas siêu tốc."/>
          <button id="btn_crit" label="Đường Găng (CPM)" size="large" onAction="ToDuongGang" imageMso="ViewNextPage" screentip="Đường găng dự án" supertip="Làm nổi bật các công tác găng có Total Float = 0."/>
          <button id="btn_open" label="Tiến Độ Gantt" size="large" onAction="MoBangTienDo" imageMso="ViewGanttChart" screentip="Bảng tiến độ Gantt" supertip="Mở sheet TIEN_DO - bảng tiến độ Gantt và CPM chính của dự án."/>
          <separator id="sep_cpm1"/>
          <button id="btn_scale_day" label="Thang Ngày" size="normal" onAction="ChuyenThangTG_Ngay" imageMso="CalendarToolSelectDate" screentip="Xem theo Ngày"/>
          <button id="btn_scale_month" label="Thang Tháng" size="normal" onAction="ChuyenThangTG_Thang" imageMso="CalendarToolSelectDate" screentip="Xem theo Tháng"/>
          <button id="btn_scale_quarter" label="Thang Quý" size="normal" onAction="ChuyenThangTG_Quy" imageMso="CalendarToolSelectDate" screentip="Xem theo Quý"/>
          <button id="btn_scale_year" label="Thang Năm" size="normal" onAction="ChuyenThangTG_Nam" imageMso="CalendarToolSelectDate" screentip="Xem theo Năm"/>
          <separator id="sep_cpm2"/>
          <button id="btn_add_task" label="Thêm Công Tác" size="normal" onAction="ThemCongTac" imageMso="TableRowsInsertBelowExcel" screentip="Thêm công tác mới" supertip="Chèn dòng công tác mới tại vị trí chọn, tự động đánh lại STT và cập nhật CPM."/>
          <button id="btn_del_task" label="Xóa Công Tác" size="normal" onAction="XoaCongTac" imageMso="TableRowsDeleteExcel" screentip="Xóa công tác được chọn" supertip="Xóa dòng công tác được chọn sau khi xác nhận, tự động cập nhật mạng CPM."/>
          <button id="btn_indent" label="Thụt Lề WBS" size="normal" onAction="IndentWBS" imageMso="IndentClassic" screentip="Thụt lề WBS" supertip="Tăng cấp thụt dòng phân cấp công việc."/>
          <button id="btn_outdent" label="Giảm Thụt Lề" size="normal" onAction="OutdentWBS" imageMso="OutdentClassic" screentip="Giảm thụt lề WBS" supertip="Giảm cấp thụt dòng phân cấp công việc."/>
        </group>
        <!-- NHÓM 2: QUẢN TRỊ 5D (EVM & XMTB) -->
        <group id="grp_evm" label="QUẢN TRỊ 5D (EVM &amp; XMTB)">
          <button id="btn_baseline" label="Lưu Baseline" size="large" onAction="LuuBaseline" imageMso="Lock" screentip="Đóng băng tiến độ gốc" supertip="Lưu trữ mốc phê duyệt tĩnh để theo dõi sai lệch tiến độ và chi phí."/>
          <button id="btn_evm" label="Quản Trị EVM 5D" size="large" onAction="PhanTichEVM" imageMso="ChartInsert" screentip="Earned Value Management" supertip="Báo cáo PV, EV, AC, SV, CV, SPI, CPI thời gian thực."/>
          <button id="btn_res" label="Cân Bằng XMTB" size="large" onAction="CanBangTaiNguyenXMTB" imageMso="AutoSum" screentip="Resource Leveling" supertip="San phẳng đỉnh tải xe máy thiết bị không làm trễ dự án."/>
          <separator id="sep_evm1"/>
          <button id="btn_ngay_nghi" label="Lịch &amp; Mùa Mưa" size="normal" onAction="NgayNghiLe" imageMso="CalendarToolSelectDate" screentip="Xem lịch làm việc &amp; mùa mưa" supertip="Mở sheet NGAY_NGHI_LE quản lý lịch 6 ngày/tuần và hệ số thời tiết K_tt."/>
        </group>
        <!-- NHÓM 3: ĐIỀU HƯỚNG DỰ ÁN -->
        <group id="grp_nav" label="ĐIỀU HƯỚNG DỰ ÁN">
          <button id="btn_boq" label="Tiên Lượng BoQ" size="large" onAction="BoQTienDo" imageMso="DatabaseInsert" screentip="Bảng khối lượng BoQ" supertip="Bóc tách khối lượng và dự toán chi phí trực tiếp."/>
          <button id="btn_cashflow" label="Tiến Độ Giải Ngân" size="large" onAction="TienDoGiaiNgan" imageMso="TableFormulaSum" screentip="Dòng tiền &amp; S-Curve" supertip="Kế hoạch tạm ứng 20%, thu hồi tạm ứng và giữ bảo hành 5%."/>
          <button id="btn_qlcl" label="Kế Hoạch QLCL" size="large" onAction="KeHoachQLCL" imageMso="TaskComplete" screentip="Hồ sơ QLCL NĐ 207" supertip="Kế hoạch quản lý chất lượng và danh mục biên bản nghiệm thu."/>
          <separator id="sep_nav1"/>
          <button id="btn_equip" label="Huy Động XMTB" size="normal" onAction="HuyDongXMTB" imageMso="ToolProperties" screentip="Ma trận xe máy thiết bị"/>
          <button id="btn_calc_boq" label="Tính Ngày Từ BoQ" size="normal" onAction="TinhNgayTuBoQ" imageMso="Calculator" screentip="Tính thời lượng từ BoQ" supertip="Đồng bộ thời lượng từ khối lượng BoQ chia năng suất ca máy sang bảng Tiến độ."/>
          <button id="btn_dinh_muc" label="Định Mức Ca Máy" size="normal" onAction="CapNhatDM" imageMso="DatabaseInsert" screentip="Định mức ca máy TT 38/2026" supertip="Mở cơ sở dữ liệu định mức năng suất thiết bị Thông tư 38/2026/TT-BXD."/>
          <button id="btn_doi_chieu" label="Đối Chiếu QLCL" size="normal" onAction="DoiChieuHoSo" imageMso="ReviewAcceptChange" screentip="Đối soát hồ sơ nghiệm thu" supertip="Kiểm tra liên kết nghiệm thu theo Nghị định 207/2026/NĐ-CP."/>
        </group>
        <!-- NHÓM 4: CẦU NỐI TIẾN ĐỘ -->
        <group id="grp_interop" label="CẦU NỐI TIẾN ĐỘ">
          <button id="btn_export_mspdi" label="Xuất MS Project (XML)" size="large" onAction="XuatMSProjectXML" imageMso="FileSaveAsOtherCodes" screentip="Xuất Microsoft Project XML (MSPDI)" supertip="Xuất toàn bộ 37 công tác, quan hệ FS/SS/FF và WBS sang file XML chuẩn quốc tế."/>
          <button id="btn_import_mspdi" label="Nhập MS Project (XML)" size="large" onAction="NhapMSProjectXML" imageMso="FileOpenDatabase" screentip="Nhập tiến độ từ MS Project XML" supertip="Đọc file MSPDI XML, chuyển đổi mạng CPM và vẽ lại Gantt tự động."/>
          <separator id="sep_interop1"/>
          <button id="btn_export_p6" label="Xuất Primavera (XER)" size="normal" onAction="XuatPrimaveraXER" imageMso="FileSaveAsExcelXlsx" screentip="Xuất file Primavera P6 (.xer)" supertip="Xuất dữ liệu theo định dạng text chuẩn Primavera P6 XER."/>
          <button id="btn_import_p6" label="Nhập Primavera (XER)" size="normal" onAction="NhapPrimaveraXER" imageMso="FileOpenDatabase" screentip="Nhập file Primavera P6 (.xer)"/>
          <button id="btn_info_mpp" label="Cầu Nối File .MPP" size="normal" onAction="HuongDanFileMPP" imageMso="Help" screentip="Hướng dẫn xử lý file .mpp" supertip="Chiến lược 2 bước: chuyển đổi .mpp sang XML không phụ thuộc Java."/>
        </group>
        <!-- NHÓM 5: XUẤT BẢN BÁO CÁO -->
        <group id="grp_export" label="XUẤT BẢN BÁO CÁO">
          <button id="btn_export_clean" label="Xuất XLSX Sạch" size="large" onAction="XuatXlsxClean" imageMso="FileSaveAsExcelXlsx" screentip="Xuất nộp CĐT / TVGS" supertip="Tạo bản sao XLSX sạch 100% không chứa mã macro, sẵn sàng gửi nộp Chủ đầu tư và TVGS."/>
          <button id="btn_export_pdf" label="Xuất PDF A3 Ngang" size="large" onAction="XuatPdfA3BaoCao" imageMso="FileSaveAsPdfOrXps" screentip="Xuất bản in A3 ngang" supertip="Bố cục chuẩn khổ A3 ngang sắc nét chuẩn hồ sơ dự thầu và trình ký Chủ đầu tư."/>
        </group>
        <!-- NHÓM 6: BẢN QUYỀN HỆ THỐNG -->
        <group id="grp_license" label="BẢN QUYỀN HỆ THỐNG">
          <button id="btn_license" label="Bản Quyền NBT" size="large" onAction="QuanLyBanQuyen" imageMso="SignatureLineInsert" screentip="Bản quyền 23HG SYSTEM" supertip="Thông tin chứng nhận bản quyền tác giả NBT."/>
          <separator id="sep_license1"/>
          <button id="btn_print_preview" label="Xem Trang In A3" size="normal" onAction="InTienDo" imageMso="PrintPreview" screentip="Xem trước bản in A3" supertip="Thiết lập trang in A3 ngang và mở cửa sổ xem trước bản in."/>
          <button id="btn_format_ui" label="Chuẩn Hóa Giao Diện" size="normal" onAction="ChuanHoaGiaoDien" imageMso="ViewNormalViewExcel" screentip="Chuẩn hóa giao diện" supertip="Tối ưu tỷ lệ hiển thị 85%, bật khung lưới ô và căn chỉnh chuẩn bảng tính."/>
          <button id="btn_project_info" label="Thông Tin Dự Án" size="normal" onAction="ThongTinDuAn" imageMso="Info" screentip="Thông tin gói thầu &amp; dự án" supertip="Xem tổng quan gói thầu, chiều dài tuyến L=5.5km, ngày khởi công và hoàn thành."/>
          <button id="btn_help" label="Trợ Giúp Vận Hành" size="normal" onAction="TroGiup" imageMso="Help" screentip="Cẩm nang vận hành" supertip="Mở sheet HUONG_DAN - cẩm nang vận hành chi tiết hệ thống 23HG SYSTEM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NGAY_NGHI_LE</vt:lpstr>
      <vt:lpstr>DB_DINH_MUC</vt:lpstr>
      <vt:lpstr>BOQ_TIEN_DO</vt:lpstr>
      <vt:lpstr>TIEN_DO</vt:lpstr>
      <vt:lpstr>EVM_5D_QUAN_TRI</vt:lpstr>
      <vt:lpstr>HUY_DONG_XMTB</vt:lpstr>
      <vt:lpstr>TIEN_DO_GIAI_NGAN</vt:lpstr>
      <vt:lpstr>KE_HOACH_QLCL</vt:lpstr>
      <vt:lpstr>HUONG_DAN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tu nguyen</cp:lastModifiedBy>
  <dcterms:created xsi:type="dcterms:W3CDTF">2026-10-11T02:08:31Z</dcterms:created>
  <dcterms:modified xsi:type="dcterms:W3CDTF">2026-10-11T02:08:35Z</dcterms:modified>
</cp:coreProperties>
</file>