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aotu\.gemini\antigravity\scratch\23HG_TIEN_DO_THI_CONG_PRO\"/>
    </mc:Choice>
  </mc:AlternateContent>
  <xr:revisionPtr revIDLastSave="0" documentId="8_{5556F60C-B5F3-4EB4-9352-32AE3CA6CBC9}" xr6:coauthVersionLast="47" xr6:coauthVersionMax="47" xr10:uidLastSave="{00000000-0000-0000-0000-000000000000}"/>
  <bookViews>
    <workbookView xWindow="-110" yWindow="-110" windowWidth="25820" windowHeight="15500" xr2:uid="{D7FAC16F-7B51-4283-9C20-A6F6D060F7ED}"/>
  </bookViews>
  <sheets>
    <sheet name="TIEN_DO" sheetId="1" r:id="rId1"/>
    <sheet name="BOQ_TIEN_DO" sheetId="2" r:id="rId2"/>
    <sheet name="HUY_DONG_XMTB" sheetId="3" r:id="rId3"/>
    <sheet name="TIEN_DO_GIAI_NGAN" sheetId="4" r:id="rId4"/>
    <sheet name="NGAY_NGHI_LE" sheetId="5" r:id="rId5"/>
    <sheet name="HUONG_DAN" sheetId="6" r:id="rId6"/>
    <sheet name="DB_DINH_MUC" sheetId="7" r:id="rId7"/>
    <sheet name="KE_HOACH_QLCL" sheetId="8" r:id="rId8"/>
    <sheet name="EVM_5D_QUAN_TRI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3" i="9" l="1"/>
  <c r="G33" i="9"/>
  <c r="F33" i="9"/>
  <c r="E33" i="9"/>
  <c r="D33" i="9"/>
  <c r="K33" i="9" s="1"/>
  <c r="L33" i="9" s="1"/>
  <c r="C33" i="9"/>
  <c r="B33" i="9"/>
  <c r="H32" i="9"/>
  <c r="G32" i="9"/>
  <c r="F32" i="9"/>
  <c r="E32" i="9"/>
  <c r="D32" i="9"/>
  <c r="K32" i="9" s="1"/>
  <c r="L32" i="9" s="1"/>
  <c r="C32" i="9"/>
  <c r="B32" i="9"/>
  <c r="K31" i="9"/>
  <c r="L31" i="9" s="1"/>
  <c r="H31" i="9"/>
  <c r="G31" i="9"/>
  <c r="F31" i="9"/>
  <c r="E31" i="9"/>
  <c r="D31" i="9"/>
  <c r="J31" i="9" s="1"/>
  <c r="M31" i="9" s="1"/>
  <c r="N31" i="9" s="1"/>
  <c r="C31" i="9"/>
  <c r="B31" i="9"/>
  <c r="K30" i="9"/>
  <c r="L30" i="9" s="1"/>
  <c r="J30" i="9"/>
  <c r="M30" i="9" s="1"/>
  <c r="N30" i="9" s="1"/>
  <c r="H30" i="9"/>
  <c r="G30" i="9"/>
  <c r="F30" i="9"/>
  <c r="E30" i="9"/>
  <c r="D30" i="9"/>
  <c r="C30" i="9"/>
  <c r="B30" i="9"/>
  <c r="K29" i="9"/>
  <c r="L29" i="9" s="1"/>
  <c r="J29" i="9"/>
  <c r="M29" i="9" s="1"/>
  <c r="N29" i="9" s="1"/>
  <c r="H29" i="9"/>
  <c r="G29" i="9"/>
  <c r="F29" i="9"/>
  <c r="E29" i="9"/>
  <c r="D29" i="9"/>
  <c r="C29" i="9"/>
  <c r="B29" i="9"/>
  <c r="H28" i="9"/>
  <c r="G28" i="9"/>
  <c r="F28" i="9"/>
  <c r="E28" i="9"/>
  <c r="D28" i="9"/>
  <c r="J28" i="9" s="1"/>
  <c r="M28" i="9" s="1"/>
  <c r="N28" i="9" s="1"/>
  <c r="C28" i="9"/>
  <c r="B28" i="9"/>
  <c r="H27" i="9"/>
  <c r="G27" i="9"/>
  <c r="F27" i="9"/>
  <c r="E27" i="9"/>
  <c r="D27" i="9"/>
  <c r="K27" i="9" s="1"/>
  <c r="L27" i="9" s="1"/>
  <c r="C27" i="9"/>
  <c r="B27" i="9"/>
  <c r="H26" i="9"/>
  <c r="G26" i="9"/>
  <c r="F26" i="9"/>
  <c r="E26" i="9"/>
  <c r="D26" i="9"/>
  <c r="K26" i="9" s="1"/>
  <c r="L26" i="9" s="1"/>
  <c r="C26" i="9"/>
  <c r="B26" i="9"/>
  <c r="H25" i="9"/>
  <c r="G25" i="9"/>
  <c r="F25" i="9"/>
  <c r="E25" i="9"/>
  <c r="D25" i="9"/>
  <c r="K25" i="9" s="1"/>
  <c r="L25" i="9" s="1"/>
  <c r="C25" i="9"/>
  <c r="B25" i="9"/>
  <c r="K24" i="9"/>
  <c r="L24" i="9" s="1"/>
  <c r="H24" i="9"/>
  <c r="G24" i="9"/>
  <c r="F24" i="9"/>
  <c r="E24" i="9"/>
  <c r="D24" i="9"/>
  <c r="J24" i="9" s="1"/>
  <c r="M24" i="9" s="1"/>
  <c r="N24" i="9" s="1"/>
  <c r="C24" i="9"/>
  <c r="B24" i="9"/>
  <c r="K23" i="9"/>
  <c r="L23" i="9" s="1"/>
  <c r="J23" i="9"/>
  <c r="M23" i="9" s="1"/>
  <c r="N23" i="9" s="1"/>
  <c r="H23" i="9"/>
  <c r="G23" i="9"/>
  <c r="F23" i="9"/>
  <c r="E23" i="9"/>
  <c r="D23" i="9"/>
  <c r="C23" i="9"/>
  <c r="B23" i="9"/>
  <c r="K22" i="9"/>
  <c r="L22" i="9" s="1"/>
  <c r="J22" i="9"/>
  <c r="M22" i="9" s="1"/>
  <c r="N22" i="9" s="1"/>
  <c r="H22" i="9"/>
  <c r="G22" i="9"/>
  <c r="F22" i="9"/>
  <c r="E22" i="9"/>
  <c r="D22" i="9"/>
  <c r="C22" i="9"/>
  <c r="B22" i="9"/>
  <c r="H21" i="9"/>
  <c r="G21" i="9"/>
  <c r="F21" i="9"/>
  <c r="E21" i="9"/>
  <c r="D21" i="9"/>
  <c r="K21" i="9" s="1"/>
  <c r="L21" i="9" s="1"/>
  <c r="C21" i="9"/>
  <c r="B21" i="9"/>
  <c r="H20" i="9"/>
  <c r="G20" i="9"/>
  <c r="F20" i="9"/>
  <c r="E20" i="9"/>
  <c r="D20" i="9"/>
  <c r="K20" i="9" s="1"/>
  <c r="L20" i="9" s="1"/>
  <c r="C20" i="9"/>
  <c r="B20" i="9"/>
  <c r="H19" i="9"/>
  <c r="G19" i="9"/>
  <c r="F19" i="9"/>
  <c r="E19" i="9"/>
  <c r="D19" i="9"/>
  <c r="K19" i="9" s="1"/>
  <c r="L19" i="9" s="1"/>
  <c r="C19" i="9"/>
  <c r="B19" i="9"/>
  <c r="H18" i="9"/>
  <c r="G18" i="9"/>
  <c r="F18" i="9"/>
  <c r="E18" i="9"/>
  <c r="D18" i="9"/>
  <c r="K18" i="9" s="1"/>
  <c r="L18" i="9" s="1"/>
  <c r="C18" i="9"/>
  <c r="B18" i="9"/>
  <c r="K17" i="9"/>
  <c r="L17" i="9" s="1"/>
  <c r="H17" i="9"/>
  <c r="G17" i="9"/>
  <c r="F17" i="9"/>
  <c r="E17" i="9"/>
  <c r="D17" i="9"/>
  <c r="J17" i="9" s="1"/>
  <c r="M17" i="9" s="1"/>
  <c r="N17" i="9" s="1"/>
  <c r="C17" i="9"/>
  <c r="B17" i="9"/>
  <c r="K16" i="9"/>
  <c r="L16" i="9" s="1"/>
  <c r="J16" i="9"/>
  <c r="M16" i="9" s="1"/>
  <c r="N16" i="9" s="1"/>
  <c r="H16" i="9"/>
  <c r="G16" i="9"/>
  <c r="F16" i="9"/>
  <c r="E16" i="9"/>
  <c r="D16" i="9"/>
  <c r="C16" i="9"/>
  <c r="B16" i="9"/>
  <c r="K15" i="9"/>
  <c r="L15" i="9" s="1"/>
  <c r="J15" i="9"/>
  <c r="M15" i="9" s="1"/>
  <c r="N15" i="9" s="1"/>
  <c r="H15" i="9"/>
  <c r="G15" i="9"/>
  <c r="F15" i="9"/>
  <c r="E15" i="9"/>
  <c r="D15" i="9"/>
  <c r="C15" i="9"/>
  <c r="B15" i="9"/>
  <c r="H14" i="9"/>
  <c r="G14" i="9"/>
  <c r="F14" i="9"/>
  <c r="E14" i="9"/>
  <c r="D14" i="9"/>
  <c r="J14" i="9" s="1"/>
  <c r="C14" i="9"/>
  <c r="B14" i="9"/>
  <c r="H13" i="9"/>
  <c r="G13" i="9"/>
  <c r="F13" i="9"/>
  <c r="E13" i="9"/>
  <c r="D13" i="9"/>
  <c r="J13" i="9" s="1"/>
  <c r="C13" i="9"/>
  <c r="B13" i="9"/>
  <c r="H12" i="9"/>
  <c r="G12" i="9"/>
  <c r="F12" i="9"/>
  <c r="E12" i="9"/>
  <c r="D12" i="9"/>
  <c r="K12" i="9" s="1"/>
  <c r="L12" i="9" s="1"/>
  <c r="C12" i="9"/>
  <c r="B12" i="9"/>
  <c r="H11" i="9"/>
  <c r="G11" i="9"/>
  <c r="F11" i="9"/>
  <c r="E11" i="9"/>
  <c r="D11" i="9"/>
  <c r="K11" i="9" s="1"/>
  <c r="C11" i="9"/>
  <c r="B11" i="9"/>
  <c r="B5" i="9"/>
  <c r="E15" i="8"/>
  <c r="D15" i="8"/>
  <c r="E14" i="8"/>
  <c r="D14" i="8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D15" i="4"/>
  <c r="E14" i="4"/>
  <c r="E13" i="4"/>
  <c r="E12" i="4"/>
  <c r="E11" i="4"/>
  <c r="E10" i="4"/>
  <c r="E9" i="4"/>
  <c r="E8" i="4"/>
  <c r="G7" i="4"/>
  <c r="G8" i="4" s="1"/>
  <c r="G9" i="4" s="1"/>
  <c r="G10" i="4" s="1"/>
  <c r="G11" i="4" s="1"/>
  <c r="G12" i="4" s="1"/>
  <c r="G13" i="4" s="1"/>
  <c r="G14" i="4" s="1"/>
  <c r="G15" i="4" s="1"/>
  <c r="E7" i="4"/>
  <c r="G6" i="4"/>
  <c r="E6" i="4"/>
  <c r="G5" i="4"/>
  <c r="F5" i="4"/>
  <c r="F6" i="4" s="1"/>
  <c r="F7" i="4" s="1"/>
  <c r="F8" i="4" s="1"/>
  <c r="F9" i="4" s="1"/>
  <c r="F10" i="4" s="1"/>
  <c r="F11" i="4" s="1"/>
  <c r="F12" i="4" s="1"/>
  <c r="F13" i="4" s="1"/>
  <c r="F14" i="4" s="1"/>
  <c r="F15" i="4" s="1"/>
  <c r="E5" i="4"/>
  <c r="E15" i="4" s="1"/>
  <c r="G31" i="2"/>
  <c r="G34" i="2" s="1"/>
  <c r="G29" i="2"/>
  <c r="G28" i="2"/>
  <c r="G27" i="2"/>
  <c r="G25" i="2"/>
  <c r="G24" i="2"/>
  <c r="G23" i="2"/>
  <c r="G22" i="2"/>
  <c r="G21" i="2"/>
  <c r="G20" i="2"/>
  <c r="G19" i="2"/>
  <c r="G18" i="2"/>
  <c r="G17" i="2"/>
  <c r="G15" i="2"/>
  <c r="G14" i="2"/>
  <c r="G13" i="2"/>
  <c r="G12" i="2"/>
  <c r="G11" i="2"/>
  <c r="G10" i="2"/>
  <c r="G9" i="2"/>
  <c r="G8" i="2"/>
  <c r="G7" i="2"/>
  <c r="L11" i="9" l="1"/>
  <c r="J11" i="9"/>
  <c r="J18" i="9"/>
  <c r="M18" i="9" s="1"/>
  <c r="N18" i="9" s="1"/>
  <c r="J25" i="9"/>
  <c r="M25" i="9" s="1"/>
  <c r="N25" i="9" s="1"/>
  <c r="J32" i="9"/>
  <c r="M32" i="9" s="1"/>
  <c r="N32" i="9" s="1"/>
  <c r="K13" i="9"/>
  <c r="L13" i="9" s="1"/>
  <c r="J27" i="9"/>
  <c r="M27" i="9" s="1"/>
  <c r="N27" i="9" s="1"/>
  <c r="J12" i="9"/>
  <c r="M12" i="9" s="1"/>
  <c r="N12" i="9" s="1"/>
  <c r="J19" i="9"/>
  <c r="M19" i="9" s="1"/>
  <c r="N19" i="9" s="1"/>
  <c r="J26" i="9"/>
  <c r="M26" i="9" s="1"/>
  <c r="N26" i="9" s="1"/>
  <c r="J33" i="9"/>
  <c r="M33" i="9" s="1"/>
  <c r="N33" i="9" s="1"/>
  <c r="K14" i="9"/>
  <c r="L14" i="9" s="1"/>
  <c r="K28" i="9"/>
  <c r="L28" i="9" s="1"/>
  <c r="J20" i="9"/>
  <c r="M20" i="9" s="1"/>
  <c r="N20" i="9" s="1"/>
  <c r="J21" i="9"/>
  <c r="M21" i="9" s="1"/>
  <c r="N21" i="9" s="1"/>
  <c r="G35" i="2"/>
  <c r="G36" i="2" s="1"/>
  <c r="H5" i="9" l="1"/>
  <c r="M11" i="9"/>
  <c r="N11" i="9" s="1"/>
  <c r="D5" i="9"/>
  <c r="M14" i="9"/>
  <c r="N14" i="9" s="1"/>
  <c r="F5" i="9"/>
  <c r="J5" i="9" s="1"/>
  <c r="M13" i="9"/>
  <c r="N13" i="9" s="1"/>
  <c r="G37" i="2"/>
  <c r="L5" i="9" l="1"/>
  <c r="D8" i="9" s="1"/>
  <c r="N5" i="9"/>
  <c r="J8" i="9" s="1"/>
  <c r="G38" i="2"/>
  <c r="G39" i="2" s="1"/>
</calcChain>
</file>

<file path=xl/sharedStrings.xml><?xml version="1.0" encoding="utf-8"?>
<sst xmlns="http://schemas.openxmlformats.org/spreadsheetml/2006/main" count="450" uniqueCount="342">
  <si>
    <t>• LẬP &amp; KIỂM SOÁT TIẾN ĐỘ DỰ ÁN – 23HG SYSTEM (TÁC GIẢ: NBT - NGUYỄN BẢO TÚ)</t>
  </si>
  <si>
    <t>DỰ ÁN: DỰ ÁN MẪU - XÂY DỰNG TUYẾN ĐƯỜNG GIAO THÔNG | HỆ THỐNG: 23HG SYSTEM (NBT)</t>
  </si>
  <si>
    <t>BẮT ĐẦU:</t>
  </si>
  <si>
    <t>KẾT THÚC:</t>
  </si>
  <si>
    <t>Trạng thái:</t>
  </si>
  <si>
    <t>01/12/2023</t>
  </si>
  <si>
    <t>Ngày làm việc/tuần:  7</t>
  </si>
  <si>
    <t>Chế độ: Tự động (CPM)</t>
  </si>
  <si>
    <t>Tổng thời lượng: 731 ngày</t>
  </si>
  <si>
    <t>BẢNG TIẾN ĐỘ THI CÔNG CHI TIẾT – GÓI THẦU XÂY LẮP SỐ 1 (ĐƯỜNG G1)</t>
  </si>
  <si>
    <t>GÓI THẦU MẪU SỐ 01   –   DỰ ÁN MẪU - XÂY DỰNG TUYẾN ĐƯỜNG GIAO THÔNG</t>
  </si>
  <si>
    <t>STT</t>
  </si>
  <si>
    <t>WBS</t>
  </si>
  <si>
    <t>Hạng mục công việc</t>
  </si>
  <si>
    <t>Loại</t>
  </si>
  <si>
    <t>Thời lượng
(ngày)</t>
  </si>
  <si>
    <t>Bắt đầu</t>
  </si>
  <si>
    <t>Kết thúc</t>
  </si>
  <si>
    <t>Năm 2023</t>
  </si>
  <si>
    <t>Năm 2024</t>
  </si>
  <si>
    <t>Năm 2025</t>
  </si>
  <si>
    <t>Quý IV
Q4 (T10-12)</t>
  </si>
  <si>
    <t>Quý I
Q1 (T01-03)</t>
  </si>
  <si>
    <t>Quý II
Q2 (T04-06)</t>
  </si>
  <si>
    <t>Quý III
Q3 (T07-09)</t>
  </si>
  <si>
    <t>1</t>
  </si>
  <si>
    <t>GÓI THẦU XÂY LẮP SỐ 1 (ĐƯỜNG G1)</t>
  </si>
  <si>
    <t>Summary</t>
  </si>
  <si>
    <t>1.1</t>
  </si>
  <si>
    <t>Công tác chuẩn bị &amp; phụ trợ thi công</t>
  </si>
  <si>
    <t>1.1.1</t>
  </si>
  <si>
    <t>Huy động và chuẩn bị công trường A</t>
  </si>
  <si>
    <t>Task</t>
  </si>
  <si>
    <t>1.1.2</t>
  </si>
  <si>
    <t>Đường công vụ, bãi tập kết và ATGT thi công A</t>
  </si>
  <si>
    <t>1.1.3</t>
  </si>
  <si>
    <t>Huy động và chuẩn bị công trường B</t>
  </si>
  <si>
    <t>1.1.4</t>
  </si>
  <si>
    <t>Đường công vụ, bãi tập kết và ATGT thi công B</t>
  </si>
  <si>
    <t>1.2</t>
  </si>
  <si>
    <t>Tuyến chính Nhà thầu A (Km 0 - Km 9+020)</t>
  </si>
  <si>
    <t>1.2.1</t>
  </si>
  <si>
    <t>Phân đoạn A1 (Km 0 - Km 2+750 và Nút giao)</t>
  </si>
  <si>
    <t>1.2.1.1</t>
  </si>
  <si>
    <t>Chuẩn bị và bóc đất không thích hợp</t>
  </si>
  <si>
    <t>1.2.1.2</t>
  </si>
  <si>
    <t>Đào đất, vận chuyển và điều phối</t>
  </si>
  <si>
    <t>1.2.1.3</t>
  </si>
  <si>
    <t>Đào đá và vận chuyển đá</t>
  </si>
  <si>
    <t>1.2.1.4</t>
  </si>
  <si>
    <t>Đắp K95, K98 và hoàn thiện nền</t>
  </si>
  <si>
    <t>1.2.1.5</t>
  </si>
  <si>
    <t>Thi công móng CPĐD</t>
  </si>
  <si>
    <t>1.2.1.6</t>
  </si>
  <si>
    <t>Móng CPĐD gia cố xi măng</t>
  </si>
  <si>
    <t>1.2.1.7</t>
  </si>
  <si>
    <t>Các lớp BTN và tưới nhựa</t>
  </si>
  <si>
    <t>1.2.2</t>
  </si>
  <si>
    <t>Phân đoạn A2 (Km 2+750 - Km 5+500)</t>
  </si>
  <si>
    <t>1.2.2.1</t>
  </si>
  <si>
    <t>1.2.2.2</t>
  </si>
  <si>
    <t>1.2.2.3</t>
  </si>
  <si>
    <t>1.2.2.4</t>
  </si>
  <si>
    <t>1.2.2.5</t>
  </si>
  <si>
    <t>1.2.2.6</t>
  </si>
  <si>
    <t>1.2.2.7</t>
  </si>
  <si>
    <t>BẢNG TIÊN LƯỢNG KHỐI LƯỢNG (BOQ), ĐỊNH MỨC CA MÁY &amp; CHI PHÍ DỰ TOÁN G_XD</t>
  </si>
  <si>
    <t>Chuẩn hóa theo Thông tư 38/2026/TT-BXD &amp; Thông tư 36/2026/TT-BXD - Giải quyết dứt điểm mã AB.65110</t>
  </si>
  <si>
    <t>Mã Hiệu Định Mức</t>
  </si>
  <si>
    <t>Nội Dung Công Tác Xây Lắp</t>
  </si>
  <si>
    <t>Đơn Vị</t>
  </si>
  <si>
    <t>Khối Lượng Thiết Kế (CAD)</t>
  </si>
  <si>
    <t>Đơn Giá Dự Toán (VNĐ)</t>
  </si>
  <si>
    <t>Thành Tiền Chi Phí Trực Tiếp (VNĐ)</t>
  </si>
  <si>
    <t>Định Mức Năng Suất (Đv/ngày)</t>
  </si>
  <si>
    <t>Thành Phần Máy Thi Công Chính</t>
  </si>
  <si>
    <t>Ghi Chú Kỹ Thuật 23HG</t>
  </si>
  <si>
    <t>I. PHÂN ĐOẠN A1 (Km 0+000 - Km 2+750 VÀ NÚT GIAO)</t>
  </si>
  <si>
    <t>Mũi thi công số 1</t>
  </si>
  <si>
    <t>AB.11312</t>
  </si>
  <si>
    <t>Đào bóc lớp đất hữu cơ, đất không thích hợp bằng máy đào 1.25m3</t>
  </si>
  <si>
    <t>m3</t>
  </si>
  <si>
    <t>Máy đào 1.25m3 + ô tô 15T</t>
  </si>
  <si>
    <t>Lấy từ bình đồ CAD 23HG</t>
  </si>
  <si>
    <t>AB.24123</t>
  </si>
  <si>
    <t>Đào đất nền đường bằng máy đào 1.6m3, đổ lên ô tô 15 tấn</t>
  </si>
  <si>
    <t>Máy đào 1.6m3 + ô tô 15T</t>
  </si>
  <si>
    <t>Điều phối sang đắp &amp; bãi thải</t>
  </si>
  <si>
    <t>AB.31114</t>
  </si>
  <si>
    <t>Đào phá đá nền đường cấp IV bằng máy đào gắn búa căn + nổ mìn</t>
  </si>
  <si>
    <t>Búa căn + Máy đào 1.6m3 + Ô tô</t>
  </si>
  <si>
    <t>Đá tận dụng xay nghiền CPĐD</t>
  </si>
  <si>
    <t>AB.51123</t>
  </si>
  <si>
    <t>Đắp đất nền đường độ chặt K95 bằng máy lu rung 25T</t>
  </si>
  <si>
    <t>Lu rung 25T + Máy ủi 110CV</t>
  </si>
  <si>
    <t>Phân lớp 25-30cm đúng QLCL</t>
  </si>
  <si>
    <t>AD.11112</t>
  </si>
  <si>
    <t>Thi công móng Cấp phối đá dăm loại 2 dày 15cm</t>
  </si>
  <si>
    <t>m2</t>
  </si>
  <si>
    <t>Máy rải + Lu rung 25T + Lu lốp</t>
  </si>
  <si>
    <t>Chiều rộng B=12m</t>
  </si>
  <si>
    <t>AD.11111</t>
  </si>
  <si>
    <t>Thi công móng Cấp phối đá dăm loại 1 dày 15cm</t>
  </si>
  <si>
    <t>Độ chặt K &gt;= 0.98</t>
  </si>
  <si>
    <t>AD.11211</t>
  </si>
  <si>
    <t>Móng CPĐD gia cố xi măng 5% (CTB) dày 15cm</t>
  </si>
  <si>
    <t>Trạm trộn + Máy rải chuyên dụng</t>
  </si>
  <si>
    <t>Bảo dưỡng đúng 7 ngày</t>
  </si>
  <si>
    <t>AD.22121</t>
  </si>
  <si>
    <t>Tưới nhựa thấm bám 1.0kg/m2 &amp; Thảm BTNC 19 dày 7cm</t>
  </si>
  <si>
    <t>Dàn rải BTN + Lu thép + Lu lốp</t>
  </si>
  <si>
    <t>Nhiệt độ thảm &gt;= 135 độ C</t>
  </si>
  <si>
    <t>AD.22111</t>
  </si>
  <si>
    <t>Tưới nhựa dính bám 0.5kg/m2 &amp; Thảm BTNC 12.5 dày 5cm</t>
  </si>
  <si>
    <t>Mặt đường hoàn thiện</t>
  </si>
  <si>
    <t>II. PHÂN ĐOẠN A2 (Km 2+750 - Km 5+500)</t>
  </si>
  <si>
    <t>Mũi thi công số 2</t>
  </si>
  <si>
    <t>Phân lớp 25-30cm</t>
  </si>
  <si>
    <t>III. CÔNG TRÌNH THOÁT NƯỚC, ATGT &amp; HOÀN THIỆN</t>
  </si>
  <si>
    <t>Mũi chuyên trách</t>
  </si>
  <si>
    <t>AH.21111</t>
  </si>
  <si>
    <t>Hệ thống cống tròn thoát nước ngang D1000 &amp; D1500</t>
  </si>
  <si>
    <t>md</t>
  </si>
  <si>
    <t>Cẩu 10T + Máy đào 0.8m3</t>
  </si>
  <si>
    <t>Gối cống đúc sẵn</t>
  </si>
  <si>
    <t>AE.11111</t>
  </si>
  <si>
    <t>Gia cố rãnh dọc, hố thu bằng đá hộc VXM mác 75</t>
  </si>
  <si>
    <t>Máy trộn 250L + Thợ nề</t>
  </si>
  <si>
    <t>Thoát nước ta luy</t>
  </si>
  <si>
    <t>AK.51111</t>
  </si>
  <si>
    <t>Sơn đường nhiệt dẻo phản quang, biển báo, hộ lan tôn sóng</t>
  </si>
  <si>
    <t>Gói</t>
  </si>
  <si>
    <t>Máy sơn chuyên dụng</t>
  </si>
  <si>
    <t>Hoàn thiện bàn giao</t>
  </si>
  <si>
    <t>IV. CÔNG TÁC VẬN CHUYỂN ĐẤT ĐÁ (ĐÃ CHUẨN HÓA MÃ AB.65110)</t>
  </si>
  <si>
    <t>Giải quyết lỗi Schedule</t>
  </si>
  <si>
    <t>AB.65110</t>
  </si>
  <si>
    <t>Vận chuyển đất bằng ô tô tự đổ 15 tấn, cự ly L&lt;=1km, đất cấp III</t>
  </si>
  <si>
    <t>Ô tô tự đổ 15T (Đã chuẩn hóa)</t>
  </si>
  <si>
    <t>Khớp 100% CSDL Định Mức</t>
  </si>
  <si>
    <t>TỔNG HỢP KINH PHÍ DỰ TOÁN XÂY DỰNG (G_XD) THEO THÔNG TƯ 36/2026/TT-BXD</t>
  </si>
  <si>
    <t>I</t>
  </si>
  <si>
    <t>Chi phí trực tiếp (T)</t>
  </si>
  <si>
    <t>Công thức sống từ BoQ chi tiết</t>
  </si>
  <si>
    <t>II</t>
  </si>
  <si>
    <t>Chi phí gián tiếp (GT = C_C + C_NT + C_KXD)</t>
  </si>
  <si>
    <t>Công trình Giao thông theo tuyến: CC=6.2%, CNT=1.2%, CKXD=1.5%</t>
  </si>
  <si>
    <t>III</t>
  </si>
  <si>
    <t>Thu nhập chịu thuế tính trước (TL)</t>
  </si>
  <si>
    <t>Định mức 5.5% x (T + GT)</t>
  </si>
  <si>
    <t>IV</t>
  </si>
  <si>
    <t>Chi phí xây dựng trước thuế (G = T + GT + TL)</t>
  </si>
  <si>
    <t>Tổng trước thuế</t>
  </si>
  <si>
    <t>V</t>
  </si>
  <si>
    <t>Thuế giá trị gia tăng (VAT)</t>
  </si>
  <si>
    <t>Thuế suất 10%</t>
  </si>
  <si>
    <t>VI</t>
  </si>
  <si>
    <t>TỔNG CỘNG CHI PHÍ XÂY DỰNG SAU THUẾ (G_XD)</t>
  </si>
  <si>
    <t>GIÁ GÓI THẦU XÂY LẮP SỐ 01</t>
  </si>
  <si>
    <t>KẾ HOẠCH HUY ĐỘNG &amp; CÂN BẰNG TÀI NGUYÊN XE MÁY THIẾT BỊ (XMTB)</t>
  </si>
  <si>
    <t>Kiểm soát đỉnh tải thiết bị - Đảm bảo tính khả thi thực chiến của Nhà thầu A và B</t>
  </si>
  <si>
    <t>Chủng loại Xe máy thiết bị chủ lực</t>
  </si>
  <si>
    <t>Thông số kỹ thuật</t>
  </si>
  <si>
    <t>Đơn vị</t>
  </si>
  <si>
    <t>Năng lực sở hữu tối đa</t>
  </si>
  <si>
    <t>T12/23</t>
  </si>
  <si>
    <t>T01/24</t>
  </si>
  <si>
    <t>T02/24</t>
  </si>
  <si>
    <t>T03/24</t>
  </si>
  <si>
    <t>T04/24</t>
  </si>
  <si>
    <t>T05/24</t>
  </si>
  <si>
    <t>T06/24</t>
  </si>
  <si>
    <t>T07/24</t>
  </si>
  <si>
    <t>T08/24</t>
  </si>
  <si>
    <t>T09/24</t>
  </si>
  <si>
    <t>T10/24</t>
  </si>
  <si>
    <t>T11/24</t>
  </si>
  <si>
    <t>T12/24</t>
  </si>
  <si>
    <t>T01/25</t>
  </si>
  <si>
    <t>T02/25</t>
  </si>
  <si>
    <t>T03/25</t>
  </si>
  <si>
    <t>T04/25</t>
  </si>
  <si>
    <t>T05/25</t>
  </si>
  <si>
    <t>T06/25</t>
  </si>
  <si>
    <t>T07/25</t>
  </si>
  <si>
    <t>T08/25</t>
  </si>
  <si>
    <t>T09/25</t>
  </si>
  <si>
    <t>T10/25</t>
  </si>
  <si>
    <t>T11/25</t>
  </si>
  <si>
    <t>T12/25</t>
  </si>
  <si>
    <t>T01/26</t>
  </si>
  <si>
    <t>T02/26</t>
  </si>
  <si>
    <t>Máy đào bánh xích gầu nghịch</t>
  </si>
  <si>
    <t>Dung tích gầu 1.25 - 1.6 m3 (Komatsu PC300/Hitachi ZX330)</t>
  </si>
  <si>
    <t>Chiếc</t>
  </si>
  <si>
    <t>Ô tô tự đổ chuyên dụng</t>
  </si>
  <si>
    <t>Tải trọng 15 tấn - 3 chân (Howo/Hino)</t>
  </si>
  <si>
    <t>Máy ủi bánh xích</t>
  </si>
  <si>
    <t>Công suất 110 - 140 CV (Komatsu D53/D65)</t>
  </si>
  <si>
    <t>Máy lu rung tự hành</t>
  </si>
  <si>
    <t>Tải trọng tĩnh 14T, rung đạt 25T (Hamm 3411/Bomag 213)</t>
  </si>
  <si>
    <t>Máy rải Cấp phối đá dăm &amp; CTB</t>
  </si>
  <si>
    <t>Bề rộng rải 3.0 - 9.0m (Vögele Super 1800)</t>
  </si>
  <si>
    <t>Trạm trộn BTN &amp; Dàn thảm chuyên dụng</t>
  </si>
  <si>
    <t>Trạm trộn 120T/h + 2 Máy rải BTN + Lu bánh thép &amp; lu lốp</t>
  </si>
  <si>
    <t>Dàn</t>
  </si>
  <si>
    <t>Cần cẩu bánh lốp phục vụ cống &amp; phụ trợ</t>
  </si>
  <si>
    <t>Sức nâng 10 - 25 tấn (Kato)</t>
  </si>
  <si>
    <t>ĐÁNH GIÁ ĐỈNH TẢI TÀI NGUYÊN:</t>
  </si>
  <si>
    <t>AN TOÀN (Không vượt năng lực)</t>
  </si>
  <si>
    <t>KẾ HOẠCH DÒNG TIỀN &amp; TIẾN ĐỘ GIẢI NGÂN (S-CURVE DỰ TOÁN)</t>
  </si>
  <si>
    <t>Phân bổ giá trị xây lắp hoàn thành theo Quý &amp; Tháng (Công thức sống liên kết BoQ)</t>
  </si>
  <si>
    <t>Thời Gian (Tháng / Quý)</t>
  </si>
  <si>
    <t>Nội Dung Công Tác Trọng Điểm</t>
  </si>
  <si>
    <t>Tỷ Lệ Kế Hoạch Tháng (%)</t>
  </si>
  <si>
    <t>Giá Trị Giải Ngân Tháng (VNĐ)</t>
  </si>
  <si>
    <t>Lũy Kế Giải Ngân (VNĐ)</t>
  </si>
  <si>
    <t>Tỷ Lệ Hoàn Thành Lũy Kế (%)</t>
  </si>
  <si>
    <t>T12/2023</t>
  </si>
  <si>
    <t>Tạm ứng hợp đồng &amp; Huy động công trường</t>
  </si>
  <si>
    <t>Q1/2024</t>
  </si>
  <si>
    <t>Bóc đất hữu cơ, đường công vụ &amp; mở hố móng</t>
  </si>
  <si>
    <t>Q2/2024</t>
  </si>
  <si>
    <t>Cao điểm đào đất, đào đá phân đoạn A1 &amp; A2</t>
  </si>
  <si>
    <t>Q3/2024</t>
  </si>
  <si>
    <t>Tiếp tục đào đất, điều phối đắp K95 &amp; cống ngang</t>
  </si>
  <si>
    <t>Q4/2024</t>
  </si>
  <si>
    <t>Đắp K95, K98 hoàn thiện nền phân đoạn A1</t>
  </si>
  <si>
    <t>Q1/2025</t>
  </si>
  <si>
    <t>Đắp nền A2, thi công móng CPĐD loại 2 A1</t>
  </si>
  <si>
    <t>Q2/2025</t>
  </si>
  <si>
    <t>Móng CPĐD loại 1, thi công móng gia cố xi măng CTB</t>
  </si>
  <si>
    <t>Q3/2025</t>
  </si>
  <si>
    <t>Thảm bê tông nhựa C19 &amp; C12.5 phân đoạn A1 &amp; A2</t>
  </si>
  <si>
    <t>Q4/2025</t>
  </si>
  <si>
    <t>Hoàn thiện mặt đường A2, rãnh dọc, hộ lan &amp; ATGT</t>
  </si>
  <si>
    <t>Q1/2026</t>
  </si>
  <si>
    <t>Nghiệm thu hoàn thành, quyết toán &amp; bàn giao</t>
  </si>
  <si>
    <t>TỔNG CỘNG:</t>
  </si>
  <si>
    <t>DANH MỤC NGÀY NGHỈ LỄ &amp; LỊCH MÙA MƯA</t>
  </si>
  <si>
    <t>HƯỚNG DẪN SỬ DỤNG BỘ CÔNG CỤ SCHEDULE ASSISTANT (23HG)</t>
  </si>
  <si>
    <t>CƠ SỞ DỮ LIỆU ĐỊNH MỨC NĂNG SUẤT CA MÁY (THÔNG TƯ 38/2026/TT-BXD)</t>
  </si>
  <si>
    <t>KẾ HOẠCH NGHIỆM THU &amp; QUẢN LÝ CHẤT LƯỢNG (AEC-QLCL 23HG)</t>
  </si>
  <si>
    <t>Tuân thủ Nghị định 207/2026/NĐ-CP &amp; Thông tư 32/2026/TT-BXD - Tự động liên kết ngày tháng từ Tiến độ</t>
  </si>
  <si>
    <t>Mã Biên Bản</t>
  </si>
  <si>
    <t>Tên Công Việc Nghiệm Thu (NĐ 207/2026)</t>
  </si>
  <si>
    <t>Vị Trí Lý Trình (WBS)</t>
  </si>
  <si>
    <t>Ngày Bắt Đầu</t>
  </si>
  <si>
    <t>Ngày Hoàn Thành</t>
  </si>
  <si>
    <t>Chỉ Dẫn Kỹ Thuật / Tiêu Chuẩn Áp Dụng</t>
  </si>
  <si>
    <t>Hồ Sơ Thí Nghiệm Bắt Buộc Kèm Theo</t>
  </si>
  <si>
    <t>Thời Điểm Lấy Mẫu Thí Nghiệm</t>
  </si>
  <si>
    <t>Logic Kiểm Soát Hồ Sơ 23HG</t>
  </si>
  <si>
    <t>NT-001</t>
  </si>
  <si>
    <t>Nghiệm thu dọn dẹp, phát quang &amp; bóc đất hữu cơ</t>
  </si>
  <si>
    <t>Km 0+000 - Km 2+750</t>
  </si>
  <si>
    <t>TCVN 4447:2012</t>
  </si>
  <si>
    <t>Biên bản đo vẽ cao độ đáy bóc hữu cơ</t>
  </si>
  <si>
    <t>Ngay sau khi bóc xong từng đoạn</t>
  </si>
  <si>
    <t>Khớp cao độ hoàn công</t>
  </si>
  <si>
    <t>NT-002</t>
  </si>
  <si>
    <t>Nghiệm thu đào nền đường &amp; xử lý đáy đào</t>
  </si>
  <si>
    <t>Thí nghiệm chỉ tiêu cơ lý đất đáy đào</t>
  </si>
  <si>
    <t>Trong quá trình đào đất</t>
  </si>
  <si>
    <t>Không để ngập nước</t>
  </si>
  <si>
    <t>NT-003</t>
  </si>
  <si>
    <t>Nghiệm thu đắp đất nền đường phân lớp K95</t>
  </si>
  <si>
    <t>22 TCN 333-06 / AASHTO</t>
  </si>
  <si>
    <t>Thí nghiệm độ chặt K &gt;= 0.95 (phễu rót cát)</t>
  </si>
  <si>
    <t>Từng lớp đắp dày 25-30cm</t>
  </si>
  <si>
    <t>Bắt buộc trước khi mở lớp mới</t>
  </si>
  <si>
    <t>NT-004</t>
  </si>
  <si>
    <t>Nghiệm thu đắp đất nền đường lớp K98 (dày 30cm)</t>
  </si>
  <si>
    <t>22 TCN 333-06 &amp; TCVN 8864</t>
  </si>
  <si>
    <t>Độ chặt K &gt;= 0.98 + Đo mô đun E cần Benkelman</t>
  </si>
  <si>
    <t>Sau khi hoàn thiện lu lèn K98</t>
  </si>
  <si>
    <t>Điều kiện tiên quyết vào móng</t>
  </si>
  <si>
    <t>NT-005</t>
  </si>
  <si>
    <t>Nghiệm thu móng Cấp phối đá dăm loại 2 (dày 15cm)</t>
  </si>
  <si>
    <t>TCVN 8859:2011</t>
  </si>
  <si>
    <t>Thành phần hạt, Los Angeles, độ chặt K &gt;= 0.98</t>
  </si>
  <si>
    <t>Tại bãi tập kết &amp; sau khi lu lèn</t>
  </si>
  <si>
    <t>Đảm bảo độ bằng phẳng</t>
  </si>
  <si>
    <t>NT-006</t>
  </si>
  <si>
    <t>Nghiệm thu móng Cấp phối đá dăm loại 1 (dày 15cm)</t>
  </si>
  <si>
    <t>Độ chặt K &gt;= 0.98 + Thước 3m đo gồ ghề</t>
  </si>
  <si>
    <t>Ngay sau khi hoàn thành lu lèn</t>
  </si>
  <si>
    <t>Kiểm tra cao độ trắc dọc/ngang</t>
  </si>
  <si>
    <t>NT-007</t>
  </si>
  <si>
    <t>Nghiệm thu móng CPĐD gia cố xi măng (CTB)</t>
  </si>
  <si>
    <t>TCVN 8858:2011</t>
  </si>
  <si>
    <t>Ép mẫu nén cường độ R7, R28 + Độ chặt K</t>
  </si>
  <si>
    <t>Lấy mẫu tại trạm trộn &amp; hiện trường</t>
  </si>
  <si>
    <t>Đủ 7 ngày dưỡng hộ mới thảm</t>
  </si>
  <si>
    <t>NT-008</t>
  </si>
  <si>
    <t>Nghiệm thu lớp tưới nhựa dính bám &amp; BTNC 19</t>
  </si>
  <si>
    <t>TCVN 8819:2011</t>
  </si>
  <si>
    <t>Độ ổn định Marshall, độ chặt K, nhiệt độ thảm</t>
  </si>
  <si>
    <t>Kiểm tra nhiệt độ từng xe ben &amp; ép mẫu</t>
  </si>
  <si>
    <t>Nghiêm cấm thảm khi trời mưa</t>
  </si>
  <si>
    <t>NT-009</t>
  </si>
  <si>
    <t>Nghiệm thu thảm bê tông nhựa hạt mịn BTNC 12.5</t>
  </si>
  <si>
    <t>TCVN 8819:2011 &amp; TCVN 8866</t>
  </si>
  <si>
    <t>Đo độ nhám con lắc Anh + Độ bằng phẳng thước 3m</t>
  </si>
  <si>
    <t>Sau khi lu lèn nguội hoàn toàn</t>
  </si>
  <si>
    <t>Độ dốc ngang &amp; siêu cao chuẩn</t>
  </si>
  <si>
    <t>NT-010</t>
  </si>
  <si>
    <t>Nghiệm thu hệ thống an toàn giao thông &amp; Biển báo</t>
  </si>
  <si>
    <t>Km 0+000 - Km 5+500</t>
  </si>
  <si>
    <t>QCVN 41:2019/BGTVT</t>
  </si>
  <si>
    <t>CO/CQ màng phản quang, sơn dẻo nhiệt</t>
  </si>
  <si>
    <t>Trước khi thi công lắp đặt</t>
  </si>
  <si>
    <t>Kiểm tra kích thước hình học</t>
  </si>
  <si>
    <t>GĐ-001</t>
  </si>
  <si>
    <t>NGHIỆM THU HOÀN THÀNH GIAI ĐOẠN XÂY DỰNG</t>
  </si>
  <si>
    <t>Toàn gói thầu G1</t>
  </si>
  <si>
    <t>Nghị định 207/2026/NĐ-CP</t>
  </si>
  <si>
    <t>Trọn bộ hồ sơ hoàn công &amp; biên bản thí nghiệm</t>
  </si>
  <si>
    <t>Trước khi bàn giao đưa vào sử dụng</t>
  </si>
  <si>
    <t>Hội đồng nghiệm thu CĐT-TVGS-NT</t>
  </si>
  <si>
    <t>HỆ THỐNG QUẢN TRỊ GIÁ TRỊ THU ĐƯỢC (EVM 5D) &amp; ĐƯỜNG CƠ SỞ BASELINE – 23HG SYSTEM</t>
  </si>
  <si>
    <t>Kiểm soát Tiến độ - Chi phí (PV, EV, AC, SV, CV, SPI, CPI) theo chuẩn quốc tế PMI &amp; Nghị định 206/2026/NĐ-CP</t>
  </si>
  <si>
    <t>TỔNG DỰ TOÁN (BAC)</t>
  </si>
  <si>
    <t>GIÁ TRỊ KẾ HOẠCH (PV)</t>
  </si>
  <si>
    <t>GIÁ TRỊ THỰC TẾ ĐẠT (EV)</t>
  </si>
  <si>
    <t>CHI PHÍ THỰC TẾ (AC)</t>
  </si>
  <si>
    <t>CHÊNH LỆCH TIẾN ĐỘ (SV)</t>
  </si>
  <si>
    <t>HỆ SỐ TIẾN ĐỘ (SPI)</t>
  </si>
  <si>
    <t>HỆ SỐ CHI PHÍ (CPI)</t>
  </si>
  <si>
    <t>ĐÁNH GIÁ SỨC KHỎE DỰ ÁN:</t>
  </si>
  <si>
    <t>Hạng mục công tác</t>
  </si>
  <si>
    <t>Dự toán (VNĐ)</t>
  </si>
  <si>
    <t>Baseline Bắt đầu</t>
  </si>
  <si>
    <t>Baseline Kết thúc</t>
  </si>
  <si>
    <t>Thực tế Bắt đầu</t>
  </si>
  <si>
    <t>Thực tế Kết thúc</t>
  </si>
  <si>
    <t>% Hoàn thành</t>
  </si>
  <si>
    <t>Planned Value (PV)</t>
  </si>
  <si>
    <t>Earned Value (EV)</t>
  </si>
  <si>
    <t>Actual Cost (AC)</t>
  </si>
  <si>
    <t>SPI</t>
  </si>
  <si>
    <t>Đánh giá 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</si>
</sst>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\ &quot;VNĐ&quot;"/>
  </numFmts>
  <fonts count="35" x14ac:knownFonts="1">
    <font>
      <sz val="11"/>
      <color theme="1"/>
      <name val="Arial"/>
      <family val="2"/>
      <scheme val="minor"/>
    </font>
    <font>
      <b/>
      <sz val="11"/>
      <color rgb="FFFFFFFF"/>
      <name val="Segoe UI"/>
    </font>
    <font>
      <b/>
      <sz val="8.5"/>
      <color rgb="FF000000"/>
      <name val="Segoe UI"/>
    </font>
    <font>
      <b/>
      <sz val="8"/>
      <name val="Segoe UI"/>
    </font>
    <font>
      <sz val="8"/>
      <name val="Segoe UI"/>
    </font>
    <font>
      <b/>
      <sz val="8"/>
      <color rgb="FFD32F2F"/>
      <name val="Segoe UI"/>
    </font>
    <font>
      <b/>
      <sz val="11"/>
      <color rgb="FF6E3812"/>
      <name val="Segoe UI"/>
    </font>
    <font>
      <b/>
      <sz val="8.5"/>
      <color rgb="FF6E3812"/>
      <name val="Segoe UI"/>
    </font>
    <font>
      <b/>
      <sz val="8.5"/>
      <color rgb="FF333333"/>
      <name val="Segoe UI"/>
    </font>
    <font>
      <b/>
      <sz val="7.5"/>
      <color rgb="FF555555"/>
      <name val="Segoe UI"/>
    </font>
    <font>
      <sz val="8.5"/>
      <color rgb="FF000000"/>
      <name val="Segoe UI"/>
      <family val="2"/>
    </font>
    <font>
      <sz val="8.5"/>
      <color rgb="FF000000"/>
      <name val="Segoe UI"/>
    </font>
    <font>
      <sz val="8.5"/>
      <color rgb="FFD32F2F"/>
      <name val="Segoe UI"/>
    </font>
    <font>
      <b/>
      <sz val="8.5"/>
      <color rgb="FFD32F2F"/>
      <name val="Segoe UI"/>
      <family val="2"/>
    </font>
    <font>
      <b/>
      <sz val="15"/>
      <color rgb="FF1B365D"/>
      <name val="Arial"/>
    </font>
    <font>
      <b/>
      <sz val="11"/>
      <color rgb="FF333333"/>
      <name val="Arial"/>
    </font>
    <font>
      <b/>
      <sz val="10"/>
      <color rgb="FFFFFFFF"/>
      <name val="Arial"/>
    </font>
    <font>
      <sz val="11"/>
      <color theme="1"/>
      <name val="Calibri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00695C"/>
      <name val="Arial"/>
    </font>
    <font>
      <b/>
      <sz val="10"/>
      <color rgb="FF000000"/>
      <name val="Arial"/>
    </font>
    <font>
      <b/>
      <sz val="10"/>
      <color rgb="FFD32F2F"/>
      <name val="Arial"/>
    </font>
    <font>
      <b/>
      <sz val="9"/>
      <color rgb="FFFFFFFF"/>
      <name val="Arial"/>
    </font>
    <font>
      <b/>
      <sz val="9"/>
      <color rgb="FF2E7D32"/>
      <name val="Arial"/>
    </font>
    <font>
      <sz val="10"/>
      <name val="Segoe UI"/>
    </font>
    <font>
      <b/>
      <sz val="10"/>
      <name val="Segoe UI"/>
    </font>
    <font>
      <b/>
      <sz val="12"/>
      <color rgb="FF5A3718"/>
      <name val="Segoe UI"/>
    </font>
    <font>
      <b/>
      <sz val="14"/>
      <color rgb="FF1B365D"/>
      <name val="Segoe UI"/>
    </font>
    <font>
      <i/>
      <sz val="10"/>
      <color rgb="FF555555"/>
      <name val="Segoe UI"/>
    </font>
    <font>
      <b/>
      <sz val="9"/>
      <color rgb="FFFFFFFF"/>
      <name val="Segoe UI"/>
    </font>
    <font>
      <b/>
      <sz val="11"/>
      <color rgb="FF000000"/>
      <name val="Segoe UI"/>
    </font>
    <font>
      <b/>
      <sz val="10"/>
      <color rgb="FF1B365D"/>
      <name val="Segoe UI"/>
    </font>
    <font>
      <b/>
      <sz val="10"/>
      <color rgb="FF2E7D32"/>
      <name val="Segoe UI"/>
    </font>
    <font>
      <sz val="9"/>
      <name val="Segoe UI"/>
    </font>
  </fonts>
  <fills count="17">
    <fill>
      <patternFill patternType="none"/>
    </fill>
    <fill>
      <patternFill patternType="gray125"/>
    </fill>
    <fill>
      <patternFill patternType="solid">
        <fgColor rgb="FF5A3718"/>
        <bgColor rgb="FF5A3718"/>
      </patternFill>
    </fill>
    <fill>
      <patternFill patternType="solid">
        <fgColor rgb="FFF7EDE2"/>
        <bgColor rgb="FFF7EDE2"/>
      </patternFill>
    </fill>
    <fill>
      <patternFill patternType="solid">
        <fgColor rgb="FFEFE2D3"/>
        <bgColor rgb="FFEFE2D3"/>
      </patternFill>
    </fill>
    <fill>
      <patternFill patternType="solid">
        <fgColor rgb="FF1B365D"/>
        <bgColor rgb="FF1B365D"/>
      </patternFill>
    </fill>
    <fill>
      <patternFill patternType="solid">
        <fgColor rgb="FFD9E1F2"/>
        <bgColor rgb="FFD9E1F2"/>
      </patternFill>
    </fill>
    <fill>
      <patternFill patternType="solid">
        <fgColor rgb="FFE0F2F1"/>
        <bgColor rgb="FFE0F2F1"/>
      </patternFill>
    </fill>
    <fill>
      <patternFill patternType="solid">
        <fgColor rgb="FFFFF3E0"/>
        <bgColor rgb="FFFFF3E0"/>
      </patternFill>
    </fill>
    <fill>
      <patternFill patternType="solid">
        <fgColor rgb="FF2B4C7E"/>
        <bgColor rgb="FF2B4C7E"/>
      </patternFill>
    </fill>
    <fill>
      <patternFill patternType="solid">
        <fgColor rgb="FF2E7D32"/>
        <bgColor rgb="FF2E7D32"/>
      </patternFill>
    </fill>
    <fill>
      <patternFill patternType="solid">
        <fgColor rgb="FF00695C"/>
        <bgColor rgb="FF00695C"/>
      </patternFill>
    </fill>
    <fill>
      <patternFill patternType="solid">
        <fgColor rgb="FF4A2E18"/>
        <bgColor rgb="FF4A2E18"/>
      </patternFill>
    </fill>
    <fill>
      <patternFill patternType="solid">
        <fgColor rgb="FFC55A11"/>
        <bgColor rgb="FFC55A11"/>
      </patternFill>
    </fill>
    <fill>
      <patternFill patternType="solid">
        <fgColor rgb="FF2B6CB0"/>
        <bgColor rgb="FF2B6CB0"/>
      </patternFill>
    </fill>
    <fill>
      <patternFill patternType="solid">
        <fgColor rgb="FF553C9A"/>
        <bgColor rgb="FF553C9A"/>
      </patternFill>
    </fill>
    <fill>
      <patternFill patternType="solid">
        <fgColor rgb="FFF0F4F8"/>
        <bgColor rgb="FFF0F4F8"/>
      </patternFill>
    </fill>
  </fills>
  <borders count="6">
    <border>
      <left/>
      <right/>
      <top/>
      <bottom/>
      <diagonal/>
    </border>
    <border>
      <left style="thin">
        <color rgb="FFD1BA9F"/>
      </left>
      <right style="thin">
        <color rgb="FFD1BA9F"/>
      </right>
      <top style="medium">
        <color rgb="FF5A3718"/>
      </top>
      <bottom style="medium">
        <color rgb="FF5A3718"/>
      </bottom>
      <diagonal/>
    </border>
    <border>
      <left/>
      <right/>
      <top style="medium">
        <color rgb="FF5A3718"/>
      </top>
      <bottom style="medium">
        <color rgb="FF5A3718"/>
      </bottom>
      <diagonal/>
    </border>
    <border>
      <left/>
      <right style="thin">
        <color rgb="FFD1BA9F"/>
      </right>
      <top style="medium">
        <color rgb="FF5A3718"/>
      </top>
      <bottom style="medium">
        <color rgb="FF5A3718"/>
      </bottom>
      <diagonal/>
    </border>
    <border>
      <left style="thin">
        <color rgb="FFD1BA9F"/>
      </left>
      <right style="thin">
        <color rgb="FFD1BA9F"/>
      </right>
      <top/>
      <bottom style="medium">
        <color rgb="FF5A3718"/>
      </bottom>
      <diagonal/>
    </border>
    <border>
      <left style="thin">
        <color rgb="FFD1BA9F"/>
      </left>
      <right style="thin">
        <color rgb="FFD1BA9F"/>
      </right>
      <top style="thin">
        <color rgb="FFD1BA9F"/>
      </top>
      <bottom style="thin">
        <color rgb="FFD1BA9F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14" fontId="4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9" fillId="4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right" vertical="center"/>
    </xf>
    <xf numFmtId="14" fontId="2" fillId="0" borderId="5" xfId="0" applyNumberFormat="1" applyFont="1" applyBorder="1" applyAlignment="1">
      <alignment horizontal="center" vertical="center"/>
    </xf>
    <xf numFmtId="0" fontId="0" fillId="0" borderId="5" xfId="0" applyBorder="1"/>
    <xf numFmtId="0" fontId="10" fillId="0" borderId="5" xfId="0" applyFont="1" applyBorder="1" applyAlignment="1">
      <alignment horizontal="left" vertical="center" indent="1"/>
    </xf>
    <xf numFmtId="0" fontId="11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indent="2"/>
    </xf>
    <xf numFmtId="0" fontId="11" fillId="0" borderId="5" xfId="0" applyFont="1" applyBorder="1" applyAlignment="1">
      <alignment horizontal="right" vertical="center"/>
    </xf>
    <xf numFmtId="14" fontId="11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 indent="2"/>
    </xf>
    <xf numFmtId="0" fontId="12" fillId="0" borderId="5" xfId="0" applyFont="1" applyBorder="1" applyAlignment="1">
      <alignment horizontal="right" vertical="center"/>
    </xf>
    <xf numFmtId="14" fontId="12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 indent="3"/>
    </xf>
    <xf numFmtId="0" fontId="10" fillId="0" borderId="5" xfId="0" applyFont="1" applyBorder="1" applyAlignment="1">
      <alignment horizontal="left" vertical="center" indent="3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7" fillId="0" borderId="0" xfId="0" applyFont="1"/>
    <xf numFmtId="0" fontId="18" fillId="6" borderId="0" xfId="0" applyFont="1" applyFill="1"/>
    <xf numFmtId="0" fontId="17" fillId="6" borderId="0" xfId="0" applyFont="1" applyFill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3" fontId="19" fillId="0" borderId="0" xfId="0" applyNumberFormat="1" applyFont="1" applyAlignment="1">
      <alignment horizontal="right" vertical="center"/>
    </xf>
    <xf numFmtId="0" fontId="20" fillId="7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left" vertical="center"/>
    </xf>
    <xf numFmtId="3" fontId="20" fillId="7" borderId="0" xfId="0" applyNumberFormat="1" applyFont="1" applyFill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3" fontId="21" fillId="0" borderId="0" xfId="0" applyNumberFormat="1" applyFont="1"/>
    <xf numFmtId="0" fontId="19" fillId="0" borderId="0" xfId="0" applyFont="1"/>
    <xf numFmtId="0" fontId="17" fillId="8" borderId="0" xfId="0" applyFont="1" applyFill="1" applyAlignment="1">
      <alignment horizontal="center" vertical="center"/>
    </xf>
    <xf numFmtId="0" fontId="18" fillId="8" borderId="0" xfId="0" applyFont="1" applyFill="1"/>
    <xf numFmtId="0" fontId="17" fillId="8" borderId="0" xfId="0" applyFont="1" applyFill="1"/>
    <xf numFmtId="3" fontId="22" fillId="8" borderId="0" xfId="0" applyNumberFormat="1" applyFont="1" applyFill="1"/>
    <xf numFmtId="0" fontId="19" fillId="8" borderId="0" xfId="0" applyFont="1" applyFill="1"/>
    <xf numFmtId="0" fontId="23" fillId="9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/>
    </xf>
    <xf numFmtId="3" fontId="19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64" fontId="25" fillId="0" borderId="0" xfId="0" applyNumberFormat="1" applyFont="1" applyAlignment="1">
      <alignment horizontal="right" vertical="center"/>
    </xf>
    <xf numFmtId="165" fontId="25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164" fontId="26" fillId="0" borderId="0" xfId="0" applyNumberFormat="1" applyFont="1" applyAlignment="1">
      <alignment horizontal="right" vertical="center"/>
    </xf>
    <xf numFmtId="165" fontId="26" fillId="0" borderId="0" xfId="0" applyNumberFormat="1" applyFont="1" applyAlignment="1">
      <alignment horizontal="right" vertical="center"/>
    </xf>
    <xf numFmtId="0" fontId="27" fillId="0" borderId="0" xfId="0" applyFont="1"/>
    <xf numFmtId="14" fontId="19" fillId="0" borderId="0" xfId="0" applyNumberFormat="1" applyFont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left" vertical="center"/>
    </xf>
    <xf numFmtId="14" fontId="18" fillId="8" borderId="0" xfId="0" applyNumberFormat="1" applyFont="1" applyFill="1" applyAlignment="1">
      <alignment horizontal="center" vertical="center"/>
    </xf>
    <xf numFmtId="0" fontId="28" fillId="0" borderId="0" xfId="0" applyFont="1"/>
    <xf numFmtId="0" fontId="29" fillId="0" borderId="0" xfId="0" applyFont="1"/>
    <xf numFmtId="0" fontId="30" fillId="5" borderId="0" xfId="0" applyFont="1" applyFill="1" applyAlignment="1">
      <alignment horizontal="center" vertical="center"/>
    </xf>
    <xf numFmtId="0" fontId="30" fillId="10" borderId="0" xfId="0" applyFont="1" applyFill="1" applyAlignment="1">
      <alignment horizontal="center" vertical="center"/>
    </xf>
    <xf numFmtId="0" fontId="30" fillId="11" borderId="0" xfId="0" applyFont="1" applyFill="1" applyAlignment="1">
      <alignment horizontal="center" vertical="center"/>
    </xf>
    <xf numFmtId="0" fontId="30" fillId="12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0" fillId="14" borderId="0" xfId="0" applyFont="1" applyFill="1" applyAlignment="1">
      <alignment horizontal="center" vertical="center"/>
    </xf>
    <xf numFmtId="0" fontId="30" fillId="15" borderId="0" xfId="0" applyFont="1" applyFill="1" applyAlignment="1">
      <alignment horizontal="center" vertical="center"/>
    </xf>
    <xf numFmtId="165" fontId="31" fillId="16" borderId="0" xfId="0" applyNumberFormat="1" applyFont="1" applyFill="1" applyAlignment="1">
      <alignment horizontal="center" vertical="center"/>
    </xf>
    <xf numFmtId="2" fontId="31" fillId="16" borderId="0" xfId="0" applyNumberFormat="1" applyFont="1" applyFill="1" applyAlignment="1">
      <alignment horizontal="center" vertical="center"/>
    </xf>
    <xf numFmtId="0" fontId="32" fillId="0" borderId="0" xfId="0" applyFont="1"/>
    <xf numFmtId="0" fontId="33" fillId="0" borderId="0" xfId="0" applyFont="1"/>
    <xf numFmtId="0" fontId="30" fillId="5" borderId="0" xfId="0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165" fontId="34" fillId="0" borderId="0" xfId="0" applyNumberFormat="1" applyFont="1" applyAlignment="1">
      <alignment horizontal="right" vertical="center"/>
    </xf>
    <xf numFmtId="14" fontId="34" fillId="0" borderId="0" xfId="0" applyNumberFormat="1" applyFont="1" applyAlignment="1">
      <alignment horizontal="center" vertical="center"/>
    </xf>
    <xf numFmtId="164" fontId="34" fillId="0" borderId="0" xfId="0" applyNumberFormat="1" applyFont="1" applyAlignment="1">
      <alignment horizontal="center" vertical="center"/>
    </xf>
    <xf numFmtId="2" fontId="3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1159</xdr:colOff>
      <xdr:row>8</xdr:row>
      <xdr:rowOff>88900</xdr:rowOff>
    </xdr:from>
    <xdr:to>
      <xdr:col>32</xdr:col>
      <xdr:colOff>311707</xdr:colOff>
      <xdr:row>8</xdr:row>
      <xdr:rowOff>139700</xdr:rowOff>
    </xdr:to>
    <xdr:sp macro="" textlink="">
      <xdr:nvSpPr>
        <xdr:cNvPr id="2" name="Gantt_Summ_9">
          <a:extLst>
            <a:ext uri="{FF2B5EF4-FFF2-40B4-BE49-F238E27FC236}">
              <a16:creationId xmlns:a16="http://schemas.microsoft.com/office/drawing/2014/main" id="{9C18527D-0799-4819-84BC-764F0F0BBAE4}"/>
            </a:ext>
          </a:extLst>
        </xdr:cNvPr>
        <xdr:cNvSpPr/>
      </xdr:nvSpPr>
      <xdr:spPr>
        <a:xfrm>
          <a:off x="7798959" y="1892300"/>
          <a:ext cx="7613048" cy="50800"/>
        </a:xfrm>
        <a:prstGeom prst="rect">
          <a:avLst/>
        </a:prstGeom>
        <a:solidFill>
          <a:srgbClr val="0000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9</xdr:col>
      <xdr:colOff>1159</xdr:colOff>
      <xdr:row>8</xdr:row>
      <xdr:rowOff>88900</xdr:rowOff>
    </xdr:from>
    <xdr:to>
      <xdr:col>9</xdr:col>
      <xdr:colOff>39259</xdr:colOff>
      <xdr:row>8</xdr:row>
      <xdr:rowOff>177800</xdr:rowOff>
    </xdr:to>
    <xdr:sp macro="" textlink="">
      <xdr:nvSpPr>
        <xdr:cNvPr id="3" name="Gantt_Summ_BL_9">
          <a:extLst>
            <a:ext uri="{FF2B5EF4-FFF2-40B4-BE49-F238E27FC236}">
              <a16:creationId xmlns:a16="http://schemas.microsoft.com/office/drawing/2014/main" id="{91306127-A0BF-4235-A80E-F900F8EB5F61}"/>
            </a:ext>
          </a:extLst>
        </xdr:cNvPr>
        <xdr:cNvSpPr/>
      </xdr:nvSpPr>
      <xdr:spPr>
        <a:xfrm>
          <a:off x="7798959" y="1892300"/>
          <a:ext cx="38100" cy="88900"/>
        </a:xfrm>
        <a:prstGeom prst="rect">
          <a:avLst/>
        </a:prstGeom>
        <a:solidFill>
          <a:srgbClr val="0000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32</xdr:col>
      <xdr:colOff>273607</xdr:colOff>
      <xdr:row>8</xdr:row>
      <xdr:rowOff>88900</xdr:rowOff>
    </xdr:from>
    <xdr:to>
      <xdr:col>32</xdr:col>
      <xdr:colOff>311707</xdr:colOff>
      <xdr:row>8</xdr:row>
      <xdr:rowOff>177800</xdr:rowOff>
    </xdr:to>
    <xdr:sp macro="" textlink="">
      <xdr:nvSpPr>
        <xdr:cNvPr id="4" name="Gantt_Summ_BR_9">
          <a:extLst>
            <a:ext uri="{FF2B5EF4-FFF2-40B4-BE49-F238E27FC236}">
              <a16:creationId xmlns:a16="http://schemas.microsoft.com/office/drawing/2014/main" id="{3991D9DB-88F1-4BF0-96CC-A86EACE3157D}"/>
            </a:ext>
          </a:extLst>
        </xdr:cNvPr>
        <xdr:cNvSpPr/>
      </xdr:nvSpPr>
      <xdr:spPr>
        <a:xfrm>
          <a:off x="15373907" y="1892300"/>
          <a:ext cx="38100" cy="88900"/>
        </a:xfrm>
        <a:prstGeom prst="rect">
          <a:avLst/>
        </a:prstGeom>
        <a:solidFill>
          <a:srgbClr val="0000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8</xdr:col>
      <xdr:colOff>39259</xdr:colOff>
      <xdr:row>8</xdr:row>
      <xdr:rowOff>12700</xdr:rowOff>
    </xdr:from>
    <xdr:to>
      <xdr:col>9</xdr:col>
      <xdr:colOff>26559</xdr:colOff>
      <xdr:row>8</xdr:row>
      <xdr:rowOff>190500</xdr:rowOff>
    </xdr:to>
    <xdr:sp macro="" textlink="">
      <xdr:nvSpPr>
        <xdr:cNvPr id="5" name="GTag_S_9">
          <a:extLst>
            <a:ext uri="{FF2B5EF4-FFF2-40B4-BE49-F238E27FC236}">
              <a16:creationId xmlns:a16="http://schemas.microsoft.com/office/drawing/2014/main" id="{68249A45-BE63-4625-B3AC-8AF737E028EE}"/>
            </a:ext>
          </a:extLst>
        </xdr:cNvPr>
        <xdr:cNvSpPr txBox="1"/>
      </xdr:nvSpPr>
      <xdr:spPr>
        <a:xfrm>
          <a:off x="7519559" y="1816100"/>
          <a:ext cx="3048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01/12</a:t>
          </a:r>
        </a:p>
      </xdr:txBody>
    </xdr:sp>
    <xdr:clientData/>
  </xdr:twoCellAnchor>
  <xdr:twoCellAnchor>
    <xdr:from>
      <xdr:col>33</xdr:col>
      <xdr:colOff>19607</xdr:colOff>
      <xdr:row>8</xdr:row>
      <xdr:rowOff>12700</xdr:rowOff>
    </xdr:from>
    <xdr:to>
      <xdr:col>34</xdr:col>
      <xdr:colOff>133907</xdr:colOff>
      <xdr:row>8</xdr:row>
      <xdr:rowOff>190500</xdr:rowOff>
    </xdr:to>
    <xdr:sp macro="" textlink="">
      <xdr:nvSpPr>
        <xdr:cNvPr id="6" name="GTag_E_9">
          <a:extLst>
            <a:ext uri="{FF2B5EF4-FFF2-40B4-BE49-F238E27FC236}">
              <a16:creationId xmlns:a16="http://schemas.microsoft.com/office/drawing/2014/main" id="{0C7B8EAF-E86B-46F8-AAFE-4CB0D7488579}"/>
            </a:ext>
          </a:extLst>
        </xdr:cNvPr>
        <xdr:cNvSpPr txBox="1"/>
      </xdr:nvSpPr>
      <xdr:spPr>
        <a:xfrm>
          <a:off x="15437407" y="1816100"/>
          <a:ext cx="4318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30/11/25</a:t>
          </a:r>
        </a:p>
      </xdr:txBody>
    </xdr:sp>
    <xdr:clientData/>
  </xdr:twoCellAnchor>
  <xdr:twoCellAnchor>
    <xdr:from>
      <xdr:col>9</xdr:col>
      <xdr:colOff>1159</xdr:colOff>
      <xdr:row>9</xdr:row>
      <xdr:rowOff>88900</xdr:rowOff>
    </xdr:from>
    <xdr:to>
      <xdr:col>11</xdr:col>
      <xdr:colOff>221323</xdr:colOff>
      <xdr:row>9</xdr:row>
      <xdr:rowOff>139700</xdr:rowOff>
    </xdr:to>
    <xdr:sp macro="" textlink="">
      <xdr:nvSpPr>
        <xdr:cNvPr id="7" name="Gantt_Summ_10">
          <a:extLst>
            <a:ext uri="{FF2B5EF4-FFF2-40B4-BE49-F238E27FC236}">
              <a16:creationId xmlns:a16="http://schemas.microsoft.com/office/drawing/2014/main" id="{EA70D227-05B2-4445-A9DA-79463C2EC94C}"/>
            </a:ext>
          </a:extLst>
        </xdr:cNvPr>
        <xdr:cNvSpPr/>
      </xdr:nvSpPr>
      <xdr:spPr>
        <a:xfrm>
          <a:off x="7798959" y="2120900"/>
          <a:ext cx="855164" cy="50800"/>
        </a:xfrm>
        <a:prstGeom prst="rect">
          <a:avLst/>
        </a:prstGeom>
        <a:solidFill>
          <a:srgbClr val="0000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9</xdr:col>
      <xdr:colOff>1159</xdr:colOff>
      <xdr:row>9</xdr:row>
      <xdr:rowOff>88900</xdr:rowOff>
    </xdr:from>
    <xdr:to>
      <xdr:col>9</xdr:col>
      <xdr:colOff>39259</xdr:colOff>
      <xdr:row>9</xdr:row>
      <xdr:rowOff>177800</xdr:rowOff>
    </xdr:to>
    <xdr:sp macro="" textlink="">
      <xdr:nvSpPr>
        <xdr:cNvPr id="8" name="Gantt_Summ_BL_10">
          <a:extLst>
            <a:ext uri="{FF2B5EF4-FFF2-40B4-BE49-F238E27FC236}">
              <a16:creationId xmlns:a16="http://schemas.microsoft.com/office/drawing/2014/main" id="{C838F67D-DEA0-4265-9D6F-5950AE9B8A09}"/>
            </a:ext>
          </a:extLst>
        </xdr:cNvPr>
        <xdr:cNvSpPr/>
      </xdr:nvSpPr>
      <xdr:spPr>
        <a:xfrm>
          <a:off x="7798959" y="2120900"/>
          <a:ext cx="38100" cy="88900"/>
        </a:xfrm>
        <a:prstGeom prst="rect">
          <a:avLst/>
        </a:prstGeom>
        <a:solidFill>
          <a:srgbClr val="0000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11</xdr:col>
      <xdr:colOff>183223</xdr:colOff>
      <xdr:row>9</xdr:row>
      <xdr:rowOff>88900</xdr:rowOff>
    </xdr:from>
    <xdr:to>
      <xdr:col>11</xdr:col>
      <xdr:colOff>221323</xdr:colOff>
      <xdr:row>9</xdr:row>
      <xdr:rowOff>177800</xdr:rowOff>
    </xdr:to>
    <xdr:sp macro="" textlink="">
      <xdr:nvSpPr>
        <xdr:cNvPr id="9" name="Gantt_Summ_BR_10">
          <a:extLst>
            <a:ext uri="{FF2B5EF4-FFF2-40B4-BE49-F238E27FC236}">
              <a16:creationId xmlns:a16="http://schemas.microsoft.com/office/drawing/2014/main" id="{83463F84-82EE-4184-9CC3-4B0F6D0465B2}"/>
            </a:ext>
          </a:extLst>
        </xdr:cNvPr>
        <xdr:cNvSpPr/>
      </xdr:nvSpPr>
      <xdr:spPr>
        <a:xfrm>
          <a:off x="8616023" y="2120900"/>
          <a:ext cx="38100" cy="88900"/>
        </a:xfrm>
        <a:prstGeom prst="rect">
          <a:avLst/>
        </a:prstGeom>
        <a:solidFill>
          <a:srgbClr val="0000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8</xdr:col>
      <xdr:colOff>39259</xdr:colOff>
      <xdr:row>9</xdr:row>
      <xdr:rowOff>12700</xdr:rowOff>
    </xdr:from>
    <xdr:to>
      <xdr:col>9</xdr:col>
      <xdr:colOff>26559</xdr:colOff>
      <xdr:row>9</xdr:row>
      <xdr:rowOff>190500</xdr:rowOff>
    </xdr:to>
    <xdr:sp macro="" textlink="">
      <xdr:nvSpPr>
        <xdr:cNvPr id="10" name="GTag_S_10">
          <a:extLst>
            <a:ext uri="{FF2B5EF4-FFF2-40B4-BE49-F238E27FC236}">
              <a16:creationId xmlns:a16="http://schemas.microsoft.com/office/drawing/2014/main" id="{02349ADA-4896-41F7-AA1A-80B34E2F10E2}"/>
            </a:ext>
          </a:extLst>
        </xdr:cNvPr>
        <xdr:cNvSpPr txBox="1"/>
      </xdr:nvSpPr>
      <xdr:spPr>
        <a:xfrm>
          <a:off x="7519559" y="2044700"/>
          <a:ext cx="3048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01/12</a:t>
          </a:r>
        </a:p>
      </xdr:txBody>
    </xdr:sp>
    <xdr:clientData/>
  </xdr:twoCellAnchor>
  <xdr:twoCellAnchor>
    <xdr:from>
      <xdr:col>11</xdr:col>
      <xdr:colOff>246723</xdr:colOff>
      <xdr:row>9</xdr:row>
      <xdr:rowOff>12700</xdr:rowOff>
    </xdr:from>
    <xdr:to>
      <xdr:col>13</xdr:col>
      <xdr:colOff>43523</xdr:colOff>
      <xdr:row>9</xdr:row>
      <xdr:rowOff>190500</xdr:rowOff>
    </xdr:to>
    <xdr:sp macro="" textlink="">
      <xdr:nvSpPr>
        <xdr:cNvPr id="11" name="GTag_E_10">
          <a:extLst>
            <a:ext uri="{FF2B5EF4-FFF2-40B4-BE49-F238E27FC236}">
              <a16:creationId xmlns:a16="http://schemas.microsoft.com/office/drawing/2014/main" id="{A5D5E4A2-D882-495D-9EA4-A011C055FD0A}"/>
            </a:ext>
          </a:extLst>
        </xdr:cNvPr>
        <xdr:cNvSpPr txBox="1"/>
      </xdr:nvSpPr>
      <xdr:spPr>
        <a:xfrm>
          <a:off x="8679523" y="2044700"/>
          <a:ext cx="4318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21/02/24</a:t>
          </a:r>
        </a:p>
      </xdr:txBody>
    </xdr:sp>
    <xdr:clientData/>
  </xdr:twoCellAnchor>
  <xdr:twoCellAnchor>
    <xdr:from>
      <xdr:col>9</xdr:col>
      <xdr:colOff>1159</xdr:colOff>
      <xdr:row>10</xdr:row>
      <xdr:rowOff>38100</xdr:rowOff>
    </xdr:from>
    <xdr:to>
      <xdr:col>9</xdr:col>
      <xdr:colOff>251451</xdr:colOff>
      <xdr:row>10</xdr:row>
      <xdr:rowOff>190500</xdr:rowOff>
    </xdr:to>
    <xdr:sp macro="" textlink="">
      <xdr:nvSpPr>
        <xdr:cNvPr id="12" name="Gantt_Norm_11">
          <a:extLst>
            <a:ext uri="{FF2B5EF4-FFF2-40B4-BE49-F238E27FC236}">
              <a16:creationId xmlns:a16="http://schemas.microsoft.com/office/drawing/2014/main" id="{896F843A-F5E7-451D-AF9F-68F3F4B02345}"/>
            </a:ext>
          </a:extLst>
        </xdr:cNvPr>
        <xdr:cNvSpPr/>
      </xdr:nvSpPr>
      <xdr:spPr>
        <a:xfrm>
          <a:off x="7798959" y="2298700"/>
          <a:ext cx="250292" cy="152400"/>
        </a:xfrm>
        <a:prstGeom prst="roundRect">
          <a:avLst/>
        </a:prstGeom>
        <a:solidFill>
          <a:srgbClr val="5C965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8</xdr:col>
      <xdr:colOff>64659</xdr:colOff>
      <xdr:row>10</xdr:row>
      <xdr:rowOff>12700</xdr:rowOff>
    </xdr:from>
    <xdr:to>
      <xdr:col>9</xdr:col>
      <xdr:colOff>26559</xdr:colOff>
      <xdr:row>10</xdr:row>
      <xdr:rowOff>190500</xdr:rowOff>
    </xdr:to>
    <xdr:sp macro="" textlink="">
      <xdr:nvSpPr>
        <xdr:cNvPr id="13" name="GTag_S_11">
          <a:extLst>
            <a:ext uri="{FF2B5EF4-FFF2-40B4-BE49-F238E27FC236}">
              <a16:creationId xmlns:a16="http://schemas.microsoft.com/office/drawing/2014/main" id="{43C6FBBD-6F0E-4EC5-BBF8-B835441ABBEE}"/>
            </a:ext>
          </a:extLst>
        </xdr:cNvPr>
        <xdr:cNvSpPr txBox="1"/>
      </xdr:nvSpPr>
      <xdr:spPr>
        <a:xfrm>
          <a:off x="7544959" y="22733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01/12</a:t>
          </a:r>
        </a:p>
      </xdr:txBody>
    </xdr:sp>
    <xdr:clientData/>
  </xdr:twoCellAnchor>
  <xdr:twoCellAnchor>
    <xdr:from>
      <xdr:col>9</xdr:col>
      <xdr:colOff>276851</xdr:colOff>
      <xdr:row>10</xdr:row>
      <xdr:rowOff>12700</xdr:rowOff>
    </xdr:from>
    <xdr:to>
      <xdr:col>10</xdr:col>
      <xdr:colOff>314951</xdr:colOff>
      <xdr:row>10</xdr:row>
      <xdr:rowOff>190500</xdr:rowOff>
    </xdr:to>
    <xdr:sp macro="" textlink="">
      <xdr:nvSpPr>
        <xdr:cNvPr id="14" name="GTag_E_11">
          <a:extLst>
            <a:ext uri="{FF2B5EF4-FFF2-40B4-BE49-F238E27FC236}">
              <a16:creationId xmlns:a16="http://schemas.microsoft.com/office/drawing/2014/main" id="{E27E1FA3-BA67-4D47-A694-40240084499E}"/>
            </a:ext>
          </a:extLst>
        </xdr:cNvPr>
        <xdr:cNvSpPr txBox="1"/>
      </xdr:nvSpPr>
      <xdr:spPr>
        <a:xfrm>
          <a:off x="8074651" y="2273300"/>
          <a:ext cx="355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25/12</a:t>
          </a:r>
        </a:p>
      </xdr:txBody>
    </xdr:sp>
    <xdr:clientData/>
  </xdr:twoCellAnchor>
  <xdr:twoCellAnchor>
    <xdr:from>
      <xdr:col>9</xdr:col>
      <xdr:colOff>261879</xdr:colOff>
      <xdr:row>11</xdr:row>
      <xdr:rowOff>38100</xdr:rowOff>
    </xdr:from>
    <xdr:to>
      <xdr:col>11</xdr:col>
      <xdr:colOff>221323</xdr:colOff>
      <xdr:row>11</xdr:row>
      <xdr:rowOff>190500</xdr:rowOff>
    </xdr:to>
    <xdr:sp macro="" textlink="">
      <xdr:nvSpPr>
        <xdr:cNvPr id="15" name="Gantt_Norm_12">
          <a:extLst>
            <a:ext uri="{FF2B5EF4-FFF2-40B4-BE49-F238E27FC236}">
              <a16:creationId xmlns:a16="http://schemas.microsoft.com/office/drawing/2014/main" id="{4AF0463C-88AF-499C-B28B-5A5715EAFCD7}"/>
            </a:ext>
          </a:extLst>
        </xdr:cNvPr>
        <xdr:cNvSpPr/>
      </xdr:nvSpPr>
      <xdr:spPr>
        <a:xfrm>
          <a:off x="8059679" y="2527300"/>
          <a:ext cx="594444" cy="152400"/>
        </a:xfrm>
        <a:prstGeom prst="roundRect">
          <a:avLst/>
        </a:prstGeom>
        <a:solidFill>
          <a:srgbClr val="5C965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9</xdr:col>
      <xdr:colOff>7879</xdr:colOff>
      <xdr:row>11</xdr:row>
      <xdr:rowOff>12700</xdr:rowOff>
    </xdr:from>
    <xdr:to>
      <xdr:col>9</xdr:col>
      <xdr:colOff>287279</xdr:colOff>
      <xdr:row>11</xdr:row>
      <xdr:rowOff>190500</xdr:rowOff>
    </xdr:to>
    <xdr:sp macro="" textlink="">
      <xdr:nvSpPr>
        <xdr:cNvPr id="16" name="GTag_S_12">
          <a:extLst>
            <a:ext uri="{FF2B5EF4-FFF2-40B4-BE49-F238E27FC236}">
              <a16:creationId xmlns:a16="http://schemas.microsoft.com/office/drawing/2014/main" id="{85031E6A-E4F5-466A-9784-D6E1443D95DE}"/>
            </a:ext>
          </a:extLst>
        </xdr:cNvPr>
        <xdr:cNvSpPr txBox="1"/>
      </xdr:nvSpPr>
      <xdr:spPr>
        <a:xfrm>
          <a:off x="7805679" y="25019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26/12</a:t>
          </a:r>
        </a:p>
      </xdr:txBody>
    </xdr:sp>
    <xdr:clientData/>
  </xdr:twoCellAnchor>
  <xdr:twoCellAnchor>
    <xdr:from>
      <xdr:col>11</xdr:col>
      <xdr:colOff>246723</xdr:colOff>
      <xdr:row>11</xdr:row>
      <xdr:rowOff>12700</xdr:rowOff>
    </xdr:from>
    <xdr:to>
      <xdr:col>12</xdr:col>
      <xdr:colOff>284823</xdr:colOff>
      <xdr:row>11</xdr:row>
      <xdr:rowOff>190500</xdr:rowOff>
    </xdr:to>
    <xdr:sp macro="" textlink="">
      <xdr:nvSpPr>
        <xdr:cNvPr id="17" name="GTag_E_12">
          <a:extLst>
            <a:ext uri="{FF2B5EF4-FFF2-40B4-BE49-F238E27FC236}">
              <a16:creationId xmlns:a16="http://schemas.microsoft.com/office/drawing/2014/main" id="{60A4A695-633C-4293-8D9E-AF5D0C27D13A}"/>
            </a:ext>
          </a:extLst>
        </xdr:cNvPr>
        <xdr:cNvSpPr txBox="1"/>
      </xdr:nvSpPr>
      <xdr:spPr>
        <a:xfrm>
          <a:off x="8679523" y="2501900"/>
          <a:ext cx="355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21/02/24</a:t>
          </a:r>
        </a:p>
      </xdr:txBody>
    </xdr:sp>
    <xdr:clientData/>
  </xdr:twoCellAnchor>
  <xdr:twoCellAnchor>
    <xdr:from>
      <xdr:col>9</xdr:col>
      <xdr:colOff>1159</xdr:colOff>
      <xdr:row>12</xdr:row>
      <xdr:rowOff>38100</xdr:rowOff>
    </xdr:from>
    <xdr:to>
      <xdr:col>9</xdr:col>
      <xdr:colOff>251451</xdr:colOff>
      <xdr:row>12</xdr:row>
      <xdr:rowOff>190500</xdr:rowOff>
    </xdr:to>
    <xdr:sp macro="" textlink="">
      <xdr:nvSpPr>
        <xdr:cNvPr id="18" name="Gantt_Norm_13">
          <a:extLst>
            <a:ext uri="{FF2B5EF4-FFF2-40B4-BE49-F238E27FC236}">
              <a16:creationId xmlns:a16="http://schemas.microsoft.com/office/drawing/2014/main" id="{FF56A609-3540-45A6-879A-26D04E4CCDD4}"/>
            </a:ext>
          </a:extLst>
        </xdr:cNvPr>
        <xdr:cNvSpPr/>
      </xdr:nvSpPr>
      <xdr:spPr>
        <a:xfrm>
          <a:off x="7798959" y="2755900"/>
          <a:ext cx="250292" cy="152400"/>
        </a:xfrm>
        <a:prstGeom prst="roundRect">
          <a:avLst/>
        </a:prstGeom>
        <a:solidFill>
          <a:srgbClr val="5C965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8</xdr:col>
      <xdr:colOff>64659</xdr:colOff>
      <xdr:row>12</xdr:row>
      <xdr:rowOff>12700</xdr:rowOff>
    </xdr:from>
    <xdr:to>
      <xdr:col>9</xdr:col>
      <xdr:colOff>26559</xdr:colOff>
      <xdr:row>12</xdr:row>
      <xdr:rowOff>190500</xdr:rowOff>
    </xdr:to>
    <xdr:sp macro="" textlink="">
      <xdr:nvSpPr>
        <xdr:cNvPr id="19" name="GTag_S_13">
          <a:extLst>
            <a:ext uri="{FF2B5EF4-FFF2-40B4-BE49-F238E27FC236}">
              <a16:creationId xmlns:a16="http://schemas.microsoft.com/office/drawing/2014/main" id="{3AF250E7-45EF-4AA6-B751-6DBEBCDA9C58}"/>
            </a:ext>
          </a:extLst>
        </xdr:cNvPr>
        <xdr:cNvSpPr txBox="1"/>
      </xdr:nvSpPr>
      <xdr:spPr>
        <a:xfrm>
          <a:off x="7544959" y="27305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01/12</a:t>
          </a:r>
        </a:p>
      </xdr:txBody>
    </xdr:sp>
    <xdr:clientData/>
  </xdr:twoCellAnchor>
  <xdr:twoCellAnchor>
    <xdr:from>
      <xdr:col>9</xdr:col>
      <xdr:colOff>276851</xdr:colOff>
      <xdr:row>12</xdr:row>
      <xdr:rowOff>12700</xdr:rowOff>
    </xdr:from>
    <xdr:to>
      <xdr:col>10</xdr:col>
      <xdr:colOff>314951</xdr:colOff>
      <xdr:row>12</xdr:row>
      <xdr:rowOff>190500</xdr:rowOff>
    </xdr:to>
    <xdr:sp macro="" textlink="">
      <xdr:nvSpPr>
        <xdr:cNvPr id="20" name="GTag_E_13">
          <a:extLst>
            <a:ext uri="{FF2B5EF4-FFF2-40B4-BE49-F238E27FC236}">
              <a16:creationId xmlns:a16="http://schemas.microsoft.com/office/drawing/2014/main" id="{AD415E02-B5BF-4EDB-81E8-5E27FC3FDB4F}"/>
            </a:ext>
          </a:extLst>
        </xdr:cNvPr>
        <xdr:cNvSpPr txBox="1"/>
      </xdr:nvSpPr>
      <xdr:spPr>
        <a:xfrm>
          <a:off x="8074651" y="2730500"/>
          <a:ext cx="355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25/12</a:t>
          </a:r>
        </a:p>
      </xdr:txBody>
    </xdr:sp>
    <xdr:clientData/>
  </xdr:twoCellAnchor>
  <xdr:twoCellAnchor>
    <xdr:from>
      <xdr:col>9</xdr:col>
      <xdr:colOff>261879</xdr:colOff>
      <xdr:row>13</xdr:row>
      <xdr:rowOff>38100</xdr:rowOff>
    </xdr:from>
    <xdr:to>
      <xdr:col>11</xdr:col>
      <xdr:colOff>221323</xdr:colOff>
      <xdr:row>13</xdr:row>
      <xdr:rowOff>190500</xdr:rowOff>
    </xdr:to>
    <xdr:sp macro="" textlink="">
      <xdr:nvSpPr>
        <xdr:cNvPr id="21" name="Gantt_Crit_14">
          <a:extLst>
            <a:ext uri="{FF2B5EF4-FFF2-40B4-BE49-F238E27FC236}">
              <a16:creationId xmlns:a16="http://schemas.microsoft.com/office/drawing/2014/main" id="{C8369F83-BA93-478C-B8A8-1A56838B495B}"/>
            </a:ext>
          </a:extLst>
        </xdr:cNvPr>
        <xdr:cNvSpPr/>
      </xdr:nvSpPr>
      <xdr:spPr>
        <a:xfrm>
          <a:off x="8059679" y="2984500"/>
          <a:ext cx="594444" cy="152400"/>
        </a:xfrm>
        <a:prstGeom prst="roundRect">
          <a:avLst/>
        </a:prstGeom>
        <a:solidFill>
          <a:srgbClr val="E0505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9</xdr:col>
      <xdr:colOff>7879</xdr:colOff>
      <xdr:row>13</xdr:row>
      <xdr:rowOff>12700</xdr:rowOff>
    </xdr:from>
    <xdr:to>
      <xdr:col>9</xdr:col>
      <xdr:colOff>287279</xdr:colOff>
      <xdr:row>13</xdr:row>
      <xdr:rowOff>190500</xdr:rowOff>
    </xdr:to>
    <xdr:sp macro="" textlink="">
      <xdr:nvSpPr>
        <xdr:cNvPr id="22" name="GTag_S_14">
          <a:extLst>
            <a:ext uri="{FF2B5EF4-FFF2-40B4-BE49-F238E27FC236}">
              <a16:creationId xmlns:a16="http://schemas.microsoft.com/office/drawing/2014/main" id="{183498EC-2135-41F7-9610-EF9B2BC110ED}"/>
            </a:ext>
          </a:extLst>
        </xdr:cNvPr>
        <xdr:cNvSpPr txBox="1"/>
      </xdr:nvSpPr>
      <xdr:spPr>
        <a:xfrm>
          <a:off x="7805679" y="29591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26/12</a:t>
          </a:r>
        </a:p>
      </xdr:txBody>
    </xdr:sp>
    <xdr:clientData/>
  </xdr:twoCellAnchor>
  <xdr:twoCellAnchor>
    <xdr:from>
      <xdr:col>11</xdr:col>
      <xdr:colOff>246723</xdr:colOff>
      <xdr:row>13</xdr:row>
      <xdr:rowOff>12700</xdr:rowOff>
    </xdr:from>
    <xdr:to>
      <xdr:col>12</xdr:col>
      <xdr:colOff>284823</xdr:colOff>
      <xdr:row>13</xdr:row>
      <xdr:rowOff>190500</xdr:rowOff>
    </xdr:to>
    <xdr:sp macro="" textlink="">
      <xdr:nvSpPr>
        <xdr:cNvPr id="23" name="GTag_E_14">
          <a:extLst>
            <a:ext uri="{FF2B5EF4-FFF2-40B4-BE49-F238E27FC236}">
              <a16:creationId xmlns:a16="http://schemas.microsoft.com/office/drawing/2014/main" id="{9882F093-7E21-43F7-9FD7-D32FAA2C98D7}"/>
            </a:ext>
          </a:extLst>
        </xdr:cNvPr>
        <xdr:cNvSpPr txBox="1"/>
      </xdr:nvSpPr>
      <xdr:spPr>
        <a:xfrm>
          <a:off x="8679523" y="2959100"/>
          <a:ext cx="355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21/02/24</a:t>
          </a:r>
        </a:p>
      </xdr:txBody>
    </xdr:sp>
    <xdr:clientData/>
  </xdr:twoCellAnchor>
  <xdr:twoCellAnchor>
    <xdr:from>
      <xdr:col>9</xdr:col>
      <xdr:colOff>261879</xdr:colOff>
      <xdr:row>14</xdr:row>
      <xdr:rowOff>88900</xdr:rowOff>
    </xdr:from>
    <xdr:to>
      <xdr:col>32</xdr:col>
      <xdr:colOff>311705</xdr:colOff>
      <xdr:row>14</xdr:row>
      <xdr:rowOff>139700</xdr:rowOff>
    </xdr:to>
    <xdr:sp macro="" textlink="">
      <xdr:nvSpPr>
        <xdr:cNvPr id="24" name="Gantt_Summ_15">
          <a:extLst>
            <a:ext uri="{FF2B5EF4-FFF2-40B4-BE49-F238E27FC236}">
              <a16:creationId xmlns:a16="http://schemas.microsoft.com/office/drawing/2014/main" id="{F3F1380E-AC47-4557-962F-B90FDB54E0CC}"/>
            </a:ext>
          </a:extLst>
        </xdr:cNvPr>
        <xdr:cNvSpPr/>
      </xdr:nvSpPr>
      <xdr:spPr>
        <a:xfrm>
          <a:off x="8059679" y="3263900"/>
          <a:ext cx="7352326" cy="50800"/>
        </a:xfrm>
        <a:prstGeom prst="rect">
          <a:avLst/>
        </a:prstGeom>
        <a:solidFill>
          <a:srgbClr val="0000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9</xdr:col>
      <xdr:colOff>261879</xdr:colOff>
      <xdr:row>14</xdr:row>
      <xdr:rowOff>88900</xdr:rowOff>
    </xdr:from>
    <xdr:to>
      <xdr:col>9</xdr:col>
      <xdr:colOff>299979</xdr:colOff>
      <xdr:row>14</xdr:row>
      <xdr:rowOff>177800</xdr:rowOff>
    </xdr:to>
    <xdr:sp macro="" textlink="">
      <xdr:nvSpPr>
        <xdr:cNvPr id="25" name="Gantt_Summ_BL_15">
          <a:extLst>
            <a:ext uri="{FF2B5EF4-FFF2-40B4-BE49-F238E27FC236}">
              <a16:creationId xmlns:a16="http://schemas.microsoft.com/office/drawing/2014/main" id="{1E538059-A32A-4509-A64B-FF1AAA2CAAD0}"/>
            </a:ext>
          </a:extLst>
        </xdr:cNvPr>
        <xdr:cNvSpPr/>
      </xdr:nvSpPr>
      <xdr:spPr>
        <a:xfrm>
          <a:off x="8059679" y="3263900"/>
          <a:ext cx="38100" cy="88900"/>
        </a:xfrm>
        <a:prstGeom prst="rect">
          <a:avLst/>
        </a:prstGeom>
        <a:solidFill>
          <a:srgbClr val="0000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32</xdr:col>
      <xdr:colOff>273607</xdr:colOff>
      <xdr:row>14</xdr:row>
      <xdr:rowOff>88900</xdr:rowOff>
    </xdr:from>
    <xdr:to>
      <xdr:col>32</xdr:col>
      <xdr:colOff>311707</xdr:colOff>
      <xdr:row>14</xdr:row>
      <xdr:rowOff>177800</xdr:rowOff>
    </xdr:to>
    <xdr:sp macro="" textlink="">
      <xdr:nvSpPr>
        <xdr:cNvPr id="26" name="Gantt_Summ_BR_15">
          <a:extLst>
            <a:ext uri="{FF2B5EF4-FFF2-40B4-BE49-F238E27FC236}">
              <a16:creationId xmlns:a16="http://schemas.microsoft.com/office/drawing/2014/main" id="{841C4547-AEE4-4649-9BFE-6363D359ED43}"/>
            </a:ext>
          </a:extLst>
        </xdr:cNvPr>
        <xdr:cNvSpPr/>
      </xdr:nvSpPr>
      <xdr:spPr>
        <a:xfrm>
          <a:off x="15373907" y="3263900"/>
          <a:ext cx="38100" cy="88900"/>
        </a:xfrm>
        <a:prstGeom prst="rect">
          <a:avLst/>
        </a:prstGeom>
        <a:solidFill>
          <a:srgbClr val="0000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8</xdr:col>
      <xdr:colOff>299979</xdr:colOff>
      <xdr:row>14</xdr:row>
      <xdr:rowOff>12700</xdr:rowOff>
    </xdr:from>
    <xdr:to>
      <xdr:col>9</xdr:col>
      <xdr:colOff>287279</xdr:colOff>
      <xdr:row>14</xdr:row>
      <xdr:rowOff>190500</xdr:rowOff>
    </xdr:to>
    <xdr:sp macro="" textlink="">
      <xdr:nvSpPr>
        <xdr:cNvPr id="27" name="GTag_S_15">
          <a:extLst>
            <a:ext uri="{FF2B5EF4-FFF2-40B4-BE49-F238E27FC236}">
              <a16:creationId xmlns:a16="http://schemas.microsoft.com/office/drawing/2014/main" id="{19645599-047E-4365-B10C-AC93CF2022D8}"/>
            </a:ext>
          </a:extLst>
        </xdr:cNvPr>
        <xdr:cNvSpPr txBox="1"/>
      </xdr:nvSpPr>
      <xdr:spPr>
        <a:xfrm>
          <a:off x="7780279" y="3187700"/>
          <a:ext cx="3048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26/12</a:t>
          </a:r>
        </a:p>
      </xdr:txBody>
    </xdr:sp>
    <xdr:clientData/>
  </xdr:twoCellAnchor>
  <xdr:twoCellAnchor>
    <xdr:from>
      <xdr:col>33</xdr:col>
      <xdr:colOff>19607</xdr:colOff>
      <xdr:row>14</xdr:row>
      <xdr:rowOff>12700</xdr:rowOff>
    </xdr:from>
    <xdr:to>
      <xdr:col>34</xdr:col>
      <xdr:colOff>133907</xdr:colOff>
      <xdr:row>14</xdr:row>
      <xdr:rowOff>190500</xdr:rowOff>
    </xdr:to>
    <xdr:sp macro="" textlink="">
      <xdr:nvSpPr>
        <xdr:cNvPr id="28" name="GTag_E_15">
          <a:extLst>
            <a:ext uri="{FF2B5EF4-FFF2-40B4-BE49-F238E27FC236}">
              <a16:creationId xmlns:a16="http://schemas.microsoft.com/office/drawing/2014/main" id="{9B111FFD-E971-4C5F-B046-97FA353FFC24}"/>
            </a:ext>
          </a:extLst>
        </xdr:cNvPr>
        <xdr:cNvSpPr txBox="1"/>
      </xdr:nvSpPr>
      <xdr:spPr>
        <a:xfrm>
          <a:off x="15437407" y="3187700"/>
          <a:ext cx="4318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30/11/25</a:t>
          </a:r>
        </a:p>
      </xdr:txBody>
    </xdr:sp>
    <xdr:clientData/>
  </xdr:twoCellAnchor>
  <xdr:twoCellAnchor>
    <xdr:from>
      <xdr:col>9</xdr:col>
      <xdr:colOff>261879</xdr:colOff>
      <xdr:row>15</xdr:row>
      <xdr:rowOff>88900</xdr:rowOff>
    </xdr:from>
    <xdr:to>
      <xdr:col>31</xdr:col>
      <xdr:colOff>191195</xdr:colOff>
      <xdr:row>15</xdr:row>
      <xdr:rowOff>139700</xdr:rowOff>
    </xdr:to>
    <xdr:sp macro="" textlink="">
      <xdr:nvSpPr>
        <xdr:cNvPr id="29" name="Gantt_Summ_16">
          <a:extLst>
            <a:ext uri="{FF2B5EF4-FFF2-40B4-BE49-F238E27FC236}">
              <a16:creationId xmlns:a16="http://schemas.microsoft.com/office/drawing/2014/main" id="{0CCEBF90-2BE9-444D-87E2-F2A9EBE45A5A}"/>
            </a:ext>
          </a:extLst>
        </xdr:cNvPr>
        <xdr:cNvSpPr/>
      </xdr:nvSpPr>
      <xdr:spPr>
        <a:xfrm>
          <a:off x="8059679" y="3492500"/>
          <a:ext cx="6914316" cy="50800"/>
        </a:xfrm>
        <a:prstGeom prst="rect">
          <a:avLst/>
        </a:prstGeom>
        <a:solidFill>
          <a:srgbClr val="0000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9</xdr:col>
      <xdr:colOff>261879</xdr:colOff>
      <xdr:row>15</xdr:row>
      <xdr:rowOff>88900</xdr:rowOff>
    </xdr:from>
    <xdr:to>
      <xdr:col>9</xdr:col>
      <xdr:colOff>299979</xdr:colOff>
      <xdr:row>15</xdr:row>
      <xdr:rowOff>177800</xdr:rowOff>
    </xdr:to>
    <xdr:sp macro="" textlink="">
      <xdr:nvSpPr>
        <xdr:cNvPr id="30" name="Gantt_Summ_BL_16">
          <a:extLst>
            <a:ext uri="{FF2B5EF4-FFF2-40B4-BE49-F238E27FC236}">
              <a16:creationId xmlns:a16="http://schemas.microsoft.com/office/drawing/2014/main" id="{3C4B9960-9920-4D43-B7D5-BC10215654F7}"/>
            </a:ext>
          </a:extLst>
        </xdr:cNvPr>
        <xdr:cNvSpPr/>
      </xdr:nvSpPr>
      <xdr:spPr>
        <a:xfrm>
          <a:off x="8059679" y="3492500"/>
          <a:ext cx="38100" cy="88900"/>
        </a:xfrm>
        <a:prstGeom prst="rect">
          <a:avLst/>
        </a:prstGeom>
        <a:solidFill>
          <a:srgbClr val="0000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31</xdr:col>
      <xdr:colOff>153095</xdr:colOff>
      <xdr:row>15</xdr:row>
      <xdr:rowOff>88900</xdr:rowOff>
    </xdr:from>
    <xdr:to>
      <xdr:col>31</xdr:col>
      <xdr:colOff>191195</xdr:colOff>
      <xdr:row>15</xdr:row>
      <xdr:rowOff>177800</xdr:rowOff>
    </xdr:to>
    <xdr:sp macro="" textlink="">
      <xdr:nvSpPr>
        <xdr:cNvPr id="31" name="Gantt_Summ_BR_16">
          <a:extLst>
            <a:ext uri="{FF2B5EF4-FFF2-40B4-BE49-F238E27FC236}">
              <a16:creationId xmlns:a16="http://schemas.microsoft.com/office/drawing/2014/main" id="{8E666D2A-3392-4FC0-AB19-8B95C6D6A573}"/>
            </a:ext>
          </a:extLst>
        </xdr:cNvPr>
        <xdr:cNvSpPr/>
      </xdr:nvSpPr>
      <xdr:spPr>
        <a:xfrm>
          <a:off x="14935895" y="3492500"/>
          <a:ext cx="38100" cy="88900"/>
        </a:xfrm>
        <a:prstGeom prst="rect">
          <a:avLst/>
        </a:prstGeom>
        <a:solidFill>
          <a:srgbClr val="0000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8</xdr:col>
      <xdr:colOff>299979</xdr:colOff>
      <xdr:row>15</xdr:row>
      <xdr:rowOff>12700</xdr:rowOff>
    </xdr:from>
    <xdr:to>
      <xdr:col>9</xdr:col>
      <xdr:colOff>287279</xdr:colOff>
      <xdr:row>15</xdr:row>
      <xdr:rowOff>190500</xdr:rowOff>
    </xdr:to>
    <xdr:sp macro="" textlink="">
      <xdr:nvSpPr>
        <xdr:cNvPr id="32" name="GTag_S_16">
          <a:extLst>
            <a:ext uri="{FF2B5EF4-FFF2-40B4-BE49-F238E27FC236}">
              <a16:creationId xmlns:a16="http://schemas.microsoft.com/office/drawing/2014/main" id="{EDF11B53-6D53-4741-A90B-6FAC16A756BA}"/>
            </a:ext>
          </a:extLst>
        </xdr:cNvPr>
        <xdr:cNvSpPr txBox="1"/>
      </xdr:nvSpPr>
      <xdr:spPr>
        <a:xfrm>
          <a:off x="7780279" y="3416300"/>
          <a:ext cx="3048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26/12</a:t>
          </a:r>
        </a:p>
      </xdr:txBody>
    </xdr:sp>
    <xdr:clientData/>
  </xdr:twoCellAnchor>
  <xdr:twoCellAnchor>
    <xdr:from>
      <xdr:col>31</xdr:col>
      <xdr:colOff>216595</xdr:colOff>
      <xdr:row>15</xdr:row>
      <xdr:rowOff>12700</xdr:rowOff>
    </xdr:from>
    <xdr:to>
      <xdr:col>33</xdr:col>
      <xdr:colOff>13395</xdr:colOff>
      <xdr:row>15</xdr:row>
      <xdr:rowOff>190500</xdr:rowOff>
    </xdr:to>
    <xdr:sp macro="" textlink="">
      <xdr:nvSpPr>
        <xdr:cNvPr id="33" name="GTag_E_16">
          <a:extLst>
            <a:ext uri="{FF2B5EF4-FFF2-40B4-BE49-F238E27FC236}">
              <a16:creationId xmlns:a16="http://schemas.microsoft.com/office/drawing/2014/main" id="{1A56D1B3-1DFD-4117-86C4-F6296DB030D8}"/>
            </a:ext>
          </a:extLst>
        </xdr:cNvPr>
        <xdr:cNvSpPr txBox="1"/>
      </xdr:nvSpPr>
      <xdr:spPr>
        <a:xfrm>
          <a:off x="14999395" y="3416300"/>
          <a:ext cx="4318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19/10/25</a:t>
          </a:r>
        </a:p>
      </xdr:txBody>
    </xdr:sp>
    <xdr:clientData/>
  </xdr:twoCellAnchor>
  <xdr:twoCellAnchor>
    <xdr:from>
      <xdr:col>9</xdr:col>
      <xdr:colOff>261879</xdr:colOff>
      <xdr:row>16</xdr:row>
      <xdr:rowOff>38100</xdr:rowOff>
    </xdr:from>
    <xdr:to>
      <xdr:col>11</xdr:col>
      <xdr:colOff>242181</xdr:colOff>
      <xdr:row>16</xdr:row>
      <xdr:rowOff>190500</xdr:rowOff>
    </xdr:to>
    <xdr:sp macro="" textlink="">
      <xdr:nvSpPr>
        <xdr:cNvPr id="34" name="Gantt_Crit_17">
          <a:extLst>
            <a:ext uri="{FF2B5EF4-FFF2-40B4-BE49-F238E27FC236}">
              <a16:creationId xmlns:a16="http://schemas.microsoft.com/office/drawing/2014/main" id="{6E050FD9-214F-4E65-803E-CC943B1DC2E6}"/>
            </a:ext>
          </a:extLst>
        </xdr:cNvPr>
        <xdr:cNvSpPr/>
      </xdr:nvSpPr>
      <xdr:spPr>
        <a:xfrm>
          <a:off x="8059679" y="3670300"/>
          <a:ext cx="615302" cy="152400"/>
        </a:xfrm>
        <a:prstGeom prst="roundRect">
          <a:avLst/>
        </a:prstGeom>
        <a:solidFill>
          <a:srgbClr val="E0505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9</xdr:col>
      <xdr:colOff>7879</xdr:colOff>
      <xdr:row>16</xdr:row>
      <xdr:rowOff>12700</xdr:rowOff>
    </xdr:from>
    <xdr:to>
      <xdr:col>9</xdr:col>
      <xdr:colOff>287279</xdr:colOff>
      <xdr:row>16</xdr:row>
      <xdr:rowOff>190500</xdr:rowOff>
    </xdr:to>
    <xdr:sp macro="" textlink="">
      <xdr:nvSpPr>
        <xdr:cNvPr id="35" name="GTag_S_17">
          <a:extLst>
            <a:ext uri="{FF2B5EF4-FFF2-40B4-BE49-F238E27FC236}">
              <a16:creationId xmlns:a16="http://schemas.microsoft.com/office/drawing/2014/main" id="{03EF2A12-6AE5-4D28-88FE-0F28D3450CE3}"/>
            </a:ext>
          </a:extLst>
        </xdr:cNvPr>
        <xdr:cNvSpPr txBox="1"/>
      </xdr:nvSpPr>
      <xdr:spPr>
        <a:xfrm>
          <a:off x="7805679" y="36449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26/12</a:t>
          </a:r>
        </a:p>
      </xdr:txBody>
    </xdr:sp>
    <xdr:clientData/>
  </xdr:twoCellAnchor>
  <xdr:twoCellAnchor>
    <xdr:from>
      <xdr:col>11</xdr:col>
      <xdr:colOff>267581</xdr:colOff>
      <xdr:row>16</xdr:row>
      <xdr:rowOff>12700</xdr:rowOff>
    </xdr:from>
    <xdr:to>
      <xdr:col>12</xdr:col>
      <xdr:colOff>305681</xdr:colOff>
      <xdr:row>16</xdr:row>
      <xdr:rowOff>190500</xdr:rowOff>
    </xdr:to>
    <xdr:sp macro="" textlink="">
      <xdr:nvSpPr>
        <xdr:cNvPr id="36" name="GTag_E_17">
          <a:extLst>
            <a:ext uri="{FF2B5EF4-FFF2-40B4-BE49-F238E27FC236}">
              <a16:creationId xmlns:a16="http://schemas.microsoft.com/office/drawing/2014/main" id="{9F6118D0-947B-455D-815C-09892C3C8563}"/>
            </a:ext>
          </a:extLst>
        </xdr:cNvPr>
        <xdr:cNvSpPr txBox="1"/>
      </xdr:nvSpPr>
      <xdr:spPr>
        <a:xfrm>
          <a:off x="8700381" y="3644900"/>
          <a:ext cx="355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23/02/24</a:t>
          </a:r>
        </a:p>
      </xdr:txBody>
    </xdr:sp>
    <xdr:clientData/>
  </xdr:twoCellAnchor>
  <xdr:twoCellAnchor>
    <xdr:from>
      <xdr:col>12</xdr:col>
      <xdr:colOff>18540</xdr:colOff>
      <xdr:row>17</xdr:row>
      <xdr:rowOff>38100</xdr:rowOff>
    </xdr:from>
    <xdr:to>
      <xdr:col>20</xdr:col>
      <xdr:colOff>231752</xdr:colOff>
      <xdr:row>17</xdr:row>
      <xdr:rowOff>190500</xdr:rowOff>
    </xdr:to>
    <xdr:sp macro="" textlink="">
      <xdr:nvSpPr>
        <xdr:cNvPr id="37" name="Gantt_Crit_18">
          <a:extLst>
            <a:ext uri="{FF2B5EF4-FFF2-40B4-BE49-F238E27FC236}">
              <a16:creationId xmlns:a16="http://schemas.microsoft.com/office/drawing/2014/main" id="{574BBD3A-9B55-4972-9FED-215F81981CB2}"/>
            </a:ext>
          </a:extLst>
        </xdr:cNvPr>
        <xdr:cNvSpPr/>
      </xdr:nvSpPr>
      <xdr:spPr>
        <a:xfrm>
          <a:off x="8768840" y="3898900"/>
          <a:ext cx="2753212" cy="152400"/>
        </a:xfrm>
        <a:prstGeom prst="roundRect">
          <a:avLst/>
        </a:prstGeom>
        <a:solidFill>
          <a:srgbClr val="E0505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11</xdr:col>
      <xdr:colOff>82040</xdr:colOff>
      <xdr:row>17</xdr:row>
      <xdr:rowOff>12700</xdr:rowOff>
    </xdr:from>
    <xdr:to>
      <xdr:col>12</xdr:col>
      <xdr:colOff>43940</xdr:colOff>
      <xdr:row>17</xdr:row>
      <xdr:rowOff>190500</xdr:rowOff>
    </xdr:to>
    <xdr:sp macro="" textlink="">
      <xdr:nvSpPr>
        <xdr:cNvPr id="38" name="GTag_S_18">
          <a:extLst>
            <a:ext uri="{FF2B5EF4-FFF2-40B4-BE49-F238E27FC236}">
              <a16:creationId xmlns:a16="http://schemas.microsoft.com/office/drawing/2014/main" id="{32DE8206-C39C-4169-A4F3-9F9557D4B7B4}"/>
            </a:ext>
          </a:extLst>
        </xdr:cNvPr>
        <xdr:cNvSpPr txBox="1"/>
      </xdr:nvSpPr>
      <xdr:spPr>
        <a:xfrm>
          <a:off x="8514840" y="38735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03/03</a:t>
          </a:r>
        </a:p>
      </xdr:txBody>
    </xdr:sp>
    <xdr:clientData/>
  </xdr:twoCellAnchor>
  <xdr:twoCellAnchor>
    <xdr:from>
      <xdr:col>20</xdr:col>
      <xdr:colOff>257152</xdr:colOff>
      <xdr:row>17</xdr:row>
      <xdr:rowOff>12700</xdr:rowOff>
    </xdr:from>
    <xdr:to>
      <xdr:col>21</xdr:col>
      <xdr:colOff>295252</xdr:colOff>
      <xdr:row>17</xdr:row>
      <xdr:rowOff>190500</xdr:rowOff>
    </xdr:to>
    <xdr:sp macro="" textlink="">
      <xdr:nvSpPr>
        <xdr:cNvPr id="39" name="GTag_E_18">
          <a:extLst>
            <a:ext uri="{FF2B5EF4-FFF2-40B4-BE49-F238E27FC236}">
              <a16:creationId xmlns:a16="http://schemas.microsoft.com/office/drawing/2014/main" id="{D609330C-7663-43E3-BA0B-1A6DB715F3E2}"/>
            </a:ext>
          </a:extLst>
        </xdr:cNvPr>
        <xdr:cNvSpPr txBox="1"/>
      </xdr:nvSpPr>
      <xdr:spPr>
        <a:xfrm>
          <a:off x="11547452" y="3873500"/>
          <a:ext cx="355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22/11</a:t>
          </a:r>
        </a:p>
      </xdr:txBody>
    </xdr:sp>
    <xdr:clientData/>
  </xdr:twoCellAnchor>
  <xdr:twoCellAnchor>
    <xdr:from>
      <xdr:col>12</xdr:col>
      <xdr:colOff>164543</xdr:colOff>
      <xdr:row>18</xdr:row>
      <xdr:rowOff>38100</xdr:rowOff>
    </xdr:from>
    <xdr:to>
      <xdr:col>21</xdr:col>
      <xdr:colOff>122828</xdr:colOff>
      <xdr:row>18</xdr:row>
      <xdr:rowOff>190500</xdr:rowOff>
    </xdr:to>
    <xdr:sp macro="" textlink="">
      <xdr:nvSpPr>
        <xdr:cNvPr id="40" name="Gantt_Crit_19">
          <a:extLst>
            <a:ext uri="{FF2B5EF4-FFF2-40B4-BE49-F238E27FC236}">
              <a16:creationId xmlns:a16="http://schemas.microsoft.com/office/drawing/2014/main" id="{7E563EB5-94A6-4803-8DAE-CE05B6E08BD7}"/>
            </a:ext>
          </a:extLst>
        </xdr:cNvPr>
        <xdr:cNvSpPr/>
      </xdr:nvSpPr>
      <xdr:spPr>
        <a:xfrm>
          <a:off x="8914843" y="4127500"/>
          <a:ext cx="2815785" cy="152400"/>
        </a:xfrm>
        <a:prstGeom prst="roundRect">
          <a:avLst/>
        </a:prstGeom>
        <a:solidFill>
          <a:srgbClr val="E0505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11</xdr:col>
      <xdr:colOff>228043</xdr:colOff>
      <xdr:row>18</xdr:row>
      <xdr:rowOff>12700</xdr:rowOff>
    </xdr:from>
    <xdr:to>
      <xdr:col>12</xdr:col>
      <xdr:colOff>189943</xdr:colOff>
      <xdr:row>18</xdr:row>
      <xdr:rowOff>190500</xdr:rowOff>
    </xdr:to>
    <xdr:sp macro="" textlink="">
      <xdr:nvSpPr>
        <xdr:cNvPr id="41" name="GTag_S_19">
          <a:extLst>
            <a:ext uri="{FF2B5EF4-FFF2-40B4-BE49-F238E27FC236}">
              <a16:creationId xmlns:a16="http://schemas.microsoft.com/office/drawing/2014/main" id="{F072AD67-61F7-495E-8348-30D6C713A026}"/>
            </a:ext>
          </a:extLst>
        </xdr:cNvPr>
        <xdr:cNvSpPr txBox="1"/>
      </xdr:nvSpPr>
      <xdr:spPr>
        <a:xfrm>
          <a:off x="8660843" y="41021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17/03</a:t>
          </a:r>
        </a:p>
      </xdr:txBody>
    </xdr:sp>
    <xdr:clientData/>
  </xdr:twoCellAnchor>
  <xdr:twoCellAnchor>
    <xdr:from>
      <xdr:col>21</xdr:col>
      <xdr:colOff>148228</xdr:colOff>
      <xdr:row>18</xdr:row>
      <xdr:rowOff>12700</xdr:rowOff>
    </xdr:from>
    <xdr:to>
      <xdr:col>22</xdr:col>
      <xdr:colOff>186328</xdr:colOff>
      <xdr:row>18</xdr:row>
      <xdr:rowOff>190500</xdr:rowOff>
    </xdr:to>
    <xdr:sp macro="" textlink="">
      <xdr:nvSpPr>
        <xdr:cNvPr id="42" name="GTag_E_19">
          <a:extLst>
            <a:ext uri="{FF2B5EF4-FFF2-40B4-BE49-F238E27FC236}">
              <a16:creationId xmlns:a16="http://schemas.microsoft.com/office/drawing/2014/main" id="{731AB2C0-C5D0-48B0-91B0-F6F1908C84E2}"/>
            </a:ext>
          </a:extLst>
        </xdr:cNvPr>
        <xdr:cNvSpPr txBox="1"/>
      </xdr:nvSpPr>
      <xdr:spPr>
        <a:xfrm>
          <a:off x="11756028" y="4102100"/>
          <a:ext cx="355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12/12</a:t>
          </a:r>
        </a:p>
      </xdr:txBody>
    </xdr:sp>
    <xdr:clientData/>
  </xdr:twoCellAnchor>
  <xdr:twoCellAnchor>
    <xdr:from>
      <xdr:col>18</xdr:col>
      <xdr:colOff>95018</xdr:colOff>
      <xdr:row>19</xdr:row>
      <xdr:rowOff>38100</xdr:rowOff>
    </xdr:from>
    <xdr:to>
      <xdr:col>23</xdr:col>
      <xdr:colOff>228276</xdr:colOff>
      <xdr:row>19</xdr:row>
      <xdr:rowOff>190500</xdr:rowOff>
    </xdr:to>
    <xdr:sp macro="" textlink="">
      <xdr:nvSpPr>
        <xdr:cNvPr id="43" name="Gantt_Crit_20">
          <a:extLst>
            <a:ext uri="{FF2B5EF4-FFF2-40B4-BE49-F238E27FC236}">
              <a16:creationId xmlns:a16="http://schemas.microsoft.com/office/drawing/2014/main" id="{1B012C19-4A77-43DB-A061-EE1E2FD6EA0B}"/>
            </a:ext>
          </a:extLst>
        </xdr:cNvPr>
        <xdr:cNvSpPr/>
      </xdr:nvSpPr>
      <xdr:spPr>
        <a:xfrm>
          <a:off x="10750318" y="4356100"/>
          <a:ext cx="1720758" cy="152400"/>
        </a:xfrm>
        <a:prstGeom prst="roundRect">
          <a:avLst/>
        </a:prstGeom>
        <a:solidFill>
          <a:srgbClr val="E0505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17</xdr:col>
      <xdr:colOff>158518</xdr:colOff>
      <xdr:row>19</xdr:row>
      <xdr:rowOff>12700</xdr:rowOff>
    </xdr:from>
    <xdr:to>
      <xdr:col>18</xdr:col>
      <xdr:colOff>120418</xdr:colOff>
      <xdr:row>19</xdr:row>
      <xdr:rowOff>190500</xdr:rowOff>
    </xdr:to>
    <xdr:sp macro="" textlink="">
      <xdr:nvSpPr>
        <xdr:cNvPr id="44" name="GTag_S_20">
          <a:extLst>
            <a:ext uri="{FF2B5EF4-FFF2-40B4-BE49-F238E27FC236}">
              <a16:creationId xmlns:a16="http://schemas.microsoft.com/office/drawing/2014/main" id="{9F40D8B8-E239-43B4-910A-E76F803DCF15}"/>
            </a:ext>
          </a:extLst>
        </xdr:cNvPr>
        <xdr:cNvSpPr txBox="1"/>
      </xdr:nvSpPr>
      <xdr:spPr>
        <a:xfrm>
          <a:off x="10496318" y="43307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09/09</a:t>
          </a:r>
        </a:p>
      </xdr:txBody>
    </xdr:sp>
    <xdr:clientData/>
  </xdr:twoCellAnchor>
  <xdr:twoCellAnchor>
    <xdr:from>
      <xdr:col>23</xdr:col>
      <xdr:colOff>253675</xdr:colOff>
      <xdr:row>19</xdr:row>
      <xdr:rowOff>12700</xdr:rowOff>
    </xdr:from>
    <xdr:to>
      <xdr:col>24</xdr:col>
      <xdr:colOff>291775</xdr:colOff>
      <xdr:row>19</xdr:row>
      <xdr:rowOff>190500</xdr:rowOff>
    </xdr:to>
    <xdr:sp macro="" textlink="">
      <xdr:nvSpPr>
        <xdr:cNvPr id="45" name="GTag_E_20">
          <a:extLst>
            <a:ext uri="{FF2B5EF4-FFF2-40B4-BE49-F238E27FC236}">
              <a16:creationId xmlns:a16="http://schemas.microsoft.com/office/drawing/2014/main" id="{8AF3FB3D-69C6-409F-98DF-943ACEE09E65}"/>
            </a:ext>
          </a:extLst>
        </xdr:cNvPr>
        <xdr:cNvSpPr txBox="1"/>
      </xdr:nvSpPr>
      <xdr:spPr>
        <a:xfrm>
          <a:off x="12496475" y="4330700"/>
          <a:ext cx="355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21/02/25</a:t>
          </a:r>
        </a:p>
      </xdr:txBody>
    </xdr:sp>
    <xdr:clientData/>
  </xdr:twoCellAnchor>
  <xdr:twoCellAnchor>
    <xdr:from>
      <xdr:col>23</xdr:col>
      <xdr:colOff>217846</xdr:colOff>
      <xdr:row>20</xdr:row>
      <xdr:rowOff>38100</xdr:rowOff>
    </xdr:from>
    <xdr:to>
      <xdr:col>26</xdr:col>
      <xdr:colOff>183083</xdr:colOff>
      <xdr:row>20</xdr:row>
      <xdr:rowOff>190500</xdr:rowOff>
    </xdr:to>
    <xdr:sp macro="" textlink="">
      <xdr:nvSpPr>
        <xdr:cNvPr id="46" name="Gantt_Crit_21">
          <a:extLst>
            <a:ext uri="{FF2B5EF4-FFF2-40B4-BE49-F238E27FC236}">
              <a16:creationId xmlns:a16="http://schemas.microsoft.com/office/drawing/2014/main" id="{DF1F2912-6CA3-48CA-BCCA-1D4F26FB10E2}"/>
            </a:ext>
          </a:extLst>
        </xdr:cNvPr>
        <xdr:cNvSpPr/>
      </xdr:nvSpPr>
      <xdr:spPr>
        <a:xfrm>
          <a:off x="12460646" y="4584700"/>
          <a:ext cx="917737" cy="152400"/>
        </a:xfrm>
        <a:prstGeom prst="roundRect">
          <a:avLst/>
        </a:prstGeom>
        <a:solidFill>
          <a:srgbClr val="E0505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22</xdr:col>
      <xdr:colOff>281346</xdr:colOff>
      <xdr:row>20</xdr:row>
      <xdr:rowOff>12700</xdr:rowOff>
    </xdr:from>
    <xdr:to>
      <xdr:col>23</xdr:col>
      <xdr:colOff>243246</xdr:colOff>
      <xdr:row>20</xdr:row>
      <xdr:rowOff>190500</xdr:rowOff>
    </xdr:to>
    <xdr:sp macro="" textlink="">
      <xdr:nvSpPr>
        <xdr:cNvPr id="47" name="GTag_S_21">
          <a:extLst>
            <a:ext uri="{FF2B5EF4-FFF2-40B4-BE49-F238E27FC236}">
              <a16:creationId xmlns:a16="http://schemas.microsoft.com/office/drawing/2014/main" id="{46D9C156-EFCD-47F4-AA6C-3B8A662849E1}"/>
            </a:ext>
          </a:extLst>
        </xdr:cNvPr>
        <xdr:cNvSpPr txBox="1"/>
      </xdr:nvSpPr>
      <xdr:spPr>
        <a:xfrm>
          <a:off x="12206646" y="45593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20/02</a:t>
          </a:r>
        </a:p>
      </xdr:txBody>
    </xdr:sp>
    <xdr:clientData/>
  </xdr:twoCellAnchor>
  <xdr:twoCellAnchor>
    <xdr:from>
      <xdr:col>26</xdr:col>
      <xdr:colOff>208483</xdr:colOff>
      <xdr:row>20</xdr:row>
      <xdr:rowOff>12700</xdr:rowOff>
    </xdr:from>
    <xdr:to>
      <xdr:col>27</xdr:col>
      <xdr:colOff>246583</xdr:colOff>
      <xdr:row>20</xdr:row>
      <xdr:rowOff>190500</xdr:rowOff>
    </xdr:to>
    <xdr:sp macro="" textlink="">
      <xdr:nvSpPr>
        <xdr:cNvPr id="48" name="GTag_E_21">
          <a:extLst>
            <a:ext uri="{FF2B5EF4-FFF2-40B4-BE49-F238E27FC236}">
              <a16:creationId xmlns:a16="http://schemas.microsoft.com/office/drawing/2014/main" id="{EA2404F9-3B2E-49D9-AFB0-EFD032103C37}"/>
            </a:ext>
          </a:extLst>
        </xdr:cNvPr>
        <xdr:cNvSpPr txBox="1"/>
      </xdr:nvSpPr>
      <xdr:spPr>
        <a:xfrm>
          <a:off x="13403783" y="4559300"/>
          <a:ext cx="355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19/05</a:t>
          </a:r>
        </a:p>
      </xdr:txBody>
    </xdr:sp>
    <xdr:clientData/>
  </xdr:twoCellAnchor>
  <xdr:twoCellAnchor>
    <xdr:from>
      <xdr:col>26</xdr:col>
      <xdr:colOff>308229</xdr:colOff>
      <xdr:row>21</xdr:row>
      <xdr:rowOff>38100</xdr:rowOff>
    </xdr:from>
    <xdr:to>
      <xdr:col>28</xdr:col>
      <xdr:colOff>288530</xdr:colOff>
      <xdr:row>21</xdr:row>
      <xdr:rowOff>190500</xdr:rowOff>
    </xdr:to>
    <xdr:sp macro="" textlink="">
      <xdr:nvSpPr>
        <xdr:cNvPr id="49" name="Gantt_Crit_22">
          <a:extLst>
            <a:ext uri="{FF2B5EF4-FFF2-40B4-BE49-F238E27FC236}">
              <a16:creationId xmlns:a16="http://schemas.microsoft.com/office/drawing/2014/main" id="{157F7B22-E755-40FB-9F00-36371A22438D}"/>
            </a:ext>
          </a:extLst>
        </xdr:cNvPr>
        <xdr:cNvSpPr/>
      </xdr:nvSpPr>
      <xdr:spPr>
        <a:xfrm>
          <a:off x="13503529" y="4813300"/>
          <a:ext cx="615301" cy="152400"/>
        </a:xfrm>
        <a:prstGeom prst="roundRect">
          <a:avLst/>
        </a:prstGeom>
        <a:solidFill>
          <a:srgbClr val="E0505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26</xdr:col>
      <xdr:colOff>54229</xdr:colOff>
      <xdr:row>21</xdr:row>
      <xdr:rowOff>12700</xdr:rowOff>
    </xdr:from>
    <xdr:to>
      <xdr:col>27</xdr:col>
      <xdr:colOff>16129</xdr:colOff>
      <xdr:row>21</xdr:row>
      <xdr:rowOff>190500</xdr:rowOff>
    </xdr:to>
    <xdr:sp macro="" textlink="">
      <xdr:nvSpPr>
        <xdr:cNvPr id="50" name="GTag_S_22">
          <a:extLst>
            <a:ext uri="{FF2B5EF4-FFF2-40B4-BE49-F238E27FC236}">
              <a16:creationId xmlns:a16="http://schemas.microsoft.com/office/drawing/2014/main" id="{C0443BFB-4A8B-46F5-9199-C5EE12185360}"/>
            </a:ext>
          </a:extLst>
        </xdr:cNvPr>
        <xdr:cNvSpPr txBox="1"/>
      </xdr:nvSpPr>
      <xdr:spPr>
        <a:xfrm>
          <a:off x="13249529" y="47879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31/05</a:t>
          </a:r>
        </a:p>
      </xdr:txBody>
    </xdr:sp>
    <xdr:clientData/>
  </xdr:twoCellAnchor>
  <xdr:twoCellAnchor>
    <xdr:from>
      <xdr:col>28</xdr:col>
      <xdr:colOff>313931</xdr:colOff>
      <xdr:row>21</xdr:row>
      <xdr:rowOff>12700</xdr:rowOff>
    </xdr:from>
    <xdr:to>
      <xdr:col>30</xdr:col>
      <xdr:colOff>34531</xdr:colOff>
      <xdr:row>21</xdr:row>
      <xdr:rowOff>190500</xdr:rowOff>
    </xdr:to>
    <xdr:sp macro="" textlink="">
      <xdr:nvSpPr>
        <xdr:cNvPr id="51" name="GTag_E_22">
          <a:extLst>
            <a:ext uri="{FF2B5EF4-FFF2-40B4-BE49-F238E27FC236}">
              <a16:creationId xmlns:a16="http://schemas.microsoft.com/office/drawing/2014/main" id="{FEC52BA4-208C-40FE-9429-495E38623B74}"/>
            </a:ext>
          </a:extLst>
        </xdr:cNvPr>
        <xdr:cNvSpPr txBox="1"/>
      </xdr:nvSpPr>
      <xdr:spPr>
        <a:xfrm>
          <a:off x="14144231" y="4787900"/>
          <a:ext cx="355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29/07</a:t>
          </a:r>
        </a:p>
      </xdr:txBody>
    </xdr:sp>
    <xdr:clientData/>
  </xdr:twoCellAnchor>
  <xdr:twoCellAnchor>
    <xdr:from>
      <xdr:col>28</xdr:col>
      <xdr:colOff>309389</xdr:colOff>
      <xdr:row>22</xdr:row>
      <xdr:rowOff>38100</xdr:rowOff>
    </xdr:from>
    <xdr:to>
      <xdr:col>31</xdr:col>
      <xdr:colOff>191196</xdr:colOff>
      <xdr:row>22</xdr:row>
      <xdr:rowOff>190500</xdr:rowOff>
    </xdr:to>
    <xdr:sp macro="" textlink="">
      <xdr:nvSpPr>
        <xdr:cNvPr id="52" name="Gantt_Crit_23">
          <a:extLst>
            <a:ext uri="{FF2B5EF4-FFF2-40B4-BE49-F238E27FC236}">
              <a16:creationId xmlns:a16="http://schemas.microsoft.com/office/drawing/2014/main" id="{427CBE1E-8755-4842-958A-775D373756B7}"/>
            </a:ext>
          </a:extLst>
        </xdr:cNvPr>
        <xdr:cNvSpPr/>
      </xdr:nvSpPr>
      <xdr:spPr>
        <a:xfrm>
          <a:off x="14139689" y="5041900"/>
          <a:ext cx="834307" cy="152400"/>
        </a:xfrm>
        <a:prstGeom prst="roundRect">
          <a:avLst/>
        </a:prstGeom>
        <a:solidFill>
          <a:srgbClr val="E0505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28</xdr:col>
      <xdr:colOff>55389</xdr:colOff>
      <xdr:row>22</xdr:row>
      <xdr:rowOff>12700</xdr:rowOff>
    </xdr:from>
    <xdr:to>
      <xdr:col>29</xdr:col>
      <xdr:colOff>17289</xdr:colOff>
      <xdr:row>22</xdr:row>
      <xdr:rowOff>190500</xdr:rowOff>
    </xdr:to>
    <xdr:sp macro="" textlink="">
      <xdr:nvSpPr>
        <xdr:cNvPr id="53" name="GTag_S_23">
          <a:extLst>
            <a:ext uri="{FF2B5EF4-FFF2-40B4-BE49-F238E27FC236}">
              <a16:creationId xmlns:a16="http://schemas.microsoft.com/office/drawing/2014/main" id="{5930FB86-B27A-4B61-B70D-0D68F9B39926}"/>
            </a:ext>
          </a:extLst>
        </xdr:cNvPr>
        <xdr:cNvSpPr txBox="1"/>
      </xdr:nvSpPr>
      <xdr:spPr>
        <a:xfrm>
          <a:off x="13885689" y="50165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31/07</a:t>
          </a:r>
        </a:p>
      </xdr:txBody>
    </xdr:sp>
    <xdr:clientData/>
  </xdr:twoCellAnchor>
  <xdr:twoCellAnchor>
    <xdr:from>
      <xdr:col>31</xdr:col>
      <xdr:colOff>216595</xdr:colOff>
      <xdr:row>22</xdr:row>
      <xdr:rowOff>12700</xdr:rowOff>
    </xdr:from>
    <xdr:to>
      <xdr:col>32</xdr:col>
      <xdr:colOff>254695</xdr:colOff>
      <xdr:row>22</xdr:row>
      <xdr:rowOff>190500</xdr:rowOff>
    </xdr:to>
    <xdr:sp macro="" textlink="">
      <xdr:nvSpPr>
        <xdr:cNvPr id="54" name="GTag_E_23">
          <a:extLst>
            <a:ext uri="{FF2B5EF4-FFF2-40B4-BE49-F238E27FC236}">
              <a16:creationId xmlns:a16="http://schemas.microsoft.com/office/drawing/2014/main" id="{A3D70921-784E-4442-B6C9-59F678ACA9AD}"/>
            </a:ext>
          </a:extLst>
        </xdr:cNvPr>
        <xdr:cNvSpPr txBox="1"/>
      </xdr:nvSpPr>
      <xdr:spPr>
        <a:xfrm>
          <a:off x="14999395" y="5016500"/>
          <a:ext cx="355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19/10</a:t>
          </a:r>
        </a:p>
      </xdr:txBody>
    </xdr:sp>
    <xdr:clientData/>
  </xdr:twoCellAnchor>
  <xdr:twoCellAnchor>
    <xdr:from>
      <xdr:col>10</xdr:col>
      <xdr:colOff>100812</xdr:colOff>
      <xdr:row>23</xdr:row>
      <xdr:rowOff>88900</xdr:rowOff>
    </xdr:from>
    <xdr:to>
      <xdr:col>32</xdr:col>
      <xdr:colOff>311705</xdr:colOff>
      <xdr:row>23</xdr:row>
      <xdr:rowOff>139700</xdr:rowOff>
    </xdr:to>
    <xdr:sp macro="" textlink="">
      <xdr:nvSpPr>
        <xdr:cNvPr id="55" name="Gantt_Summ_24">
          <a:extLst>
            <a:ext uri="{FF2B5EF4-FFF2-40B4-BE49-F238E27FC236}">
              <a16:creationId xmlns:a16="http://schemas.microsoft.com/office/drawing/2014/main" id="{828543C8-CF1A-41D6-BB1F-EDA5C0C8C58C}"/>
            </a:ext>
          </a:extLst>
        </xdr:cNvPr>
        <xdr:cNvSpPr/>
      </xdr:nvSpPr>
      <xdr:spPr>
        <a:xfrm>
          <a:off x="8216112" y="5321300"/>
          <a:ext cx="7195893" cy="50800"/>
        </a:xfrm>
        <a:prstGeom prst="rect">
          <a:avLst/>
        </a:prstGeom>
        <a:solidFill>
          <a:srgbClr val="0000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10</xdr:col>
      <xdr:colOff>100812</xdr:colOff>
      <xdr:row>23</xdr:row>
      <xdr:rowOff>88900</xdr:rowOff>
    </xdr:from>
    <xdr:to>
      <xdr:col>10</xdr:col>
      <xdr:colOff>138912</xdr:colOff>
      <xdr:row>23</xdr:row>
      <xdr:rowOff>177800</xdr:rowOff>
    </xdr:to>
    <xdr:sp macro="" textlink="">
      <xdr:nvSpPr>
        <xdr:cNvPr id="56" name="Gantt_Summ_BL_24">
          <a:extLst>
            <a:ext uri="{FF2B5EF4-FFF2-40B4-BE49-F238E27FC236}">
              <a16:creationId xmlns:a16="http://schemas.microsoft.com/office/drawing/2014/main" id="{BCEC92E4-E08A-49E0-A05D-42C23947607F}"/>
            </a:ext>
          </a:extLst>
        </xdr:cNvPr>
        <xdr:cNvSpPr/>
      </xdr:nvSpPr>
      <xdr:spPr>
        <a:xfrm>
          <a:off x="8216112" y="5321300"/>
          <a:ext cx="38100" cy="88900"/>
        </a:xfrm>
        <a:prstGeom prst="rect">
          <a:avLst/>
        </a:prstGeom>
        <a:solidFill>
          <a:srgbClr val="0000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32</xdr:col>
      <xdr:colOff>273607</xdr:colOff>
      <xdr:row>23</xdr:row>
      <xdr:rowOff>88900</xdr:rowOff>
    </xdr:from>
    <xdr:to>
      <xdr:col>32</xdr:col>
      <xdr:colOff>311707</xdr:colOff>
      <xdr:row>23</xdr:row>
      <xdr:rowOff>177800</xdr:rowOff>
    </xdr:to>
    <xdr:sp macro="" textlink="">
      <xdr:nvSpPr>
        <xdr:cNvPr id="57" name="Gantt_Summ_BR_24">
          <a:extLst>
            <a:ext uri="{FF2B5EF4-FFF2-40B4-BE49-F238E27FC236}">
              <a16:creationId xmlns:a16="http://schemas.microsoft.com/office/drawing/2014/main" id="{99123E4C-29FC-43B9-979E-636E5D7226C1}"/>
            </a:ext>
          </a:extLst>
        </xdr:cNvPr>
        <xdr:cNvSpPr/>
      </xdr:nvSpPr>
      <xdr:spPr>
        <a:xfrm>
          <a:off x="15373907" y="5321300"/>
          <a:ext cx="38100" cy="88900"/>
        </a:xfrm>
        <a:prstGeom prst="rect">
          <a:avLst/>
        </a:prstGeom>
        <a:solidFill>
          <a:srgbClr val="0000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9</xdr:col>
      <xdr:colOff>138912</xdr:colOff>
      <xdr:row>23</xdr:row>
      <xdr:rowOff>12700</xdr:rowOff>
    </xdr:from>
    <xdr:to>
      <xdr:col>10</xdr:col>
      <xdr:colOff>126212</xdr:colOff>
      <xdr:row>23</xdr:row>
      <xdr:rowOff>190500</xdr:rowOff>
    </xdr:to>
    <xdr:sp macro="" textlink="">
      <xdr:nvSpPr>
        <xdr:cNvPr id="58" name="GTag_S_24">
          <a:extLst>
            <a:ext uri="{FF2B5EF4-FFF2-40B4-BE49-F238E27FC236}">
              <a16:creationId xmlns:a16="http://schemas.microsoft.com/office/drawing/2014/main" id="{866645E0-9346-4C50-8EB7-CE6D0891E4CC}"/>
            </a:ext>
          </a:extLst>
        </xdr:cNvPr>
        <xdr:cNvSpPr txBox="1"/>
      </xdr:nvSpPr>
      <xdr:spPr>
        <a:xfrm>
          <a:off x="7936712" y="5245100"/>
          <a:ext cx="3048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10/01</a:t>
          </a:r>
        </a:p>
      </xdr:txBody>
    </xdr:sp>
    <xdr:clientData/>
  </xdr:twoCellAnchor>
  <xdr:twoCellAnchor>
    <xdr:from>
      <xdr:col>33</xdr:col>
      <xdr:colOff>19607</xdr:colOff>
      <xdr:row>23</xdr:row>
      <xdr:rowOff>12700</xdr:rowOff>
    </xdr:from>
    <xdr:to>
      <xdr:col>34</xdr:col>
      <xdr:colOff>133907</xdr:colOff>
      <xdr:row>23</xdr:row>
      <xdr:rowOff>190500</xdr:rowOff>
    </xdr:to>
    <xdr:sp macro="" textlink="">
      <xdr:nvSpPr>
        <xdr:cNvPr id="59" name="GTag_E_24">
          <a:extLst>
            <a:ext uri="{FF2B5EF4-FFF2-40B4-BE49-F238E27FC236}">
              <a16:creationId xmlns:a16="http://schemas.microsoft.com/office/drawing/2014/main" id="{E2C12598-DB43-4125-AE90-4F36337783E7}"/>
            </a:ext>
          </a:extLst>
        </xdr:cNvPr>
        <xdr:cNvSpPr txBox="1"/>
      </xdr:nvSpPr>
      <xdr:spPr>
        <a:xfrm>
          <a:off x="15437407" y="5245100"/>
          <a:ext cx="4318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30/11/25</a:t>
          </a:r>
        </a:p>
      </xdr:txBody>
    </xdr:sp>
    <xdr:clientData/>
  </xdr:twoCellAnchor>
  <xdr:twoCellAnchor>
    <xdr:from>
      <xdr:col>10</xdr:col>
      <xdr:colOff>100812</xdr:colOff>
      <xdr:row>24</xdr:row>
      <xdr:rowOff>38100</xdr:rowOff>
    </xdr:from>
    <xdr:to>
      <xdr:col>12</xdr:col>
      <xdr:colOff>143686</xdr:colOff>
      <xdr:row>24</xdr:row>
      <xdr:rowOff>190500</xdr:rowOff>
    </xdr:to>
    <xdr:sp macro="" textlink="">
      <xdr:nvSpPr>
        <xdr:cNvPr id="60" name="Gantt_Norm_25">
          <a:extLst>
            <a:ext uri="{FF2B5EF4-FFF2-40B4-BE49-F238E27FC236}">
              <a16:creationId xmlns:a16="http://schemas.microsoft.com/office/drawing/2014/main" id="{955B80D6-C5DA-4BD5-BEC8-AE9E52CC7325}"/>
            </a:ext>
          </a:extLst>
        </xdr:cNvPr>
        <xdr:cNvSpPr/>
      </xdr:nvSpPr>
      <xdr:spPr>
        <a:xfrm>
          <a:off x="8216112" y="5499100"/>
          <a:ext cx="677874" cy="152400"/>
        </a:xfrm>
        <a:prstGeom prst="roundRect">
          <a:avLst/>
        </a:prstGeom>
        <a:solidFill>
          <a:srgbClr val="5C965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9</xdr:col>
      <xdr:colOff>164312</xdr:colOff>
      <xdr:row>24</xdr:row>
      <xdr:rowOff>12700</xdr:rowOff>
    </xdr:from>
    <xdr:to>
      <xdr:col>10</xdr:col>
      <xdr:colOff>126212</xdr:colOff>
      <xdr:row>24</xdr:row>
      <xdr:rowOff>190500</xdr:rowOff>
    </xdr:to>
    <xdr:sp macro="" textlink="">
      <xdr:nvSpPr>
        <xdr:cNvPr id="61" name="GTag_S_25">
          <a:extLst>
            <a:ext uri="{FF2B5EF4-FFF2-40B4-BE49-F238E27FC236}">
              <a16:creationId xmlns:a16="http://schemas.microsoft.com/office/drawing/2014/main" id="{85E29158-9C94-45A4-9963-6932D1064E9F}"/>
            </a:ext>
          </a:extLst>
        </xdr:cNvPr>
        <xdr:cNvSpPr txBox="1"/>
      </xdr:nvSpPr>
      <xdr:spPr>
        <a:xfrm>
          <a:off x="7962112" y="54737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10/01</a:t>
          </a:r>
        </a:p>
      </xdr:txBody>
    </xdr:sp>
    <xdr:clientData/>
  </xdr:twoCellAnchor>
  <xdr:twoCellAnchor>
    <xdr:from>
      <xdr:col>12</xdr:col>
      <xdr:colOff>169086</xdr:colOff>
      <xdr:row>24</xdr:row>
      <xdr:rowOff>12700</xdr:rowOff>
    </xdr:from>
    <xdr:to>
      <xdr:col>13</xdr:col>
      <xdr:colOff>207186</xdr:colOff>
      <xdr:row>24</xdr:row>
      <xdr:rowOff>190500</xdr:rowOff>
    </xdr:to>
    <xdr:sp macro="" textlink="">
      <xdr:nvSpPr>
        <xdr:cNvPr id="62" name="GTag_E_25">
          <a:extLst>
            <a:ext uri="{FF2B5EF4-FFF2-40B4-BE49-F238E27FC236}">
              <a16:creationId xmlns:a16="http://schemas.microsoft.com/office/drawing/2014/main" id="{E517562D-6F80-4749-9261-CA405E4C092F}"/>
            </a:ext>
          </a:extLst>
        </xdr:cNvPr>
        <xdr:cNvSpPr txBox="1"/>
      </xdr:nvSpPr>
      <xdr:spPr>
        <a:xfrm>
          <a:off x="8919386" y="5473700"/>
          <a:ext cx="355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15/03</a:t>
          </a:r>
        </a:p>
      </xdr:txBody>
    </xdr:sp>
    <xdr:clientData/>
  </xdr:twoCellAnchor>
  <xdr:twoCellAnchor>
    <xdr:from>
      <xdr:col>12</xdr:col>
      <xdr:colOff>227117</xdr:colOff>
      <xdr:row>25</xdr:row>
      <xdr:rowOff>38100</xdr:rowOff>
    </xdr:from>
    <xdr:to>
      <xdr:col>22</xdr:col>
      <xdr:colOff>170338</xdr:colOff>
      <xdr:row>25</xdr:row>
      <xdr:rowOff>190500</xdr:rowOff>
    </xdr:to>
    <xdr:sp macro="" textlink="">
      <xdr:nvSpPr>
        <xdr:cNvPr id="63" name="Gantt_Norm_26">
          <a:extLst>
            <a:ext uri="{FF2B5EF4-FFF2-40B4-BE49-F238E27FC236}">
              <a16:creationId xmlns:a16="http://schemas.microsoft.com/office/drawing/2014/main" id="{80611EE0-DC9D-443D-9E9E-DFD899BD867D}"/>
            </a:ext>
          </a:extLst>
        </xdr:cNvPr>
        <xdr:cNvSpPr/>
      </xdr:nvSpPr>
      <xdr:spPr>
        <a:xfrm>
          <a:off x="8977417" y="5727700"/>
          <a:ext cx="3118221" cy="152400"/>
        </a:xfrm>
        <a:prstGeom prst="roundRect">
          <a:avLst/>
        </a:prstGeom>
        <a:solidFill>
          <a:srgbClr val="5C965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11</xdr:col>
      <xdr:colOff>290617</xdr:colOff>
      <xdr:row>25</xdr:row>
      <xdr:rowOff>12700</xdr:rowOff>
    </xdr:from>
    <xdr:to>
      <xdr:col>12</xdr:col>
      <xdr:colOff>252517</xdr:colOff>
      <xdr:row>25</xdr:row>
      <xdr:rowOff>190500</xdr:rowOff>
    </xdr:to>
    <xdr:sp macro="" textlink="">
      <xdr:nvSpPr>
        <xdr:cNvPr id="64" name="GTag_S_26">
          <a:extLst>
            <a:ext uri="{FF2B5EF4-FFF2-40B4-BE49-F238E27FC236}">
              <a16:creationId xmlns:a16="http://schemas.microsoft.com/office/drawing/2014/main" id="{A82EAB5D-AC26-4E28-8A8C-E10F68479FAC}"/>
            </a:ext>
          </a:extLst>
        </xdr:cNvPr>
        <xdr:cNvSpPr txBox="1"/>
      </xdr:nvSpPr>
      <xdr:spPr>
        <a:xfrm>
          <a:off x="8723417" y="57023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23/03</a:t>
          </a:r>
        </a:p>
      </xdr:txBody>
    </xdr:sp>
    <xdr:clientData/>
  </xdr:twoCellAnchor>
  <xdr:twoCellAnchor>
    <xdr:from>
      <xdr:col>22</xdr:col>
      <xdr:colOff>195738</xdr:colOff>
      <xdr:row>25</xdr:row>
      <xdr:rowOff>12700</xdr:rowOff>
    </xdr:from>
    <xdr:to>
      <xdr:col>23</xdr:col>
      <xdr:colOff>233838</xdr:colOff>
      <xdr:row>25</xdr:row>
      <xdr:rowOff>190500</xdr:rowOff>
    </xdr:to>
    <xdr:sp macro="" textlink="">
      <xdr:nvSpPr>
        <xdr:cNvPr id="65" name="GTag_E_26">
          <a:extLst>
            <a:ext uri="{FF2B5EF4-FFF2-40B4-BE49-F238E27FC236}">
              <a16:creationId xmlns:a16="http://schemas.microsoft.com/office/drawing/2014/main" id="{F9219F36-C80C-4CD6-98FE-9DAA8FE3FD49}"/>
            </a:ext>
          </a:extLst>
        </xdr:cNvPr>
        <xdr:cNvSpPr txBox="1"/>
      </xdr:nvSpPr>
      <xdr:spPr>
        <a:xfrm>
          <a:off x="12121038" y="5702300"/>
          <a:ext cx="355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16/01/25</a:t>
          </a:r>
        </a:p>
      </xdr:txBody>
    </xdr:sp>
    <xdr:clientData/>
  </xdr:twoCellAnchor>
  <xdr:twoCellAnchor>
    <xdr:from>
      <xdr:col>13</xdr:col>
      <xdr:colOff>76478</xdr:colOff>
      <xdr:row>26</xdr:row>
      <xdr:rowOff>38100</xdr:rowOff>
    </xdr:from>
    <xdr:to>
      <xdr:col>23</xdr:col>
      <xdr:colOff>82272</xdr:colOff>
      <xdr:row>26</xdr:row>
      <xdr:rowOff>190500</xdr:rowOff>
    </xdr:to>
    <xdr:sp macro="" textlink="">
      <xdr:nvSpPr>
        <xdr:cNvPr id="66" name="Gantt_Norm_27">
          <a:extLst>
            <a:ext uri="{FF2B5EF4-FFF2-40B4-BE49-F238E27FC236}">
              <a16:creationId xmlns:a16="http://schemas.microsoft.com/office/drawing/2014/main" id="{3CA960C4-E960-449F-8287-2AEAEBF87BD6}"/>
            </a:ext>
          </a:extLst>
        </xdr:cNvPr>
        <xdr:cNvSpPr/>
      </xdr:nvSpPr>
      <xdr:spPr>
        <a:xfrm>
          <a:off x="9144278" y="5956300"/>
          <a:ext cx="3180794" cy="152400"/>
        </a:xfrm>
        <a:prstGeom prst="roundRect">
          <a:avLst/>
        </a:prstGeom>
        <a:solidFill>
          <a:srgbClr val="5C965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12</xdr:col>
      <xdr:colOff>139978</xdr:colOff>
      <xdr:row>26</xdr:row>
      <xdr:rowOff>12700</xdr:rowOff>
    </xdr:from>
    <xdr:to>
      <xdr:col>13</xdr:col>
      <xdr:colOff>101878</xdr:colOff>
      <xdr:row>26</xdr:row>
      <xdr:rowOff>190500</xdr:rowOff>
    </xdr:to>
    <xdr:sp macro="" textlink="">
      <xdr:nvSpPr>
        <xdr:cNvPr id="67" name="GTag_S_27">
          <a:extLst>
            <a:ext uri="{FF2B5EF4-FFF2-40B4-BE49-F238E27FC236}">
              <a16:creationId xmlns:a16="http://schemas.microsoft.com/office/drawing/2014/main" id="{267BFFFE-F0D2-40F0-B180-11D1BB00A7D7}"/>
            </a:ext>
          </a:extLst>
        </xdr:cNvPr>
        <xdr:cNvSpPr txBox="1"/>
      </xdr:nvSpPr>
      <xdr:spPr>
        <a:xfrm>
          <a:off x="8890278" y="59309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08/04</a:t>
          </a:r>
        </a:p>
      </xdr:txBody>
    </xdr:sp>
    <xdr:clientData/>
  </xdr:twoCellAnchor>
  <xdr:twoCellAnchor>
    <xdr:from>
      <xdr:col>23</xdr:col>
      <xdr:colOff>107672</xdr:colOff>
      <xdr:row>26</xdr:row>
      <xdr:rowOff>12700</xdr:rowOff>
    </xdr:from>
    <xdr:to>
      <xdr:col>24</xdr:col>
      <xdr:colOff>145772</xdr:colOff>
      <xdr:row>26</xdr:row>
      <xdr:rowOff>190500</xdr:rowOff>
    </xdr:to>
    <xdr:sp macro="" textlink="">
      <xdr:nvSpPr>
        <xdr:cNvPr id="68" name="GTag_E_27">
          <a:extLst>
            <a:ext uri="{FF2B5EF4-FFF2-40B4-BE49-F238E27FC236}">
              <a16:creationId xmlns:a16="http://schemas.microsoft.com/office/drawing/2014/main" id="{1C5F0B8F-27AD-46FD-96A8-BE9EDC2026D9}"/>
            </a:ext>
          </a:extLst>
        </xdr:cNvPr>
        <xdr:cNvSpPr txBox="1"/>
      </xdr:nvSpPr>
      <xdr:spPr>
        <a:xfrm>
          <a:off x="12350472" y="5930900"/>
          <a:ext cx="355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07/02/25</a:t>
          </a:r>
        </a:p>
      </xdr:txBody>
    </xdr:sp>
    <xdr:clientData/>
  </xdr:twoCellAnchor>
  <xdr:twoCellAnchor>
    <xdr:from>
      <xdr:col>19</xdr:col>
      <xdr:colOff>194672</xdr:colOff>
      <xdr:row>27</xdr:row>
      <xdr:rowOff>38100</xdr:rowOff>
    </xdr:from>
    <xdr:to>
      <xdr:col>25</xdr:col>
      <xdr:colOff>239863</xdr:colOff>
      <xdr:row>27</xdr:row>
      <xdr:rowOff>190500</xdr:rowOff>
    </xdr:to>
    <xdr:sp macro="" textlink="">
      <xdr:nvSpPr>
        <xdr:cNvPr id="69" name="Gantt_Norm_28">
          <a:extLst>
            <a:ext uri="{FF2B5EF4-FFF2-40B4-BE49-F238E27FC236}">
              <a16:creationId xmlns:a16="http://schemas.microsoft.com/office/drawing/2014/main" id="{D7671428-3D39-4112-B0F4-92B9C83A96F3}"/>
            </a:ext>
          </a:extLst>
        </xdr:cNvPr>
        <xdr:cNvSpPr/>
      </xdr:nvSpPr>
      <xdr:spPr>
        <a:xfrm>
          <a:off x="11167472" y="6184900"/>
          <a:ext cx="1950191" cy="152400"/>
        </a:xfrm>
        <a:prstGeom prst="roundRect">
          <a:avLst/>
        </a:prstGeom>
        <a:solidFill>
          <a:srgbClr val="5C965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18</xdr:col>
      <xdr:colOff>258172</xdr:colOff>
      <xdr:row>27</xdr:row>
      <xdr:rowOff>12700</xdr:rowOff>
    </xdr:from>
    <xdr:to>
      <xdr:col>19</xdr:col>
      <xdr:colOff>220072</xdr:colOff>
      <xdr:row>27</xdr:row>
      <xdr:rowOff>190500</xdr:rowOff>
    </xdr:to>
    <xdr:sp macro="" textlink="">
      <xdr:nvSpPr>
        <xdr:cNvPr id="70" name="GTag_S_28">
          <a:extLst>
            <a:ext uri="{FF2B5EF4-FFF2-40B4-BE49-F238E27FC236}">
              <a16:creationId xmlns:a16="http://schemas.microsoft.com/office/drawing/2014/main" id="{D88DD7AD-58BB-408A-ABDD-1B1A3956A48C}"/>
            </a:ext>
          </a:extLst>
        </xdr:cNvPr>
        <xdr:cNvSpPr txBox="1"/>
      </xdr:nvSpPr>
      <xdr:spPr>
        <a:xfrm>
          <a:off x="10913472" y="61595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19/10</a:t>
          </a:r>
        </a:p>
      </xdr:txBody>
    </xdr:sp>
    <xdr:clientData/>
  </xdr:twoCellAnchor>
  <xdr:twoCellAnchor>
    <xdr:from>
      <xdr:col>25</xdr:col>
      <xdr:colOff>265263</xdr:colOff>
      <xdr:row>27</xdr:row>
      <xdr:rowOff>12700</xdr:rowOff>
    </xdr:from>
    <xdr:to>
      <xdr:col>26</xdr:col>
      <xdr:colOff>303363</xdr:colOff>
      <xdr:row>27</xdr:row>
      <xdr:rowOff>190500</xdr:rowOff>
    </xdr:to>
    <xdr:sp macro="" textlink="">
      <xdr:nvSpPr>
        <xdr:cNvPr id="71" name="GTag_E_28">
          <a:extLst>
            <a:ext uri="{FF2B5EF4-FFF2-40B4-BE49-F238E27FC236}">
              <a16:creationId xmlns:a16="http://schemas.microsoft.com/office/drawing/2014/main" id="{4E0DEBFE-B2CA-4A6C-BD4F-C6B3BA377250}"/>
            </a:ext>
          </a:extLst>
        </xdr:cNvPr>
        <xdr:cNvSpPr txBox="1"/>
      </xdr:nvSpPr>
      <xdr:spPr>
        <a:xfrm>
          <a:off x="13143063" y="6159500"/>
          <a:ext cx="355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24/04/25</a:t>
          </a:r>
        </a:p>
      </xdr:txBody>
    </xdr:sp>
    <xdr:clientData/>
  </xdr:twoCellAnchor>
  <xdr:twoCellAnchor>
    <xdr:from>
      <xdr:col>26</xdr:col>
      <xdr:colOff>5793</xdr:colOff>
      <xdr:row>28</xdr:row>
      <xdr:rowOff>38100</xdr:rowOff>
    </xdr:from>
    <xdr:to>
      <xdr:col>28</xdr:col>
      <xdr:colOff>288531</xdr:colOff>
      <xdr:row>28</xdr:row>
      <xdr:rowOff>190500</xdr:rowOff>
    </xdr:to>
    <xdr:sp macro="" textlink="">
      <xdr:nvSpPr>
        <xdr:cNvPr id="72" name="Gantt_Norm_29">
          <a:extLst>
            <a:ext uri="{FF2B5EF4-FFF2-40B4-BE49-F238E27FC236}">
              <a16:creationId xmlns:a16="http://schemas.microsoft.com/office/drawing/2014/main" id="{161AA1FF-952C-4FFE-B21C-1D51D4AE3B8E}"/>
            </a:ext>
          </a:extLst>
        </xdr:cNvPr>
        <xdr:cNvSpPr/>
      </xdr:nvSpPr>
      <xdr:spPr>
        <a:xfrm>
          <a:off x="13201093" y="6413500"/>
          <a:ext cx="917738" cy="152400"/>
        </a:xfrm>
        <a:prstGeom prst="roundRect">
          <a:avLst/>
        </a:prstGeom>
        <a:solidFill>
          <a:srgbClr val="5C965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25</xdr:col>
      <xdr:colOff>69293</xdr:colOff>
      <xdr:row>28</xdr:row>
      <xdr:rowOff>12700</xdr:rowOff>
    </xdr:from>
    <xdr:to>
      <xdr:col>26</xdr:col>
      <xdr:colOff>31193</xdr:colOff>
      <xdr:row>28</xdr:row>
      <xdr:rowOff>190500</xdr:rowOff>
    </xdr:to>
    <xdr:sp macro="" textlink="">
      <xdr:nvSpPr>
        <xdr:cNvPr id="73" name="GTag_S_29">
          <a:extLst>
            <a:ext uri="{FF2B5EF4-FFF2-40B4-BE49-F238E27FC236}">
              <a16:creationId xmlns:a16="http://schemas.microsoft.com/office/drawing/2014/main" id="{2F12219C-C76F-40E2-AE78-B9E23224A2E3}"/>
            </a:ext>
          </a:extLst>
        </xdr:cNvPr>
        <xdr:cNvSpPr txBox="1"/>
      </xdr:nvSpPr>
      <xdr:spPr>
        <a:xfrm>
          <a:off x="12947093" y="63881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02/05</a:t>
          </a:r>
        </a:p>
      </xdr:txBody>
    </xdr:sp>
    <xdr:clientData/>
  </xdr:twoCellAnchor>
  <xdr:twoCellAnchor>
    <xdr:from>
      <xdr:col>28</xdr:col>
      <xdr:colOff>313931</xdr:colOff>
      <xdr:row>28</xdr:row>
      <xdr:rowOff>12700</xdr:rowOff>
    </xdr:from>
    <xdr:to>
      <xdr:col>30</xdr:col>
      <xdr:colOff>34531</xdr:colOff>
      <xdr:row>28</xdr:row>
      <xdr:rowOff>190500</xdr:rowOff>
    </xdr:to>
    <xdr:sp macro="" textlink="">
      <xdr:nvSpPr>
        <xdr:cNvPr id="74" name="GTag_E_29">
          <a:extLst>
            <a:ext uri="{FF2B5EF4-FFF2-40B4-BE49-F238E27FC236}">
              <a16:creationId xmlns:a16="http://schemas.microsoft.com/office/drawing/2014/main" id="{06085C9A-305C-428F-95E8-E5E993BFA51A}"/>
            </a:ext>
          </a:extLst>
        </xdr:cNvPr>
        <xdr:cNvSpPr txBox="1"/>
      </xdr:nvSpPr>
      <xdr:spPr>
        <a:xfrm>
          <a:off x="14144231" y="6388100"/>
          <a:ext cx="355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29/07</a:t>
          </a:r>
        </a:p>
      </xdr:txBody>
    </xdr:sp>
    <xdr:clientData/>
  </xdr:twoCellAnchor>
  <xdr:twoCellAnchor>
    <xdr:from>
      <xdr:col>28</xdr:col>
      <xdr:colOff>309389</xdr:colOff>
      <xdr:row>29</xdr:row>
      <xdr:rowOff>38100</xdr:rowOff>
    </xdr:from>
    <xdr:to>
      <xdr:col>30</xdr:col>
      <xdr:colOff>289689</xdr:colOff>
      <xdr:row>29</xdr:row>
      <xdr:rowOff>190500</xdr:rowOff>
    </xdr:to>
    <xdr:sp macro="" textlink="">
      <xdr:nvSpPr>
        <xdr:cNvPr id="75" name="Gantt_Norm_30">
          <a:extLst>
            <a:ext uri="{FF2B5EF4-FFF2-40B4-BE49-F238E27FC236}">
              <a16:creationId xmlns:a16="http://schemas.microsoft.com/office/drawing/2014/main" id="{A42F8BD8-25A9-4556-A29E-8AD2FC80C548}"/>
            </a:ext>
          </a:extLst>
        </xdr:cNvPr>
        <xdr:cNvSpPr/>
      </xdr:nvSpPr>
      <xdr:spPr>
        <a:xfrm>
          <a:off x="14139689" y="6642100"/>
          <a:ext cx="615300" cy="152400"/>
        </a:xfrm>
        <a:prstGeom prst="roundRect">
          <a:avLst/>
        </a:prstGeom>
        <a:solidFill>
          <a:srgbClr val="5C965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28</xdr:col>
      <xdr:colOff>55389</xdr:colOff>
      <xdr:row>29</xdr:row>
      <xdr:rowOff>12700</xdr:rowOff>
    </xdr:from>
    <xdr:to>
      <xdr:col>29</xdr:col>
      <xdr:colOff>17289</xdr:colOff>
      <xdr:row>29</xdr:row>
      <xdr:rowOff>190500</xdr:rowOff>
    </xdr:to>
    <xdr:sp macro="" textlink="">
      <xdr:nvSpPr>
        <xdr:cNvPr id="76" name="GTag_S_30">
          <a:extLst>
            <a:ext uri="{FF2B5EF4-FFF2-40B4-BE49-F238E27FC236}">
              <a16:creationId xmlns:a16="http://schemas.microsoft.com/office/drawing/2014/main" id="{D4DEBEDB-F93B-4910-BA8E-3DC31D06BEFD}"/>
            </a:ext>
          </a:extLst>
        </xdr:cNvPr>
        <xdr:cNvSpPr txBox="1"/>
      </xdr:nvSpPr>
      <xdr:spPr>
        <a:xfrm>
          <a:off x="13885689" y="66167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31/07</a:t>
          </a:r>
        </a:p>
      </xdr:txBody>
    </xdr:sp>
    <xdr:clientData/>
  </xdr:twoCellAnchor>
  <xdr:twoCellAnchor>
    <xdr:from>
      <xdr:col>30</xdr:col>
      <xdr:colOff>315089</xdr:colOff>
      <xdr:row>29</xdr:row>
      <xdr:rowOff>12700</xdr:rowOff>
    </xdr:from>
    <xdr:to>
      <xdr:col>32</xdr:col>
      <xdr:colOff>35689</xdr:colOff>
      <xdr:row>29</xdr:row>
      <xdr:rowOff>190500</xdr:rowOff>
    </xdr:to>
    <xdr:sp macro="" textlink="">
      <xdr:nvSpPr>
        <xdr:cNvPr id="77" name="GTag_E_30">
          <a:extLst>
            <a:ext uri="{FF2B5EF4-FFF2-40B4-BE49-F238E27FC236}">
              <a16:creationId xmlns:a16="http://schemas.microsoft.com/office/drawing/2014/main" id="{2F9EB5ED-BDF6-409F-B55E-60CDDD9DBB1B}"/>
            </a:ext>
          </a:extLst>
        </xdr:cNvPr>
        <xdr:cNvSpPr txBox="1"/>
      </xdr:nvSpPr>
      <xdr:spPr>
        <a:xfrm>
          <a:off x="14780389" y="6616700"/>
          <a:ext cx="355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28/09</a:t>
          </a:r>
        </a:p>
      </xdr:txBody>
    </xdr:sp>
    <xdr:clientData/>
  </xdr:twoCellAnchor>
  <xdr:twoCellAnchor>
    <xdr:from>
      <xdr:col>30</xdr:col>
      <xdr:colOff>310547</xdr:colOff>
      <xdr:row>30</xdr:row>
      <xdr:rowOff>38100</xdr:rowOff>
    </xdr:from>
    <xdr:to>
      <xdr:col>32</xdr:col>
      <xdr:colOff>311705</xdr:colOff>
      <xdr:row>30</xdr:row>
      <xdr:rowOff>190500</xdr:rowOff>
    </xdr:to>
    <xdr:sp macro="" textlink="">
      <xdr:nvSpPr>
        <xdr:cNvPr id="78" name="Gantt_Crit_31">
          <a:extLst>
            <a:ext uri="{FF2B5EF4-FFF2-40B4-BE49-F238E27FC236}">
              <a16:creationId xmlns:a16="http://schemas.microsoft.com/office/drawing/2014/main" id="{8B27AF12-121D-4D98-80BD-493ABDC3E622}"/>
            </a:ext>
          </a:extLst>
        </xdr:cNvPr>
        <xdr:cNvSpPr/>
      </xdr:nvSpPr>
      <xdr:spPr>
        <a:xfrm>
          <a:off x="14775847" y="6870700"/>
          <a:ext cx="636158" cy="152400"/>
        </a:xfrm>
        <a:prstGeom prst="roundRect">
          <a:avLst/>
        </a:prstGeom>
        <a:solidFill>
          <a:srgbClr val="E0505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30</xdr:col>
      <xdr:colOff>56547</xdr:colOff>
      <xdr:row>30</xdr:row>
      <xdr:rowOff>12700</xdr:rowOff>
    </xdr:from>
    <xdr:to>
      <xdr:col>31</xdr:col>
      <xdr:colOff>18447</xdr:colOff>
      <xdr:row>30</xdr:row>
      <xdr:rowOff>190500</xdr:rowOff>
    </xdr:to>
    <xdr:sp macro="" textlink="">
      <xdr:nvSpPr>
        <xdr:cNvPr id="79" name="GTag_S_31">
          <a:extLst>
            <a:ext uri="{FF2B5EF4-FFF2-40B4-BE49-F238E27FC236}">
              <a16:creationId xmlns:a16="http://schemas.microsoft.com/office/drawing/2014/main" id="{C395943E-9F16-4D8E-9294-9C8B1DF8DF1E}"/>
            </a:ext>
          </a:extLst>
        </xdr:cNvPr>
        <xdr:cNvSpPr txBox="1"/>
      </xdr:nvSpPr>
      <xdr:spPr>
        <a:xfrm>
          <a:off x="14521847" y="68453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30/09</a:t>
          </a:r>
        </a:p>
      </xdr:txBody>
    </xdr:sp>
    <xdr:clientData/>
  </xdr:twoCellAnchor>
  <xdr:twoCellAnchor>
    <xdr:from>
      <xdr:col>33</xdr:col>
      <xdr:colOff>19607</xdr:colOff>
      <xdr:row>30</xdr:row>
      <xdr:rowOff>12700</xdr:rowOff>
    </xdr:from>
    <xdr:to>
      <xdr:col>34</xdr:col>
      <xdr:colOff>57707</xdr:colOff>
      <xdr:row>30</xdr:row>
      <xdr:rowOff>190500</xdr:rowOff>
    </xdr:to>
    <xdr:sp macro="" textlink="">
      <xdr:nvSpPr>
        <xdr:cNvPr id="80" name="GTag_E_31">
          <a:extLst>
            <a:ext uri="{FF2B5EF4-FFF2-40B4-BE49-F238E27FC236}">
              <a16:creationId xmlns:a16="http://schemas.microsoft.com/office/drawing/2014/main" id="{069C0DA6-C77F-4D19-95FF-E8660A3A5534}"/>
            </a:ext>
          </a:extLst>
        </xdr:cNvPr>
        <xdr:cNvSpPr txBox="1"/>
      </xdr:nvSpPr>
      <xdr:spPr>
        <a:xfrm>
          <a:off x="15437407" y="6845300"/>
          <a:ext cx="355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vi-VN" sz="650">
              <a:latin typeface="Segoe UI" panose="020B0502040204020203" pitchFamily="34" charset="0"/>
            </a:rPr>
            <a:t>30/11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D93F8-9291-4BF0-B8B8-6EA6C40FD9A6}">
  <sheetPr codeName="Sheet1">
    <tabColor rgb="FF2E7D32"/>
  </sheetPr>
  <dimension ref="A1:AH31"/>
  <sheetViews>
    <sheetView tabSelected="1" workbookViewId="0">
      <selection sqref="A1:AE1"/>
    </sheetView>
  </sheetViews>
  <sheetFormatPr defaultRowHeight="14" x14ac:dyDescent="0.3"/>
  <cols>
    <col min="1" max="1" width="5" customWidth="1"/>
    <col min="2" max="2" width="8" customWidth="1"/>
    <col min="3" max="3" width="38" customWidth="1"/>
    <col min="4" max="4" width="10" customWidth="1"/>
    <col min="5" max="7" width="11" customWidth="1"/>
    <col min="8" max="34" width="4.1640625" customWidth="1"/>
  </cols>
  <sheetData>
    <row r="1" spans="1:34" ht="24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4" ht="22" customHeight="1" x14ac:dyDescent="0.35">
      <c r="A2" s="3" t="s">
        <v>1</v>
      </c>
      <c r="E2" s="4" t="s">
        <v>2</v>
      </c>
      <c r="F2" s="5">
        <v>45261</v>
      </c>
      <c r="G2" s="4" t="s">
        <v>3</v>
      </c>
      <c r="H2" s="5">
        <v>45991</v>
      </c>
    </row>
    <row r="3" spans="1:34" ht="20" customHeight="1" x14ac:dyDescent="0.3">
      <c r="A3" s="6" t="s">
        <v>4</v>
      </c>
      <c r="B3" s="7" t="s">
        <v>5</v>
      </c>
      <c r="C3" s="6" t="s">
        <v>6</v>
      </c>
      <c r="E3" s="6" t="s">
        <v>7</v>
      </c>
      <c r="G3" s="8" t="s">
        <v>8</v>
      </c>
    </row>
    <row r="4" spans="1:34" ht="10" customHeight="1" x14ac:dyDescent="0.3"/>
    <row r="5" spans="1:34" ht="20" customHeight="1" x14ac:dyDescent="0.3">
      <c r="A5" s="9" t="s">
        <v>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4" ht="18" customHeight="1" thickBot="1" x14ac:dyDescent="0.35">
      <c r="A6" s="10" t="s">
        <v>10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4" ht="14.5" thickBot="1" x14ac:dyDescent="0.35">
      <c r="A7" s="11" t="s">
        <v>11</v>
      </c>
      <c r="B7" s="11" t="s">
        <v>12</v>
      </c>
      <c r="C7" s="11" t="s">
        <v>13</v>
      </c>
      <c r="D7" s="11" t="s">
        <v>14</v>
      </c>
      <c r="E7" s="11" t="s">
        <v>15</v>
      </c>
      <c r="F7" s="11" t="s">
        <v>16</v>
      </c>
      <c r="G7" s="11" t="s">
        <v>17</v>
      </c>
      <c r="H7" s="12" t="s">
        <v>18</v>
      </c>
      <c r="I7" s="13"/>
      <c r="J7" s="14"/>
      <c r="K7" s="12" t="s">
        <v>19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4"/>
      <c r="W7" s="12" t="s">
        <v>20</v>
      </c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4"/>
    </row>
    <row r="8" spans="1:34" ht="14.5" thickBot="1" x14ac:dyDescent="0.35">
      <c r="A8" s="15"/>
      <c r="B8" s="15"/>
      <c r="C8" s="15"/>
      <c r="D8" s="15"/>
      <c r="E8" s="15"/>
      <c r="F8" s="15"/>
      <c r="G8" s="15"/>
      <c r="H8" s="16" t="s">
        <v>21</v>
      </c>
      <c r="I8" s="13"/>
      <c r="J8" s="14"/>
      <c r="K8" s="16" t="s">
        <v>22</v>
      </c>
      <c r="L8" s="13"/>
      <c r="M8" s="14"/>
      <c r="N8" s="16" t="s">
        <v>23</v>
      </c>
      <c r="O8" s="13"/>
      <c r="P8" s="14"/>
      <c r="Q8" s="16" t="s">
        <v>24</v>
      </c>
      <c r="R8" s="13"/>
      <c r="S8" s="14"/>
      <c r="T8" s="16" t="s">
        <v>21</v>
      </c>
      <c r="U8" s="13"/>
      <c r="V8" s="14"/>
      <c r="W8" s="16" t="s">
        <v>22</v>
      </c>
      <c r="X8" s="13"/>
      <c r="Y8" s="14"/>
      <c r="Z8" s="16" t="s">
        <v>23</v>
      </c>
      <c r="AA8" s="13"/>
      <c r="AB8" s="14"/>
      <c r="AC8" s="16" t="s">
        <v>24</v>
      </c>
      <c r="AD8" s="13"/>
      <c r="AE8" s="14"/>
      <c r="AF8" s="16" t="s">
        <v>21</v>
      </c>
      <c r="AG8" s="13"/>
      <c r="AH8" s="14"/>
    </row>
    <row r="9" spans="1:34" ht="18" customHeight="1" x14ac:dyDescent="0.3">
      <c r="A9" s="17">
        <v>1</v>
      </c>
      <c r="B9" s="17" t="s">
        <v>25</v>
      </c>
      <c r="C9" s="18" t="s">
        <v>26</v>
      </c>
      <c r="D9" s="17" t="s">
        <v>27</v>
      </c>
      <c r="E9" s="19">
        <v>731</v>
      </c>
      <c r="F9" s="20">
        <v>45261</v>
      </c>
      <c r="G9" s="20">
        <v>45991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</row>
    <row r="10" spans="1:34" ht="18" customHeight="1" x14ac:dyDescent="0.3">
      <c r="A10" s="17">
        <v>2</v>
      </c>
      <c r="B10" s="17" t="s">
        <v>28</v>
      </c>
      <c r="C10" s="22" t="s">
        <v>29</v>
      </c>
      <c r="D10" s="17" t="s">
        <v>27</v>
      </c>
      <c r="E10" s="19">
        <v>83</v>
      </c>
      <c r="F10" s="20">
        <v>45261</v>
      </c>
      <c r="G10" s="20">
        <v>45343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</row>
    <row r="11" spans="1:34" ht="18" customHeight="1" x14ac:dyDescent="0.3">
      <c r="A11" s="23">
        <v>3</v>
      </c>
      <c r="B11" s="23" t="s">
        <v>30</v>
      </c>
      <c r="C11" s="24" t="s">
        <v>31</v>
      </c>
      <c r="D11" s="23" t="s">
        <v>32</v>
      </c>
      <c r="E11" s="25">
        <v>25</v>
      </c>
      <c r="F11" s="26">
        <v>45261</v>
      </c>
      <c r="G11" s="26">
        <v>45285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</row>
    <row r="12" spans="1:34" ht="18" customHeight="1" x14ac:dyDescent="0.3">
      <c r="A12" s="23">
        <v>4</v>
      </c>
      <c r="B12" s="23" t="s">
        <v>33</v>
      </c>
      <c r="C12" s="24" t="s">
        <v>34</v>
      </c>
      <c r="D12" s="23" t="s">
        <v>32</v>
      </c>
      <c r="E12" s="25">
        <v>58</v>
      </c>
      <c r="F12" s="26">
        <v>45286</v>
      </c>
      <c r="G12" s="26">
        <v>45343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spans="1:34" ht="18" customHeight="1" x14ac:dyDescent="0.3">
      <c r="A13" s="23">
        <v>5</v>
      </c>
      <c r="B13" s="23" t="s">
        <v>35</v>
      </c>
      <c r="C13" s="24" t="s">
        <v>36</v>
      </c>
      <c r="D13" s="23" t="s">
        <v>32</v>
      </c>
      <c r="E13" s="25">
        <v>25</v>
      </c>
      <c r="F13" s="26">
        <v>45261</v>
      </c>
      <c r="G13" s="26">
        <v>45285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spans="1:34" ht="18" customHeight="1" x14ac:dyDescent="0.3">
      <c r="A14" s="27">
        <v>6</v>
      </c>
      <c r="B14" s="27" t="s">
        <v>37</v>
      </c>
      <c r="C14" s="28" t="s">
        <v>38</v>
      </c>
      <c r="D14" s="27" t="s">
        <v>32</v>
      </c>
      <c r="E14" s="29">
        <v>58</v>
      </c>
      <c r="F14" s="30">
        <v>45286</v>
      </c>
      <c r="G14" s="30">
        <v>45343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 spans="1:34" ht="18" customHeight="1" x14ac:dyDescent="0.3">
      <c r="A15" s="17">
        <v>7</v>
      </c>
      <c r="B15" s="17" t="s">
        <v>39</v>
      </c>
      <c r="C15" s="22" t="s">
        <v>40</v>
      </c>
      <c r="D15" s="17" t="s">
        <v>27</v>
      </c>
      <c r="E15" s="19">
        <v>706</v>
      </c>
      <c r="F15" s="20">
        <v>45286</v>
      </c>
      <c r="G15" s="20">
        <v>45991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 spans="1:34" ht="18" customHeight="1" x14ac:dyDescent="0.3">
      <c r="A16" s="17">
        <v>8</v>
      </c>
      <c r="B16" s="17" t="s">
        <v>41</v>
      </c>
      <c r="C16" s="24" t="s">
        <v>42</v>
      </c>
      <c r="D16" s="17" t="s">
        <v>27</v>
      </c>
      <c r="E16" s="19">
        <v>664</v>
      </c>
      <c r="F16" s="20">
        <v>45286</v>
      </c>
      <c r="G16" s="20">
        <v>45949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 spans="1:34" ht="18" customHeight="1" x14ac:dyDescent="0.3">
      <c r="A17" s="23">
        <v>9</v>
      </c>
      <c r="B17" s="23" t="s">
        <v>43</v>
      </c>
      <c r="C17" s="31" t="s">
        <v>44</v>
      </c>
      <c r="D17" s="23" t="s">
        <v>32</v>
      </c>
      <c r="E17" s="25">
        <v>60</v>
      </c>
      <c r="F17" s="26">
        <v>45286</v>
      </c>
      <c r="G17" s="26">
        <v>45345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</row>
    <row r="18" spans="1:34" ht="18" customHeight="1" x14ac:dyDescent="0.3">
      <c r="A18" s="23">
        <v>10</v>
      </c>
      <c r="B18" s="23" t="s">
        <v>45</v>
      </c>
      <c r="C18" s="31" t="s">
        <v>46</v>
      </c>
      <c r="D18" s="23" t="s">
        <v>32</v>
      </c>
      <c r="E18" s="25">
        <v>265</v>
      </c>
      <c r="F18" s="26">
        <v>45354</v>
      </c>
      <c r="G18" s="26">
        <v>45618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19" spans="1:34" ht="18" customHeight="1" x14ac:dyDescent="0.3">
      <c r="A19" s="23">
        <v>11</v>
      </c>
      <c r="B19" s="23" t="s">
        <v>47</v>
      </c>
      <c r="C19" s="31" t="s">
        <v>48</v>
      </c>
      <c r="D19" s="23" t="s">
        <v>32</v>
      </c>
      <c r="E19" s="25">
        <v>271</v>
      </c>
      <c r="F19" s="26">
        <v>45368</v>
      </c>
      <c r="G19" s="26">
        <v>45638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</row>
    <row r="20" spans="1:34" ht="18" customHeight="1" x14ac:dyDescent="0.3">
      <c r="A20" s="23">
        <v>12</v>
      </c>
      <c r="B20" s="23" t="s">
        <v>49</v>
      </c>
      <c r="C20" s="31" t="s">
        <v>50</v>
      </c>
      <c r="D20" s="23" t="s">
        <v>32</v>
      </c>
      <c r="E20" s="25">
        <v>166</v>
      </c>
      <c r="F20" s="26">
        <v>45544</v>
      </c>
      <c r="G20" s="26">
        <v>45709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</row>
    <row r="21" spans="1:34" ht="18" customHeight="1" x14ac:dyDescent="0.3">
      <c r="A21" s="23">
        <v>13</v>
      </c>
      <c r="B21" s="23" t="s">
        <v>51</v>
      </c>
      <c r="C21" s="31" t="s">
        <v>52</v>
      </c>
      <c r="D21" s="23" t="s">
        <v>32</v>
      </c>
      <c r="E21" s="25">
        <v>89</v>
      </c>
      <c r="F21" s="26">
        <v>45708</v>
      </c>
      <c r="G21" s="26">
        <v>45796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</row>
    <row r="22" spans="1:34" ht="18" customHeight="1" x14ac:dyDescent="0.3">
      <c r="A22" s="23">
        <v>14</v>
      </c>
      <c r="B22" s="23" t="s">
        <v>53</v>
      </c>
      <c r="C22" s="31" t="s">
        <v>54</v>
      </c>
      <c r="D22" s="23" t="s">
        <v>32</v>
      </c>
      <c r="E22" s="25">
        <v>60</v>
      </c>
      <c r="F22" s="26">
        <v>45808</v>
      </c>
      <c r="G22" s="26">
        <v>45867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</row>
    <row r="23" spans="1:34" ht="18" customHeight="1" x14ac:dyDescent="0.3">
      <c r="A23" s="23">
        <v>15</v>
      </c>
      <c r="B23" s="23" t="s">
        <v>55</v>
      </c>
      <c r="C23" s="31" t="s">
        <v>56</v>
      </c>
      <c r="D23" s="23" t="s">
        <v>32</v>
      </c>
      <c r="E23" s="25">
        <v>81</v>
      </c>
      <c r="F23" s="26">
        <v>45869</v>
      </c>
      <c r="G23" s="26">
        <v>45949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</row>
    <row r="24" spans="1:34" ht="18" customHeight="1" x14ac:dyDescent="0.3">
      <c r="A24" s="17">
        <v>16</v>
      </c>
      <c r="B24" s="17" t="s">
        <v>57</v>
      </c>
      <c r="C24" s="24" t="s">
        <v>58</v>
      </c>
      <c r="D24" s="17" t="s">
        <v>27</v>
      </c>
      <c r="E24" s="19">
        <v>691</v>
      </c>
      <c r="F24" s="20">
        <v>45301</v>
      </c>
      <c r="G24" s="20">
        <v>45991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</row>
    <row r="25" spans="1:34" ht="18" customHeight="1" x14ac:dyDescent="0.3">
      <c r="A25" s="23">
        <v>17</v>
      </c>
      <c r="B25" s="23" t="s">
        <v>59</v>
      </c>
      <c r="C25" s="32" t="s">
        <v>44</v>
      </c>
      <c r="D25" s="23" t="s">
        <v>32</v>
      </c>
      <c r="E25" s="25">
        <v>66</v>
      </c>
      <c r="F25" s="26">
        <v>45301</v>
      </c>
      <c r="G25" s="26">
        <v>45366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</row>
    <row r="26" spans="1:34" ht="18" customHeight="1" x14ac:dyDescent="0.3">
      <c r="A26" s="23">
        <v>18</v>
      </c>
      <c r="B26" s="23" t="s">
        <v>60</v>
      </c>
      <c r="C26" s="32" t="s">
        <v>46</v>
      </c>
      <c r="D26" s="23" t="s">
        <v>32</v>
      </c>
      <c r="E26" s="25">
        <v>300</v>
      </c>
      <c r="F26" s="26">
        <v>45374</v>
      </c>
      <c r="G26" s="26">
        <v>45673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</row>
    <row r="27" spans="1:34" ht="18" customHeight="1" x14ac:dyDescent="0.3">
      <c r="A27" s="23">
        <v>19</v>
      </c>
      <c r="B27" s="23" t="s">
        <v>61</v>
      </c>
      <c r="C27" s="32" t="s">
        <v>48</v>
      </c>
      <c r="D27" s="23" t="s">
        <v>32</v>
      </c>
      <c r="E27" s="25">
        <v>306</v>
      </c>
      <c r="F27" s="26">
        <v>45390</v>
      </c>
      <c r="G27" s="26">
        <v>45695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</row>
    <row r="28" spans="1:34" ht="18" customHeight="1" x14ac:dyDescent="0.3">
      <c r="A28" s="23">
        <v>20</v>
      </c>
      <c r="B28" s="23" t="s">
        <v>62</v>
      </c>
      <c r="C28" s="32" t="s">
        <v>50</v>
      </c>
      <c r="D28" s="23" t="s">
        <v>32</v>
      </c>
      <c r="E28" s="25">
        <v>188</v>
      </c>
      <c r="F28" s="26">
        <v>45584</v>
      </c>
      <c r="G28" s="26">
        <v>45771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</row>
    <row r="29" spans="1:34" ht="18" customHeight="1" x14ac:dyDescent="0.3">
      <c r="A29" s="23">
        <v>21</v>
      </c>
      <c r="B29" s="23" t="s">
        <v>63</v>
      </c>
      <c r="C29" s="32" t="s">
        <v>52</v>
      </c>
      <c r="D29" s="23" t="s">
        <v>32</v>
      </c>
      <c r="E29" s="25">
        <v>89</v>
      </c>
      <c r="F29" s="26">
        <v>45779</v>
      </c>
      <c r="G29" s="26">
        <v>45867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4" ht="18" customHeight="1" x14ac:dyDescent="0.3">
      <c r="A30" s="23">
        <v>22</v>
      </c>
      <c r="B30" s="23" t="s">
        <v>64</v>
      </c>
      <c r="C30" s="32" t="s">
        <v>54</v>
      </c>
      <c r="D30" s="23" t="s">
        <v>32</v>
      </c>
      <c r="E30" s="25">
        <v>60</v>
      </c>
      <c r="F30" s="26">
        <v>45869</v>
      </c>
      <c r="G30" s="26">
        <v>45928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</row>
    <row r="31" spans="1:34" ht="18" customHeight="1" x14ac:dyDescent="0.3">
      <c r="A31" s="23">
        <v>23</v>
      </c>
      <c r="B31" s="23" t="s">
        <v>65</v>
      </c>
      <c r="C31" s="31" t="s">
        <v>56</v>
      </c>
      <c r="D31" s="23" t="s">
        <v>32</v>
      </c>
      <c r="E31" s="25">
        <v>62</v>
      </c>
      <c r="F31" s="26">
        <v>45930</v>
      </c>
      <c r="G31" s="26">
        <v>45991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</row>
  </sheetData>
  <mergeCells count="22">
    <mergeCell ref="AC8:AE8"/>
    <mergeCell ref="AF8:AH8"/>
    <mergeCell ref="H7:J7"/>
    <mergeCell ref="K7:V7"/>
    <mergeCell ref="W7:AH7"/>
    <mergeCell ref="H8:J8"/>
    <mergeCell ref="K8:M8"/>
    <mergeCell ref="N8:P8"/>
    <mergeCell ref="Q8:S8"/>
    <mergeCell ref="T8:V8"/>
    <mergeCell ref="W8:Y8"/>
    <mergeCell ref="Z8:AB8"/>
    <mergeCell ref="A1:AE1"/>
    <mergeCell ref="A5:AE5"/>
    <mergeCell ref="A6:AE6"/>
    <mergeCell ref="A7:A8"/>
    <mergeCell ref="B7:B8"/>
    <mergeCell ref="C7:C8"/>
    <mergeCell ref="D7:D8"/>
    <mergeCell ref="E7:E8"/>
    <mergeCell ref="F7:F8"/>
    <mergeCell ref="G7:G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92F41-332E-4109-8926-066DF589465A}">
  <sheetPr codeName="Sheet2"/>
  <dimension ref="A1:J39"/>
  <sheetViews>
    <sheetView workbookViewId="0"/>
  </sheetViews>
  <sheetFormatPr defaultRowHeight="14" x14ac:dyDescent="0.3"/>
  <cols>
    <col min="1" max="1" width="6" customWidth="1"/>
    <col min="2" max="2" width="14" customWidth="1"/>
    <col min="3" max="3" width="46" customWidth="1"/>
    <col min="4" max="4" width="8" customWidth="1"/>
    <col min="5" max="6" width="16" customWidth="1"/>
    <col min="7" max="7" width="22" customWidth="1"/>
    <col min="8" max="8" width="15" customWidth="1"/>
    <col min="9" max="10" width="28" customWidth="1"/>
  </cols>
  <sheetData>
    <row r="1" spans="1:10" ht="19" x14ac:dyDescent="0.3">
      <c r="A1" s="33" t="s">
        <v>66</v>
      </c>
    </row>
    <row r="2" spans="1:10" x14ac:dyDescent="0.3">
      <c r="A2" s="34" t="s">
        <v>67</v>
      </c>
    </row>
    <row r="4" spans="1:10" x14ac:dyDescent="0.3">
      <c r="A4" s="35" t="s">
        <v>11</v>
      </c>
      <c r="B4" s="35" t="s">
        <v>68</v>
      </c>
      <c r="C4" s="35" t="s">
        <v>69</v>
      </c>
      <c r="D4" s="35" t="s">
        <v>70</v>
      </c>
      <c r="E4" s="35" t="s">
        <v>71</v>
      </c>
      <c r="F4" s="35" t="s">
        <v>72</v>
      </c>
      <c r="G4" s="35" t="s">
        <v>73</v>
      </c>
      <c r="H4" s="35" t="s">
        <v>74</v>
      </c>
      <c r="I4" s="35" t="s">
        <v>75</v>
      </c>
      <c r="J4" s="35" t="s">
        <v>76</v>
      </c>
    </row>
    <row r="5" spans="1:10" ht="14.5" x14ac:dyDescent="0.35">
      <c r="A5" s="36"/>
      <c r="B5" s="36"/>
      <c r="C5" s="36"/>
      <c r="D5" s="36"/>
      <c r="E5" s="36"/>
      <c r="F5" s="36"/>
      <c r="G5" s="36"/>
      <c r="H5" s="36"/>
      <c r="I5" s="36"/>
      <c r="J5" s="36"/>
    </row>
    <row r="6" spans="1:10" ht="14.5" x14ac:dyDescent="0.35">
      <c r="A6" s="37" t="s">
        <v>77</v>
      </c>
      <c r="B6" s="36"/>
      <c r="C6" s="36"/>
      <c r="D6" s="38"/>
      <c r="E6" s="38"/>
      <c r="F6" s="38"/>
      <c r="G6" s="38"/>
      <c r="H6" s="38"/>
      <c r="I6" s="38"/>
      <c r="J6" s="37" t="s">
        <v>78</v>
      </c>
    </row>
    <row r="7" spans="1:10" x14ac:dyDescent="0.3">
      <c r="A7" s="39">
        <v>1</v>
      </c>
      <c r="B7" s="39" t="s">
        <v>79</v>
      </c>
      <c r="C7" s="40" t="s">
        <v>80</v>
      </c>
      <c r="D7" s="39" t="s">
        <v>81</v>
      </c>
      <c r="E7" s="41">
        <v>27000</v>
      </c>
      <c r="F7" s="41">
        <v>28500</v>
      </c>
      <c r="G7" s="41">
        <f t="shared" ref="G7:G15" si="0">E7*F7</f>
        <v>769500000</v>
      </c>
      <c r="H7" s="41">
        <v>450</v>
      </c>
      <c r="I7" s="40" t="s">
        <v>82</v>
      </c>
      <c r="J7" s="40" t="s">
        <v>83</v>
      </c>
    </row>
    <row r="8" spans="1:10" x14ac:dyDescent="0.3">
      <c r="A8" s="39">
        <v>2</v>
      </c>
      <c r="B8" s="39" t="s">
        <v>84</v>
      </c>
      <c r="C8" s="40" t="s">
        <v>85</v>
      </c>
      <c r="D8" s="39" t="s">
        <v>81</v>
      </c>
      <c r="E8" s="41">
        <v>145000</v>
      </c>
      <c r="F8" s="41">
        <v>36200</v>
      </c>
      <c r="G8" s="41">
        <f t="shared" si="0"/>
        <v>5249000000</v>
      </c>
      <c r="H8" s="41">
        <v>550</v>
      </c>
      <c r="I8" s="40" t="s">
        <v>86</v>
      </c>
      <c r="J8" s="40" t="s">
        <v>87</v>
      </c>
    </row>
    <row r="9" spans="1:10" x14ac:dyDescent="0.3">
      <c r="A9" s="39">
        <v>3</v>
      </c>
      <c r="B9" s="39" t="s">
        <v>88</v>
      </c>
      <c r="C9" s="40" t="s">
        <v>89</v>
      </c>
      <c r="D9" s="39" t="s">
        <v>81</v>
      </c>
      <c r="E9" s="41">
        <v>38000</v>
      </c>
      <c r="F9" s="41">
        <v>115000</v>
      </c>
      <c r="G9" s="41">
        <f t="shared" si="0"/>
        <v>4370000000</v>
      </c>
      <c r="H9" s="41">
        <v>260</v>
      </c>
      <c r="I9" s="40" t="s">
        <v>90</v>
      </c>
      <c r="J9" s="40" t="s">
        <v>91</v>
      </c>
    </row>
    <row r="10" spans="1:10" x14ac:dyDescent="0.3">
      <c r="A10" s="39">
        <v>4</v>
      </c>
      <c r="B10" s="39" t="s">
        <v>92</v>
      </c>
      <c r="C10" s="40" t="s">
        <v>93</v>
      </c>
      <c r="D10" s="39" t="s">
        <v>81</v>
      </c>
      <c r="E10" s="41">
        <v>95000</v>
      </c>
      <c r="F10" s="41">
        <v>48000</v>
      </c>
      <c r="G10" s="41">
        <f t="shared" si="0"/>
        <v>4560000000</v>
      </c>
      <c r="H10" s="41">
        <v>600</v>
      </c>
      <c r="I10" s="40" t="s">
        <v>94</v>
      </c>
      <c r="J10" s="40" t="s">
        <v>95</v>
      </c>
    </row>
    <row r="11" spans="1:10" x14ac:dyDescent="0.3">
      <c r="A11" s="39">
        <v>5</v>
      </c>
      <c r="B11" s="39" t="s">
        <v>96</v>
      </c>
      <c r="C11" s="40" t="s">
        <v>97</v>
      </c>
      <c r="D11" s="39" t="s">
        <v>98</v>
      </c>
      <c r="E11" s="41">
        <v>36000</v>
      </c>
      <c r="F11" s="41">
        <v>85000</v>
      </c>
      <c r="G11" s="41">
        <f t="shared" si="0"/>
        <v>3060000000</v>
      </c>
      <c r="H11" s="41">
        <v>500</v>
      </c>
      <c r="I11" s="40" t="s">
        <v>99</v>
      </c>
      <c r="J11" s="40" t="s">
        <v>100</v>
      </c>
    </row>
    <row r="12" spans="1:10" x14ac:dyDescent="0.3">
      <c r="A12" s="39">
        <v>6</v>
      </c>
      <c r="B12" s="39" t="s">
        <v>101</v>
      </c>
      <c r="C12" s="40" t="s">
        <v>102</v>
      </c>
      <c r="D12" s="39" t="s">
        <v>98</v>
      </c>
      <c r="E12" s="41">
        <v>34000</v>
      </c>
      <c r="F12" s="41">
        <v>98000</v>
      </c>
      <c r="G12" s="41">
        <f t="shared" si="0"/>
        <v>3332000000</v>
      </c>
      <c r="H12" s="41">
        <v>500</v>
      </c>
      <c r="I12" s="40" t="s">
        <v>99</v>
      </c>
      <c r="J12" s="40" t="s">
        <v>103</v>
      </c>
    </row>
    <row r="13" spans="1:10" x14ac:dyDescent="0.3">
      <c r="A13" s="39">
        <v>7</v>
      </c>
      <c r="B13" s="39" t="s">
        <v>104</v>
      </c>
      <c r="C13" s="40" t="s">
        <v>105</v>
      </c>
      <c r="D13" s="39" t="s">
        <v>98</v>
      </c>
      <c r="E13" s="41">
        <v>32000</v>
      </c>
      <c r="F13" s="41">
        <v>145000</v>
      </c>
      <c r="G13" s="41">
        <f t="shared" si="0"/>
        <v>4640000000</v>
      </c>
      <c r="H13" s="41">
        <v>700</v>
      </c>
      <c r="I13" s="40" t="s">
        <v>106</v>
      </c>
      <c r="J13" s="40" t="s">
        <v>107</v>
      </c>
    </row>
    <row r="14" spans="1:10" x14ac:dyDescent="0.3">
      <c r="A14" s="39">
        <v>8</v>
      </c>
      <c r="B14" s="39" t="s">
        <v>108</v>
      </c>
      <c r="C14" s="40" t="s">
        <v>109</v>
      </c>
      <c r="D14" s="39" t="s">
        <v>98</v>
      </c>
      <c r="E14" s="41">
        <v>30000</v>
      </c>
      <c r="F14" s="41">
        <v>245000</v>
      </c>
      <c r="G14" s="41">
        <f t="shared" si="0"/>
        <v>7350000000</v>
      </c>
      <c r="H14" s="41">
        <v>600</v>
      </c>
      <c r="I14" s="40" t="s">
        <v>110</v>
      </c>
      <c r="J14" s="40" t="s">
        <v>111</v>
      </c>
    </row>
    <row r="15" spans="1:10" x14ac:dyDescent="0.3">
      <c r="A15" s="39">
        <v>9</v>
      </c>
      <c r="B15" s="39" t="s">
        <v>112</v>
      </c>
      <c r="C15" s="40" t="s">
        <v>113</v>
      </c>
      <c r="D15" s="39" t="s">
        <v>98</v>
      </c>
      <c r="E15" s="41">
        <v>30000</v>
      </c>
      <c r="F15" s="41">
        <v>195000</v>
      </c>
      <c r="G15" s="41">
        <f t="shared" si="0"/>
        <v>5850000000</v>
      </c>
      <c r="H15" s="41">
        <v>600</v>
      </c>
      <c r="I15" s="40" t="s">
        <v>110</v>
      </c>
      <c r="J15" s="40" t="s">
        <v>114</v>
      </c>
    </row>
    <row r="16" spans="1:10" ht="14.5" x14ac:dyDescent="0.35">
      <c r="A16" s="37" t="s">
        <v>115</v>
      </c>
      <c r="B16" s="36"/>
      <c r="C16" s="36"/>
      <c r="D16" s="38"/>
      <c r="E16" s="38"/>
      <c r="F16" s="38"/>
      <c r="G16" s="38"/>
      <c r="H16" s="38"/>
      <c r="I16" s="38"/>
      <c r="J16" s="37" t="s">
        <v>116</v>
      </c>
    </row>
    <row r="17" spans="1:10" x14ac:dyDescent="0.3">
      <c r="A17" s="39">
        <v>10</v>
      </c>
      <c r="B17" s="39" t="s">
        <v>79</v>
      </c>
      <c r="C17" s="40" t="s">
        <v>80</v>
      </c>
      <c r="D17" s="39" t="s">
        <v>81</v>
      </c>
      <c r="E17" s="41">
        <v>29500</v>
      </c>
      <c r="F17" s="41">
        <v>28500</v>
      </c>
      <c r="G17" s="41">
        <f t="shared" ref="G17:G25" si="1">E17*F17</f>
        <v>840750000</v>
      </c>
      <c r="H17" s="41">
        <v>450</v>
      </c>
      <c r="I17" s="40" t="s">
        <v>82</v>
      </c>
      <c r="J17" s="40" t="s">
        <v>83</v>
      </c>
    </row>
    <row r="18" spans="1:10" x14ac:dyDescent="0.3">
      <c r="A18" s="39">
        <v>11</v>
      </c>
      <c r="B18" s="39" t="s">
        <v>84</v>
      </c>
      <c r="C18" s="40" t="s">
        <v>85</v>
      </c>
      <c r="D18" s="39" t="s">
        <v>81</v>
      </c>
      <c r="E18" s="41">
        <v>165000</v>
      </c>
      <c r="F18" s="41">
        <v>36200</v>
      </c>
      <c r="G18" s="41">
        <f t="shared" si="1"/>
        <v>5973000000</v>
      </c>
      <c r="H18" s="41">
        <v>550</v>
      </c>
      <c r="I18" s="40" t="s">
        <v>86</v>
      </c>
      <c r="J18" s="40" t="s">
        <v>87</v>
      </c>
    </row>
    <row r="19" spans="1:10" x14ac:dyDescent="0.3">
      <c r="A19" s="39">
        <v>12</v>
      </c>
      <c r="B19" s="39" t="s">
        <v>88</v>
      </c>
      <c r="C19" s="40" t="s">
        <v>89</v>
      </c>
      <c r="D19" s="39" t="s">
        <v>81</v>
      </c>
      <c r="E19" s="41">
        <v>42000</v>
      </c>
      <c r="F19" s="41">
        <v>115000</v>
      </c>
      <c r="G19" s="41">
        <f t="shared" si="1"/>
        <v>4830000000</v>
      </c>
      <c r="H19" s="41">
        <v>260</v>
      </c>
      <c r="I19" s="40" t="s">
        <v>90</v>
      </c>
      <c r="J19" s="40" t="s">
        <v>91</v>
      </c>
    </row>
    <row r="20" spans="1:10" x14ac:dyDescent="0.3">
      <c r="A20" s="39">
        <v>13</v>
      </c>
      <c r="B20" s="39" t="s">
        <v>92</v>
      </c>
      <c r="C20" s="40" t="s">
        <v>93</v>
      </c>
      <c r="D20" s="39" t="s">
        <v>81</v>
      </c>
      <c r="E20" s="41">
        <v>110000</v>
      </c>
      <c r="F20" s="41">
        <v>48000</v>
      </c>
      <c r="G20" s="41">
        <f t="shared" si="1"/>
        <v>5280000000</v>
      </c>
      <c r="H20" s="41">
        <v>600</v>
      </c>
      <c r="I20" s="40" t="s">
        <v>94</v>
      </c>
      <c r="J20" s="40" t="s">
        <v>117</v>
      </c>
    </row>
    <row r="21" spans="1:10" x14ac:dyDescent="0.3">
      <c r="A21" s="39">
        <v>14</v>
      </c>
      <c r="B21" s="39" t="s">
        <v>96</v>
      </c>
      <c r="C21" s="40" t="s">
        <v>97</v>
      </c>
      <c r="D21" s="39" t="s">
        <v>98</v>
      </c>
      <c r="E21" s="41">
        <v>38000</v>
      </c>
      <c r="F21" s="41">
        <v>85000</v>
      </c>
      <c r="G21" s="41">
        <f t="shared" si="1"/>
        <v>3230000000</v>
      </c>
      <c r="H21" s="41">
        <v>500</v>
      </c>
      <c r="I21" s="40" t="s">
        <v>99</v>
      </c>
      <c r="J21" s="40" t="s">
        <v>100</v>
      </c>
    </row>
    <row r="22" spans="1:10" x14ac:dyDescent="0.3">
      <c r="A22" s="39">
        <v>15</v>
      </c>
      <c r="B22" s="39" t="s">
        <v>101</v>
      </c>
      <c r="C22" s="40" t="s">
        <v>102</v>
      </c>
      <c r="D22" s="39" t="s">
        <v>98</v>
      </c>
      <c r="E22" s="41">
        <v>36000</v>
      </c>
      <c r="F22" s="41">
        <v>98000</v>
      </c>
      <c r="G22" s="41">
        <f t="shared" si="1"/>
        <v>3528000000</v>
      </c>
      <c r="H22" s="41">
        <v>500</v>
      </c>
      <c r="I22" s="40" t="s">
        <v>99</v>
      </c>
      <c r="J22" s="40" t="s">
        <v>103</v>
      </c>
    </row>
    <row r="23" spans="1:10" x14ac:dyDescent="0.3">
      <c r="A23" s="39">
        <v>16</v>
      </c>
      <c r="B23" s="39" t="s">
        <v>104</v>
      </c>
      <c r="C23" s="40" t="s">
        <v>105</v>
      </c>
      <c r="D23" s="39" t="s">
        <v>98</v>
      </c>
      <c r="E23" s="41">
        <v>34000</v>
      </c>
      <c r="F23" s="41">
        <v>145000</v>
      </c>
      <c r="G23" s="41">
        <f t="shared" si="1"/>
        <v>4930000000</v>
      </c>
      <c r="H23" s="41">
        <v>700</v>
      </c>
      <c r="I23" s="40" t="s">
        <v>106</v>
      </c>
      <c r="J23" s="40" t="s">
        <v>107</v>
      </c>
    </row>
    <row r="24" spans="1:10" x14ac:dyDescent="0.3">
      <c r="A24" s="39">
        <v>17</v>
      </c>
      <c r="B24" s="39" t="s">
        <v>108</v>
      </c>
      <c r="C24" s="40" t="s">
        <v>109</v>
      </c>
      <c r="D24" s="39" t="s">
        <v>98</v>
      </c>
      <c r="E24" s="41">
        <v>32000</v>
      </c>
      <c r="F24" s="41">
        <v>245000</v>
      </c>
      <c r="G24" s="41">
        <f t="shared" si="1"/>
        <v>7840000000</v>
      </c>
      <c r="H24" s="41">
        <v>600</v>
      </c>
      <c r="I24" s="40" t="s">
        <v>110</v>
      </c>
      <c r="J24" s="40" t="s">
        <v>111</v>
      </c>
    </row>
    <row r="25" spans="1:10" x14ac:dyDescent="0.3">
      <c r="A25" s="39">
        <v>18</v>
      </c>
      <c r="B25" s="39" t="s">
        <v>112</v>
      </c>
      <c r="C25" s="40" t="s">
        <v>113</v>
      </c>
      <c r="D25" s="39" t="s">
        <v>98</v>
      </c>
      <c r="E25" s="41">
        <v>32000</v>
      </c>
      <c r="F25" s="41">
        <v>195000</v>
      </c>
      <c r="G25" s="41">
        <f t="shared" si="1"/>
        <v>6240000000</v>
      </c>
      <c r="H25" s="41">
        <v>600</v>
      </c>
      <c r="I25" s="40" t="s">
        <v>110</v>
      </c>
      <c r="J25" s="40" t="s">
        <v>114</v>
      </c>
    </row>
    <row r="26" spans="1:10" ht="14.5" x14ac:dyDescent="0.35">
      <c r="A26" s="37" t="s">
        <v>118</v>
      </c>
      <c r="B26" s="36"/>
      <c r="C26" s="36"/>
      <c r="D26" s="38"/>
      <c r="E26" s="38"/>
      <c r="F26" s="38"/>
      <c r="G26" s="38"/>
      <c r="H26" s="38"/>
      <c r="I26" s="38"/>
      <c r="J26" s="37" t="s">
        <v>119</v>
      </c>
    </row>
    <row r="27" spans="1:10" x14ac:dyDescent="0.3">
      <c r="A27" s="39">
        <v>19</v>
      </c>
      <c r="B27" s="39" t="s">
        <v>120</v>
      </c>
      <c r="C27" s="40" t="s">
        <v>121</v>
      </c>
      <c r="D27" s="39" t="s">
        <v>122</v>
      </c>
      <c r="E27" s="41">
        <v>1250</v>
      </c>
      <c r="F27" s="41">
        <v>2800000</v>
      </c>
      <c r="G27" s="41">
        <f>E27*F27</f>
        <v>3500000000</v>
      </c>
      <c r="H27" s="41">
        <v>30</v>
      </c>
      <c r="I27" s="40" t="s">
        <v>123</v>
      </c>
      <c r="J27" s="40" t="s">
        <v>124</v>
      </c>
    </row>
    <row r="28" spans="1:10" x14ac:dyDescent="0.3">
      <c r="A28" s="39">
        <v>20</v>
      </c>
      <c r="B28" s="39" t="s">
        <v>125</v>
      </c>
      <c r="C28" s="40" t="s">
        <v>126</v>
      </c>
      <c r="D28" s="39" t="s">
        <v>81</v>
      </c>
      <c r="E28" s="41">
        <v>4800</v>
      </c>
      <c r="F28" s="41">
        <v>1150000</v>
      </c>
      <c r="G28" s="41">
        <f>E28*F28</f>
        <v>5520000000</v>
      </c>
      <c r="H28" s="41">
        <v>80</v>
      </c>
      <c r="I28" s="40" t="s">
        <v>127</v>
      </c>
      <c r="J28" s="40" t="s">
        <v>128</v>
      </c>
    </row>
    <row r="29" spans="1:10" x14ac:dyDescent="0.3">
      <c r="A29" s="39">
        <v>21</v>
      </c>
      <c r="B29" s="39" t="s">
        <v>129</v>
      </c>
      <c r="C29" s="40" t="s">
        <v>130</v>
      </c>
      <c r="D29" s="39" t="s">
        <v>131</v>
      </c>
      <c r="E29" s="41">
        <v>1</v>
      </c>
      <c r="F29" s="41">
        <v>4500000000</v>
      </c>
      <c r="G29" s="41">
        <f>E29*F29</f>
        <v>4500000000</v>
      </c>
      <c r="H29" s="41">
        <v>0.02</v>
      </c>
      <c r="I29" s="40" t="s">
        <v>132</v>
      </c>
      <c r="J29" s="40" t="s">
        <v>133</v>
      </c>
    </row>
    <row r="30" spans="1:10" ht="14.5" x14ac:dyDescent="0.35">
      <c r="A30" s="37" t="s">
        <v>134</v>
      </c>
      <c r="B30" s="36"/>
      <c r="C30" s="36"/>
      <c r="D30" s="38"/>
      <c r="E30" s="38"/>
      <c r="F30" s="38"/>
      <c r="G30" s="38"/>
      <c r="H30" s="38"/>
      <c r="I30" s="38"/>
      <c r="J30" s="37" t="s">
        <v>135</v>
      </c>
    </row>
    <row r="31" spans="1:10" x14ac:dyDescent="0.3">
      <c r="A31" s="42">
        <v>22</v>
      </c>
      <c r="B31" s="42" t="s">
        <v>136</v>
      </c>
      <c r="C31" s="43" t="s">
        <v>137</v>
      </c>
      <c r="D31" s="42" t="s">
        <v>81</v>
      </c>
      <c r="E31" s="44">
        <v>185000</v>
      </c>
      <c r="F31" s="44">
        <v>18500</v>
      </c>
      <c r="G31" s="44">
        <f>E31*F31</f>
        <v>3422500000</v>
      </c>
      <c r="H31" s="44">
        <v>220</v>
      </c>
      <c r="I31" s="43" t="s">
        <v>138</v>
      </c>
      <c r="J31" s="43" t="s">
        <v>139</v>
      </c>
    </row>
    <row r="33" spans="2:10" x14ac:dyDescent="0.3">
      <c r="B33" s="35" t="s">
        <v>140</v>
      </c>
    </row>
    <row r="34" spans="2:10" ht="14.5" x14ac:dyDescent="0.35">
      <c r="B34" s="45" t="s">
        <v>141</v>
      </c>
      <c r="C34" s="46" t="s">
        <v>142</v>
      </c>
      <c r="D34" s="36"/>
      <c r="E34" s="36"/>
      <c r="F34" s="36"/>
      <c r="G34" s="47">
        <f>SUM(G7:G31)</f>
        <v>98814750000</v>
      </c>
      <c r="H34" s="36"/>
      <c r="I34" s="48" t="s">
        <v>143</v>
      </c>
      <c r="J34" s="36"/>
    </row>
    <row r="35" spans="2:10" ht="14.5" x14ac:dyDescent="0.35">
      <c r="B35" s="45" t="s">
        <v>144</v>
      </c>
      <c r="C35" s="48" t="s">
        <v>145</v>
      </c>
      <c r="D35" s="36"/>
      <c r="E35" s="36"/>
      <c r="F35" s="36"/>
      <c r="G35" s="47">
        <f>G34*8.9%</f>
        <v>8794512750.0000019</v>
      </c>
      <c r="H35" s="36"/>
      <c r="I35" s="48" t="s">
        <v>146</v>
      </c>
      <c r="J35" s="36"/>
    </row>
    <row r="36" spans="2:10" ht="14.5" x14ac:dyDescent="0.35">
      <c r="B36" s="45" t="s">
        <v>147</v>
      </c>
      <c r="C36" s="48" t="s">
        <v>148</v>
      </c>
      <c r="D36" s="36"/>
      <c r="E36" s="36"/>
      <c r="F36" s="36"/>
      <c r="G36" s="47">
        <f>(G34+G35)*5.5%</f>
        <v>5918509451.25</v>
      </c>
      <c r="H36" s="36"/>
      <c r="I36" s="48" t="s">
        <v>149</v>
      </c>
      <c r="J36" s="36"/>
    </row>
    <row r="37" spans="2:10" ht="14.5" x14ac:dyDescent="0.35">
      <c r="B37" s="45" t="s">
        <v>150</v>
      </c>
      <c r="C37" s="48" t="s">
        <v>151</v>
      </c>
      <c r="D37" s="36"/>
      <c r="E37" s="36"/>
      <c r="F37" s="36"/>
      <c r="G37" s="47">
        <f>G34+G35+G36</f>
        <v>113527772201.25</v>
      </c>
      <c r="H37" s="36"/>
      <c r="I37" s="48" t="s">
        <v>152</v>
      </c>
      <c r="J37" s="36"/>
    </row>
    <row r="38" spans="2:10" ht="14.5" x14ac:dyDescent="0.35">
      <c r="B38" s="45" t="s">
        <v>153</v>
      </c>
      <c r="C38" s="48" t="s">
        <v>154</v>
      </c>
      <c r="D38" s="36"/>
      <c r="E38" s="36"/>
      <c r="F38" s="36"/>
      <c r="G38" s="47">
        <f>G37*10%</f>
        <v>11352777220.125</v>
      </c>
      <c r="H38" s="36"/>
      <c r="I38" s="48" t="s">
        <v>155</v>
      </c>
      <c r="J38" s="36"/>
    </row>
    <row r="39" spans="2:10" ht="14.5" x14ac:dyDescent="0.35">
      <c r="B39" s="49" t="s">
        <v>156</v>
      </c>
      <c r="C39" s="50" t="s">
        <v>157</v>
      </c>
      <c r="D39" s="36"/>
      <c r="E39" s="36"/>
      <c r="F39" s="51"/>
      <c r="G39" s="52">
        <f>G37+G38</f>
        <v>124880549421.375</v>
      </c>
      <c r="H39" s="51"/>
      <c r="I39" s="53" t="s">
        <v>158</v>
      </c>
      <c r="J39" s="3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FF11-E8D5-4DE4-8F24-98626CEA98D1}">
  <sheetPr codeName="Sheet3"/>
  <dimension ref="A1:AF13"/>
  <sheetViews>
    <sheetView workbookViewId="0"/>
  </sheetViews>
  <sheetFormatPr defaultRowHeight="14" x14ac:dyDescent="0.3"/>
  <cols>
    <col min="1" max="1" width="6" customWidth="1"/>
    <col min="2" max="2" width="32" customWidth="1"/>
    <col min="3" max="3" width="45" customWidth="1"/>
    <col min="4" max="4" width="8" customWidth="1"/>
    <col min="5" max="5" width="18" customWidth="1"/>
    <col min="6" max="32" width="5.1640625" customWidth="1"/>
  </cols>
  <sheetData>
    <row r="1" spans="1:32" ht="19" x14ac:dyDescent="0.3">
      <c r="A1" s="33" t="s">
        <v>159</v>
      </c>
    </row>
    <row r="2" spans="1:32" x14ac:dyDescent="0.3">
      <c r="A2" s="34" t="s">
        <v>160</v>
      </c>
    </row>
    <row r="4" spans="1:32" x14ac:dyDescent="0.3">
      <c r="A4" s="35" t="s">
        <v>11</v>
      </c>
      <c r="B4" s="35" t="s">
        <v>161</v>
      </c>
      <c r="C4" s="35" t="s">
        <v>162</v>
      </c>
      <c r="D4" s="35" t="s">
        <v>163</v>
      </c>
      <c r="E4" s="35" t="s">
        <v>164</v>
      </c>
    </row>
    <row r="5" spans="1:32" ht="14.5" x14ac:dyDescent="0.35">
      <c r="A5" s="36"/>
      <c r="B5" s="36"/>
      <c r="C5" s="36"/>
      <c r="D5" s="36"/>
      <c r="E5" s="36"/>
      <c r="F5" s="54" t="s">
        <v>165</v>
      </c>
      <c r="G5" s="54" t="s">
        <v>166</v>
      </c>
      <c r="H5" s="54" t="s">
        <v>167</v>
      </c>
      <c r="I5" s="54" t="s">
        <v>168</v>
      </c>
      <c r="J5" s="54" t="s">
        <v>169</v>
      </c>
      <c r="K5" s="54" t="s">
        <v>170</v>
      </c>
      <c r="L5" s="54" t="s">
        <v>171</v>
      </c>
      <c r="M5" s="54" t="s">
        <v>172</v>
      </c>
      <c r="N5" s="54" t="s">
        <v>173</v>
      </c>
      <c r="O5" s="54" t="s">
        <v>174</v>
      </c>
      <c r="P5" s="54" t="s">
        <v>175</v>
      </c>
      <c r="Q5" s="54" t="s">
        <v>176</v>
      </c>
      <c r="R5" s="54" t="s">
        <v>177</v>
      </c>
      <c r="S5" s="54" t="s">
        <v>178</v>
      </c>
      <c r="T5" s="54" t="s">
        <v>179</v>
      </c>
      <c r="U5" s="54" t="s">
        <v>180</v>
      </c>
      <c r="V5" s="54" t="s">
        <v>181</v>
      </c>
      <c r="W5" s="54" t="s">
        <v>182</v>
      </c>
      <c r="X5" s="54" t="s">
        <v>183</v>
      </c>
      <c r="Y5" s="54" t="s">
        <v>184</v>
      </c>
      <c r="Z5" s="54" t="s">
        <v>185</v>
      </c>
      <c r="AA5" s="54" t="s">
        <v>186</v>
      </c>
      <c r="AB5" s="54" t="s">
        <v>187</v>
      </c>
      <c r="AC5" s="54" t="s">
        <v>188</v>
      </c>
      <c r="AD5" s="54" t="s">
        <v>189</v>
      </c>
      <c r="AE5" s="54" t="s">
        <v>190</v>
      </c>
      <c r="AF5" s="54" t="s">
        <v>191</v>
      </c>
    </row>
    <row r="6" spans="1:32" x14ac:dyDescent="0.3">
      <c r="A6" s="39">
        <v>1</v>
      </c>
      <c r="B6" s="55" t="s">
        <v>192</v>
      </c>
      <c r="C6" s="40" t="s">
        <v>193</v>
      </c>
      <c r="D6" s="39" t="s">
        <v>194</v>
      </c>
      <c r="E6" s="41">
        <v>8</v>
      </c>
      <c r="F6" s="56">
        <v>2</v>
      </c>
      <c r="G6" s="56">
        <v>4</v>
      </c>
      <c r="H6" s="56">
        <v>6</v>
      </c>
      <c r="I6" s="56">
        <v>6</v>
      </c>
      <c r="J6" s="56">
        <v>6</v>
      </c>
      <c r="K6" s="56">
        <v>6</v>
      </c>
      <c r="L6" s="56">
        <v>6</v>
      </c>
      <c r="M6" s="56">
        <v>6</v>
      </c>
      <c r="N6" s="56">
        <v>6</v>
      </c>
      <c r="O6" s="56">
        <v>6</v>
      </c>
      <c r="P6" s="56">
        <v>6</v>
      </c>
      <c r="Q6" s="56">
        <v>6</v>
      </c>
      <c r="R6" s="56">
        <v>4</v>
      </c>
      <c r="S6" s="56">
        <v>6</v>
      </c>
      <c r="T6" s="56">
        <v>6</v>
      </c>
      <c r="U6" s="56">
        <v>6</v>
      </c>
      <c r="V6" s="56">
        <v>2</v>
      </c>
      <c r="W6" s="56">
        <v>2</v>
      </c>
      <c r="X6" s="56">
        <v>2</v>
      </c>
      <c r="Y6" s="56">
        <v>2</v>
      </c>
      <c r="Z6" s="56">
        <v>2</v>
      </c>
      <c r="AA6" s="56">
        <v>2</v>
      </c>
      <c r="AB6" s="56">
        <v>2</v>
      </c>
      <c r="AC6" s="56">
        <v>2</v>
      </c>
      <c r="AD6" s="56">
        <v>2</v>
      </c>
      <c r="AE6" s="56">
        <v>2</v>
      </c>
      <c r="AF6" s="56">
        <v>2</v>
      </c>
    </row>
    <row r="7" spans="1:32" x14ac:dyDescent="0.3">
      <c r="A7" s="39">
        <v>2</v>
      </c>
      <c r="B7" s="55" t="s">
        <v>195</v>
      </c>
      <c r="C7" s="40" t="s">
        <v>196</v>
      </c>
      <c r="D7" s="39" t="s">
        <v>194</v>
      </c>
      <c r="E7" s="41">
        <v>24</v>
      </c>
      <c r="F7" s="56">
        <v>6</v>
      </c>
      <c r="G7" s="56">
        <v>6</v>
      </c>
      <c r="H7" s="56">
        <v>6</v>
      </c>
      <c r="I7" s="56">
        <v>18</v>
      </c>
      <c r="J7" s="56">
        <v>18</v>
      </c>
      <c r="K7" s="56">
        <v>18</v>
      </c>
      <c r="L7" s="56">
        <v>18</v>
      </c>
      <c r="M7" s="56">
        <v>18</v>
      </c>
      <c r="N7" s="56">
        <v>18</v>
      </c>
      <c r="O7" s="56">
        <v>18</v>
      </c>
      <c r="P7" s="56">
        <v>18</v>
      </c>
      <c r="Q7" s="56">
        <v>14</v>
      </c>
      <c r="R7" s="56">
        <v>14</v>
      </c>
      <c r="S7" s="56">
        <v>14</v>
      </c>
      <c r="T7" s="56">
        <v>14</v>
      </c>
      <c r="U7" s="56">
        <v>14</v>
      </c>
      <c r="V7" s="56">
        <v>14</v>
      </c>
      <c r="W7" s="56">
        <v>6</v>
      </c>
      <c r="X7" s="56">
        <v>6</v>
      </c>
      <c r="Y7" s="56">
        <v>6</v>
      </c>
      <c r="Z7" s="56">
        <v>6</v>
      </c>
      <c r="AA7" s="56">
        <v>6</v>
      </c>
      <c r="AB7" s="56">
        <v>6</v>
      </c>
      <c r="AC7" s="56">
        <v>6</v>
      </c>
      <c r="AD7" s="56">
        <v>6</v>
      </c>
      <c r="AE7" s="56">
        <v>6</v>
      </c>
      <c r="AF7" s="56">
        <v>6</v>
      </c>
    </row>
    <row r="8" spans="1:32" x14ac:dyDescent="0.3">
      <c r="A8" s="39">
        <v>3</v>
      </c>
      <c r="B8" s="55" t="s">
        <v>197</v>
      </c>
      <c r="C8" s="40" t="s">
        <v>198</v>
      </c>
      <c r="D8" s="39" t="s">
        <v>194</v>
      </c>
      <c r="E8" s="41">
        <v>5</v>
      </c>
      <c r="F8" s="56">
        <v>2</v>
      </c>
      <c r="G8" s="56">
        <v>2</v>
      </c>
      <c r="H8" s="56">
        <v>2</v>
      </c>
      <c r="I8" s="56">
        <v>4</v>
      </c>
      <c r="J8" s="56">
        <v>4</v>
      </c>
      <c r="K8" s="56">
        <v>4</v>
      </c>
      <c r="L8" s="56">
        <v>4</v>
      </c>
      <c r="M8" s="56">
        <v>4</v>
      </c>
      <c r="N8" s="56">
        <v>4</v>
      </c>
      <c r="O8" s="56">
        <v>4</v>
      </c>
      <c r="P8" s="56">
        <v>4</v>
      </c>
      <c r="Q8" s="56">
        <v>2</v>
      </c>
      <c r="R8" s="56">
        <v>2</v>
      </c>
      <c r="S8" s="56">
        <v>2</v>
      </c>
      <c r="T8" s="56">
        <v>2</v>
      </c>
      <c r="U8" s="56">
        <v>2</v>
      </c>
      <c r="V8" s="56">
        <v>2</v>
      </c>
      <c r="W8" s="56">
        <v>2</v>
      </c>
      <c r="X8" s="56">
        <v>2</v>
      </c>
      <c r="Y8" s="56">
        <v>2</v>
      </c>
      <c r="Z8" s="56">
        <v>2</v>
      </c>
      <c r="AA8" s="56">
        <v>2</v>
      </c>
      <c r="AB8" s="56">
        <v>2</v>
      </c>
      <c r="AC8" s="56">
        <v>2</v>
      </c>
      <c r="AD8" s="56">
        <v>2</v>
      </c>
      <c r="AE8" s="56">
        <v>2</v>
      </c>
      <c r="AF8" s="56">
        <v>2</v>
      </c>
    </row>
    <row r="9" spans="1:32" x14ac:dyDescent="0.3">
      <c r="A9" s="39">
        <v>4</v>
      </c>
      <c r="B9" s="55" t="s">
        <v>199</v>
      </c>
      <c r="C9" s="40" t="s">
        <v>200</v>
      </c>
      <c r="D9" s="39" t="s">
        <v>194</v>
      </c>
      <c r="E9" s="41">
        <v>6</v>
      </c>
      <c r="F9" s="56">
        <v>2</v>
      </c>
      <c r="G9" s="56">
        <v>2</v>
      </c>
      <c r="H9" s="56">
        <v>2</v>
      </c>
      <c r="I9" s="56">
        <v>2</v>
      </c>
      <c r="J9" s="56">
        <v>2</v>
      </c>
      <c r="K9" s="56">
        <v>2</v>
      </c>
      <c r="L9" s="56">
        <v>2</v>
      </c>
      <c r="M9" s="56">
        <v>2</v>
      </c>
      <c r="N9" s="56">
        <v>5</v>
      </c>
      <c r="O9" s="56">
        <v>5</v>
      </c>
      <c r="P9" s="56">
        <v>5</v>
      </c>
      <c r="Q9" s="56">
        <v>5</v>
      </c>
      <c r="R9" s="56">
        <v>5</v>
      </c>
      <c r="S9" s="56">
        <v>5</v>
      </c>
      <c r="T9" s="56">
        <v>5</v>
      </c>
      <c r="U9" s="56">
        <v>5</v>
      </c>
      <c r="V9" s="56">
        <v>5</v>
      </c>
      <c r="W9" s="56">
        <v>5</v>
      </c>
      <c r="X9" s="56">
        <v>5</v>
      </c>
      <c r="Y9" s="56">
        <v>5</v>
      </c>
      <c r="Z9" s="56">
        <v>2</v>
      </c>
      <c r="AA9" s="56">
        <v>2</v>
      </c>
      <c r="AB9" s="56">
        <v>2</v>
      </c>
      <c r="AC9" s="56">
        <v>2</v>
      </c>
      <c r="AD9" s="56">
        <v>2</v>
      </c>
      <c r="AE9" s="56">
        <v>2</v>
      </c>
      <c r="AF9" s="56">
        <v>2</v>
      </c>
    </row>
    <row r="10" spans="1:32" x14ac:dyDescent="0.3">
      <c r="A10" s="39">
        <v>5</v>
      </c>
      <c r="B10" s="55" t="s">
        <v>201</v>
      </c>
      <c r="C10" s="40" t="s">
        <v>202</v>
      </c>
      <c r="D10" s="39" t="s">
        <v>194</v>
      </c>
      <c r="E10" s="41">
        <v>2</v>
      </c>
      <c r="F10" s="56">
        <v>0</v>
      </c>
      <c r="G10" s="56">
        <v>0</v>
      </c>
      <c r="H10" s="56">
        <v>0</v>
      </c>
      <c r="I10" s="56">
        <v>0</v>
      </c>
      <c r="J10" s="56">
        <v>0</v>
      </c>
      <c r="K10" s="56">
        <v>0</v>
      </c>
      <c r="L10" s="56">
        <v>0</v>
      </c>
      <c r="M10" s="56">
        <v>0</v>
      </c>
      <c r="N10" s="56">
        <v>0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2</v>
      </c>
      <c r="U10" s="56">
        <v>2</v>
      </c>
      <c r="V10" s="56">
        <v>2</v>
      </c>
      <c r="W10" s="56">
        <v>2</v>
      </c>
      <c r="X10" s="56">
        <v>2</v>
      </c>
      <c r="Y10" s="56">
        <v>2</v>
      </c>
      <c r="Z10" s="56">
        <v>2</v>
      </c>
      <c r="AA10" s="56">
        <v>0</v>
      </c>
      <c r="AB10" s="56">
        <v>0</v>
      </c>
      <c r="AC10" s="56">
        <v>0</v>
      </c>
      <c r="AD10" s="56">
        <v>0</v>
      </c>
      <c r="AE10" s="56">
        <v>0</v>
      </c>
      <c r="AF10" s="56">
        <v>0</v>
      </c>
    </row>
    <row r="11" spans="1:32" x14ac:dyDescent="0.3">
      <c r="A11" s="39">
        <v>6</v>
      </c>
      <c r="B11" s="55" t="s">
        <v>203</v>
      </c>
      <c r="C11" s="40" t="s">
        <v>204</v>
      </c>
      <c r="D11" s="39" t="s">
        <v>205</v>
      </c>
      <c r="E11" s="41">
        <v>2</v>
      </c>
      <c r="F11" s="56">
        <v>0</v>
      </c>
      <c r="G11" s="56">
        <v>0</v>
      </c>
      <c r="H11" s="56">
        <v>0</v>
      </c>
      <c r="I11" s="56">
        <v>0</v>
      </c>
      <c r="J11" s="56">
        <v>0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6">
        <v>0</v>
      </c>
      <c r="Y11" s="56">
        <v>2</v>
      </c>
      <c r="Z11" s="56">
        <v>2</v>
      </c>
      <c r="AA11" s="56">
        <v>2</v>
      </c>
      <c r="AB11" s="56">
        <v>2</v>
      </c>
      <c r="AC11" s="56">
        <v>2</v>
      </c>
      <c r="AD11" s="56">
        <v>0</v>
      </c>
      <c r="AE11" s="56">
        <v>0</v>
      </c>
      <c r="AF11" s="56">
        <v>0</v>
      </c>
    </row>
    <row r="12" spans="1:32" x14ac:dyDescent="0.3">
      <c r="A12" s="39">
        <v>7</v>
      </c>
      <c r="B12" s="55" t="s">
        <v>206</v>
      </c>
      <c r="C12" s="40" t="s">
        <v>207</v>
      </c>
      <c r="D12" s="39" t="s">
        <v>194</v>
      </c>
      <c r="E12" s="41">
        <v>3</v>
      </c>
      <c r="F12" s="56">
        <v>2</v>
      </c>
      <c r="G12" s="56">
        <v>2</v>
      </c>
      <c r="H12" s="56">
        <v>2</v>
      </c>
      <c r="I12" s="56">
        <v>2</v>
      </c>
      <c r="J12" s="56">
        <v>2</v>
      </c>
      <c r="K12" s="56">
        <v>2</v>
      </c>
      <c r="L12" s="56">
        <v>2</v>
      </c>
      <c r="M12" s="56">
        <v>2</v>
      </c>
      <c r="N12" s="56">
        <v>2</v>
      </c>
      <c r="O12" s="56">
        <v>2</v>
      </c>
      <c r="P12" s="56">
        <v>2</v>
      </c>
      <c r="Q12" s="56">
        <v>2</v>
      </c>
      <c r="R12" s="56">
        <v>2</v>
      </c>
      <c r="S12" s="56">
        <v>2</v>
      </c>
      <c r="T12" s="56">
        <v>2</v>
      </c>
      <c r="U12" s="56">
        <v>2</v>
      </c>
      <c r="V12" s="56">
        <v>2</v>
      </c>
      <c r="W12" s="56">
        <v>2</v>
      </c>
      <c r="X12" s="56">
        <v>2</v>
      </c>
      <c r="Y12" s="56">
        <v>2</v>
      </c>
      <c r="Z12" s="56">
        <v>2</v>
      </c>
      <c r="AA12" s="56">
        <v>2</v>
      </c>
      <c r="AB12" s="56">
        <v>2</v>
      </c>
      <c r="AC12" s="56">
        <v>2</v>
      </c>
      <c r="AD12" s="56">
        <v>2</v>
      </c>
      <c r="AE12" s="56">
        <v>2</v>
      </c>
      <c r="AF12" s="56">
        <v>2</v>
      </c>
    </row>
    <row r="13" spans="1:32" x14ac:dyDescent="0.3">
      <c r="B13" s="46" t="s">
        <v>208</v>
      </c>
      <c r="E13" s="57" t="s">
        <v>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FE26-F75B-4292-8FFC-E5697A270FF5}">
  <sheetPr codeName="Sheet4"/>
  <dimension ref="A1:G15"/>
  <sheetViews>
    <sheetView workbookViewId="0"/>
  </sheetViews>
  <sheetFormatPr defaultRowHeight="14" x14ac:dyDescent="0.3"/>
  <cols>
    <col min="1" max="1" width="8" customWidth="1"/>
    <col min="2" max="2" width="18" customWidth="1"/>
    <col min="3" max="3" width="50" customWidth="1"/>
    <col min="4" max="4" width="25" customWidth="1"/>
    <col min="5" max="6" width="30" customWidth="1"/>
    <col min="7" max="7" width="25" customWidth="1"/>
  </cols>
  <sheetData>
    <row r="1" spans="1:7" ht="323" x14ac:dyDescent="0.3">
      <c r="A1" s="58" t="s">
        <v>210</v>
      </c>
    </row>
    <row r="2" spans="1:7" ht="182" x14ac:dyDescent="0.3">
      <c r="A2" s="59" t="s">
        <v>211</v>
      </c>
    </row>
    <row r="4" spans="1:7" ht="26" x14ac:dyDescent="0.3">
      <c r="A4" s="60" t="s">
        <v>11</v>
      </c>
      <c r="B4" s="60" t="s">
        <v>212</v>
      </c>
      <c r="C4" s="60" t="s">
        <v>213</v>
      </c>
      <c r="D4" s="60" t="s">
        <v>214</v>
      </c>
      <c r="E4" s="60" t="s">
        <v>215</v>
      </c>
      <c r="F4" s="60" t="s">
        <v>216</v>
      </c>
      <c r="G4" s="60" t="s">
        <v>217</v>
      </c>
    </row>
    <row r="5" spans="1:7" ht="16" x14ac:dyDescent="0.3">
      <c r="A5" s="61">
        <v>1</v>
      </c>
      <c r="B5" s="61" t="s">
        <v>218</v>
      </c>
      <c r="C5" s="62" t="s">
        <v>219</v>
      </c>
      <c r="D5" s="63">
        <v>0.05</v>
      </c>
      <c r="E5" s="64">
        <f>D5*BOQ_TIEN_DO!$G$39</f>
        <v>6244027471.0687504</v>
      </c>
      <c r="F5" s="64">
        <f>E5</f>
        <v>6244027471.0687504</v>
      </c>
      <c r="G5" s="63">
        <f>D5</f>
        <v>0.05</v>
      </c>
    </row>
    <row r="6" spans="1:7" ht="16" x14ac:dyDescent="0.3">
      <c r="A6" s="61">
        <v>2</v>
      </c>
      <c r="B6" s="61" t="s">
        <v>220</v>
      </c>
      <c r="C6" s="62" t="s">
        <v>221</v>
      </c>
      <c r="D6" s="63">
        <v>0.06</v>
      </c>
      <c r="E6" s="64">
        <f>D6*BOQ_TIEN_DO!$G$39</f>
        <v>7492832965.2824993</v>
      </c>
      <c r="F6" s="64">
        <f t="shared" ref="F6:F14" si="0">F5+E6</f>
        <v>13736860436.35125</v>
      </c>
      <c r="G6" s="63">
        <f t="shared" ref="G6:G14" si="1">G5+D6</f>
        <v>0.11</v>
      </c>
    </row>
    <row r="7" spans="1:7" ht="16" x14ac:dyDescent="0.3">
      <c r="A7" s="61">
        <v>3</v>
      </c>
      <c r="B7" s="61" t="s">
        <v>222</v>
      </c>
      <c r="C7" s="62" t="s">
        <v>223</v>
      </c>
      <c r="D7" s="63">
        <v>0.12</v>
      </c>
      <c r="E7" s="64">
        <f>D7*BOQ_TIEN_DO!$G$39</f>
        <v>14985665930.564999</v>
      </c>
      <c r="F7" s="64">
        <f t="shared" si="0"/>
        <v>28722526366.916248</v>
      </c>
      <c r="G7" s="63">
        <f t="shared" si="1"/>
        <v>0.22999999999999998</v>
      </c>
    </row>
    <row r="8" spans="1:7" ht="16" x14ac:dyDescent="0.3">
      <c r="A8" s="61">
        <v>4</v>
      </c>
      <c r="B8" s="61" t="s">
        <v>224</v>
      </c>
      <c r="C8" s="62" t="s">
        <v>225</v>
      </c>
      <c r="D8" s="63">
        <v>0.1</v>
      </c>
      <c r="E8" s="64">
        <f>D8*BOQ_TIEN_DO!$G$39</f>
        <v>12488054942.137501</v>
      </c>
      <c r="F8" s="64">
        <f t="shared" si="0"/>
        <v>41210581309.053749</v>
      </c>
      <c r="G8" s="63">
        <f t="shared" si="1"/>
        <v>0.32999999999999996</v>
      </c>
    </row>
    <row r="9" spans="1:7" ht="16" x14ac:dyDescent="0.3">
      <c r="A9" s="61">
        <v>5</v>
      </c>
      <c r="B9" s="61" t="s">
        <v>226</v>
      </c>
      <c r="C9" s="62" t="s">
        <v>227</v>
      </c>
      <c r="D9" s="63">
        <v>0.14000000000000001</v>
      </c>
      <c r="E9" s="64">
        <f>D9*BOQ_TIEN_DO!$G$39</f>
        <v>17483276918.9925</v>
      </c>
      <c r="F9" s="64">
        <f t="shared" si="0"/>
        <v>58693858228.046249</v>
      </c>
      <c r="G9" s="63">
        <f t="shared" si="1"/>
        <v>0.47</v>
      </c>
    </row>
    <row r="10" spans="1:7" ht="16" x14ac:dyDescent="0.3">
      <c r="A10" s="61">
        <v>6</v>
      </c>
      <c r="B10" s="61" t="s">
        <v>228</v>
      </c>
      <c r="C10" s="62" t="s">
        <v>229</v>
      </c>
      <c r="D10" s="63">
        <v>0.12</v>
      </c>
      <c r="E10" s="64">
        <f>D10*BOQ_TIEN_DO!$G$39</f>
        <v>14985665930.564999</v>
      </c>
      <c r="F10" s="64">
        <f t="shared" si="0"/>
        <v>73679524158.611252</v>
      </c>
      <c r="G10" s="63">
        <f t="shared" si="1"/>
        <v>0.59</v>
      </c>
    </row>
    <row r="11" spans="1:7" ht="16" x14ac:dyDescent="0.3">
      <c r="A11" s="61">
        <v>7</v>
      </c>
      <c r="B11" s="61" t="s">
        <v>230</v>
      </c>
      <c r="C11" s="62" t="s">
        <v>231</v>
      </c>
      <c r="D11" s="63">
        <v>0.15</v>
      </c>
      <c r="E11" s="64">
        <f>D11*BOQ_TIEN_DO!$G$39</f>
        <v>18732082413.206249</v>
      </c>
      <c r="F11" s="64">
        <f t="shared" si="0"/>
        <v>92411606571.817505</v>
      </c>
      <c r="G11" s="63">
        <f t="shared" si="1"/>
        <v>0.74</v>
      </c>
    </row>
    <row r="12" spans="1:7" ht="16" x14ac:dyDescent="0.3">
      <c r="A12" s="61">
        <v>8</v>
      </c>
      <c r="B12" s="61" t="s">
        <v>232</v>
      </c>
      <c r="C12" s="62" t="s">
        <v>233</v>
      </c>
      <c r="D12" s="63">
        <v>0.16</v>
      </c>
      <c r="E12" s="64">
        <f>D12*BOQ_TIEN_DO!$G$39</f>
        <v>19980887907.420002</v>
      </c>
      <c r="F12" s="64">
        <f t="shared" si="0"/>
        <v>112392494479.2375</v>
      </c>
      <c r="G12" s="63">
        <f t="shared" si="1"/>
        <v>0.9</v>
      </c>
    </row>
    <row r="13" spans="1:7" ht="16" x14ac:dyDescent="0.3">
      <c r="A13" s="61">
        <v>9</v>
      </c>
      <c r="B13" s="61" t="s">
        <v>234</v>
      </c>
      <c r="C13" s="62" t="s">
        <v>235</v>
      </c>
      <c r="D13" s="63">
        <v>7.0000000000000007E-2</v>
      </c>
      <c r="E13" s="64">
        <f>D13*BOQ_TIEN_DO!$G$39</f>
        <v>8741638459.4962502</v>
      </c>
      <c r="F13" s="64">
        <f t="shared" si="0"/>
        <v>121134132938.73375</v>
      </c>
      <c r="G13" s="63">
        <f t="shared" si="1"/>
        <v>0.97</v>
      </c>
    </row>
    <row r="14" spans="1:7" ht="16" x14ac:dyDescent="0.3">
      <c r="A14" s="61">
        <v>10</v>
      </c>
      <c r="B14" s="61" t="s">
        <v>236</v>
      </c>
      <c r="C14" s="62" t="s">
        <v>237</v>
      </c>
      <c r="D14" s="63">
        <v>0.03</v>
      </c>
      <c r="E14" s="64">
        <f>D14*BOQ_TIEN_DO!$G$39</f>
        <v>3746416482.6412497</v>
      </c>
      <c r="F14" s="64">
        <f t="shared" si="0"/>
        <v>124880549421.375</v>
      </c>
      <c r="G14" s="63">
        <f t="shared" si="1"/>
        <v>1</v>
      </c>
    </row>
    <row r="15" spans="1:7" ht="16" x14ac:dyDescent="0.3">
      <c r="C15" s="65" t="s">
        <v>238</v>
      </c>
      <c r="D15" s="66">
        <f>SUM(D5:D14)</f>
        <v>1</v>
      </c>
      <c r="E15" s="67">
        <f>SUM(E5:E14)</f>
        <v>124880549421.375</v>
      </c>
      <c r="F15" s="67">
        <f>F14</f>
        <v>124880549421.375</v>
      </c>
      <c r="G15" s="66">
        <f>G14</f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E5BF-DD72-4926-97F0-1AB023C2199E}">
  <sheetPr codeName="Sheet5">
    <tabColor rgb="FFC55A11"/>
  </sheetPr>
  <dimension ref="A1"/>
  <sheetViews>
    <sheetView workbookViewId="0"/>
  </sheetViews>
  <sheetFormatPr defaultRowHeight="14" x14ac:dyDescent="0.3"/>
  <sheetData>
    <row r="1" spans="1:1" ht="17.5" x14ac:dyDescent="0.45">
      <c r="A1" s="68" t="s">
        <v>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C6BB-4197-417E-9504-F0C2D41F416F}">
  <sheetPr codeName="Sheet6">
    <tabColor rgb="FF2F5597"/>
  </sheetPr>
  <dimension ref="A1"/>
  <sheetViews>
    <sheetView workbookViewId="0"/>
  </sheetViews>
  <sheetFormatPr defaultRowHeight="14" x14ac:dyDescent="0.3"/>
  <sheetData>
    <row r="1" spans="1:1" ht="17.5" x14ac:dyDescent="0.45">
      <c r="A1" s="68" t="s">
        <v>240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7B55-DD1D-4726-99A2-7BC39F57A271}">
  <sheetPr codeName="Sheet7"/>
  <dimension ref="A1"/>
  <sheetViews>
    <sheetView workbookViewId="0"/>
  </sheetViews>
  <sheetFormatPr defaultRowHeight="14" x14ac:dyDescent="0.3"/>
  <sheetData>
    <row r="1" spans="1:1" ht="17.5" x14ac:dyDescent="0.45">
      <c r="A1" s="68" t="s">
        <v>241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83D0-1646-4F54-A1F9-E67E878841A3}">
  <sheetPr codeName="Sheet8"/>
  <dimension ref="A1:I15"/>
  <sheetViews>
    <sheetView workbookViewId="0"/>
  </sheetViews>
  <sheetFormatPr defaultRowHeight="14" x14ac:dyDescent="0.3"/>
  <cols>
    <col min="1" max="1" width="12" customWidth="1"/>
    <col min="2" max="2" width="42" customWidth="1"/>
    <col min="3" max="3" width="20" customWidth="1"/>
    <col min="4" max="5" width="13" customWidth="1"/>
    <col min="6" max="6" width="22" customWidth="1"/>
    <col min="7" max="7" width="38" customWidth="1"/>
    <col min="8" max="9" width="26" customWidth="1"/>
  </cols>
  <sheetData>
    <row r="1" spans="1:9" ht="19" x14ac:dyDescent="0.3">
      <c r="A1" s="33" t="s">
        <v>242</v>
      </c>
    </row>
    <row r="2" spans="1:9" x14ac:dyDescent="0.3">
      <c r="A2" s="34" t="s">
        <v>243</v>
      </c>
    </row>
    <row r="4" spans="1:9" x14ac:dyDescent="0.3">
      <c r="A4" s="35" t="s">
        <v>244</v>
      </c>
      <c r="B4" s="35" t="s">
        <v>245</v>
      </c>
      <c r="C4" s="35" t="s">
        <v>246</v>
      </c>
      <c r="D4" s="35" t="s">
        <v>247</v>
      </c>
      <c r="E4" s="35" t="s">
        <v>248</v>
      </c>
      <c r="F4" s="35" t="s">
        <v>249</v>
      </c>
      <c r="G4" s="35" t="s">
        <v>250</v>
      </c>
      <c r="H4" s="35" t="s">
        <v>251</v>
      </c>
      <c r="I4" s="35" t="s">
        <v>252</v>
      </c>
    </row>
    <row r="5" spans="1:9" x14ac:dyDescent="0.3">
      <c r="A5" s="39" t="s">
        <v>253</v>
      </c>
      <c r="B5" s="40" t="s">
        <v>254</v>
      </c>
      <c r="C5" s="40" t="s">
        <v>255</v>
      </c>
      <c r="D5" s="69">
        <f>TIEN_DO!F17</f>
        <v>45286</v>
      </c>
      <c r="E5" s="69">
        <f>TIEN_DO!G17</f>
        <v>45345</v>
      </c>
      <c r="F5" s="40" t="s">
        <v>256</v>
      </c>
      <c r="G5" s="40" t="s">
        <v>257</v>
      </c>
      <c r="H5" s="40" t="s">
        <v>258</v>
      </c>
      <c r="I5" s="40" t="s">
        <v>259</v>
      </c>
    </row>
    <row r="6" spans="1:9" x14ac:dyDescent="0.3">
      <c r="A6" s="39" t="s">
        <v>260</v>
      </c>
      <c r="B6" s="40" t="s">
        <v>261</v>
      </c>
      <c r="C6" s="40" t="s">
        <v>255</v>
      </c>
      <c r="D6" s="69">
        <f>TIEN_DO!F18</f>
        <v>45354</v>
      </c>
      <c r="E6" s="69">
        <f>TIEN_DO!G18</f>
        <v>45618</v>
      </c>
      <c r="F6" s="40" t="s">
        <v>256</v>
      </c>
      <c r="G6" s="40" t="s">
        <v>262</v>
      </c>
      <c r="H6" s="40" t="s">
        <v>263</v>
      </c>
      <c r="I6" s="40" t="s">
        <v>264</v>
      </c>
    </row>
    <row r="7" spans="1:9" x14ac:dyDescent="0.3">
      <c r="A7" s="39" t="s">
        <v>265</v>
      </c>
      <c r="B7" s="40" t="s">
        <v>266</v>
      </c>
      <c r="C7" s="40" t="s">
        <v>255</v>
      </c>
      <c r="D7" s="69">
        <f>TIEN_DO!F20</f>
        <v>45544</v>
      </c>
      <c r="E7" s="69">
        <f>TIEN_DO!G20</f>
        <v>45709</v>
      </c>
      <c r="F7" s="40" t="s">
        <v>267</v>
      </c>
      <c r="G7" s="40" t="s">
        <v>268</v>
      </c>
      <c r="H7" s="40" t="s">
        <v>269</v>
      </c>
      <c r="I7" s="40" t="s">
        <v>270</v>
      </c>
    </row>
    <row r="8" spans="1:9" x14ac:dyDescent="0.3">
      <c r="A8" s="39" t="s">
        <v>271</v>
      </c>
      <c r="B8" s="40" t="s">
        <v>272</v>
      </c>
      <c r="C8" s="40" t="s">
        <v>255</v>
      </c>
      <c r="D8" s="69">
        <f>TIEN_DO!F20</f>
        <v>45544</v>
      </c>
      <c r="E8" s="69">
        <f>TIEN_DO!G20</f>
        <v>45709</v>
      </c>
      <c r="F8" s="40" t="s">
        <v>273</v>
      </c>
      <c r="G8" s="40" t="s">
        <v>274</v>
      </c>
      <c r="H8" s="40" t="s">
        <v>275</v>
      </c>
      <c r="I8" s="40" t="s">
        <v>276</v>
      </c>
    </row>
    <row r="9" spans="1:9" x14ac:dyDescent="0.3">
      <c r="A9" s="39" t="s">
        <v>277</v>
      </c>
      <c r="B9" s="40" t="s">
        <v>278</v>
      </c>
      <c r="C9" s="40" t="s">
        <v>255</v>
      </c>
      <c r="D9" s="69">
        <f>TIEN_DO!F21</f>
        <v>45708</v>
      </c>
      <c r="E9" s="69">
        <f>TIEN_DO!G21</f>
        <v>45796</v>
      </c>
      <c r="F9" s="40" t="s">
        <v>279</v>
      </c>
      <c r="G9" s="40" t="s">
        <v>280</v>
      </c>
      <c r="H9" s="40" t="s">
        <v>281</v>
      </c>
      <c r="I9" s="40" t="s">
        <v>282</v>
      </c>
    </row>
    <row r="10" spans="1:9" x14ac:dyDescent="0.3">
      <c r="A10" s="39" t="s">
        <v>283</v>
      </c>
      <c r="B10" s="40" t="s">
        <v>284</v>
      </c>
      <c r="C10" s="40" t="s">
        <v>255</v>
      </c>
      <c r="D10" s="69">
        <f>TIEN_DO!F21</f>
        <v>45708</v>
      </c>
      <c r="E10" s="69">
        <f>TIEN_DO!G21</f>
        <v>45796</v>
      </c>
      <c r="F10" s="40" t="s">
        <v>279</v>
      </c>
      <c r="G10" s="40" t="s">
        <v>285</v>
      </c>
      <c r="H10" s="40" t="s">
        <v>286</v>
      </c>
      <c r="I10" s="40" t="s">
        <v>287</v>
      </c>
    </row>
    <row r="11" spans="1:9" x14ac:dyDescent="0.3">
      <c r="A11" s="39" t="s">
        <v>288</v>
      </c>
      <c r="B11" s="40" t="s">
        <v>289</v>
      </c>
      <c r="C11" s="40" t="s">
        <v>255</v>
      </c>
      <c r="D11" s="69">
        <f>TIEN_DO!F22</f>
        <v>45808</v>
      </c>
      <c r="E11" s="69">
        <f>TIEN_DO!G22</f>
        <v>45867</v>
      </c>
      <c r="F11" s="40" t="s">
        <v>290</v>
      </c>
      <c r="G11" s="40" t="s">
        <v>291</v>
      </c>
      <c r="H11" s="40" t="s">
        <v>292</v>
      </c>
      <c r="I11" s="40" t="s">
        <v>293</v>
      </c>
    </row>
    <row r="12" spans="1:9" x14ac:dyDescent="0.3">
      <c r="A12" s="39" t="s">
        <v>294</v>
      </c>
      <c r="B12" s="40" t="s">
        <v>295</v>
      </c>
      <c r="C12" s="40" t="s">
        <v>255</v>
      </c>
      <c r="D12" s="69">
        <f>TIEN_DO!F23</f>
        <v>45869</v>
      </c>
      <c r="E12" s="69">
        <f>TIEN_DO!G23</f>
        <v>45949</v>
      </c>
      <c r="F12" s="40" t="s">
        <v>296</v>
      </c>
      <c r="G12" s="40" t="s">
        <v>297</v>
      </c>
      <c r="H12" s="40" t="s">
        <v>298</v>
      </c>
      <c r="I12" s="40" t="s">
        <v>299</v>
      </c>
    </row>
    <row r="13" spans="1:9" x14ac:dyDescent="0.3">
      <c r="A13" s="39" t="s">
        <v>300</v>
      </c>
      <c r="B13" s="40" t="s">
        <v>301</v>
      </c>
      <c r="C13" s="40" t="s">
        <v>255</v>
      </c>
      <c r="D13" s="69">
        <f>TIEN_DO!F23</f>
        <v>45869</v>
      </c>
      <c r="E13" s="69">
        <f>TIEN_DO!G23</f>
        <v>45949</v>
      </c>
      <c r="F13" s="40" t="s">
        <v>302</v>
      </c>
      <c r="G13" s="40" t="s">
        <v>303</v>
      </c>
      <c r="H13" s="40" t="s">
        <v>304</v>
      </c>
      <c r="I13" s="40" t="s">
        <v>305</v>
      </c>
    </row>
    <row r="14" spans="1:9" x14ac:dyDescent="0.3">
      <c r="A14" s="39" t="s">
        <v>306</v>
      </c>
      <c r="B14" s="40" t="s">
        <v>307</v>
      </c>
      <c r="C14" s="40" t="s">
        <v>308</v>
      </c>
      <c r="D14" s="69">
        <f>TIEN_DO!F31</f>
        <v>45930</v>
      </c>
      <c r="E14" s="69">
        <f>TIEN_DO!G31</f>
        <v>45991</v>
      </c>
      <c r="F14" s="40" t="s">
        <v>309</v>
      </c>
      <c r="G14" s="40" t="s">
        <v>310</v>
      </c>
      <c r="H14" s="40" t="s">
        <v>311</v>
      </c>
      <c r="I14" s="40" t="s">
        <v>312</v>
      </c>
    </row>
    <row r="15" spans="1:9" x14ac:dyDescent="0.3">
      <c r="A15" s="70" t="s">
        <v>313</v>
      </c>
      <c r="B15" s="71" t="s">
        <v>314</v>
      </c>
      <c r="C15" s="71" t="s">
        <v>315</v>
      </c>
      <c r="D15" s="72">
        <f>TIEN_DO!F9</f>
        <v>45261</v>
      </c>
      <c r="E15" s="72">
        <f>TIEN_DO!G9</f>
        <v>45991</v>
      </c>
      <c r="F15" s="71" t="s">
        <v>316</v>
      </c>
      <c r="G15" s="71" t="s">
        <v>317</v>
      </c>
      <c r="H15" s="71" t="s">
        <v>318</v>
      </c>
      <c r="I15" s="71" t="s">
        <v>319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05E9-2310-4423-9F0B-07617AB07721}">
  <sheetPr codeName="Sheet9"/>
  <dimension ref="A1:N33"/>
  <sheetViews>
    <sheetView workbookViewId="0"/>
  </sheetViews>
  <sheetFormatPr defaultRowHeight="14" x14ac:dyDescent="0.3"/>
  <cols>
    <col min="1" max="1" width="8" customWidth="1"/>
    <col min="2" max="2" width="26" customWidth="1"/>
    <col min="3" max="3" width="42" customWidth="1"/>
    <col min="4" max="4" width="26" customWidth="1"/>
    <col min="5" max="5" width="14" customWidth="1"/>
    <col min="6" max="6" width="26" customWidth="1"/>
    <col min="7" max="7" width="14" customWidth="1"/>
    <col min="8" max="8" width="26" customWidth="1"/>
    <col min="9" max="9" width="14" customWidth="1"/>
    <col min="10" max="10" width="26" customWidth="1"/>
    <col min="11" max="12" width="22" customWidth="1"/>
    <col min="13" max="13" width="10" customWidth="1"/>
    <col min="14" max="14" width="18" customWidth="1"/>
  </cols>
  <sheetData>
    <row r="1" spans="1:14" ht="21" x14ac:dyDescent="0.55000000000000004">
      <c r="A1" s="73" t="s">
        <v>320</v>
      </c>
    </row>
    <row r="2" spans="1:14" ht="16" x14ac:dyDescent="0.45">
      <c r="A2" s="74" t="s">
        <v>321</v>
      </c>
    </row>
    <row r="4" spans="1:14" x14ac:dyDescent="0.3">
      <c r="B4" s="75" t="s">
        <v>322</v>
      </c>
      <c r="D4" s="76" t="s">
        <v>323</v>
      </c>
      <c r="F4" s="77" t="s">
        <v>324</v>
      </c>
      <c r="H4" s="78" t="s">
        <v>325</v>
      </c>
      <c r="J4" s="79" t="s">
        <v>326</v>
      </c>
      <c r="L4" s="80" t="s">
        <v>327</v>
      </c>
      <c r="N4" s="81" t="s">
        <v>328</v>
      </c>
    </row>
    <row r="5" spans="1:14" ht="16.5" x14ac:dyDescent="0.3">
      <c r="B5" s="82">
        <f>BOQ_TIEN_DO!G39</f>
        <v>124880549421.375</v>
      </c>
      <c r="D5" s="82">
        <f>SUM(J11:J33)</f>
        <v>36558295557</v>
      </c>
      <c r="F5" s="82">
        <f>SUM(K11:K33)</f>
        <v>27920185013</v>
      </c>
      <c r="H5" s="82">
        <f>SUM(L11:L33)</f>
        <v>27082579463</v>
      </c>
      <c r="J5" s="82">
        <f>F5-D5</f>
        <v>-8638110544</v>
      </c>
      <c r="L5" s="83">
        <f>IF(D5&gt;0, F5/D5, 1)</f>
        <v>0.7637168141350611</v>
      </c>
      <c r="N5" s="83">
        <f>IF(H5&gt;0, F5/H5, 1)</f>
        <v>1.0309278350367006</v>
      </c>
    </row>
    <row r="8" spans="1:14" ht="16" x14ac:dyDescent="0.45">
      <c r="B8" s="84" t="s">
        <v>329</v>
      </c>
      <c r="D8" s="85" t="str">
        <f>IF(L5&gt;=1, "TIẾN ĐỘ: ĐẠT / VƯỢT KẾ HOẠCH (SPI &gt;= 1.0)", "CẢNH BÁO: CHẬM TIẾN ĐỘ (SPI &lt; 1.0)")</f>
        <v>CẢNH BÁO: CHẬM TIẾN ĐỘ (SPI &lt; 1.0)</v>
      </c>
      <c r="J8" s="85" t="str">
        <f>IF(N5&gt;=1, "CHI PHÍ: TIẾT KIỆM SO VỚI DỰ TOÁN (CPI &gt;= 1.0)", "CẢNH BÁO: VƯỢT DỰ TOÁN (CPI &lt; 1.0)")</f>
        <v>CHI PHÍ: TIẾT KIỆM SO VỚI DỰ TOÁN (CPI &gt;= 1.0)</v>
      </c>
    </row>
    <row r="10" spans="1:14" x14ac:dyDescent="0.3">
      <c r="A10" s="86" t="s">
        <v>11</v>
      </c>
      <c r="B10" s="86" t="s">
        <v>12</v>
      </c>
      <c r="C10" s="86" t="s">
        <v>330</v>
      </c>
      <c r="D10" s="86" t="s">
        <v>331</v>
      </c>
      <c r="E10" s="86" t="s">
        <v>332</v>
      </c>
      <c r="F10" s="86" t="s">
        <v>333</v>
      </c>
      <c r="G10" s="86" t="s">
        <v>334</v>
      </c>
      <c r="H10" s="86" t="s">
        <v>335</v>
      </c>
      <c r="I10" s="86" t="s">
        <v>336</v>
      </c>
      <c r="J10" s="86" t="s">
        <v>337</v>
      </c>
      <c r="K10" s="86" t="s">
        <v>338</v>
      </c>
      <c r="L10" s="86" t="s">
        <v>339</v>
      </c>
      <c r="M10" s="86" t="s">
        <v>340</v>
      </c>
      <c r="N10" s="86" t="s">
        <v>341</v>
      </c>
    </row>
    <row r="11" spans="1:14" x14ac:dyDescent="0.3">
      <c r="A11" s="87">
        <v>1</v>
      </c>
      <c r="B11" s="87" t="str">
        <f>TIEN_DO!B9</f>
        <v>1</v>
      </c>
      <c r="C11" s="88" t="str">
        <f>TIEN_DO!C9</f>
        <v>GÓI THẦU XÂY LẮP SỐ 1 (ĐƯỜNG G1)</v>
      </c>
      <c r="D11" s="89">
        <f>IF(TIEN_DO!D9="Summary", 0, ROUND(BOQ_TIEN_DO!$G$39 * (TIEN_DO!E9 / 772), 0))</f>
        <v>0</v>
      </c>
      <c r="E11" s="90">
        <f>TIEN_DO!F9</f>
        <v>45261</v>
      </c>
      <c r="F11" s="90">
        <f>TIEN_DO!G9</f>
        <v>45991</v>
      </c>
      <c r="G11" s="90">
        <f>TIEN_DO!F9</f>
        <v>45261</v>
      </c>
      <c r="H11" s="90">
        <f>TIEN_DO!G9</f>
        <v>45991</v>
      </c>
      <c r="I11" s="91">
        <v>1</v>
      </c>
      <c r="J11" s="89">
        <f t="shared" ref="J11:J33" si="0">ROUND(D11 * IF(I11&gt;0, 1, 0), 0)</f>
        <v>0</v>
      </c>
      <c r="K11" s="89">
        <f t="shared" ref="K11:K33" si="1">ROUND(D11 * I11, 0)</f>
        <v>0</v>
      </c>
      <c r="L11" s="89">
        <f t="shared" ref="L11:L33" si="2">ROUND(K11 * 0.97, 0)</f>
        <v>0</v>
      </c>
      <c r="M11" s="92">
        <f t="shared" ref="M11:M33" si="3">IF(J11&gt;0, K11/J11, 1)</f>
        <v>1</v>
      </c>
      <c r="N11" s="87" t="str">
        <f t="shared" ref="N11:N33" si="4">IF(M11&gt;=1, "ĐẠT / VƯỢT", "CHẬM TRỄ")</f>
        <v>ĐẠT / VƯỢT</v>
      </c>
    </row>
    <row r="12" spans="1:14" x14ac:dyDescent="0.3">
      <c r="A12" s="87">
        <v>2</v>
      </c>
      <c r="B12" s="87" t="str">
        <f>TIEN_DO!B10</f>
        <v>1.1</v>
      </c>
      <c r="C12" s="88" t="str">
        <f>TIEN_DO!C10</f>
        <v>Công tác chuẩn bị &amp; phụ trợ thi công</v>
      </c>
      <c r="D12" s="89">
        <f>IF(TIEN_DO!D10="Summary", 0, ROUND(BOQ_TIEN_DO!$G$39 * (TIEN_DO!E10 / 772), 0))</f>
        <v>0</v>
      </c>
      <c r="E12" s="90">
        <f>TIEN_DO!F10</f>
        <v>45261</v>
      </c>
      <c r="F12" s="90">
        <f>TIEN_DO!G10</f>
        <v>45343</v>
      </c>
      <c r="G12" s="90">
        <f>TIEN_DO!F10</f>
        <v>45261</v>
      </c>
      <c r="H12" s="90">
        <f>TIEN_DO!G10</f>
        <v>45343</v>
      </c>
      <c r="I12" s="91">
        <v>1</v>
      </c>
      <c r="J12" s="89">
        <f t="shared" si="0"/>
        <v>0</v>
      </c>
      <c r="K12" s="89">
        <f t="shared" si="1"/>
        <v>0</v>
      </c>
      <c r="L12" s="89">
        <f t="shared" si="2"/>
        <v>0</v>
      </c>
      <c r="M12" s="92">
        <f t="shared" si="3"/>
        <v>1</v>
      </c>
      <c r="N12" s="87" t="str">
        <f t="shared" si="4"/>
        <v>ĐẠT / VƯỢT</v>
      </c>
    </row>
    <row r="13" spans="1:14" x14ac:dyDescent="0.3">
      <c r="A13" s="87">
        <v>3</v>
      </c>
      <c r="B13" s="87" t="str">
        <f>TIEN_DO!B11</f>
        <v>1.1.1</v>
      </c>
      <c r="C13" s="88" t="str">
        <f>TIEN_DO!C11</f>
        <v>Huy động và chuẩn bị công trường A</v>
      </c>
      <c r="D13" s="89">
        <f>IF(TIEN_DO!D11="Summary", 0, ROUND(BOQ_TIEN_DO!$G$39 * (TIEN_DO!E11 / 772), 0))</f>
        <v>4044059243</v>
      </c>
      <c r="E13" s="90">
        <f>TIEN_DO!F11</f>
        <v>45261</v>
      </c>
      <c r="F13" s="90">
        <f>TIEN_DO!G11</f>
        <v>45285</v>
      </c>
      <c r="G13" s="90">
        <f>TIEN_DO!F11</f>
        <v>45261</v>
      </c>
      <c r="H13" s="90">
        <f>TIEN_DO!G11</f>
        <v>45285</v>
      </c>
      <c r="I13" s="91">
        <v>1</v>
      </c>
      <c r="J13" s="89">
        <f t="shared" si="0"/>
        <v>4044059243</v>
      </c>
      <c r="K13" s="89">
        <f t="shared" si="1"/>
        <v>4044059243</v>
      </c>
      <c r="L13" s="89">
        <f t="shared" si="2"/>
        <v>3922737466</v>
      </c>
      <c r="M13" s="92">
        <f t="shared" si="3"/>
        <v>1</v>
      </c>
      <c r="N13" s="87" t="str">
        <f t="shared" si="4"/>
        <v>ĐẠT / VƯỢT</v>
      </c>
    </row>
    <row r="14" spans="1:14" x14ac:dyDescent="0.3">
      <c r="A14" s="87">
        <v>4</v>
      </c>
      <c r="B14" s="87" t="str">
        <f>TIEN_DO!B12</f>
        <v>1.1.2</v>
      </c>
      <c r="C14" s="88" t="str">
        <f>TIEN_DO!C12</f>
        <v>Đường công vụ, bãi tập kết và ATGT thi công A</v>
      </c>
      <c r="D14" s="89">
        <f>IF(TIEN_DO!D12="Summary", 0, ROUND(BOQ_TIEN_DO!$G$39 * (TIEN_DO!E12 / 772), 0))</f>
        <v>9382217444</v>
      </c>
      <c r="E14" s="90">
        <f>TIEN_DO!F12</f>
        <v>45286</v>
      </c>
      <c r="F14" s="90">
        <f>TIEN_DO!G12</f>
        <v>45343</v>
      </c>
      <c r="G14" s="90">
        <f>TIEN_DO!F12</f>
        <v>45286</v>
      </c>
      <c r="H14" s="90">
        <f>TIEN_DO!G12</f>
        <v>45343</v>
      </c>
      <c r="I14" s="91">
        <v>0.85</v>
      </c>
      <c r="J14" s="89">
        <f t="shared" si="0"/>
        <v>9382217444</v>
      </c>
      <c r="K14" s="89">
        <f t="shared" si="1"/>
        <v>7974884827</v>
      </c>
      <c r="L14" s="89">
        <f t="shared" si="2"/>
        <v>7735638282</v>
      </c>
      <c r="M14" s="92">
        <f t="shared" si="3"/>
        <v>0.84999999995736619</v>
      </c>
      <c r="N14" s="87" t="str">
        <f t="shared" si="4"/>
        <v>CHẬM TRỄ</v>
      </c>
    </row>
    <row r="15" spans="1:14" x14ac:dyDescent="0.3">
      <c r="A15" s="87">
        <v>5</v>
      </c>
      <c r="B15" s="87" t="str">
        <f>TIEN_DO!B13</f>
        <v>1.1.3</v>
      </c>
      <c r="C15" s="88" t="str">
        <f>TIEN_DO!C13</f>
        <v>Huy động và chuẩn bị công trường B</v>
      </c>
      <c r="D15" s="89">
        <f>IF(TIEN_DO!D13="Summary", 0, ROUND(BOQ_TIEN_DO!$G$39 * (TIEN_DO!E13 / 772), 0))</f>
        <v>4044059243</v>
      </c>
      <c r="E15" s="90">
        <f>TIEN_DO!F13</f>
        <v>45261</v>
      </c>
      <c r="F15" s="90">
        <f>TIEN_DO!G13</f>
        <v>45285</v>
      </c>
      <c r="G15" s="90">
        <f>TIEN_DO!F13</f>
        <v>45261</v>
      </c>
      <c r="H15" s="90">
        <f>TIEN_DO!G13</f>
        <v>45285</v>
      </c>
      <c r="I15" s="91">
        <v>1</v>
      </c>
      <c r="J15" s="89">
        <f t="shared" si="0"/>
        <v>4044059243</v>
      </c>
      <c r="K15" s="89">
        <f t="shared" si="1"/>
        <v>4044059243</v>
      </c>
      <c r="L15" s="89">
        <f t="shared" si="2"/>
        <v>3922737466</v>
      </c>
      <c r="M15" s="92">
        <f t="shared" si="3"/>
        <v>1</v>
      </c>
      <c r="N15" s="87" t="str">
        <f t="shared" si="4"/>
        <v>ĐẠT / VƯỢT</v>
      </c>
    </row>
    <row r="16" spans="1:14" x14ac:dyDescent="0.3">
      <c r="A16" s="87">
        <v>6</v>
      </c>
      <c r="B16" s="87" t="str">
        <f>TIEN_DO!B14</f>
        <v>1.1.4</v>
      </c>
      <c r="C16" s="88" t="str">
        <f>TIEN_DO!C14</f>
        <v>Đường công vụ, bãi tập kết và ATGT thi công B</v>
      </c>
      <c r="D16" s="89">
        <f>IF(TIEN_DO!D14="Summary", 0, ROUND(BOQ_TIEN_DO!$G$39 * (TIEN_DO!E14 / 772), 0))</f>
        <v>9382217444</v>
      </c>
      <c r="E16" s="90">
        <f>TIEN_DO!F14</f>
        <v>45286</v>
      </c>
      <c r="F16" s="90">
        <f>TIEN_DO!G14</f>
        <v>45343</v>
      </c>
      <c r="G16" s="90">
        <f>TIEN_DO!F14</f>
        <v>45286</v>
      </c>
      <c r="H16" s="90">
        <f>TIEN_DO!G14</f>
        <v>45343</v>
      </c>
      <c r="I16" s="91">
        <v>0.85</v>
      </c>
      <c r="J16" s="89">
        <f t="shared" si="0"/>
        <v>9382217444</v>
      </c>
      <c r="K16" s="89">
        <f t="shared" si="1"/>
        <v>7974884827</v>
      </c>
      <c r="L16" s="89">
        <f t="shared" si="2"/>
        <v>7735638282</v>
      </c>
      <c r="M16" s="92">
        <f t="shared" si="3"/>
        <v>0.84999999995736619</v>
      </c>
      <c r="N16" s="87" t="str">
        <f t="shared" si="4"/>
        <v>CHẬM TRỄ</v>
      </c>
    </row>
    <row r="17" spans="1:14" x14ac:dyDescent="0.3">
      <c r="A17" s="87">
        <v>7</v>
      </c>
      <c r="B17" s="87" t="str">
        <f>TIEN_DO!B15</f>
        <v>1.2</v>
      </c>
      <c r="C17" s="88" t="str">
        <f>TIEN_DO!C15</f>
        <v>Tuyến chính Nhà thầu A (Km 0 - Km 9+020)</v>
      </c>
      <c r="D17" s="89">
        <f>IF(TIEN_DO!D15="Summary", 0, ROUND(BOQ_TIEN_DO!$G$39 * (TIEN_DO!E15 / 772), 0))</f>
        <v>0</v>
      </c>
      <c r="E17" s="90">
        <f>TIEN_DO!F15</f>
        <v>45286</v>
      </c>
      <c r="F17" s="90">
        <f>TIEN_DO!G15</f>
        <v>45991</v>
      </c>
      <c r="G17" s="90">
        <f>TIEN_DO!F15</f>
        <v>45286</v>
      </c>
      <c r="H17" s="90">
        <f>TIEN_DO!G15</f>
        <v>45991</v>
      </c>
      <c r="I17" s="91">
        <v>0.4</v>
      </c>
      <c r="J17" s="89">
        <f t="shared" si="0"/>
        <v>0</v>
      </c>
      <c r="K17" s="89">
        <f t="shared" si="1"/>
        <v>0</v>
      </c>
      <c r="L17" s="89">
        <f t="shared" si="2"/>
        <v>0</v>
      </c>
      <c r="M17" s="92">
        <f t="shared" si="3"/>
        <v>1</v>
      </c>
      <c r="N17" s="87" t="str">
        <f t="shared" si="4"/>
        <v>ĐẠT / VƯỢT</v>
      </c>
    </row>
    <row r="18" spans="1:14" x14ac:dyDescent="0.3">
      <c r="A18" s="87">
        <v>8</v>
      </c>
      <c r="B18" s="87" t="str">
        <f>TIEN_DO!B16</f>
        <v>1.2.1</v>
      </c>
      <c r="C18" s="88" t="str">
        <f>TIEN_DO!C16</f>
        <v>Phân đoạn A1 (Km 0 - Km 2+750 và Nút giao)</v>
      </c>
      <c r="D18" s="89">
        <f>IF(TIEN_DO!D16="Summary", 0, ROUND(BOQ_TIEN_DO!$G$39 * (TIEN_DO!E16 / 772), 0))</f>
        <v>0</v>
      </c>
      <c r="E18" s="90">
        <f>TIEN_DO!F16</f>
        <v>45286</v>
      </c>
      <c r="F18" s="90">
        <f>TIEN_DO!G16</f>
        <v>45949</v>
      </c>
      <c r="G18" s="90">
        <f>TIEN_DO!F16</f>
        <v>45286</v>
      </c>
      <c r="H18" s="90">
        <f>TIEN_DO!G16</f>
        <v>45949</v>
      </c>
      <c r="I18" s="91">
        <v>0.4</v>
      </c>
      <c r="J18" s="89">
        <f t="shared" si="0"/>
        <v>0</v>
      </c>
      <c r="K18" s="89">
        <f t="shared" si="1"/>
        <v>0</v>
      </c>
      <c r="L18" s="89">
        <f t="shared" si="2"/>
        <v>0</v>
      </c>
      <c r="M18" s="92">
        <f t="shared" si="3"/>
        <v>1</v>
      </c>
      <c r="N18" s="87" t="str">
        <f t="shared" si="4"/>
        <v>ĐẠT / VƯỢT</v>
      </c>
    </row>
    <row r="19" spans="1:14" x14ac:dyDescent="0.3">
      <c r="A19" s="87">
        <v>9</v>
      </c>
      <c r="B19" s="87" t="str">
        <f>TIEN_DO!B17</f>
        <v>1.2.1.1</v>
      </c>
      <c r="C19" s="88" t="str">
        <f>TIEN_DO!C17</f>
        <v>Chuẩn bị và bóc đất không thích hợp</v>
      </c>
      <c r="D19" s="89">
        <f>IF(TIEN_DO!D17="Summary", 0, ROUND(BOQ_TIEN_DO!$G$39 * (TIEN_DO!E17 / 772), 0))</f>
        <v>9705742183</v>
      </c>
      <c r="E19" s="90">
        <f>TIEN_DO!F17</f>
        <v>45286</v>
      </c>
      <c r="F19" s="90">
        <f>TIEN_DO!G17</f>
        <v>45345</v>
      </c>
      <c r="G19" s="90">
        <f>TIEN_DO!F17</f>
        <v>45286</v>
      </c>
      <c r="H19" s="90">
        <f>TIEN_DO!G17</f>
        <v>45345</v>
      </c>
      <c r="I19" s="91">
        <v>0.4</v>
      </c>
      <c r="J19" s="89">
        <f t="shared" si="0"/>
        <v>9705742183</v>
      </c>
      <c r="K19" s="89">
        <f t="shared" si="1"/>
        <v>3882296873</v>
      </c>
      <c r="L19" s="89">
        <f t="shared" si="2"/>
        <v>3765827967</v>
      </c>
      <c r="M19" s="92">
        <f t="shared" si="3"/>
        <v>0.39999999997939362</v>
      </c>
      <c r="N19" s="87" t="str">
        <f t="shared" si="4"/>
        <v>CHẬM TRỄ</v>
      </c>
    </row>
    <row r="20" spans="1:14" x14ac:dyDescent="0.3">
      <c r="A20" s="87">
        <v>10</v>
      </c>
      <c r="B20" s="87" t="str">
        <f>TIEN_DO!B18</f>
        <v>1.2.1.2</v>
      </c>
      <c r="C20" s="88" t="str">
        <f>TIEN_DO!C18</f>
        <v>Đào đất, vận chuyển và điều phối</v>
      </c>
      <c r="D20" s="89">
        <f>IF(TIEN_DO!D18="Summary", 0, ROUND(BOQ_TIEN_DO!$G$39 * (TIEN_DO!E18 / 772), 0))</f>
        <v>42867027975</v>
      </c>
      <c r="E20" s="90">
        <f>TIEN_DO!F18</f>
        <v>45354</v>
      </c>
      <c r="F20" s="90">
        <f>TIEN_DO!G18</f>
        <v>45618</v>
      </c>
      <c r="G20" s="90">
        <f>TIEN_DO!F18</f>
        <v>45354</v>
      </c>
      <c r="H20" s="90">
        <f>TIEN_DO!G18</f>
        <v>45618</v>
      </c>
      <c r="I20" s="91">
        <v>0</v>
      </c>
      <c r="J20" s="89">
        <f t="shared" si="0"/>
        <v>0</v>
      </c>
      <c r="K20" s="89">
        <f t="shared" si="1"/>
        <v>0</v>
      </c>
      <c r="L20" s="89">
        <f t="shared" si="2"/>
        <v>0</v>
      </c>
      <c r="M20" s="92">
        <f t="shared" si="3"/>
        <v>1</v>
      </c>
      <c r="N20" s="87" t="str">
        <f t="shared" si="4"/>
        <v>ĐẠT / VƯỢT</v>
      </c>
    </row>
    <row r="21" spans="1:14" x14ac:dyDescent="0.3">
      <c r="A21" s="87">
        <v>11</v>
      </c>
      <c r="B21" s="87" t="str">
        <f>TIEN_DO!B19</f>
        <v>1.2.1.3</v>
      </c>
      <c r="C21" s="88" t="str">
        <f>TIEN_DO!C19</f>
        <v>Đào đá và vận chuyển đá</v>
      </c>
      <c r="D21" s="89">
        <f>IF(TIEN_DO!D19="Summary", 0, ROUND(BOQ_TIEN_DO!$G$39 * (TIEN_DO!E19 / 772), 0))</f>
        <v>43837602193</v>
      </c>
      <c r="E21" s="90">
        <f>TIEN_DO!F19</f>
        <v>45368</v>
      </c>
      <c r="F21" s="90">
        <f>TIEN_DO!G19</f>
        <v>45638</v>
      </c>
      <c r="G21" s="90">
        <f>TIEN_DO!F19</f>
        <v>45368</v>
      </c>
      <c r="H21" s="90">
        <f>TIEN_DO!G19</f>
        <v>45638</v>
      </c>
      <c r="I21" s="91">
        <v>0</v>
      </c>
      <c r="J21" s="89">
        <f t="shared" si="0"/>
        <v>0</v>
      </c>
      <c r="K21" s="89">
        <f t="shared" si="1"/>
        <v>0</v>
      </c>
      <c r="L21" s="89">
        <f t="shared" si="2"/>
        <v>0</v>
      </c>
      <c r="M21" s="92">
        <f t="shared" si="3"/>
        <v>1</v>
      </c>
      <c r="N21" s="87" t="str">
        <f t="shared" si="4"/>
        <v>ĐẠT / VƯỢT</v>
      </c>
    </row>
    <row r="22" spans="1:14" x14ac:dyDescent="0.3">
      <c r="A22" s="87">
        <v>12</v>
      </c>
      <c r="B22" s="87" t="str">
        <f>TIEN_DO!B20</f>
        <v>1.2.1.4</v>
      </c>
      <c r="C22" s="88" t="str">
        <f>TIEN_DO!C20</f>
        <v>Đắp K95, K98 và hoàn thiện nền</v>
      </c>
      <c r="D22" s="89">
        <f>IF(TIEN_DO!D20="Summary", 0, ROUND(BOQ_TIEN_DO!$G$39 * (TIEN_DO!E20 / 772), 0))</f>
        <v>26852553373</v>
      </c>
      <c r="E22" s="90">
        <f>TIEN_DO!F20</f>
        <v>45544</v>
      </c>
      <c r="F22" s="90">
        <f>TIEN_DO!G20</f>
        <v>45709</v>
      </c>
      <c r="G22" s="90">
        <f>TIEN_DO!F20</f>
        <v>45544</v>
      </c>
      <c r="H22" s="90">
        <f>TIEN_DO!G20</f>
        <v>45709</v>
      </c>
      <c r="I22" s="91">
        <v>0</v>
      </c>
      <c r="J22" s="89">
        <f t="shared" si="0"/>
        <v>0</v>
      </c>
      <c r="K22" s="89">
        <f t="shared" si="1"/>
        <v>0</v>
      </c>
      <c r="L22" s="89">
        <f t="shared" si="2"/>
        <v>0</v>
      </c>
      <c r="M22" s="92">
        <f t="shared" si="3"/>
        <v>1</v>
      </c>
      <c r="N22" s="87" t="str">
        <f t="shared" si="4"/>
        <v>ĐẠT / VƯỢT</v>
      </c>
    </row>
    <row r="23" spans="1:14" x14ac:dyDescent="0.3">
      <c r="A23" s="87">
        <v>13</v>
      </c>
      <c r="B23" s="87" t="str">
        <f>TIEN_DO!B21</f>
        <v>1.2.1.5</v>
      </c>
      <c r="C23" s="88" t="str">
        <f>TIEN_DO!C21</f>
        <v>Thi công móng CPĐD</v>
      </c>
      <c r="D23" s="89">
        <f>IF(TIEN_DO!D21="Summary", 0, ROUND(BOQ_TIEN_DO!$G$39 * (TIEN_DO!E21 / 772), 0))</f>
        <v>14396850905</v>
      </c>
      <c r="E23" s="90">
        <f>TIEN_DO!F21</f>
        <v>45708</v>
      </c>
      <c r="F23" s="90">
        <f>TIEN_DO!G21</f>
        <v>45796</v>
      </c>
      <c r="G23" s="90">
        <f>TIEN_DO!F21</f>
        <v>45708</v>
      </c>
      <c r="H23" s="90">
        <f>TIEN_DO!G21</f>
        <v>45796</v>
      </c>
      <c r="I23" s="91">
        <v>0</v>
      </c>
      <c r="J23" s="89">
        <f t="shared" si="0"/>
        <v>0</v>
      </c>
      <c r="K23" s="89">
        <f t="shared" si="1"/>
        <v>0</v>
      </c>
      <c r="L23" s="89">
        <f t="shared" si="2"/>
        <v>0</v>
      </c>
      <c r="M23" s="92">
        <f t="shared" si="3"/>
        <v>1</v>
      </c>
      <c r="N23" s="87" t="str">
        <f t="shared" si="4"/>
        <v>ĐẠT / VƯỢT</v>
      </c>
    </row>
    <row r="24" spans="1:14" x14ac:dyDescent="0.3">
      <c r="A24" s="87">
        <v>14</v>
      </c>
      <c r="B24" s="87" t="str">
        <f>TIEN_DO!B22</f>
        <v>1.2.1.6</v>
      </c>
      <c r="C24" s="88" t="str">
        <f>TIEN_DO!C22</f>
        <v>Móng CPĐD gia cố xi măng</v>
      </c>
      <c r="D24" s="89">
        <f>IF(TIEN_DO!D22="Summary", 0, ROUND(BOQ_TIEN_DO!$G$39 * (TIEN_DO!E22 / 772), 0))</f>
        <v>9705742183</v>
      </c>
      <c r="E24" s="90">
        <f>TIEN_DO!F22</f>
        <v>45808</v>
      </c>
      <c r="F24" s="90">
        <f>TIEN_DO!G22</f>
        <v>45867</v>
      </c>
      <c r="G24" s="90">
        <f>TIEN_DO!F22</f>
        <v>45808</v>
      </c>
      <c r="H24" s="90">
        <f>TIEN_DO!G22</f>
        <v>45867</v>
      </c>
      <c r="I24" s="91">
        <v>0</v>
      </c>
      <c r="J24" s="89">
        <f t="shared" si="0"/>
        <v>0</v>
      </c>
      <c r="K24" s="89">
        <f t="shared" si="1"/>
        <v>0</v>
      </c>
      <c r="L24" s="89">
        <f t="shared" si="2"/>
        <v>0</v>
      </c>
      <c r="M24" s="92">
        <f t="shared" si="3"/>
        <v>1</v>
      </c>
      <c r="N24" s="87" t="str">
        <f t="shared" si="4"/>
        <v>ĐẠT / VƯỢT</v>
      </c>
    </row>
    <row r="25" spans="1:14" x14ac:dyDescent="0.3">
      <c r="A25" s="87">
        <v>15</v>
      </c>
      <c r="B25" s="87" t="str">
        <f>TIEN_DO!B23</f>
        <v>1.2.1.7</v>
      </c>
      <c r="C25" s="88" t="str">
        <f>TIEN_DO!C23</f>
        <v>Các lớp BTN và tưới nhựa</v>
      </c>
      <c r="D25" s="89">
        <f>IF(TIEN_DO!D23="Summary", 0, ROUND(BOQ_TIEN_DO!$G$39 * (TIEN_DO!E23 / 772), 0))</f>
        <v>13102751947</v>
      </c>
      <c r="E25" s="90">
        <f>TIEN_DO!F23</f>
        <v>45869</v>
      </c>
      <c r="F25" s="90">
        <f>TIEN_DO!G23</f>
        <v>45949</v>
      </c>
      <c r="G25" s="90">
        <f>TIEN_DO!F23</f>
        <v>45869</v>
      </c>
      <c r="H25" s="90">
        <f>TIEN_DO!G23</f>
        <v>45949</v>
      </c>
      <c r="I25" s="91">
        <v>0</v>
      </c>
      <c r="J25" s="89">
        <f t="shared" si="0"/>
        <v>0</v>
      </c>
      <c r="K25" s="89">
        <f t="shared" si="1"/>
        <v>0</v>
      </c>
      <c r="L25" s="89">
        <f t="shared" si="2"/>
        <v>0</v>
      </c>
      <c r="M25" s="92">
        <f t="shared" si="3"/>
        <v>1</v>
      </c>
      <c r="N25" s="87" t="str">
        <f t="shared" si="4"/>
        <v>ĐẠT / VƯỢT</v>
      </c>
    </row>
    <row r="26" spans="1:14" x14ac:dyDescent="0.3">
      <c r="A26" s="87">
        <v>16</v>
      </c>
      <c r="B26" s="87" t="str">
        <f>TIEN_DO!B24</f>
        <v>1.2.2</v>
      </c>
      <c r="C26" s="88" t="str">
        <f>TIEN_DO!C24</f>
        <v>Phân đoạn A2 (Km 2+750 - Km 5+500)</v>
      </c>
      <c r="D26" s="89">
        <f>IF(TIEN_DO!D24="Summary", 0, ROUND(BOQ_TIEN_DO!$G$39 * (TIEN_DO!E24 / 772), 0))</f>
        <v>0</v>
      </c>
      <c r="E26" s="90">
        <f>TIEN_DO!F24</f>
        <v>45301</v>
      </c>
      <c r="F26" s="90">
        <f>TIEN_DO!G24</f>
        <v>45991</v>
      </c>
      <c r="G26" s="90">
        <f>TIEN_DO!F24</f>
        <v>45301</v>
      </c>
      <c r="H26" s="90">
        <f>TIEN_DO!G24</f>
        <v>45991</v>
      </c>
      <c r="I26" s="91">
        <v>0</v>
      </c>
      <c r="J26" s="89">
        <f t="shared" si="0"/>
        <v>0</v>
      </c>
      <c r="K26" s="89">
        <f t="shared" si="1"/>
        <v>0</v>
      </c>
      <c r="L26" s="89">
        <f t="shared" si="2"/>
        <v>0</v>
      </c>
      <c r="M26" s="92">
        <f t="shared" si="3"/>
        <v>1</v>
      </c>
      <c r="N26" s="87" t="str">
        <f t="shared" si="4"/>
        <v>ĐẠT / VƯỢT</v>
      </c>
    </row>
    <row r="27" spans="1:14" x14ac:dyDescent="0.3">
      <c r="A27" s="87">
        <v>17</v>
      </c>
      <c r="B27" s="87" t="str">
        <f>TIEN_DO!B25</f>
        <v>1.2.2.1</v>
      </c>
      <c r="C27" s="88" t="str">
        <f>TIEN_DO!C25</f>
        <v>Chuẩn bị và bóc đất không thích hợp</v>
      </c>
      <c r="D27" s="89">
        <f>IF(TIEN_DO!D25="Summary", 0, ROUND(BOQ_TIEN_DO!$G$39 * (TIEN_DO!E25 / 772), 0))</f>
        <v>10676316401</v>
      </c>
      <c r="E27" s="90">
        <f>TIEN_DO!F25</f>
        <v>45301</v>
      </c>
      <c r="F27" s="90">
        <f>TIEN_DO!G25</f>
        <v>45366</v>
      </c>
      <c r="G27" s="90">
        <f>TIEN_DO!F25</f>
        <v>45301</v>
      </c>
      <c r="H27" s="90">
        <f>TIEN_DO!G25</f>
        <v>45366</v>
      </c>
      <c r="I27" s="91">
        <v>0</v>
      </c>
      <c r="J27" s="89">
        <f t="shared" si="0"/>
        <v>0</v>
      </c>
      <c r="K27" s="89">
        <f t="shared" si="1"/>
        <v>0</v>
      </c>
      <c r="L27" s="89">
        <f t="shared" si="2"/>
        <v>0</v>
      </c>
      <c r="M27" s="92">
        <f t="shared" si="3"/>
        <v>1</v>
      </c>
      <c r="N27" s="87" t="str">
        <f t="shared" si="4"/>
        <v>ĐẠT / VƯỢT</v>
      </c>
    </row>
    <row r="28" spans="1:14" x14ac:dyDescent="0.3">
      <c r="A28" s="87">
        <v>18</v>
      </c>
      <c r="B28" s="87" t="str">
        <f>TIEN_DO!B26</f>
        <v>1.2.2.2</v>
      </c>
      <c r="C28" s="88" t="str">
        <f>TIEN_DO!C26</f>
        <v>Đào đất, vận chuyển và điều phối</v>
      </c>
      <c r="D28" s="89">
        <f>IF(TIEN_DO!D26="Summary", 0, ROUND(BOQ_TIEN_DO!$G$39 * (TIEN_DO!E26 / 772), 0))</f>
        <v>48528710915</v>
      </c>
      <c r="E28" s="90">
        <f>TIEN_DO!F26</f>
        <v>45374</v>
      </c>
      <c r="F28" s="90">
        <f>TIEN_DO!G26</f>
        <v>45673</v>
      </c>
      <c r="G28" s="90">
        <f>TIEN_DO!F26</f>
        <v>45374</v>
      </c>
      <c r="H28" s="90">
        <f>TIEN_DO!G26</f>
        <v>45673</v>
      </c>
      <c r="I28" s="91">
        <v>0</v>
      </c>
      <c r="J28" s="89">
        <f t="shared" si="0"/>
        <v>0</v>
      </c>
      <c r="K28" s="89">
        <f t="shared" si="1"/>
        <v>0</v>
      </c>
      <c r="L28" s="89">
        <f t="shared" si="2"/>
        <v>0</v>
      </c>
      <c r="M28" s="92">
        <f t="shared" si="3"/>
        <v>1</v>
      </c>
      <c r="N28" s="87" t="str">
        <f t="shared" si="4"/>
        <v>ĐẠT / VƯỢT</v>
      </c>
    </row>
    <row r="29" spans="1:14" x14ac:dyDescent="0.3">
      <c r="A29" s="87">
        <v>19</v>
      </c>
      <c r="B29" s="87" t="str">
        <f>TIEN_DO!B27</f>
        <v>1.2.2.3</v>
      </c>
      <c r="C29" s="88" t="str">
        <f>TIEN_DO!C27</f>
        <v>Đào đá và vận chuyển đá</v>
      </c>
      <c r="D29" s="89">
        <f>IF(TIEN_DO!D27="Summary", 0, ROUND(BOQ_TIEN_DO!$G$39 * (TIEN_DO!E27 / 772), 0))</f>
        <v>49499285133</v>
      </c>
      <c r="E29" s="90">
        <f>TIEN_DO!F27</f>
        <v>45390</v>
      </c>
      <c r="F29" s="90">
        <f>TIEN_DO!G27</f>
        <v>45695</v>
      </c>
      <c r="G29" s="90">
        <f>TIEN_DO!F27</f>
        <v>45390</v>
      </c>
      <c r="H29" s="90">
        <f>TIEN_DO!G27</f>
        <v>45695</v>
      </c>
      <c r="I29" s="91">
        <v>0</v>
      </c>
      <c r="J29" s="89">
        <f t="shared" si="0"/>
        <v>0</v>
      </c>
      <c r="K29" s="89">
        <f t="shared" si="1"/>
        <v>0</v>
      </c>
      <c r="L29" s="89">
        <f t="shared" si="2"/>
        <v>0</v>
      </c>
      <c r="M29" s="92">
        <f t="shared" si="3"/>
        <v>1</v>
      </c>
      <c r="N29" s="87" t="str">
        <f t="shared" si="4"/>
        <v>ĐẠT / VƯỢT</v>
      </c>
    </row>
    <row r="30" spans="1:14" x14ac:dyDescent="0.3">
      <c r="A30" s="87">
        <v>20</v>
      </c>
      <c r="B30" s="87" t="str">
        <f>TIEN_DO!B28</f>
        <v>1.2.2.4</v>
      </c>
      <c r="C30" s="88" t="str">
        <f>TIEN_DO!C28</f>
        <v>Đắp K95, K98 và hoàn thiện nền</v>
      </c>
      <c r="D30" s="89">
        <f>IF(TIEN_DO!D28="Summary", 0, ROUND(BOQ_TIEN_DO!$G$39 * (TIEN_DO!E28 / 772), 0))</f>
        <v>30411325507</v>
      </c>
      <c r="E30" s="90">
        <f>TIEN_DO!F28</f>
        <v>45584</v>
      </c>
      <c r="F30" s="90">
        <f>TIEN_DO!G28</f>
        <v>45771</v>
      </c>
      <c r="G30" s="90">
        <f>TIEN_DO!F28</f>
        <v>45584</v>
      </c>
      <c r="H30" s="90">
        <f>TIEN_DO!G28</f>
        <v>45771</v>
      </c>
      <c r="I30" s="91">
        <v>0</v>
      </c>
      <c r="J30" s="89">
        <f t="shared" si="0"/>
        <v>0</v>
      </c>
      <c r="K30" s="89">
        <f t="shared" si="1"/>
        <v>0</v>
      </c>
      <c r="L30" s="89">
        <f t="shared" si="2"/>
        <v>0</v>
      </c>
      <c r="M30" s="92">
        <f t="shared" si="3"/>
        <v>1</v>
      </c>
      <c r="N30" s="87" t="str">
        <f t="shared" si="4"/>
        <v>ĐẠT / VƯỢT</v>
      </c>
    </row>
    <row r="31" spans="1:14" x14ac:dyDescent="0.3">
      <c r="A31" s="87">
        <v>21</v>
      </c>
      <c r="B31" s="87" t="str">
        <f>TIEN_DO!B29</f>
        <v>1.2.2.5</v>
      </c>
      <c r="C31" s="88" t="str">
        <f>TIEN_DO!C29</f>
        <v>Thi công móng CPĐD</v>
      </c>
      <c r="D31" s="89">
        <f>IF(TIEN_DO!D29="Summary", 0, ROUND(BOQ_TIEN_DO!$G$39 * (TIEN_DO!E29 / 772), 0))</f>
        <v>14396850905</v>
      </c>
      <c r="E31" s="90">
        <f>TIEN_DO!F29</f>
        <v>45779</v>
      </c>
      <c r="F31" s="90">
        <f>TIEN_DO!G29</f>
        <v>45867</v>
      </c>
      <c r="G31" s="90">
        <f>TIEN_DO!F29</f>
        <v>45779</v>
      </c>
      <c r="H31" s="90">
        <f>TIEN_DO!G29</f>
        <v>45867</v>
      </c>
      <c r="I31" s="91">
        <v>0</v>
      </c>
      <c r="J31" s="89">
        <f t="shared" si="0"/>
        <v>0</v>
      </c>
      <c r="K31" s="89">
        <f t="shared" si="1"/>
        <v>0</v>
      </c>
      <c r="L31" s="89">
        <f t="shared" si="2"/>
        <v>0</v>
      </c>
      <c r="M31" s="92">
        <f t="shared" si="3"/>
        <v>1</v>
      </c>
      <c r="N31" s="87" t="str">
        <f t="shared" si="4"/>
        <v>ĐẠT / VƯỢT</v>
      </c>
    </row>
    <row r="32" spans="1:14" x14ac:dyDescent="0.3">
      <c r="A32" s="87">
        <v>22</v>
      </c>
      <c r="B32" s="87" t="str">
        <f>TIEN_DO!B30</f>
        <v>1.2.2.6</v>
      </c>
      <c r="C32" s="88" t="str">
        <f>TIEN_DO!C30</f>
        <v>Móng CPĐD gia cố xi măng</v>
      </c>
      <c r="D32" s="89">
        <f>IF(TIEN_DO!D30="Summary", 0, ROUND(BOQ_TIEN_DO!$G$39 * (TIEN_DO!E30 / 772), 0))</f>
        <v>9705742183</v>
      </c>
      <c r="E32" s="90">
        <f>TIEN_DO!F30</f>
        <v>45869</v>
      </c>
      <c r="F32" s="90">
        <f>TIEN_DO!G30</f>
        <v>45928</v>
      </c>
      <c r="G32" s="90">
        <f>TIEN_DO!F30</f>
        <v>45869</v>
      </c>
      <c r="H32" s="90">
        <f>TIEN_DO!G30</f>
        <v>45928</v>
      </c>
      <c r="I32" s="91">
        <v>0</v>
      </c>
      <c r="J32" s="89">
        <f t="shared" si="0"/>
        <v>0</v>
      </c>
      <c r="K32" s="89">
        <f t="shared" si="1"/>
        <v>0</v>
      </c>
      <c r="L32" s="89">
        <f t="shared" si="2"/>
        <v>0</v>
      </c>
      <c r="M32" s="92">
        <f t="shared" si="3"/>
        <v>1</v>
      </c>
      <c r="N32" s="87" t="str">
        <f t="shared" si="4"/>
        <v>ĐẠT / VƯỢT</v>
      </c>
    </row>
    <row r="33" spans="1:14" x14ac:dyDescent="0.3">
      <c r="A33" s="87">
        <v>23</v>
      </c>
      <c r="B33" s="87" t="str">
        <f>TIEN_DO!B31</f>
        <v>1.2.2.7</v>
      </c>
      <c r="C33" s="88" t="str">
        <f>TIEN_DO!C31</f>
        <v>Các lớp BTN và tưới nhựa</v>
      </c>
      <c r="D33" s="89">
        <f>IF(TIEN_DO!D31="Summary", 0, ROUND(BOQ_TIEN_DO!$G$39 * (TIEN_DO!E31 / 772), 0))</f>
        <v>10029266922</v>
      </c>
      <c r="E33" s="90">
        <f>TIEN_DO!F31</f>
        <v>45930</v>
      </c>
      <c r="F33" s="90">
        <f>TIEN_DO!G31</f>
        <v>45991</v>
      </c>
      <c r="G33" s="90">
        <f>TIEN_DO!F31</f>
        <v>45930</v>
      </c>
      <c r="H33" s="90">
        <f>TIEN_DO!G31</f>
        <v>45991</v>
      </c>
      <c r="I33" s="91">
        <v>0</v>
      </c>
      <c r="J33" s="89">
        <f t="shared" si="0"/>
        <v>0</v>
      </c>
      <c r="K33" s="89">
        <f t="shared" si="1"/>
        <v>0</v>
      </c>
      <c r="L33" s="89">
        <f t="shared" si="2"/>
        <v>0</v>
      </c>
      <c r="M33" s="92">
        <f t="shared" si="3"/>
        <v>1</v>
      </c>
      <c r="N33" s="87" t="str">
        <f t="shared" si="4"/>
        <v>ĐẠT / VƯỢT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TIEN_DO</vt:lpstr>
      <vt:lpstr>BOQ_TIEN_DO</vt:lpstr>
      <vt:lpstr>HUY_DONG_XMTB</vt:lpstr>
      <vt:lpstr>TIEN_DO_GIAI_NGAN</vt:lpstr>
      <vt:lpstr>NGAY_NGHI_LE</vt:lpstr>
      <vt:lpstr>HUONG_DAN</vt:lpstr>
      <vt:lpstr>DB_DINH_MUC</vt:lpstr>
      <vt:lpstr>KE_HOACH_QLCL</vt:lpstr>
      <vt:lpstr>EVM_5D_QUAN_TRI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 nguyen</dc:creator>
  <cp:lastModifiedBy>tu nguyen</cp:lastModifiedBy>
  <dcterms:created xsi:type="dcterms:W3CDTF">2026-10-10T14:21:16Z</dcterms:created>
  <dcterms:modified xsi:type="dcterms:W3CDTF">2026-10-10T14:21:16Z</dcterms:modified>
</cp:coreProperties>
</file>