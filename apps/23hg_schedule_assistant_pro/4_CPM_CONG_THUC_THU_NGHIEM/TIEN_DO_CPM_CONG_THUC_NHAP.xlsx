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IEN_DO_CPM" sheetId="1" state="visible" r:id="rId3"/>
    <sheet name="NGHI_LE" sheetId="2" state="visible" r:id="rId4"/>
  </sheets>
  <definedNames>
    <definedName function="false" hidden="false" name="HOL" vbProcedure="false">NGHI_LE!$A$2:$A$27</definedName>
    <definedName function="false" hidden="false" name="PROJ_END" vbProcedure="false">TIEN_DO_CPM!$M$2</definedName>
    <definedName function="false" hidden="false" name="PROJ_LIMIT" vbProcedure="false">TIEN_DO_CPM!$M$3</definedName>
    <definedName function="false" hidden="false" name="PROJ_START" vbProcedure="false">TIEN_DO_CPM!$F$2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<sst xmlns="http://schemas.openxmlformats.org/spreadsheetml/2006/main" count="211" uniqueCount="119">
  <si>
    <t xml:space="preserve">TIẾN ĐỘ CPM – BẢN NHÁP CÔNG THỨC (ngày công: nghỉ CN và lễ; quan hệ FS/SS)</t>
  </si>
  <si>
    <t xml:space="preserve">Ngày khởi công:</t>
  </si>
  <si>
    <t xml:space="preserve">Kết thúc tính được:</t>
  </si>
  <si>
    <t xml:space="preserve">Hạn chót hợp đồng (tuỳ chọn):</t>
  </si>
  <si>
    <t xml:space="preserve">Mốc tính ngược:</t>
  </si>
  <si>
    <t xml:space="preserve">Ô nhập: E–L. Cột M–V là công thức/phụ trợ (nhóm cột R–V đã thu gọn). Tiền nhiệm phải nằm TRÊN công tác. Găng = TF ≤ 0.</t>
  </si>
  <si>
    <t xml:space="preserve">STT</t>
  </si>
  <si>
    <t xml:space="preserve">Mã WBS</t>
  </si>
  <si>
    <t xml:space="preserve">Nội dung</t>
  </si>
  <si>
    <t xml:space="preserve">Loại</t>
  </si>
  <si>
    <t xml:space="preserve">Thời lượng (ngày công)</t>
  </si>
  <si>
    <t xml:space="preserve">Tiền nhiệm 1</t>
  </si>
  <si>
    <t xml:space="preserve">Quan hệ 1</t>
  </si>
  <si>
    <t xml:space="preserve">Trễ 1</t>
  </si>
  <si>
    <t xml:space="preserve">Tiền nhiệm 2</t>
  </si>
  <si>
    <t xml:space="preserve">Quan hệ 2</t>
  </si>
  <si>
    <t xml:space="preserve">Trễ 2</t>
  </si>
  <si>
    <t xml:space="preserve">Ràng buộc sớm nhất</t>
  </si>
  <si>
    <t xml:space="preserve">ES</t>
  </si>
  <si>
    <t xml:space="preserve">EF</t>
  </si>
  <si>
    <t xml:space="preserve">LS</t>
  </si>
  <si>
    <t xml:space="preserve">LF</t>
  </si>
  <si>
    <t xml:space="preserve">TF (ngày công)</t>
  </si>
  <si>
    <t xml:space="preserve">(LF sơ bộ)</t>
  </si>
  <si>
    <t xml:space="preserve">(LF từ KN1)</t>
  </si>
  <si>
    <t xml:space="preserve">(LS từ KN1)</t>
  </si>
  <si>
    <t xml:space="preserve">(LF từ KN2)</t>
  </si>
  <si>
    <t xml:space="preserve">(LS từ KN2)</t>
  </si>
  <si>
    <t xml:space="preserve">ES hiển thị</t>
  </si>
  <si>
    <t xml:space="preserve">EF hiển thị</t>
  </si>
  <si>
    <t xml:space="preserve">LS hiển thị</t>
  </si>
  <si>
    <t xml:space="preserve">LF hiển thị</t>
  </si>
  <si>
    <t xml:space="preserve">TF hiển thị</t>
  </si>
  <si>
    <t xml:space="preserve">Găng</t>
  </si>
  <si>
    <t xml:space="preserve">ES đã lưu</t>
  </si>
  <si>
    <t xml:space="preserve">EF đã lưu</t>
  </si>
  <si>
    <t xml:space="preserve">Lệch ES (ngày lịch)</t>
  </si>
  <si>
    <t xml:space="preserve">Lệch EF (ngày lịch)</t>
  </si>
  <si>
    <t xml:space="preserve">Kiểm tra tiền nhiệm</t>
  </si>
  <si>
    <t xml:space="preserve">1</t>
  </si>
  <si>
    <t xml:space="preserve">GÓI THẦU SỐ 01: XÂY LẮP ĐƯỜNG GIAO THÔNG (Km 0+000 – Km 5+500)</t>
  </si>
  <si>
    <t xml:space="preserve">Summary</t>
  </si>
  <si>
    <t xml:space="preserve">1.1</t>
  </si>
  <si>
    <t xml:space="preserve">Công tác chuẩn bị &amp; phụ trợ thi công công trường</t>
  </si>
  <si>
    <t xml:space="preserve">1.1.1</t>
  </si>
  <si>
    <t xml:space="preserve">Huy động nhân lực, thiết bị &amp; mặt bằng công trường A</t>
  </si>
  <si>
    <t xml:space="preserve">Task</t>
  </si>
  <si>
    <t xml:space="preserve">1.1.2</t>
  </si>
  <si>
    <t xml:space="preserve">Đường công vụ, lán trại, bãi tập kết vật liệu công trường A</t>
  </si>
  <si>
    <t xml:space="preserve">FS</t>
  </si>
  <si>
    <t xml:space="preserve">1.1.3</t>
  </si>
  <si>
    <t xml:space="preserve">Huy động nhân lực, thiết bị &amp; mặt bằng công trường B</t>
  </si>
  <si>
    <t xml:space="preserve">1.1.4</t>
  </si>
  <si>
    <t xml:space="preserve">Đường công vụ, lán trại, bãi tập kết vật liệu công trường B</t>
  </si>
  <si>
    <t xml:space="preserve">1.2</t>
  </si>
  <si>
    <t xml:space="preserve">Tuyến chính Phân đoạn A1 (Km 0+000 – Km 2+750, L = 2.75 km)</t>
  </si>
  <si>
    <t xml:space="preserve">1.2.1.1</t>
  </si>
  <si>
    <t xml:space="preserve">Dọn dẹp mặt bằng, phát quang &amp; bóc đất hữu cơ (27.000 m3)</t>
  </si>
  <si>
    <t xml:space="preserve">1.2.1.2</t>
  </si>
  <si>
    <t xml:space="preserve">Đào đất nền đường &amp; vận chuyển điều phối (145.000 m3)</t>
  </si>
  <si>
    <t xml:space="preserve">SS</t>
  </si>
  <si>
    <t xml:space="preserve">1.2.1.3</t>
  </si>
  <si>
    <t xml:space="preserve">Đào phá đá nền đường bằng búa đập thủy lực (38.000 m3)</t>
  </si>
  <si>
    <t xml:space="preserve">1.2.1.4</t>
  </si>
  <si>
    <t xml:space="preserve">Thi công đắp đất nền đường độ chặt K95 (95.000 m3)</t>
  </si>
  <si>
    <t xml:space="preserve">1.2.1.5</t>
  </si>
  <si>
    <t xml:space="preserve">Thi công đắp đất bao &amp; hoàn thiện nền K98 (18.000 m3)</t>
  </si>
  <si>
    <t xml:space="preserve">1.2.1.6</t>
  </si>
  <si>
    <t xml:space="preserve">Xây dựng cống tròn thoát nước ngang D1000/D1500 (360m)</t>
  </si>
  <si>
    <t xml:space="preserve">1.2.1.7</t>
  </si>
  <si>
    <t xml:space="preserve">Xây dựng rãnh biên hình thang &amp; gia cố mái taluy (2.400m)</t>
  </si>
  <si>
    <t xml:space="preserve">1.2.1.8</t>
  </si>
  <si>
    <t xml:space="preserve">Thi công móng Cấp phối đá dăm loại 2 (36.000 m2)</t>
  </si>
  <si>
    <t xml:space="preserve">1.2.1.9</t>
  </si>
  <si>
    <t xml:space="preserve">Thi công móng Cấp phối đá dăm loại 1 (34.000 m2)</t>
  </si>
  <si>
    <t xml:space="preserve">1.2.1.10</t>
  </si>
  <si>
    <t xml:space="preserve">Thi công móng CPĐD gia cố xi măng (CTB - Mùa khô T1/25)</t>
  </si>
  <si>
    <t xml:space="preserve">1.2.1.11</t>
  </si>
  <si>
    <t xml:space="preserve">Mặt đường BTN C19 (7cm) &amp; BTN C12.5 (5cm) (Mùa khô T2-4/25)</t>
  </si>
  <si>
    <t xml:space="preserve">1.2.1.12</t>
  </si>
  <si>
    <t xml:space="preserve">Lắp đặt hệ thống ATGT: Sơn đường, biển báo, hộ lan Phân đoạn A1</t>
  </si>
  <si>
    <t xml:space="preserve">1.3</t>
  </si>
  <si>
    <t xml:space="preserve">Tuyến chính Phân đoạn A2 (Km 2+750 – Km 5+500, L = 2.75 km)</t>
  </si>
  <si>
    <t xml:space="preserve">1.3.1.1</t>
  </si>
  <si>
    <t xml:space="preserve">Dọn dẹp mặt bằng, phát quang &amp; bóc đất hữu cơ (20.000 m3)</t>
  </si>
  <si>
    <t xml:space="preserve">1.3.1.2</t>
  </si>
  <si>
    <t xml:space="preserve">Đào đất nền đường &amp; vận chuyển điều phối (130.000 m3)</t>
  </si>
  <si>
    <t xml:space="preserve">1.3.1.3</t>
  </si>
  <si>
    <t xml:space="preserve">Đào phá đá nền đường bằng búa đập thủy lực (42.000 m3)</t>
  </si>
  <si>
    <t xml:space="preserve">1.3.1.4</t>
  </si>
  <si>
    <t xml:space="preserve">Thi công đắp đất nền đường độ chặt K95 (110.000 m3)</t>
  </si>
  <si>
    <t xml:space="preserve">1.3.1.5</t>
  </si>
  <si>
    <t xml:space="preserve">Thi công đắp đất bao &amp; hoàn thiện nền K98 (22.000 m3)</t>
  </si>
  <si>
    <t xml:space="preserve">1.3.1.6</t>
  </si>
  <si>
    <t xml:space="preserve">Xây dựng cống tròn thoát nước ngang D1000/D1500 (420m)</t>
  </si>
  <si>
    <t xml:space="preserve">1.3.1.7</t>
  </si>
  <si>
    <t xml:space="preserve">Xây dựng rãnh biên hình thang &amp; gia cố mái taluy (2.600m)</t>
  </si>
  <si>
    <t xml:space="preserve">1.3.1.8</t>
  </si>
  <si>
    <t xml:space="preserve">Thi công móng Cấp phối đá dăm loại 2 (38.000 m2)</t>
  </si>
  <si>
    <t xml:space="preserve">1.3.1.9</t>
  </si>
  <si>
    <t xml:space="preserve">Thi công móng Cấp phối đá dăm loại 1 (36.000 m2)</t>
  </si>
  <si>
    <t xml:space="preserve">1.3.1.10</t>
  </si>
  <si>
    <t xml:space="preserve">Thi công móng CPĐD gia cố xi măng (CTB - Mùa khô T3/25)</t>
  </si>
  <si>
    <t xml:space="preserve">1.3.1.11</t>
  </si>
  <si>
    <t xml:space="preserve">Mặt đường BTN C19 (7cm) &amp; BTN C12.5 (5cm) (Mùa khô T3-5/25)</t>
  </si>
  <si>
    <t xml:space="preserve">1.3.1.12</t>
  </si>
  <si>
    <t xml:space="preserve">Lắp đặt hệ thống ATGT: Sơn đường, biển báo, hộ lan Phân đoạn A2</t>
  </si>
  <si>
    <t xml:space="preserve">1.4</t>
  </si>
  <si>
    <t xml:space="preserve">Công tác hoàn thiện, nghiệm thu bàn giao &amp; hoàn công</t>
  </si>
  <si>
    <t xml:space="preserve">1.4.1</t>
  </si>
  <si>
    <t xml:space="preserve">Thí nghiệm kiểm tra độ bằng phẳng thước 3m, độ nhám, Benkelman</t>
  </si>
  <si>
    <t xml:space="preserve">1.4.2</t>
  </si>
  <si>
    <t xml:space="preserve">Dọn dẹp mặt bằng, hoàn trả đường công vụ &amp; vệ sinh môi trường</t>
  </si>
  <si>
    <t xml:space="preserve">1.4.3</t>
  </si>
  <si>
    <t xml:space="preserve">Lập trọn bộ hồ sơ hoàn công &amp; hồ sơ QLCL (NĐ 207/2026/NĐ-CP)</t>
  </si>
  <si>
    <t xml:space="preserve">1.4.4</t>
  </si>
  <si>
    <t xml:space="preserve">NGHIỆM THU HOÀN THÀNH CÔNG TRÌNH BÀN GIAO ĐƯA VÀO SỬ DỤNG</t>
  </si>
  <si>
    <t xml:space="preserve">Milestone</t>
  </si>
  <si>
    <t xml:space="preserve">Ngày nghỉ lễ (công trường nghỉ thi công)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</si>
</sst>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6" min="13" style="0" width="12"/>
    <col collapsed="false" customWidth="true" hidden="false" outlineLevel="0" max="17" min="17" style="0" width="10"/>
    <col collapsed="false" customWidth="true" hidden="true" outlineLevel="1" max="22" min="18" style="0" width="12"/>
    <col collapsed="false" customWidth="true" hidden="false" outlineLevel="0" max="26" min="23" style="0" width="12"/>
    <col collapsed="false" customWidth="true" hidden="false" outlineLevel="0" max="27" min="27" style="0" width="10"/>
    <col collapsed="false" customWidth="true" hidden="false" outlineLevel="0" max="28" min="28" style="0" width="8"/>
    <col collapsed="false" customWidth="true" hidden="false" outlineLevel="0" max="30" min="29" style="0" width="12"/>
    <col collapsed="false" customWidth="true" hidden="false" outlineLevel="0" max="32" min="31" style="0" width="11"/>
    <col collapsed="false" customWidth="true" hidden="false" outlineLevel="0" max="33" min="33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F2" s="2" t="n">
        <v>45261</v>
      </c>
      <c r="K2" s="0" t="s">
        <v>2</v>
      </c>
      <c r="M2" s="2" t="n">
        <f aca="false">MAX($N$6:$N$42)</f>
        <v>45932</v>
      </c>
    </row>
    <row r="3" customFormat="false" ht="15" hidden="false" customHeight="false" outlineLevel="0" collapsed="false">
      <c r="A3" s="0" t="s">
        <v>3</v>
      </c>
      <c r="F3" s="2"/>
      <c r="K3" s="0" t="s">
        <v>4</v>
      </c>
      <c r="M3" s="2" t="n">
        <f aca="false">IF($F$3="",$M$2,$F$3)</f>
        <v>45932</v>
      </c>
    </row>
    <row r="4" customFormat="false" ht="15" hidden="false" customHeight="false" outlineLevel="0" collapsed="false">
      <c r="A4" s="3" t="s">
        <v>5</v>
      </c>
    </row>
    <row r="5" customFormat="false" ht="42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4" t="s">
        <v>21</v>
      </c>
      <c r="Q5" s="4" t="s">
        <v>22</v>
      </c>
      <c r="R5" s="4" t="s">
        <v>23</v>
      </c>
      <c r="S5" s="4" t="s">
        <v>24</v>
      </c>
      <c r="T5" s="4" t="s">
        <v>25</v>
      </c>
      <c r="U5" s="4" t="s">
        <v>26</v>
      </c>
      <c r="V5" s="4" t="s">
        <v>27</v>
      </c>
      <c r="W5" s="4" t="s">
        <v>28</v>
      </c>
      <c r="X5" s="4" t="s">
        <v>29</v>
      </c>
      <c r="Y5" s="4" t="s">
        <v>30</v>
      </c>
      <c r="Z5" s="4" t="s">
        <v>31</v>
      </c>
      <c r="AA5" s="4" t="s">
        <v>32</v>
      </c>
      <c r="AB5" s="4" t="s">
        <v>33</v>
      </c>
      <c r="AC5" s="4" t="s">
        <v>34</v>
      </c>
      <c r="AD5" s="4" t="s">
        <v>35</v>
      </c>
      <c r="AE5" s="4" t="s">
        <v>36</v>
      </c>
      <c r="AF5" s="4" t="s">
        <v>37</v>
      </c>
      <c r="AG5" s="4" t="s">
        <v>38</v>
      </c>
    </row>
    <row r="6" customFormat="false" ht="15" hidden="false" customHeight="false" outlineLevel="0" collapsed="false">
      <c r="A6" s="0" t="n">
        <v>1</v>
      </c>
      <c r="B6" s="5" t="s">
        <v>39</v>
      </c>
      <c r="C6" s="5" t="s">
        <v>40</v>
      </c>
      <c r="D6" s="5" t="s">
        <v>41</v>
      </c>
      <c r="E6" s="0" t="n">
        <v>730</v>
      </c>
      <c r="M6" s="2"/>
      <c r="N6" s="2"/>
      <c r="O6" s="2"/>
      <c r="P6" s="2"/>
      <c r="R6" s="2"/>
      <c r="S6" s="2"/>
      <c r="T6" s="2"/>
      <c r="U6" s="2"/>
      <c r="V6" s="2"/>
      <c r="W6" s="2" t="n">
        <f aca="false">_xlfn.MINIFS($M6:$M$42,$B6:$B$42,$B6&amp;".*")</f>
        <v>45261</v>
      </c>
      <c r="X6" s="2" t="n">
        <f aca="false">_xlfn.MAXIFS($N6:$N$42,$B6:$B$42,$B6&amp;".*")</f>
        <v>45932</v>
      </c>
      <c r="Y6" s="2" t="n">
        <f aca="false">_xlfn.MINIFS($O6:$O$42,$B6:$B$42,$B6&amp;".*")</f>
        <v>45261</v>
      </c>
      <c r="Z6" s="2" t="n">
        <f aca="false">_xlfn.MAXIFS($P6:$P$42,$B6:$B$42,$B6&amp;".*")</f>
        <v>45932</v>
      </c>
      <c r="AA6" s="0" t="n">
        <f aca="false">_xlfn.MINIFS($Q6:$Q$42,$B6:$B$42,$B6&amp;".*")</f>
        <v>0</v>
      </c>
      <c r="AB6" s="0" t="str">
        <f aca="false">IF($AA6&lt;=0,"GĂNG","")</f>
        <v>GĂNG</v>
      </c>
      <c r="AC6" s="2" t="n">
        <v>45261</v>
      </c>
      <c r="AD6" s="2" t="n">
        <v>45959</v>
      </c>
      <c r="AE6" s="0" t="n">
        <f aca="false">IF($AC6="","",$W6-$AC6)</f>
        <v>0</v>
      </c>
      <c r="AF6" s="0" t="n">
        <f aca="false">IF($AD6="","",$X6-$AD6)</f>
        <v>-27</v>
      </c>
    </row>
    <row r="7" customFormat="false" ht="15" hidden="false" customHeight="false" outlineLevel="0" collapsed="false">
      <c r="A7" s="0" t="n">
        <v>2</v>
      </c>
      <c r="B7" s="5" t="s">
        <v>42</v>
      </c>
      <c r="C7" s="5" t="s">
        <v>43</v>
      </c>
      <c r="D7" s="5" t="s">
        <v>41</v>
      </c>
      <c r="E7" s="0" t="n">
        <v>85</v>
      </c>
      <c r="M7" s="2"/>
      <c r="N7" s="2"/>
      <c r="O7" s="2"/>
      <c r="P7" s="2"/>
      <c r="R7" s="2"/>
      <c r="S7" s="2"/>
      <c r="T7" s="2"/>
      <c r="U7" s="2"/>
      <c r="V7" s="2"/>
      <c r="W7" s="2" t="n">
        <f aca="false">_xlfn.MINIFS($M6:$M$42,$B6:$B$42,$B7&amp;".*")</f>
        <v>45261</v>
      </c>
      <c r="X7" s="2" t="n">
        <f aca="false">_xlfn.MAXIFS($N6:$N$42,$B6:$B$42,$B7&amp;".*")</f>
        <v>45367</v>
      </c>
      <c r="Y7" s="2" t="n">
        <f aca="false">_xlfn.MINIFS($O6:$O$42,$B6:$B$42,$B7&amp;".*")</f>
        <v>45261</v>
      </c>
      <c r="Z7" s="2" t="n">
        <f aca="false">_xlfn.MAXIFS($P6:$P$42,$B6:$B$42,$B7&amp;".*")</f>
        <v>45932</v>
      </c>
      <c r="AA7" s="0" t="n">
        <f aca="false">_xlfn.MINIFS($Q6:$Q$42,$B6:$B$42,$B7&amp;".*")</f>
        <v>0</v>
      </c>
      <c r="AB7" s="0" t="str">
        <f aca="false">IF($AA7&lt;=0,"GĂNG","")</f>
        <v>GĂNG</v>
      </c>
      <c r="AC7" s="2" t="n">
        <v>45261</v>
      </c>
      <c r="AD7" s="2" t="n">
        <v>45367</v>
      </c>
      <c r="AE7" s="0" t="n">
        <f aca="false">IF($AC7="","",$W7-$AC7)</f>
        <v>0</v>
      </c>
      <c r="AF7" s="0" t="n">
        <f aca="false">IF($AD7="","",$X7-$AD7)</f>
        <v>0</v>
      </c>
    </row>
    <row r="8" customFormat="false" ht="15" hidden="false" customHeight="false" outlineLevel="0" collapsed="false">
      <c r="A8" s="0" t="n">
        <v>3</v>
      </c>
      <c r="B8" s="0" t="s">
        <v>44</v>
      </c>
      <c r="C8" s="0" t="s">
        <v>45</v>
      </c>
      <c r="D8" s="6" t="s">
        <v>46</v>
      </c>
      <c r="E8" s="0" t="n">
        <v>25</v>
      </c>
      <c r="M8" s="2" t="n">
        <f aca="false">MAX(WORKDAY.INTL(PROJ_START-1,1,"0000001",HOL),N($L8),IF($F8="",0,IF($G8="SS",WORKDAY.INTL(INDEX($M5:$M$7,MATCH($F8,$B5:$B$7,0)),$H8,"0000001",HOL),WORKDAY.INTL(INDEX($N5:$N$7,MATCH($F8,$B5:$B$7,0)),1+$H8,"0000001",HOL))),IF($I8="",0,IF($J8="SS",WORKDAY.INTL(INDEX($M5:$M$7,MATCH($I8,$B5:$B$7,0)),$K8,"0000001",HOL),WORKDAY.INTL(INDEX($N5:$N$7,MATCH($I8,$B5:$B$7,0)),1+$K8,"0000001",HOL))))</f>
        <v>45261</v>
      </c>
      <c r="N8" s="2" t="n">
        <f aca="false">IF($E8=0,$M8,WORKDAY.INTL($M8,$E8-1,"0000001",HOL))</f>
        <v>45289</v>
      </c>
      <c r="O8" s="2" t="n">
        <f aca="false">MIN(IF($E8=0,$R8,WORKDAY.INTL($R8,-($E8-1),"0000001",HOL)),IF(COUNTIFS($F9:$F$42,$B8,$T9:$T$42,"&gt;0")=0,IF($E8=0,$R8,WORKDAY.INTL($R8,-($E8-1),"0000001",HOL)),_xlfn.MINIFS($T9:$T$42,$F9:$F$42,$B8)),IF(COUNTIFS($I9:$I$42,$B8,$V9:$V$42,"&gt;0")=0,IF($E8=0,$R8,WORKDAY.INTL($R8,-($E8-1),"0000001",HOL)),_xlfn.MINIFS($V9:$V$42,$I9:$I$42,$B8)))</f>
        <v>45437</v>
      </c>
      <c r="P8" s="2" t="n">
        <f aca="false">IF($E8=0,$O8,WORKDAY.INTL($O8,$E8-1,"0000001",HOL))</f>
        <v>45465</v>
      </c>
      <c r="Q8" s="0" t="n">
        <f aca="false">IF($O8&gt;=$M8,NETWORKDAYS.INTL($M8,$O8,"0000001",HOL)-1,-(NETWORKDAYS.INTL($O8,$M8,"0000001",HOL)-1))</f>
        <v>141</v>
      </c>
      <c r="R8" s="2" t="n">
        <f aca="false">MIN(PROJ_LIMIT,IF(COUNTIFS($F9:$F$42,$B8,$S9:$S$42,"&gt;0")=0,PROJ_LIMIT,_xlfn.MINIFS($S9:$S$42,$F9:$F$42,$B8)),IF(COUNTIFS($I9:$I$42,$B8,$U9:$U$42,"&gt;0")=0,PROJ_LIMIT,_xlfn.MINIFS($U9:$U$42,$I9:$I$42,$B8)))</f>
        <v>45465</v>
      </c>
      <c r="S8" s="2" t="str">
        <f aca="false">IF(OR($F8="",$G8="SS"),"",WORKDAY.INTL($O8,-(1+$H8),"0000001",HOL))</f>
        <v/>
      </c>
      <c r="T8" s="2" t="str">
        <f aca="false">IF(OR($F8="",$G8&lt;&gt;"SS"),"",WORKDAY.INTL($O8,-$H8,"0000001",HOL))</f>
        <v/>
      </c>
      <c r="U8" s="2" t="str">
        <f aca="false">IF(OR($I8="",$J8="SS"),"",WORKDAY.INTL($O8,-(1+$K8),"0000001",HOL))</f>
        <v/>
      </c>
      <c r="V8" s="2" t="str">
        <f aca="false">IF(OR($I8="",$J8&lt;&gt;"SS"),"",WORKDAY.INTL($O8,-$K8,"0000001",HOL))</f>
        <v/>
      </c>
      <c r="W8" s="2" t="n">
        <f aca="false">$M8</f>
        <v>45261</v>
      </c>
      <c r="X8" s="2" t="n">
        <f aca="false">$N8</f>
        <v>45289</v>
      </c>
      <c r="Y8" s="2" t="n">
        <f aca="false">$O8</f>
        <v>45437</v>
      </c>
      <c r="Z8" s="2" t="n">
        <f aca="false">$P8</f>
        <v>45465</v>
      </c>
      <c r="AA8" s="0" t="n">
        <f aca="false">$Q8</f>
        <v>141</v>
      </c>
      <c r="AB8" s="0" t="str">
        <f aca="false">IF($AA8&lt;=0,"GĂNG","")</f>
        <v/>
      </c>
      <c r="AC8" s="2" t="n">
        <v>45261</v>
      </c>
      <c r="AD8" s="2" t="n">
        <v>45289</v>
      </c>
      <c r="AE8" s="0" t="n">
        <f aca="false">IF($AC8="","",$W8-$AC8)</f>
        <v>0</v>
      </c>
      <c r="AF8" s="0" t="n">
        <f aca="false">IF($AD8="","",$X8-$AD8)</f>
        <v>0</v>
      </c>
    </row>
    <row r="9" customFormat="false" ht="15" hidden="false" customHeight="false" outlineLevel="0" collapsed="false">
      <c r="A9" s="0" t="n">
        <v>4</v>
      </c>
      <c r="B9" s="0" t="s">
        <v>47</v>
      </c>
      <c r="C9" s="0" t="s">
        <v>48</v>
      </c>
      <c r="D9" s="6" t="s">
        <v>46</v>
      </c>
      <c r="E9" s="0" t="n">
        <v>60</v>
      </c>
      <c r="F9" s="0" t="s">
        <v>44</v>
      </c>
      <c r="G9" s="0" t="s">
        <v>49</v>
      </c>
      <c r="H9" s="0" t="n">
        <v>0</v>
      </c>
      <c r="M9" s="2" t="n">
        <f aca="false">MAX(WORKDAY.INTL(PROJ_START-1,1,"0000001",HOL),N($L9),IF($F9="",0,IF($G9="SS",WORKDAY.INTL(INDEX($M5:$M$8,MATCH($F9,$B5:$B$8,0)),$H9,"0000001",HOL),WORKDAY.INTL(INDEX($N5:$N$8,MATCH($F9,$B5:$B$8,0)),1+$H9,"0000001",HOL))),IF($I9="",0,IF($J9="SS",WORKDAY.INTL(INDEX($M5:$M$8,MATCH($I9,$B5:$B$8,0)),$K9,"0000001",HOL),WORKDAY.INTL(INDEX($N5:$N$8,MATCH($I9,$B5:$B$8,0)),1+$K9,"0000001",HOL))))</f>
        <v>45290</v>
      </c>
      <c r="N9" s="2" t="n">
        <f aca="false">IF($E9=0,$M9,WORKDAY.INTL($M9,$E9-1,"0000001",HOL))</f>
        <v>45367</v>
      </c>
      <c r="O9" s="2" t="n">
        <f aca="false">MIN(IF($E9=0,$R9,WORKDAY.INTL($R9,-($E9-1),"0000001",HOL)),IF(COUNTIFS($F10:$F$42,$B9,$T10:$T$42,"&gt;0")=0,IF($E9=0,$R9,WORKDAY.INTL($R9,-($E9-1),"0000001",HOL)),_xlfn.MINIFS($T10:$T$42,$F10:$F$42,$B9)),IF(COUNTIFS($I10:$I$42,$B9,$V10:$V$42,"&gt;0")=0,IF($E9=0,$R9,WORKDAY.INTL($R9,-($E9-1),"0000001",HOL)),_xlfn.MINIFS($V10:$V$42,$I10:$I$42,$B9)))</f>
        <v>45861</v>
      </c>
      <c r="P9" s="2" t="n">
        <f aca="false">IF($E9=0,$O9,WORKDAY.INTL($O9,$E9-1,"0000001",HOL))</f>
        <v>45932</v>
      </c>
      <c r="Q9" s="0" t="n">
        <f aca="false">IF($O9&gt;=$M9,NETWORKDAYS.INTL($M9,$O9,"0000001",HOL)-1,-(NETWORKDAYS.INTL($O9,$M9,"0000001",HOL)-1))</f>
        <v>467</v>
      </c>
      <c r="R9" s="2" t="n">
        <f aca="false">MIN(PROJ_LIMIT,IF(COUNTIFS($F10:$F$42,$B9,$S10:$S$42,"&gt;0")=0,PROJ_LIMIT,_xlfn.MINIFS($S10:$S$42,$F10:$F$42,$B9)),IF(COUNTIFS($I10:$I$42,$B9,$U10:$U$42,"&gt;0")=0,PROJ_LIMIT,_xlfn.MINIFS($U10:$U$42,$I10:$I$42,$B9)))</f>
        <v>45932</v>
      </c>
      <c r="S9" s="2" t="n">
        <f aca="false">IF(OR($F9="",$G9="SS"),"",WORKDAY.INTL($O9,-(1+$H9),"0000001",HOL))</f>
        <v>45860</v>
      </c>
      <c r="T9" s="2" t="str">
        <f aca="false">IF(OR($F9="",$G9&lt;&gt;"SS"),"",WORKDAY.INTL($O9,-$H9,"0000001",HOL))</f>
        <v/>
      </c>
      <c r="U9" s="2" t="str">
        <f aca="false">IF(OR($I9="",$J9="SS"),"",WORKDAY.INTL($O9,-(1+$K9),"0000001",HOL))</f>
        <v/>
      </c>
      <c r="V9" s="2" t="str">
        <f aca="false">IF(OR($I9="",$J9&lt;&gt;"SS"),"",WORKDAY.INTL($O9,-$K9,"0000001",HOL))</f>
        <v/>
      </c>
      <c r="W9" s="2" t="n">
        <f aca="false">$M9</f>
        <v>45290</v>
      </c>
      <c r="X9" s="2" t="n">
        <f aca="false">$N9</f>
        <v>45367</v>
      </c>
      <c r="Y9" s="2" t="n">
        <f aca="false">$O9</f>
        <v>45861</v>
      </c>
      <c r="Z9" s="2" t="n">
        <f aca="false">$P9</f>
        <v>45932</v>
      </c>
      <c r="AA9" s="0" t="n">
        <f aca="false">$Q9</f>
        <v>467</v>
      </c>
      <c r="AB9" s="0" t="str">
        <f aca="false">IF($AA9&lt;=0,"GĂNG","")</f>
        <v/>
      </c>
      <c r="AC9" s="2" t="n">
        <v>45290</v>
      </c>
      <c r="AD9" s="2" t="n">
        <v>45367</v>
      </c>
      <c r="AE9" s="0" t="n">
        <f aca="false">IF($AC9="","",$W9-$AC9)</f>
        <v>0</v>
      </c>
      <c r="AF9" s="0" t="n">
        <f aca="false">IF($AD9="","",$X9-$AD9)</f>
        <v>0</v>
      </c>
      <c r="AG9" s="0" t="str">
        <f aca="false">IF(ISNA(MATCH($F9,$B5:$B$8,0)),"TIỀN NHIỆM PHẢI Ở TRÊN","")</f>
        <v/>
      </c>
    </row>
    <row r="10" customFormat="false" ht="15" hidden="false" customHeight="false" outlineLevel="0" collapsed="false">
      <c r="A10" s="0" t="n">
        <v>5</v>
      </c>
      <c r="B10" s="0" t="s">
        <v>50</v>
      </c>
      <c r="C10" s="0" t="s">
        <v>51</v>
      </c>
      <c r="D10" s="6" t="s">
        <v>46</v>
      </c>
      <c r="E10" s="0" t="n">
        <v>25</v>
      </c>
      <c r="M10" s="2" t="n">
        <f aca="false">MAX(WORKDAY.INTL(PROJ_START-1,1,"0000001",HOL),N($L10),IF($F10="",0,IF($G10="SS",WORKDAY.INTL(INDEX($M5:$M$9,MATCH($F10,$B5:$B$9,0)),$H10,"0000001",HOL),WORKDAY.INTL(INDEX($N5:$N$9,MATCH($F10,$B5:$B$9,0)),1+$H10,"0000001",HOL))),IF($I10="",0,IF($J10="SS",WORKDAY.INTL(INDEX($M5:$M$9,MATCH($I10,$B5:$B$9,0)),$K10,"0000001",HOL),WORKDAY.INTL(INDEX($N5:$N$9,MATCH($I10,$B5:$B$9,0)),1+$K10,"0000001",HOL))))</f>
        <v>45261</v>
      </c>
      <c r="N10" s="2" t="n">
        <f aca="false">IF($E10=0,$M10,WORKDAY.INTL($M10,$E10-1,"0000001",HOL))</f>
        <v>45289</v>
      </c>
      <c r="O10" s="2" t="n">
        <f aca="false">MIN(IF($E10=0,$R10,WORKDAY.INTL($R10,-($E10-1),"0000001",HOL)),IF(COUNTIFS($F11:$F$42,$B10,$T11:$T$42,"&gt;0")=0,IF($E10=0,$R10,WORKDAY.INTL($R10,-($E10-1),"0000001",HOL)),_xlfn.MINIFS($T11:$T$42,$F11:$F$42,$B10)),IF(COUNTIFS($I11:$I$42,$B10,$V11:$V$42,"&gt;0")=0,IF($E10=0,$R10,WORKDAY.INTL($R10,-($E10-1),"0000001",HOL)),_xlfn.MINIFS($V11:$V$42,$I11:$I$42,$B10)))</f>
        <v>45261</v>
      </c>
      <c r="P10" s="2" t="n">
        <f aca="false">IF($E10=0,$O10,WORKDAY.INTL($O10,$E10-1,"0000001",HOL))</f>
        <v>45289</v>
      </c>
      <c r="Q10" s="0" t="n">
        <f aca="false">IF($O10&gt;=$M10,NETWORKDAYS.INTL($M10,$O10,"0000001",HOL)-1,-(NETWORKDAYS.INTL($O10,$M10,"0000001",HOL)-1))</f>
        <v>0</v>
      </c>
      <c r="R10" s="2" t="n">
        <f aca="false">MIN(PROJ_LIMIT,IF(COUNTIFS($F11:$F$42,$B10,$S11:$S$42,"&gt;0")=0,PROJ_LIMIT,_xlfn.MINIFS($S11:$S$42,$F11:$F$42,$B10)),IF(COUNTIFS($I11:$I$42,$B10,$U11:$U$42,"&gt;0")=0,PROJ_LIMIT,_xlfn.MINIFS($U11:$U$42,$I11:$I$42,$B10)))</f>
        <v>45289</v>
      </c>
      <c r="S10" s="2" t="str">
        <f aca="false">IF(OR($F10="",$G10="SS"),"",WORKDAY.INTL($O10,-(1+$H10),"0000001",HOL))</f>
        <v/>
      </c>
      <c r="T10" s="2" t="str">
        <f aca="false">IF(OR($F10="",$G10&lt;&gt;"SS"),"",WORKDAY.INTL($O10,-$H10,"0000001",HOL))</f>
        <v/>
      </c>
      <c r="U10" s="2" t="str">
        <f aca="false">IF(OR($I10="",$J10="SS"),"",WORKDAY.INTL($O10,-(1+$K10),"0000001",HOL))</f>
        <v/>
      </c>
      <c r="V10" s="2" t="str">
        <f aca="false">IF(OR($I10="",$J10&lt;&gt;"SS"),"",WORKDAY.INTL($O10,-$K10,"0000001",HOL))</f>
        <v/>
      </c>
      <c r="W10" s="2" t="n">
        <f aca="false">$M10</f>
        <v>45261</v>
      </c>
      <c r="X10" s="2" t="n">
        <f aca="false">$N10</f>
        <v>45289</v>
      </c>
      <c r="Y10" s="2" t="n">
        <f aca="false">$O10</f>
        <v>45261</v>
      </c>
      <c r="Z10" s="2" t="n">
        <f aca="false">$P10</f>
        <v>45289</v>
      </c>
      <c r="AA10" s="0" t="n">
        <f aca="false">$Q10</f>
        <v>0</v>
      </c>
      <c r="AB10" s="0" t="str">
        <f aca="false">IF($AA10&lt;=0,"GĂNG","")</f>
        <v>GĂNG</v>
      </c>
      <c r="AC10" s="2" t="n">
        <v>45261</v>
      </c>
      <c r="AD10" s="2" t="n">
        <v>45289</v>
      </c>
      <c r="AE10" s="0" t="n">
        <f aca="false">IF($AC10="","",$W10-$AC10)</f>
        <v>0</v>
      </c>
      <c r="AF10" s="0" t="n">
        <f aca="false">IF($AD10="","",$X10-$AD10)</f>
        <v>0</v>
      </c>
    </row>
    <row r="11" customFormat="false" ht="15" hidden="false" customHeight="false" outlineLevel="0" collapsed="false">
      <c r="A11" s="0" t="n">
        <v>6</v>
      </c>
      <c r="B11" s="0" t="s">
        <v>52</v>
      </c>
      <c r="C11" s="0" t="s">
        <v>53</v>
      </c>
      <c r="D11" s="6" t="s">
        <v>46</v>
      </c>
      <c r="E11" s="0" t="n">
        <v>60</v>
      </c>
      <c r="F11" s="0" t="s">
        <v>50</v>
      </c>
      <c r="G11" s="0" t="s">
        <v>49</v>
      </c>
      <c r="H11" s="0" t="n">
        <v>0</v>
      </c>
      <c r="M11" s="2" t="n">
        <f aca="false">MAX(WORKDAY.INTL(PROJ_START-1,1,"0000001",HOL),N($L11),IF($F11="",0,IF($G11="SS",WORKDAY.INTL(INDEX($M5:$M$10,MATCH($F11,$B5:$B$10,0)),$H11,"0000001",HOL),WORKDAY.INTL(INDEX($N5:$N$10,MATCH($F11,$B5:$B$10,0)),1+$H11,"0000001",HOL))),IF($I11="",0,IF($J11="SS",WORKDAY.INTL(INDEX($M5:$M$10,MATCH($I11,$B5:$B$10,0)),$K11,"0000001",HOL),WORKDAY.INTL(INDEX($N5:$N$10,MATCH($I11,$B5:$B$10,0)),1+$K11,"0000001",HOL))))</f>
        <v>45290</v>
      </c>
      <c r="N11" s="2" t="n">
        <f aca="false">IF($E11=0,$M11,WORKDAY.INTL($M11,$E11-1,"0000001",HOL))</f>
        <v>45367</v>
      </c>
      <c r="O11" s="2" t="n">
        <f aca="false">MIN(IF($E11=0,$R11,WORKDAY.INTL($R11,-($E11-1),"0000001",HOL)),IF(COUNTIFS($F12:$F$42,$B11,$T12:$T$42,"&gt;0")=0,IF($E11=0,$R11,WORKDAY.INTL($R11,-($E11-1),"0000001",HOL)),_xlfn.MINIFS($T12:$T$42,$F12:$F$42,$B11)),IF(COUNTIFS($I12:$I$42,$B11,$V12:$V$42,"&gt;0")=0,IF($E11=0,$R11,WORKDAY.INTL($R11,-($E11-1),"0000001",HOL)),_xlfn.MINIFS($V12:$V$42,$I12:$I$42,$B11)))</f>
        <v>45861</v>
      </c>
      <c r="P11" s="2" t="n">
        <f aca="false">IF($E11=0,$O11,WORKDAY.INTL($O11,$E11-1,"0000001",HOL))</f>
        <v>45932</v>
      </c>
      <c r="Q11" s="0" t="n">
        <f aca="false">IF($O11&gt;=$M11,NETWORKDAYS.INTL($M11,$O11,"0000001",HOL)-1,-(NETWORKDAYS.INTL($O11,$M11,"0000001",HOL)-1))</f>
        <v>467</v>
      </c>
      <c r="R11" s="2" t="n">
        <f aca="false">MIN(PROJ_LIMIT,IF(COUNTIFS($F12:$F$42,$B11,$S12:$S$42,"&gt;0")=0,PROJ_LIMIT,_xlfn.MINIFS($S12:$S$42,$F12:$F$42,$B11)),IF(COUNTIFS($I12:$I$42,$B11,$U12:$U$42,"&gt;0")=0,PROJ_LIMIT,_xlfn.MINIFS($U12:$U$42,$I12:$I$42,$B11)))</f>
        <v>45932</v>
      </c>
      <c r="S11" s="2" t="n">
        <f aca="false">IF(OR($F11="",$G11="SS"),"",WORKDAY.INTL($O11,-(1+$H11),"0000001",HOL))</f>
        <v>45860</v>
      </c>
      <c r="T11" s="2" t="str">
        <f aca="false">IF(OR($F11="",$G11&lt;&gt;"SS"),"",WORKDAY.INTL($O11,-$H11,"0000001",HOL))</f>
        <v/>
      </c>
      <c r="U11" s="2" t="str">
        <f aca="false">IF(OR($I11="",$J11="SS"),"",WORKDAY.INTL($O11,-(1+$K11),"0000001",HOL))</f>
        <v/>
      </c>
      <c r="V11" s="2" t="str">
        <f aca="false">IF(OR($I11="",$J11&lt;&gt;"SS"),"",WORKDAY.INTL($O11,-$K11,"0000001",HOL))</f>
        <v/>
      </c>
      <c r="W11" s="2" t="n">
        <f aca="false">$M11</f>
        <v>45290</v>
      </c>
      <c r="X11" s="2" t="n">
        <f aca="false">$N11</f>
        <v>45367</v>
      </c>
      <c r="Y11" s="2" t="n">
        <f aca="false">$O11</f>
        <v>45861</v>
      </c>
      <c r="Z11" s="2" t="n">
        <f aca="false">$P11</f>
        <v>45932</v>
      </c>
      <c r="AA11" s="0" t="n">
        <f aca="false">$Q11</f>
        <v>467</v>
      </c>
      <c r="AB11" s="0" t="str">
        <f aca="false">IF($AA11&lt;=0,"GĂNG","")</f>
        <v/>
      </c>
      <c r="AC11" s="2" t="n">
        <v>45290</v>
      </c>
      <c r="AD11" s="2" t="n">
        <v>45367</v>
      </c>
      <c r="AE11" s="0" t="n">
        <f aca="false">IF($AC11="","",$W11-$AC11)</f>
        <v>0</v>
      </c>
      <c r="AF11" s="0" t="n">
        <f aca="false">IF($AD11="","",$X11-$AD11)</f>
        <v>0</v>
      </c>
      <c r="AG11" s="0" t="str">
        <f aca="false">IF(ISNA(MATCH($F11,$B5:$B$10,0)),"TIỀN NHIỆM PHẢI Ở TRÊN","")</f>
        <v/>
      </c>
    </row>
    <row r="12" customFormat="false" ht="15" hidden="false" customHeight="false" outlineLevel="0" collapsed="false">
      <c r="A12" s="0" t="n">
        <v>7</v>
      </c>
      <c r="B12" s="5" t="s">
        <v>54</v>
      </c>
      <c r="C12" s="5" t="s">
        <v>55</v>
      </c>
      <c r="D12" s="5" t="s">
        <v>41</v>
      </c>
      <c r="E12" s="0" t="n">
        <v>610</v>
      </c>
      <c r="M12" s="2"/>
      <c r="N12" s="2"/>
      <c r="O12" s="2"/>
      <c r="P12" s="2"/>
      <c r="R12" s="2"/>
      <c r="S12" s="2"/>
      <c r="T12" s="2"/>
      <c r="U12" s="2"/>
      <c r="V12" s="2"/>
      <c r="W12" s="2" t="n">
        <f aca="false">_xlfn.MINIFS($M6:$M$42,$B6:$B$42,$B12&amp;".*")</f>
        <v>45290</v>
      </c>
      <c r="X12" s="2" t="n">
        <f aca="false">_xlfn.MAXIFS($N6:$N$42,$B6:$B$42,$B12&amp;".*")</f>
        <v>45763</v>
      </c>
      <c r="Y12" s="2" t="n">
        <f aca="false">_xlfn.MINIFS($O6:$O$42,$B6:$B$42,$B12&amp;".*")</f>
        <v>45467</v>
      </c>
      <c r="Z12" s="2" t="n">
        <f aca="false">_xlfn.MAXIFS($P6:$P$42,$B6:$B$42,$B12&amp;".*")</f>
        <v>45932</v>
      </c>
      <c r="AA12" s="0" t="n">
        <f aca="false">_xlfn.MINIFS($Q6:$Q$42,$B6:$B$42,$B12&amp;".*")</f>
        <v>141</v>
      </c>
      <c r="AB12" s="0" t="str">
        <f aca="false">IF($AA12&lt;=0,"GĂNG","")</f>
        <v/>
      </c>
      <c r="AC12" s="2" t="n">
        <v>45290</v>
      </c>
      <c r="AD12" s="2" t="n">
        <v>45786</v>
      </c>
      <c r="AE12" s="0" t="n">
        <f aca="false">IF($AC12="","",$W12-$AC12)</f>
        <v>0</v>
      </c>
      <c r="AF12" s="0" t="n">
        <f aca="false">IF($AD12="","",$X12-$AD12)</f>
        <v>-23</v>
      </c>
    </row>
    <row r="13" customFormat="false" ht="15" hidden="false" customHeight="false" outlineLevel="0" collapsed="false">
      <c r="A13" s="0" t="n">
        <v>8</v>
      </c>
      <c r="B13" s="0" t="s">
        <v>56</v>
      </c>
      <c r="C13" s="0" t="s">
        <v>57</v>
      </c>
      <c r="D13" s="6" t="s">
        <v>46</v>
      </c>
      <c r="E13" s="0" t="n">
        <v>60</v>
      </c>
      <c r="F13" s="0" t="s">
        <v>44</v>
      </c>
      <c r="G13" s="0" t="s">
        <v>49</v>
      </c>
      <c r="H13" s="0" t="n">
        <v>0</v>
      </c>
      <c r="M13" s="2" t="n">
        <f aca="false">MAX(WORKDAY.INTL(PROJ_START-1,1,"0000001",HOL),N($L13),IF($F13="",0,IF($G13="SS",WORKDAY.INTL(INDEX($M5:$M$12,MATCH($F13,$B5:$B$12,0)),$H13,"0000001",HOL),WORKDAY.INTL(INDEX($N5:$N$12,MATCH($F13,$B5:$B$12,0)),1+$H13,"0000001",HOL))),IF($I13="",0,IF($J13="SS",WORKDAY.INTL(INDEX($M5:$M$12,MATCH($I13,$B5:$B$12,0)),$K13,"0000001",HOL),WORKDAY.INTL(INDEX($N5:$N$12,MATCH($I13,$B5:$B$12,0)),1+$K13,"0000001",HOL))))</f>
        <v>45290</v>
      </c>
      <c r="N13" s="2" t="n">
        <f aca="false">IF($E13=0,$M13,WORKDAY.INTL($M13,$E13-1,"0000001",HOL))</f>
        <v>45367</v>
      </c>
      <c r="O13" s="2" t="n">
        <f aca="false">MIN(IF($E13=0,$R13,WORKDAY.INTL($R13,-($E13-1),"0000001",HOL)),IF(COUNTIFS($F14:$F$42,$B13,$T14:$T$42,"&gt;0")=0,IF($E13=0,$R13,WORKDAY.INTL($R13,-($E13-1),"0000001",HOL)),_xlfn.MINIFS($T14:$T$42,$F14:$F$42,$B13)),IF(COUNTIFS($I14:$I$42,$B13,$V14:$V$42,"&gt;0")=0,IF($E13=0,$R13,WORKDAY.INTL($R13,-($E13-1),"0000001",HOL)),_xlfn.MINIFS($V14:$V$42,$I14:$I$42,$B13)))</f>
        <v>45467</v>
      </c>
      <c r="P13" s="2" t="n">
        <f aca="false">IF($E13=0,$O13,WORKDAY.INTL($O13,$E13-1,"0000001",HOL))</f>
        <v>45535</v>
      </c>
      <c r="Q13" s="0" t="n">
        <f aca="false">IF($O13&gt;=$M13,NETWORKDAYS.INTL($M13,$O13,"0000001",HOL)-1,-(NETWORKDAYS.INTL($O13,$M13,"0000001",HOL)-1))</f>
        <v>141</v>
      </c>
      <c r="R13" s="2" t="n">
        <f aca="false">MIN(PROJ_LIMIT,IF(COUNTIFS($F14:$F$42,$B13,$S14:$S$42,"&gt;0")=0,PROJ_LIMIT,_xlfn.MINIFS($S14:$S$42,$F14:$F$42,$B13)),IF(COUNTIFS($I14:$I$42,$B13,$U14:$U$42,"&gt;0")=0,PROJ_LIMIT,_xlfn.MINIFS($U14:$U$42,$I14:$I$42,$B13)))</f>
        <v>45932</v>
      </c>
      <c r="S13" s="2" t="n">
        <f aca="false">IF(OR($F13="",$G13="SS"),"",WORKDAY.INTL($O13,-(1+$H13),"0000001",HOL))</f>
        <v>45465</v>
      </c>
      <c r="T13" s="2" t="str">
        <f aca="false">IF(OR($F13="",$G13&lt;&gt;"SS"),"",WORKDAY.INTL($O13,-$H13,"0000001",HOL))</f>
        <v/>
      </c>
      <c r="U13" s="2" t="str">
        <f aca="false">IF(OR($I13="",$J13="SS"),"",WORKDAY.INTL($O13,-(1+$K13),"0000001",HOL))</f>
        <v/>
      </c>
      <c r="V13" s="2" t="str">
        <f aca="false">IF(OR($I13="",$J13&lt;&gt;"SS"),"",WORKDAY.INTL($O13,-$K13,"0000001",HOL))</f>
        <v/>
      </c>
      <c r="W13" s="2" t="n">
        <f aca="false">$M13</f>
        <v>45290</v>
      </c>
      <c r="X13" s="2" t="n">
        <f aca="false">$N13</f>
        <v>45367</v>
      </c>
      <c r="Y13" s="2" t="n">
        <f aca="false">$O13</f>
        <v>45467</v>
      </c>
      <c r="Z13" s="2" t="n">
        <f aca="false">$P13</f>
        <v>45535</v>
      </c>
      <c r="AA13" s="0" t="n">
        <f aca="false">$Q13</f>
        <v>141</v>
      </c>
      <c r="AB13" s="0" t="str">
        <f aca="false">IF($AA13&lt;=0,"GĂNG","")</f>
        <v/>
      </c>
      <c r="AC13" s="2" t="n">
        <v>45290</v>
      </c>
      <c r="AD13" s="2" t="n">
        <v>45367</v>
      </c>
      <c r="AE13" s="0" t="n">
        <f aca="false">IF($AC13="","",$W13-$AC13)</f>
        <v>0</v>
      </c>
      <c r="AF13" s="0" t="n">
        <f aca="false">IF($AD13="","",$X13-$AD13)</f>
        <v>0</v>
      </c>
      <c r="AG13" s="0" t="str">
        <f aca="false">IF(ISNA(MATCH($F13,$B5:$B$12,0)),"TIỀN NHIỆM PHẢI Ở TRÊN","")</f>
        <v/>
      </c>
    </row>
    <row r="14" customFormat="false" ht="15" hidden="false" customHeight="false" outlineLevel="0" collapsed="false">
      <c r="A14" s="0" t="n">
        <v>9</v>
      </c>
      <c r="B14" s="0" t="s">
        <v>58</v>
      </c>
      <c r="C14" s="0" t="s">
        <v>59</v>
      </c>
      <c r="D14" s="6" t="s">
        <v>46</v>
      </c>
      <c r="E14" s="0" t="n">
        <v>108</v>
      </c>
      <c r="F14" s="0" t="s">
        <v>56</v>
      </c>
      <c r="G14" s="0" t="s">
        <v>60</v>
      </c>
      <c r="H14" s="0" t="n">
        <v>20</v>
      </c>
      <c r="M14" s="2" t="n">
        <f aca="false">MAX(WORKDAY.INTL(PROJ_START-1,1,"0000001",HOL),N($L14),IF($F14="",0,IF($G14="SS",WORKDAY.INTL(INDEX($M5:$M$13,MATCH($F14,$B5:$B$13,0)),$H14,"0000001",HOL),WORKDAY.INTL(INDEX($N5:$N$13,MATCH($F14,$B5:$B$13,0)),1+$H14,"0000001",HOL))),IF($I14="",0,IF($J14="SS",WORKDAY.INTL(INDEX($M5:$M$13,MATCH($I14,$B5:$B$13,0)),$K14,"0000001",HOL),WORKDAY.INTL(INDEX($N5:$N$13,MATCH($I14,$B5:$B$13,0)),1+$K14,"0000001",HOL))))</f>
        <v>45315</v>
      </c>
      <c r="N14" s="2" t="n">
        <f aca="false">IF($E14=0,$M14,WORKDAY.INTL($M14,$E14-1,"0000001",HOL))</f>
        <v>45450</v>
      </c>
      <c r="O14" s="2" t="n">
        <f aca="false">MIN(IF($E14=0,$R14,WORKDAY.INTL($R14,-($E14-1),"0000001",HOL)),IF(COUNTIFS($F15:$F$42,$B14,$T15:$T$42,"&gt;0")=0,IF($E14=0,$R14,WORKDAY.INTL($R14,-($E14-1),"0000001",HOL)),_xlfn.MINIFS($T15:$T$42,$F15:$F$42,$B14)),IF(COUNTIFS($I15:$I$42,$B14,$V15:$V$42,"&gt;0")=0,IF($E14=0,$R14,WORKDAY.INTL($R14,-($E14-1),"0000001",HOL)),_xlfn.MINIFS($V15:$V$42,$I15:$I$42,$B14)))</f>
        <v>45490</v>
      </c>
      <c r="P14" s="2" t="n">
        <f aca="false">IF($E14=0,$O14,WORKDAY.INTL($O14,$E14-1,"0000001",HOL))</f>
        <v>45617</v>
      </c>
      <c r="Q14" s="0" t="n">
        <f aca="false">IF($O14&gt;=$M14,NETWORKDAYS.INTL($M14,$O14,"0000001",HOL)-1,-(NETWORKDAYS.INTL($O14,$M14,"0000001",HOL)-1))</f>
        <v>141</v>
      </c>
      <c r="R14" s="2" t="n">
        <f aca="false">MIN(PROJ_LIMIT,IF(COUNTIFS($F15:$F$42,$B14,$S15:$S$42,"&gt;0")=0,PROJ_LIMIT,_xlfn.MINIFS($S15:$S$42,$F15:$F$42,$B14)),IF(COUNTIFS($I15:$I$42,$B14,$U15:$U$42,"&gt;0")=0,PROJ_LIMIT,_xlfn.MINIFS($U15:$U$42,$I15:$I$42,$B14)))</f>
        <v>45932</v>
      </c>
      <c r="S14" s="2" t="str">
        <f aca="false">IF(OR($F14="",$G14="SS"),"",WORKDAY.INTL($O14,-(1+$H14),"0000001",HOL))</f>
        <v/>
      </c>
      <c r="T14" s="2" t="n">
        <f aca="false">IF(OR($F14="",$G14&lt;&gt;"SS"),"",WORKDAY.INTL($O14,-$H14,"0000001",HOL))</f>
        <v>45467</v>
      </c>
      <c r="U14" s="2" t="str">
        <f aca="false">IF(OR($I14="",$J14="SS"),"",WORKDAY.INTL($O14,-(1+$K14),"0000001",HOL))</f>
        <v/>
      </c>
      <c r="V14" s="2" t="str">
        <f aca="false">IF(OR($I14="",$J14&lt;&gt;"SS"),"",WORKDAY.INTL($O14,-$K14,"0000001",HOL))</f>
        <v/>
      </c>
      <c r="W14" s="2" t="n">
        <f aca="false">$M14</f>
        <v>45315</v>
      </c>
      <c r="X14" s="2" t="n">
        <f aca="false">$N14</f>
        <v>45450</v>
      </c>
      <c r="Y14" s="2" t="n">
        <f aca="false">$O14</f>
        <v>45490</v>
      </c>
      <c r="Z14" s="2" t="n">
        <f aca="false">$P14</f>
        <v>45617</v>
      </c>
      <c r="AA14" s="0" t="n">
        <f aca="false">$Q14</f>
        <v>141</v>
      </c>
      <c r="AB14" s="0" t="str">
        <f aca="false">IF($AA14&lt;=0,"GĂNG","")</f>
        <v/>
      </c>
      <c r="AC14" s="2" t="n">
        <v>45310</v>
      </c>
      <c r="AD14" s="2" t="n">
        <v>45446</v>
      </c>
      <c r="AE14" s="0" t="n">
        <f aca="false">IF($AC14="","",$W14-$AC14)</f>
        <v>5</v>
      </c>
      <c r="AF14" s="0" t="n">
        <f aca="false">IF($AD14="","",$X14-$AD14)</f>
        <v>4</v>
      </c>
      <c r="AG14" s="0" t="str">
        <f aca="false">IF(ISNA(MATCH($F14,$B5:$B$13,0)),"TIỀN NHIỆM PHẢI Ở TRÊN","")</f>
        <v/>
      </c>
    </row>
    <row r="15" customFormat="false" ht="15" hidden="false" customHeight="false" outlineLevel="0" collapsed="false">
      <c r="A15" s="0" t="n">
        <v>10</v>
      </c>
      <c r="B15" s="0" t="s">
        <v>61</v>
      </c>
      <c r="C15" s="0" t="s">
        <v>62</v>
      </c>
      <c r="D15" s="6" t="s">
        <v>46</v>
      </c>
      <c r="E15" s="0" t="n">
        <v>146</v>
      </c>
      <c r="F15" s="0" t="s">
        <v>58</v>
      </c>
      <c r="G15" s="0" t="s">
        <v>60</v>
      </c>
      <c r="H15" s="0" t="n">
        <v>15</v>
      </c>
      <c r="M15" s="2" t="n">
        <f aca="false">MAX(WORKDAY.INTL(PROJ_START-1,1,"0000001",HOL),N($L15),IF($F15="",0,IF($G15="SS",WORKDAY.INTL(INDEX($M5:$M$14,MATCH($F15,$B5:$B$14,0)),$H15,"0000001",HOL),WORKDAY.INTL(INDEX($N5:$N$14,MATCH($F15,$B5:$B$14,0)),1+$H15,"0000001",HOL))),IF($I15="",0,IF($J15="SS",WORKDAY.INTL(INDEX($M5:$M$14,MATCH($I15,$B5:$B$14,0)),$K15,"0000001",HOL),WORKDAY.INTL(INDEX($N5:$N$14,MATCH($I15,$B5:$B$14,0)),1+$K15,"0000001",HOL))))</f>
        <v>45339</v>
      </c>
      <c r="N15" s="2" t="n">
        <f aca="false">IF($E15=0,$M15,WORKDAY.INTL($M15,$E15-1,"0000001",HOL))</f>
        <v>45512</v>
      </c>
      <c r="O15" s="2" t="n">
        <f aca="false">MIN(IF($E15=0,$R15,WORKDAY.INTL($R15,-($E15-1),"0000001",HOL)),IF(COUNTIFS($F16:$F$42,$B15,$T16:$T$42,"&gt;0")=0,IF($E15=0,$R15,WORKDAY.INTL($R15,-($E15-1),"0000001",HOL)),_xlfn.MINIFS($T16:$T$42,$F16:$F$42,$B15)),IF(COUNTIFS($I16:$I$42,$B15,$V16:$V$42,"&gt;0")=0,IF($E15=0,$R15,WORKDAY.INTL($R15,-($E15-1),"0000001",HOL)),_xlfn.MINIFS($V16:$V$42,$I16:$I$42,$B15)))</f>
        <v>45758</v>
      </c>
      <c r="P15" s="2" t="n">
        <f aca="false">IF($E15=0,$O15,WORKDAY.INTL($O15,$E15-1,"0000001",HOL))</f>
        <v>45932</v>
      </c>
      <c r="Q15" s="0" t="n">
        <f aca="false">IF($O15&gt;=$M15,NETWORKDAYS.INTL($M15,$O15,"0000001",HOL)-1,-(NETWORKDAYS.INTL($O15,$M15,"0000001",HOL)-1))</f>
        <v>346</v>
      </c>
      <c r="R15" s="2" t="n">
        <f aca="false">MIN(PROJ_LIMIT,IF(COUNTIFS($F16:$F$42,$B15,$S16:$S$42,"&gt;0")=0,PROJ_LIMIT,_xlfn.MINIFS($S16:$S$42,$F16:$F$42,$B15)),IF(COUNTIFS($I16:$I$42,$B15,$U16:$U$42,"&gt;0")=0,PROJ_LIMIT,_xlfn.MINIFS($U16:$U$42,$I16:$I$42,$B15)))</f>
        <v>45932</v>
      </c>
      <c r="S15" s="2" t="str">
        <f aca="false">IF(OR($F15="",$G15="SS"),"",WORKDAY.INTL($O15,-(1+$H15),"0000001",HOL))</f>
        <v/>
      </c>
      <c r="T15" s="2" t="n">
        <f aca="false">IF(OR($F15="",$G15&lt;&gt;"SS"),"",WORKDAY.INTL($O15,-$H15,"0000001",HOL))</f>
        <v>45740</v>
      </c>
      <c r="U15" s="2" t="str">
        <f aca="false">IF(OR($I15="",$J15="SS"),"",WORKDAY.INTL($O15,-(1+$K15),"0000001",HOL))</f>
        <v/>
      </c>
      <c r="V15" s="2" t="str">
        <f aca="false">IF(OR($I15="",$J15&lt;&gt;"SS"),"",WORKDAY.INTL($O15,-$K15,"0000001",HOL))</f>
        <v/>
      </c>
      <c r="W15" s="2" t="n">
        <f aca="false">$M15</f>
        <v>45339</v>
      </c>
      <c r="X15" s="2" t="n">
        <f aca="false">$N15</f>
        <v>45512</v>
      </c>
      <c r="Y15" s="2" t="n">
        <f aca="false">$O15</f>
        <v>45758</v>
      </c>
      <c r="Z15" s="2" t="n">
        <f aca="false">$P15</f>
        <v>45932</v>
      </c>
      <c r="AA15" s="0" t="n">
        <f aca="false">$Q15</f>
        <v>346</v>
      </c>
      <c r="AB15" s="0" t="str">
        <f aca="false">IF($AA15&lt;=0,"GĂNG","")</f>
        <v/>
      </c>
      <c r="AC15" s="2" t="n">
        <v>45325</v>
      </c>
      <c r="AD15" s="2" t="n">
        <v>45505</v>
      </c>
      <c r="AE15" s="0" t="n">
        <f aca="false">IF($AC15="","",$W15-$AC15)</f>
        <v>14</v>
      </c>
      <c r="AF15" s="0" t="n">
        <f aca="false">IF($AD15="","",$X15-$AD15)</f>
        <v>7</v>
      </c>
      <c r="AG15" s="0" t="str">
        <f aca="false">IF(ISNA(MATCH($F15,$B5:$B$14,0)),"TIỀN NHIỆM PHẢI Ở TRÊN","")</f>
        <v/>
      </c>
    </row>
    <row r="16" customFormat="false" ht="15" hidden="false" customHeight="false" outlineLevel="0" collapsed="false">
      <c r="A16" s="0" t="n">
        <v>11</v>
      </c>
      <c r="B16" s="0" t="s">
        <v>63</v>
      </c>
      <c r="C16" s="0" t="s">
        <v>64</v>
      </c>
      <c r="D16" s="6" t="s">
        <v>46</v>
      </c>
      <c r="E16" s="0" t="n">
        <v>115</v>
      </c>
      <c r="F16" s="0" t="s">
        <v>58</v>
      </c>
      <c r="G16" s="0" t="s">
        <v>60</v>
      </c>
      <c r="H16" s="0" t="n">
        <v>45</v>
      </c>
      <c r="M16" s="2" t="n">
        <f aca="false">MAX(WORKDAY.INTL(PROJ_START-1,1,"0000001",HOL),N($L16),IF($F16="",0,IF($G16="SS",WORKDAY.INTL(INDEX($M5:$M$15,MATCH($F16,$B5:$B$15,0)),$H16,"0000001",HOL),WORKDAY.INTL(INDEX($N5:$N$15,MATCH($F16,$B5:$B$15,0)),1+$H16,"0000001",HOL))),IF($I16="",0,IF($J16="SS",WORKDAY.INTL(INDEX($M5:$M$15,MATCH($I16,$B5:$B$15,0)),$K16,"0000001",HOL),WORKDAY.INTL(INDEX($N5:$N$15,MATCH($I16,$B5:$B$15,0)),1+$K16,"0000001",HOL))))</f>
        <v>45374</v>
      </c>
      <c r="N16" s="2" t="n">
        <f aca="false">IF($E16=0,$M16,WORKDAY.INTL($M16,$E16-1,"0000001",HOL))</f>
        <v>45511</v>
      </c>
      <c r="O16" s="2" t="n">
        <f aca="false">MIN(IF($E16=0,$R16,WORKDAY.INTL($R16,-($E16-1),"0000001",HOL)),IF(COUNTIFS($F17:$F$42,$B16,$T17:$T$42,"&gt;0")=0,IF($E16=0,$R16,WORKDAY.INTL($R16,-($E16-1),"0000001",HOL)),_xlfn.MINIFS($T17:$T$42,$F17:$F$42,$B16)),IF(COUNTIFS($I17:$I$42,$B16,$V17:$V$42,"&gt;0")=0,IF($E16=0,$R16,WORKDAY.INTL($R16,-($E16-1),"0000001",HOL)),_xlfn.MINIFS($V17:$V$42,$I17:$I$42,$B16)))</f>
        <v>45545</v>
      </c>
      <c r="P16" s="2" t="n">
        <f aca="false">IF($E16=0,$O16,WORKDAY.INTL($O16,$E16-1,"0000001",HOL))</f>
        <v>45679</v>
      </c>
      <c r="Q16" s="0" t="n">
        <f aca="false">IF($O16&gt;=$M16,NETWORKDAYS.INTL($M16,$O16,"0000001",HOL)-1,-(NETWORKDAYS.INTL($O16,$M16,"0000001",HOL)-1))</f>
        <v>141</v>
      </c>
      <c r="R16" s="2" t="n">
        <f aca="false">MIN(PROJ_LIMIT,IF(COUNTIFS($F17:$F$42,$B16,$S17:$S$42,"&gt;0")=0,PROJ_LIMIT,_xlfn.MINIFS($S17:$S$42,$F17:$F$42,$B16)),IF(COUNTIFS($I17:$I$42,$B16,$U17:$U$42,"&gt;0")=0,PROJ_LIMIT,_xlfn.MINIFS($U17:$U$42,$I17:$I$42,$B16)))</f>
        <v>45679</v>
      </c>
      <c r="S16" s="2" t="str">
        <f aca="false">IF(OR($F16="",$G16="SS"),"",WORKDAY.INTL($O16,-(1+$H16),"0000001",HOL))</f>
        <v/>
      </c>
      <c r="T16" s="2" t="n">
        <f aca="false">IF(OR($F16="",$G16&lt;&gt;"SS"),"",WORKDAY.INTL($O16,-$H16,"0000001",HOL))</f>
        <v>45490</v>
      </c>
      <c r="U16" s="2" t="str">
        <f aca="false">IF(OR($I16="",$J16="SS"),"",WORKDAY.INTL($O16,-(1+$K16),"0000001",HOL))</f>
        <v/>
      </c>
      <c r="V16" s="2" t="str">
        <f aca="false">IF(OR($I16="",$J16&lt;&gt;"SS"),"",WORKDAY.INTL($O16,-$K16,"0000001",HOL))</f>
        <v/>
      </c>
      <c r="W16" s="2" t="n">
        <f aca="false">$M16</f>
        <v>45374</v>
      </c>
      <c r="X16" s="2" t="n">
        <f aca="false">$N16</f>
        <v>45511</v>
      </c>
      <c r="Y16" s="2" t="n">
        <f aca="false">$O16</f>
        <v>45545</v>
      </c>
      <c r="Z16" s="2" t="n">
        <f aca="false">$P16</f>
        <v>45679</v>
      </c>
      <c r="AA16" s="0" t="n">
        <f aca="false">$Q16</f>
        <v>141</v>
      </c>
      <c r="AB16" s="0" t="str">
        <f aca="false">IF($AA16&lt;=0,"GĂNG","")</f>
        <v/>
      </c>
      <c r="AC16" s="2" t="n">
        <v>45355</v>
      </c>
      <c r="AD16" s="2" t="n">
        <v>45535</v>
      </c>
      <c r="AE16" s="0" t="n">
        <f aca="false">IF($AC16="","",$W16-$AC16)</f>
        <v>19</v>
      </c>
      <c r="AF16" s="0" t="n">
        <f aca="false">IF($AD16="","",$X16-$AD16)</f>
        <v>-24</v>
      </c>
      <c r="AG16" s="0" t="str">
        <f aca="false">IF(ISNA(MATCH($F16,$B5:$B$15,0)),"TIỀN NHIỆM PHẢI Ở TRÊN","")</f>
        <v/>
      </c>
    </row>
    <row r="17" customFormat="false" ht="15" hidden="false" customHeight="false" outlineLevel="0" collapsed="false">
      <c r="A17" s="0" t="n">
        <v>12</v>
      </c>
      <c r="B17" s="0" t="s">
        <v>65</v>
      </c>
      <c r="C17" s="0" t="s">
        <v>66</v>
      </c>
      <c r="D17" s="6" t="s">
        <v>46</v>
      </c>
      <c r="E17" s="0" t="n">
        <v>56</v>
      </c>
      <c r="F17" s="0" t="s">
        <v>63</v>
      </c>
      <c r="G17" s="0" t="s">
        <v>49</v>
      </c>
      <c r="H17" s="0" t="n">
        <v>0</v>
      </c>
      <c r="M17" s="2" t="n">
        <f aca="false">MAX(WORKDAY.INTL(PROJ_START-1,1,"0000001",HOL),N($L17),IF($F17="",0,IF($G17="SS",WORKDAY.INTL(INDEX($M5:$M$16,MATCH($F17,$B5:$B$16,0)),$H17,"0000001",HOL),WORKDAY.INTL(INDEX($N5:$N$16,MATCH($F17,$B5:$B$16,0)),1+$H17,"0000001",HOL))),IF($I17="",0,IF($J17="SS",WORKDAY.INTL(INDEX($M5:$M$16,MATCH($I17,$B5:$B$16,0)),$K17,"0000001",HOL),WORKDAY.INTL(INDEX($N5:$N$16,MATCH($I17,$B5:$B$16,0)),1+$K17,"0000001",HOL))))</f>
        <v>45512</v>
      </c>
      <c r="N17" s="2" t="n">
        <f aca="false">IF($E17=0,$M17,WORKDAY.INTL($M17,$E17-1,"0000001",HOL))</f>
        <v>45579</v>
      </c>
      <c r="O17" s="2" t="n">
        <f aca="false">MIN(IF($E17=0,$R17,WORKDAY.INTL($R17,-($E17-1),"0000001",HOL)),IF(COUNTIFS($F18:$F$42,$B17,$T18:$T$42,"&gt;0")=0,IF($E17=0,$R17,WORKDAY.INTL($R17,-($E17-1),"0000001",HOL)),_xlfn.MINIFS($T18:$T$42,$F18:$F$42,$B17)),IF(COUNTIFS($I18:$I$42,$B17,$V18:$V$42,"&gt;0")=0,IF($E17=0,$R17,WORKDAY.INTL($R17,-($E17-1),"0000001",HOL)),_xlfn.MINIFS($V18:$V$42,$I18:$I$42,$B17)))</f>
        <v>45680</v>
      </c>
      <c r="P17" s="2" t="n">
        <f aca="false">IF($E17=0,$O17,WORKDAY.INTL($O17,$E17-1,"0000001",HOL))</f>
        <v>45751</v>
      </c>
      <c r="Q17" s="0" t="n">
        <f aca="false">IF($O17&gt;=$M17,NETWORKDAYS.INTL($M17,$O17,"0000001",HOL)-1,-(NETWORKDAYS.INTL($O17,$M17,"0000001",HOL)-1))</f>
        <v>141</v>
      </c>
      <c r="R17" s="2" t="n">
        <f aca="false">MIN(PROJ_LIMIT,IF(COUNTIFS($F18:$F$42,$B17,$S18:$S$42,"&gt;0")=0,PROJ_LIMIT,_xlfn.MINIFS($S18:$S$42,$F18:$F$42,$B17)),IF(COUNTIFS($I18:$I$42,$B17,$U18:$U$42,"&gt;0")=0,PROJ_LIMIT,_xlfn.MINIFS($U18:$U$42,$I18:$I$42,$B17)))</f>
        <v>45751</v>
      </c>
      <c r="S17" s="2" t="n">
        <f aca="false">IF(OR($F17="",$G17="SS"),"",WORKDAY.INTL($O17,-(1+$H17),"0000001",HOL))</f>
        <v>45679</v>
      </c>
      <c r="T17" s="2" t="str">
        <f aca="false">IF(OR($F17="",$G17&lt;&gt;"SS"),"",WORKDAY.INTL($O17,-$H17,"0000001",HOL))</f>
        <v/>
      </c>
      <c r="U17" s="2" t="str">
        <f aca="false">IF(OR($I17="",$J17="SS"),"",WORKDAY.INTL($O17,-(1+$K17),"0000001",HOL))</f>
        <v/>
      </c>
      <c r="V17" s="2" t="str">
        <f aca="false">IF(OR($I17="",$J17&lt;&gt;"SS"),"",WORKDAY.INTL($O17,-$K17,"0000001",HOL))</f>
        <v/>
      </c>
      <c r="W17" s="2" t="n">
        <f aca="false">$M17</f>
        <v>45512</v>
      </c>
      <c r="X17" s="2" t="n">
        <f aca="false">$N17</f>
        <v>45579</v>
      </c>
      <c r="Y17" s="2" t="n">
        <f aca="false">$O17</f>
        <v>45680</v>
      </c>
      <c r="Z17" s="2" t="n">
        <f aca="false">$P17</f>
        <v>45751</v>
      </c>
      <c r="AA17" s="0" t="n">
        <f aca="false">$Q17</f>
        <v>141</v>
      </c>
      <c r="AB17" s="0" t="str">
        <f aca="false">IF($AA17&lt;=0,"GĂNG","")</f>
        <v/>
      </c>
      <c r="AC17" s="2" t="n">
        <v>45536</v>
      </c>
      <c r="AD17" s="2" t="n">
        <v>45603</v>
      </c>
      <c r="AE17" s="0" t="n">
        <f aca="false">IF($AC17="","",$W17-$AC17)</f>
        <v>-24</v>
      </c>
      <c r="AF17" s="0" t="n">
        <f aca="false">IF($AD17="","",$X17-$AD17)</f>
        <v>-24</v>
      </c>
      <c r="AG17" s="0" t="str">
        <f aca="false">IF(ISNA(MATCH($F17,$B5:$B$16,0)),"TIỀN NHIỆM PHẢI Ở TRÊN","")</f>
        <v/>
      </c>
    </row>
    <row r="18" customFormat="false" ht="15" hidden="false" customHeight="false" outlineLevel="0" collapsed="false">
      <c r="A18" s="0" t="n">
        <v>13</v>
      </c>
      <c r="B18" s="0" t="s">
        <v>67</v>
      </c>
      <c r="C18" s="0" t="s">
        <v>68</v>
      </c>
      <c r="D18" s="6" t="s">
        <v>46</v>
      </c>
      <c r="E18" s="0" t="n">
        <v>30</v>
      </c>
      <c r="F18" s="0" t="s">
        <v>58</v>
      </c>
      <c r="G18" s="0" t="s">
        <v>60</v>
      </c>
      <c r="H18" s="0" t="n">
        <v>30</v>
      </c>
      <c r="M18" s="2" t="n">
        <f aca="false">MAX(WORKDAY.INTL(PROJ_START-1,1,"0000001",HOL),N($L18),IF($F18="",0,IF($G18="SS",WORKDAY.INTL(INDEX($M5:$M$17,MATCH($F18,$B5:$B$17,0)),$H18,"0000001",HOL),WORKDAY.INTL(INDEX($N5:$N$17,MATCH($F18,$B5:$B$17,0)),1+$H18,"0000001",HOL))),IF($I18="",0,IF($J18="SS",WORKDAY.INTL(INDEX($M5:$M$17,MATCH($I18,$B5:$B$17,0)),$K18,"0000001",HOL),WORKDAY.INTL(INDEX($N5:$N$17,MATCH($I18,$B5:$B$17,0)),1+$K18,"0000001",HOL))))</f>
        <v>45357</v>
      </c>
      <c r="N18" s="2" t="n">
        <f aca="false">IF($E18=0,$M18,WORKDAY.INTL($M18,$E18-1,"0000001",HOL))</f>
        <v>45391</v>
      </c>
      <c r="O18" s="2" t="n">
        <f aca="false">MIN(IF($E18=0,$R18,WORKDAY.INTL($R18,-($E18-1),"0000001",HOL)),IF(COUNTIFS($F19:$F$42,$B18,$T19:$T$42,"&gt;0")=0,IF($E18=0,$R18,WORKDAY.INTL($R18,-($E18-1),"0000001",HOL)),_xlfn.MINIFS($T19:$T$42,$F19:$F$42,$B18)),IF(COUNTIFS($I19:$I$42,$B18,$V19:$V$42,"&gt;0")=0,IF($E18=0,$R18,WORKDAY.INTL($R18,-($E18-1),"0000001",HOL)),_xlfn.MINIFS($V19:$V$42,$I19:$I$42,$B18)))</f>
        <v>45896</v>
      </c>
      <c r="P18" s="2" t="n">
        <f aca="false">IF($E18=0,$O18,WORKDAY.INTL($O18,$E18-1,"0000001",HOL))</f>
        <v>45932</v>
      </c>
      <c r="Q18" s="0" t="n">
        <f aca="false">IF($O18&gt;=$M18,NETWORKDAYS.INTL($M18,$O18,"0000001",HOL)-1,-(NETWORKDAYS.INTL($O18,$M18,"0000001",HOL)-1))</f>
        <v>447</v>
      </c>
      <c r="R18" s="2" t="n">
        <f aca="false">MIN(PROJ_LIMIT,IF(COUNTIFS($F19:$F$42,$B18,$S19:$S$42,"&gt;0")=0,PROJ_LIMIT,_xlfn.MINIFS($S19:$S$42,$F19:$F$42,$B18)),IF(COUNTIFS($I19:$I$42,$B18,$U19:$U$42,"&gt;0")=0,PROJ_LIMIT,_xlfn.MINIFS($U19:$U$42,$I19:$I$42,$B18)))</f>
        <v>45932</v>
      </c>
      <c r="S18" s="2" t="str">
        <f aca="false">IF(OR($F18="",$G18="SS"),"",WORKDAY.INTL($O18,-(1+$H18),"0000001",HOL))</f>
        <v/>
      </c>
      <c r="T18" s="2" t="n">
        <f aca="false">IF(OR($F18="",$G18&lt;&gt;"SS"),"",WORKDAY.INTL($O18,-$H18,"0000001",HOL))</f>
        <v>45861</v>
      </c>
      <c r="U18" s="2" t="str">
        <f aca="false">IF(OR($I18="",$J18="SS"),"",WORKDAY.INTL($O18,-(1+$K18),"0000001",HOL))</f>
        <v/>
      </c>
      <c r="V18" s="2" t="str">
        <f aca="false">IF(OR($I18="",$J18&lt;&gt;"SS"),"",WORKDAY.INTL($O18,-$K18,"0000001",HOL))</f>
        <v/>
      </c>
      <c r="W18" s="2" t="n">
        <f aca="false">$M18</f>
        <v>45357</v>
      </c>
      <c r="X18" s="2" t="n">
        <f aca="false">$N18</f>
        <v>45391</v>
      </c>
      <c r="Y18" s="2" t="n">
        <f aca="false">$O18</f>
        <v>45896</v>
      </c>
      <c r="Z18" s="2" t="n">
        <f aca="false">$P18</f>
        <v>45932</v>
      </c>
      <c r="AA18" s="0" t="n">
        <f aca="false">$Q18</f>
        <v>447</v>
      </c>
      <c r="AB18" s="0" t="str">
        <f aca="false">IF($AA18&lt;=0,"GĂNG","")</f>
        <v/>
      </c>
      <c r="AC18" s="2" t="n">
        <v>45340</v>
      </c>
      <c r="AD18" s="2" t="n">
        <v>45374</v>
      </c>
      <c r="AE18" s="0" t="n">
        <f aca="false">IF($AC18="","",$W18-$AC18)</f>
        <v>17</v>
      </c>
      <c r="AF18" s="0" t="n">
        <f aca="false">IF($AD18="","",$X18-$AD18)</f>
        <v>17</v>
      </c>
      <c r="AG18" s="0" t="str">
        <f aca="false">IF(ISNA(MATCH($F18,$B5:$B$17,0)),"TIỀN NHIỆM PHẢI Ở TRÊN","")</f>
        <v/>
      </c>
    </row>
    <row r="19" customFormat="false" ht="15" hidden="false" customHeight="false" outlineLevel="0" collapsed="false">
      <c r="A19" s="0" t="n">
        <v>14</v>
      </c>
      <c r="B19" s="0" t="s">
        <v>69</v>
      </c>
      <c r="C19" s="0" t="s">
        <v>70</v>
      </c>
      <c r="D19" s="6" t="s">
        <v>46</v>
      </c>
      <c r="E19" s="0" t="n">
        <v>60</v>
      </c>
      <c r="F19" s="0" t="s">
        <v>65</v>
      </c>
      <c r="G19" s="0" t="s">
        <v>60</v>
      </c>
      <c r="H19" s="0" t="n">
        <v>10</v>
      </c>
      <c r="M19" s="2" t="n">
        <f aca="false">MAX(WORKDAY.INTL(PROJ_START-1,1,"0000001",HOL),N($L19),IF($F19="",0,IF($G19="SS",WORKDAY.INTL(INDEX($M5:$M$18,MATCH($F19,$B5:$B$18,0)),$H19,"0000001",HOL),WORKDAY.INTL(INDEX($N5:$N$18,MATCH($F19,$B5:$B$18,0)),1+$H19,"0000001",HOL))),IF($I19="",0,IF($J19="SS",WORKDAY.INTL(INDEX($M5:$M$18,MATCH($I19,$B5:$B$18,0)),$K19,"0000001",HOL),WORKDAY.INTL(INDEX($N5:$N$18,MATCH($I19,$B5:$B$18,0)),1+$K19,"0000001",HOL))))</f>
        <v>45524</v>
      </c>
      <c r="N19" s="2" t="n">
        <f aca="false">IF($E19=0,$M19,WORKDAY.INTL($M19,$E19-1,"0000001",HOL))</f>
        <v>45595</v>
      </c>
      <c r="O19" s="2" t="n">
        <f aca="false">MIN(IF($E19=0,$R19,WORKDAY.INTL($R19,-($E19-1),"0000001",HOL)),IF(COUNTIFS($F20:$F$42,$B19,$T20:$T$42,"&gt;0")=0,IF($E19=0,$R19,WORKDAY.INTL($R19,-($E19-1),"0000001",HOL)),_xlfn.MINIFS($T20:$T$42,$F20:$F$42,$B19)),IF(COUNTIFS($I20:$I$42,$B19,$V20:$V$42,"&gt;0")=0,IF($E19=0,$R19,WORKDAY.INTL($R19,-($E19-1),"0000001",HOL)),_xlfn.MINIFS($V20:$V$42,$I20:$I$42,$B19)))</f>
        <v>45861</v>
      </c>
      <c r="P19" s="2" t="n">
        <f aca="false">IF($E19=0,$O19,WORKDAY.INTL($O19,$E19-1,"0000001",HOL))</f>
        <v>45932</v>
      </c>
      <c r="Q19" s="0" t="n">
        <f aca="false">IF($O19&gt;=$M19,NETWORKDAYS.INTL($M19,$O19,"0000001",HOL)-1,-(NETWORKDAYS.INTL($O19,$M19,"0000001",HOL)-1))</f>
        <v>277</v>
      </c>
      <c r="R19" s="2" t="n">
        <f aca="false">MIN(PROJ_LIMIT,IF(COUNTIFS($F20:$F$42,$B19,$S20:$S$42,"&gt;0")=0,PROJ_LIMIT,_xlfn.MINIFS($S20:$S$42,$F20:$F$42,$B19)),IF(COUNTIFS($I20:$I$42,$B19,$U20:$U$42,"&gt;0")=0,PROJ_LIMIT,_xlfn.MINIFS($U20:$U$42,$I20:$I$42,$B19)))</f>
        <v>45932</v>
      </c>
      <c r="S19" s="2" t="str">
        <f aca="false">IF(OR($F19="",$G19="SS"),"",WORKDAY.INTL($O19,-(1+$H19),"0000001",HOL))</f>
        <v/>
      </c>
      <c r="T19" s="2" t="n">
        <f aca="false">IF(OR($F19="",$G19&lt;&gt;"SS"),"",WORKDAY.INTL($O19,-$H19,"0000001",HOL))</f>
        <v>45849</v>
      </c>
      <c r="U19" s="2" t="str">
        <f aca="false">IF(OR($I19="",$J19="SS"),"",WORKDAY.INTL($O19,-(1+$K19),"0000001",HOL))</f>
        <v/>
      </c>
      <c r="V19" s="2" t="str">
        <f aca="false">IF(OR($I19="",$J19&lt;&gt;"SS"),"",WORKDAY.INTL($O19,-$K19,"0000001",HOL))</f>
        <v/>
      </c>
      <c r="W19" s="2" t="n">
        <f aca="false">$M19</f>
        <v>45524</v>
      </c>
      <c r="X19" s="2" t="n">
        <f aca="false">$N19</f>
        <v>45595</v>
      </c>
      <c r="Y19" s="2" t="n">
        <f aca="false">$O19</f>
        <v>45861</v>
      </c>
      <c r="Z19" s="2" t="n">
        <f aca="false">$P19</f>
        <v>45932</v>
      </c>
      <c r="AA19" s="0" t="n">
        <f aca="false">$Q19</f>
        <v>277</v>
      </c>
      <c r="AB19" s="0" t="str">
        <f aca="false">IF($AA19&lt;=0,"GĂNG","")</f>
        <v/>
      </c>
      <c r="AC19" s="2" t="n">
        <v>45546</v>
      </c>
      <c r="AD19" s="2" t="n">
        <v>45615</v>
      </c>
      <c r="AE19" s="0" t="n">
        <f aca="false">IF($AC19="","",$W19-$AC19)</f>
        <v>-22</v>
      </c>
      <c r="AF19" s="0" t="n">
        <f aca="false">IF($AD19="","",$X19-$AD19)</f>
        <v>-20</v>
      </c>
      <c r="AG19" s="0" t="str">
        <f aca="false">IF(ISNA(MATCH($F19,$B5:$B$18,0)),"TIỀN NHIỆM PHẢI Ở TRÊN","")</f>
        <v/>
      </c>
    </row>
    <row r="20" customFormat="false" ht="15" hidden="false" customHeight="false" outlineLevel="0" collapsed="false">
      <c r="A20" s="0" t="n">
        <v>15</v>
      </c>
      <c r="B20" s="0" t="s">
        <v>71</v>
      </c>
      <c r="C20" s="0" t="s">
        <v>72</v>
      </c>
      <c r="D20" s="6" t="s">
        <v>46</v>
      </c>
      <c r="E20" s="0" t="n">
        <v>20</v>
      </c>
      <c r="F20" s="0" t="s">
        <v>65</v>
      </c>
      <c r="G20" s="0" t="s">
        <v>49</v>
      </c>
      <c r="H20" s="0" t="n">
        <v>0</v>
      </c>
      <c r="M20" s="2" t="n">
        <f aca="false">MAX(WORKDAY.INTL(PROJ_START-1,1,"0000001",HOL),N($L20),IF($F20="",0,IF($G20="SS",WORKDAY.INTL(INDEX($M5:$M$19,MATCH($F20,$B5:$B$19,0)),$H20,"0000001",HOL),WORKDAY.INTL(INDEX($N5:$N$19,MATCH($F20,$B5:$B$19,0)),1+$H20,"0000001",HOL))),IF($I20="",0,IF($J20="SS",WORKDAY.INTL(INDEX($M5:$M$19,MATCH($I20,$B5:$B$19,0)),$K20,"0000001",HOL),WORKDAY.INTL(INDEX($N5:$N$19,MATCH($I20,$B5:$B$19,0)),1+$K20,"0000001",HOL))))</f>
        <v>45580</v>
      </c>
      <c r="N20" s="2" t="n">
        <f aca="false">IF($E20=0,$M20,WORKDAY.INTL($M20,$E20-1,"0000001",HOL))</f>
        <v>45602</v>
      </c>
      <c r="O20" s="2" t="n">
        <f aca="false">MIN(IF($E20=0,$R20,WORKDAY.INTL($R20,-($E20-1),"0000001",HOL)),IF(COUNTIFS($F21:$F$42,$B20,$T21:$T$42,"&gt;0")=0,IF($E20=0,$R20,WORKDAY.INTL($R20,-($E20-1),"0000001",HOL)),_xlfn.MINIFS($T21:$T$42,$F21:$F$42,$B20)),IF(COUNTIFS($I21:$I$42,$B20,$V21:$V$42,"&gt;0")=0,IF($E20=0,$R20,WORKDAY.INTL($R20,-($E20-1),"0000001",HOL)),_xlfn.MINIFS($V21:$V$42,$I21:$I$42,$B20)))</f>
        <v>45752</v>
      </c>
      <c r="P20" s="2" t="n">
        <f aca="false">IF($E20=0,$O20,WORKDAY.INTL($O20,$E20-1,"0000001",HOL))</f>
        <v>45776</v>
      </c>
      <c r="Q20" s="0" t="n">
        <f aca="false">IF($O20&gt;=$M20,NETWORKDAYS.INTL($M20,$O20,"0000001",HOL)-1,-(NETWORKDAYS.INTL($O20,$M20,"0000001",HOL)-1))</f>
        <v>141</v>
      </c>
      <c r="R20" s="2" t="n">
        <f aca="false">MIN(PROJ_LIMIT,IF(COUNTIFS($F21:$F$42,$B20,$S21:$S$42,"&gt;0")=0,PROJ_LIMIT,_xlfn.MINIFS($S21:$S$42,$F21:$F$42,$B20)),IF(COUNTIFS($I21:$I$42,$B20,$U21:$U$42,"&gt;0")=0,PROJ_LIMIT,_xlfn.MINIFS($U21:$U$42,$I21:$I$42,$B20)))</f>
        <v>45776</v>
      </c>
      <c r="S20" s="2" t="n">
        <f aca="false">IF(OR($F20="",$G20="SS"),"",WORKDAY.INTL($O20,-(1+$H20),"0000001",HOL))</f>
        <v>45751</v>
      </c>
      <c r="T20" s="2" t="str">
        <f aca="false">IF(OR($F20="",$G20&lt;&gt;"SS"),"",WORKDAY.INTL($O20,-$H20,"0000001",HOL))</f>
        <v/>
      </c>
      <c r="U20" s="2" t="str">
        <f aca="false">IF(OR($I20="",$J20="SS"),"",WORKDAY.INTL($O20,-(1+$K20),"0000001",HOL))</f>
        <v/>
      </c>
      <c r="V20" s="2" t="str">
        <f aca="false">IF(OR($I20="",$J20&lt;&gt;"SS"),"",WORKDAY.INTL($O20,-$K20,"0000001",HOL))</f>
        <v/>
      </c>
      <c r="W20" s="2" t="n">
        <f aca="false">$M20</f>
        <v>45580</v>
      </c>
      <c r="X20" s="2" t="n">
        <f aca="false">$N20</f>
        <v>45602</v>
      </c>
      <c r="Y20" s="2" t="n">
        <f aca="false">$O20</f>
        <v>45752</v>
      </c>
      <c r="Z20" s="2" t="n">
        <f aca="false">$P20</f>
        <v>45776</v>
      </c>
      <c r="AA20" s="0" t="n">
        <f aca="false">$Q20</f>
        <v>141</v>
      </c>
      <c r="AB20" s="0" t="str">
        <f aca="false">IF($AA20&lt;=0,"GĂNG","")</f>
        <v/>
      </c>
      <c r="AC20" s="2" t="n">
        <v>45604</v>
      </c>
      <c r="AD20" s="2" t="n">
        <v>45626</v>
      </c>
      <c r="AE20" s="0" t="n">
        <f aca="false">IF($AC20="","",$W20-$AC20)</f>
        <v>-24</v>
      </c>
      <c r="AF20" s="0" t="n">
        <f aca="false">IF($AD20="","",$X20-$AD20)</f>
        <v>-24</v>
      </c>
      <c r="AG20" s="0" t="str">
        <f aca="false">IF(ISNA(MATCH($F20,$B5:$B$19,0)),"TIỀN NHIỆM PHẢI Ở TRÊN","")</f>
        <v/>
      </c>
    </row>
    <row r="21" customFormat="false" ht="15" hidden="false" customHeight="false" outlineLevel="0" collapsed="false">
      <c r="A21" s="0" t="n">
        <v>16</v>
      </c>
      <c r="B21" s="0" t="s">
        <v>73</v>
      </c>
      <c r="C21" s="0" t="s">
        <v>74</v>
      </c>
      <c r="D21" s="6" t="s">
        <v>46</v>
      </c>
      <c r="E21" s="0" t="n">
        <v>20</v>
      </c>
      <c r="F21" s="0" t="s">
        <v>71</v>
      </c>
      <c r="G21" s="0" t="s">
        <v>49</v>
      </c>
      <c r="H21" s="0" t="n">
        <v>1</v>
      </c>
      <c r="M21" s="2" t="n">
        <f aca="false">MAX(WORKDAY.INTL(PROJ_START-1,1,"0000001",HOL),N($L21),IF($F21="",0,IF($G21="SS",WORKDAY.INTL(INDEX($M5:$M$20,MATCH($F21,$B5:$B$20,0)),$H21,"0000001",HOL),WORKDAY.INTL(INDEX($N5:$N$20,MATCH($F21,$B5:$B$20,0)),1+$H21,"0000001",HOL))),IF($I21="",0,IF($J21="SS",WORKDAY.INTL(INDEX($M5:$M$20,MATCH($I21,$B5:$B$20,0)),$K21,"0000001",HOL),WORKDAY.INTL(INDEX($N5:$N$20,MATCH($I21,$B5:$B$20,0)),1+$K21,"0000001",HOL))))</f>
        <v>45604</v>
      </c>
      <c r="N21" s="2" t="n">
        <f aca="false">IF($E21=0,$M21,WORKDAY.INTL($M21,$E21-1,"0000001",HOL))</f>
        <v>45626</v>
      </c>
      <c r="O21" s="2" t="n">
        <f aca="false">MIN(IF($E21=0,$R21,WORKDAY.INTL($R21,-($E21-1),"0000001",HOL)),IF(COUNTIFS($F22:$F$42,$B21,$T22:$T$42,"&gt;0")=0,IF($E21=0,$R21,WORKDAY.INTL($R21,-($E21-1),"0000001",HOL)),_xlfn.MINIFS($T22:$T$42,$F22:$F$42,$B21)),IF(COUNTIFS($I22:$I$42,$B21,$V22:$V$42,"&gt;0")=0,IF($E21=0,$R21,WORKDAY.INTL($R21,-($E21-1),"0000001",HOL)),_xlfn.MINIFS($V22:$V$42,$I22:$I$42,$B21)))</f>
        <v>45780</v>
      </c>
      <c r="P21" s="2" t="n">
        <f aca="false">IF($E21=0,$O21,WORKDAY.INTL($O21,$E21-1,"0000001",HOL))</f>
        <v>45803</v>
      </c>
      <c r="Q21" s="0" t="n">
        <f aca="false">IF($O21&gt;=$M21,NETWORKDAYS.INTL($M21,$O21,"0000001",HOL)-1,-(NETWORKDAYS.INTL($O21,$M21,"0000001",HOL)-1))</f>
        <v>141</v>
      </c>
      <c r="R21" s="2" t="n">
        <f aca="false">MIN(PROJ_LIMIT,IF(COUNTIFS($F22:$F$42,$B21,$S22:$S$42,"&gt;0")=0,PROJ_LIMIT,_xlfn.MINIFS($S22:$S$42,$F22:$F$42,$B21)),IF(COUNTIFS($I22:$I$42,$B21,$U22:$U$42,"&gt;0")=0,PROJ_LIMIT,_xlfn.MINIFS($U22:$U$42,$I22:$I$42,$B21)))</f>
        <v>45803</v>
      </c>
      <c r="S21" s="2" t="n">
        <f aca="false">IF(OR($F21="",$G21="SS"),"",WORKDAY.INTL($O21,-(1+$H21),"0000001",HOL))</f>
        <v>45776</v>
      </c>
      <c r="T21" s="2" t="str">
        <f aca="false">IF(OR($F21="",$G21&lt;&gt;"SS"),"",WORKDAY.INTL($O21,-$H21,"0000001",HOL))</f>
        <v/>
      </c>
      <c r="U21" s="2" t="str">
        <f aca="false">IF(OR($I21="",$J21="SS"),"",WORKDAY.INTL($O21,-(1+$K21),"0000001",HOL))</f>
        <v/>
      </c>
      <c r="V21" s="2" t="str">
        <f aca="false">IF(OR($I21="",$J21&lt;&gt;"SS"),"",WORKDAY.INTL($O21,-$K21,"0000001",HOL))</f>
        <v/>
      </c>
      <c r="W21" s="2" t="n">
        <f aca="false">$M21</f>
        <v>45604</v>
      </c>
      <c r="X21" s="2" t="n">
        <f aca="false">$N21</f>
        <v>45626</v>
      </c>
      <c r="Y21" s="2" t="n">
        <f aca="false">$O21</f>
        <v>45780</v>
      </c>
      <c r="Z21" s="2" t="n">
        <f aca="false">$P21</f>
        <v>45803</v>
      </c>
      <c r="AA21" s="0" t="n">
        <f aca="false">$Q21</f>
        <v>141</v>
      </c>
      <c r="AB21" s="0" t="str">
        <f aca="false">IF($AA21&lt;=0,"GĂNG","")</f>
        <v/>
      </c>
      <c r="AC21" s="2" t="n">
        <v>45628</v>
      </c>
      <c r="AD21" s="2" t="n">
        <v>45650</v>
      </c>
      <c r="AE21" s="0" t="n">
        <f aca="false">IF($AC21="","",$W21-$AC21)</f>
        <v>-24</v>
      </c>
      <c r="AF21" s="0" t="n">
        <f aca="false">IF($AD21="","",$X21-$AD21)</f>
        <v>-24</v>
      </c>
      <c r="AG21" s="0" t="str">
        <f aca="false">IF(ISNA(MATCH($F21,$B5:$B$20,0)),"TIỀN NHIỆM PHẢI Ở TRÊN","")</f>
        <v/>
      </c>
    </row>
    <row r="22" customFormat="false" ht="15" hidden="false" customHeight="false" outlineLevel="0" collapsed="false">
      <c r="A22" s="0" t="n">
        <v>17</v>
      </c>
      <c r="B22" s="0" t="s">
        <v>75</v>
      </c>
      <c r="C22" s="0" t="s">
        <v>76</v>
      </c>
      <c r="D22" s="6" t="s">
        <v>46</v>
      </c>
      <c r="E22" s="0" t="n">
        <v>15</v>
      </c>
      <c r="F22" s="0" t="s">
        <v>73</v>
      </c>
      <c r="G22" s="0" t="s">
        <v>49</v>
      </c>
      <c r="H22" s="0" t="n">
        <v>1</v>
      </c>
      <c r="M22" s="2" t="n">
        <f aca="false">MAX(WORKDAY.INTL(PROJ_START-1,1,"0000001",HOL),N($L22),IF($F22="",0,IF($G22="SS",WORKDAY.INTL(INDEX($M5:$M$21,MATCH($F22,$B5:$B$21,0)),$H22,"0000001",HOL),WORKDAY.INTL(INDEX($N5:$N$21,MATCH($F22,$B5:$B$21,0)),1+$H22,"0000001",HOL))),IF($I22="",0,IF($J22="SS",WORKDAY.INTL(INDEX($M5:$M$21,MATCH($I22,$B5:$B$21,0)),$K22,"0000001",HOL),WORKDAY.INTL(INDEX($N5:$N$21,MATCH($I22,$B5:$B$21,0)),1+$K22,"0000001",HOL))))</f>
        <v>45629</v>
      </c>
      <c r="N22" s="2" t="n">
        <f aca="false">IF($E22=0,$M22,WORKDAY.INTL($M22,$E22-1,"0000001",HOL))</f>
        <v>45645</v>
      </c>
      <c r="O22" s="2" t="n">
        <f aca="false">MIN(IF($E22=0,$R22,WORKDAY.INTL($R22,-($E22-1),"0000001",HOL)),IF(COUNTIFS($F23:$F$42,$B22,$T23:$T$42,"&gt;0")=0,IF($E22=0,$R22,WORKDAY.INTL($R22,-($E22-1),"0000001",HOL)),_xlfn.MINIFS($T23:$T$42,$F23:$F$42,$B22)),IF(COUNTIFS($I23:$I$42,$B22,$V23:$V$42,"&gt;0")=0,IF($E22=0,$R22,WORKDAY.INTL($R22,-($E22-1),"0000001",HOL)),_xlfn.MINIFS($V23:$V$42,$I23:$I$42,$B22)))</f>
        <v>45805</v>
      </c>
      <c r="P22" s="2" t="n">
        <f aca="false">IF($E22=0,$O22,WORKDAY.INTL($O22,$E22-1,"0000001",HOL))</f>
        <v>45821</v>
      </c>
      <c r="Q22" s="0" t="n">
        <f aca="false">IF($O22&gt;=$M22,NETWORKDAYS.INTL($M22,$O22,"0000001",HOL)-1,-(NETWORKDAYS.INTL($O22,$M22,"0000001",HOL)-1))</f>
        <v>141</v>
      </c>
      <c r="R22" s="2" t="n">
        <f aca="false">MIN(PROJ_LIMIT,IF(COUNTIFS($F23:$F$42,$B22,$S23:$S$42,"&gt;0")=0,PROJ_LIMIT,_xlfn.MINIFS($S23:$S$42,$F23:$F$42,$B22)),IF(COUNTIFS($I23:$I$42,$B22,$U23:$U$42,"&gt;0")=0,PROJ_LIMIT,_xlfn.MINIFS($U23:$U$42,$I23:$I$42,$B22)))</f>
        <v>45821</v>
      </c>
      <c r="S22" s="2" t="n">
        <f aca="false">IF(OR($F22="",$G22="SS"),"",WORKDAY.INTL($O22,-(1+$H22),"0000001",HOL))</f>
        <v>45803</v>
      </c>
      <c r="T22" s="2" t="str">
        <f aca="false">IF(OR($F22="",$G22&lt;&gt;"SS"),"",WORKDAY.INTL($O22,-$H22,"0000001",HOL))</f>
        <v/>
      </c>
      <c r="U22" s="2" t="str">
        <f aca="false">IF(OR($I22="",$J22="SS"),"",WORKDAY.INTL($O22,-(1+$K22),"0000001",HOL))</f>
        <v/>
      </c>
      <c r="V22" s="2" t="str">
        <f aca="false">IF(OR($I22="",$J22&lt;&gt;"SS"),"",WORKDAY.INTL($O22,-$K22,"0000001",HOL))</f>
        <v/>
      </c>
      <c r="W22" s="2" t="n">
        <f aca="false">$M22</f>
        <v>45629</v>
      </c>
      <c r="X22" s="2" t="n">
        <f aca="false">$N22</f>
        <v>45645</v>
      </c>
      <c r="Y22" s="2" t="n">
        <f aca="false">$O22</f>
        <v>45805</v>
      </c>
      <c r="Z22" s="2" t="n">
        <f aca="false">$P22</f>
        <v>45821</v>
      </c>
      <c r="AA22" s="0" t="n">
        <f aca="false">$Q22</f>
        <v>141</v>
      </c>
      <c r="AB22" s="0" t="str">
        <f aca="false">IF($AA22&lt;=0,"GĂNG","")</f>
        <v/>
      </c>
      <c r="AC22" s="2" t="n">
        <v>45652</v>
      </c>
      <c r="AD22" s="2" t="n">
        <v>45670</v>
      </c>
      <c r="AE22" s="0" t="n">
        <f aca="false">IF($AC22="","",$W22-$AC22)</f>
        <v>-23</v>
      </c>
      <c r="AF22" s="0" t="n">
        <f aca="false">IF($AD22="","",$X22-$AD22)</f>
        <v>-25</v>
      </c>
      <c r="AG22" s="0" t="str">
        <f aca="false">IF(ISNA(MATCH($F22,$B5:$B$21,0)),"TIỀN NHIỆM PHẢI Ở TRÊN","")</f>
        <v/>
      </c>
    </row>
    <row r="23" customFormat="false" ht="15" hidden="false" customHeight="false" outlineLevel="0" collapsed="false">
      <c r="A23" s="0" t="n">
        <v>18</v>
      </c>
      <c r="B23" s="0" t="s">
        <v>77</v>
      </c>
      <c r="C23" s="0" t="s">
        <v>78</v>
      </c>
      <c r="D23" s="6" t="s">
        <v>46</v>
      </c>
      <c r="E23" s="0" t="n">
        <v>50</v>
      </c>
      <c r="F23" s="0" t="s">
        <v>75</v>
      </c>
      <c r="G23" s="0" t="s">
        <v>49</v>
      </c>
      <c r="H23" s="0" t="n">
        <v>10</v>
      </c>
      <c r="M23" s="2" t="n">
        <f aca="false">MAX(WORKDAY.INTL(PROJ_START-1,1,"0000001",HOL),N($L23),IF($F23="",0,IF($G23="SS",WORKDAY.INTL(INDEX($M5:$M$22,MATCH($F23,$B5:$B$22,0)),$H23,"0000001",HOL),WORKDAY.INTL(INDEX($N5:$N$22,MATCH($F23,$B5:$B$22,0)),1+$H23,"0000001",HOL))),IF($I23="",0,IF($J23="SS",WORKDAY.INTL(INDEX($M5:$M$22,MATCH($I23,$B5:$B$22,0)),$K23,"0000001",HOL),WORKDAY.INTL(INDEX($N5:$N$22,MATCH($I23,$B5:$B$22,0)),1+$K23,"0000001",HOL))))</f>
        <v>45659</v>
      </c>
      <c r="N23" s="2" t="n">
        <f aca="false">IF($E23=0,$M23,WORKDAY.INTL($M23,$E23-1,"0000001",HOL))</f>
        <v>45723</v>
      </c>
      <c r="O23" s="2" t="n">
        <f aca="false">MIN(IF($E23=0,$R23,WORKDAY.INTL($R23,-($E23-1),"0000001",HOL)),IF(COUNTIFS($F24:$F$42,$B23,$T24:$T$42,"&gt;0")=0,IF($E23=0,$R23,WORKDAY.INTL($R23,-($E23-1),"0000001",HOL)),_xlfn.MINIFS($T24:$T$42,$F24:$F$42,$B23)),IF(COUNTIFS($I24:$I$42,$B23,$V24:$V$42,"&gt;0")=0,IF($E23=0,$R23,WORKDAY.INTL($R23,-($E23-1),"0000001",HOL)),_xlfn.MINIFS($V24:$V$42,$I24:$I$42,$B23)))</f>
        <v>45834</v>
      </c>
      <c r="P23" s="2" t="n">
        <f aca="false">IF($E23=0,$O23,WORKDAY.INTL($O23,$E23-1,"0000001",HOL))</f>
        <v>45891</v>
      </c>
      <c r="Q23" s="0" t="n">
        <f aca="false">IF($O23&gt;=$M23,NETWORKDAYS.INTL($M23,$O23,"0000001",HOL)-1,-(NETWORKDAYS.INTL($O23,$M23,"0000001",HOL)-1))</f>
        <v>141</v>
      </c>
      <c r="R23" s="2" t="n">
        <f aca="false">MIN(PROJ_LIMIT,IF(COUNTIFS($F24:$F$42,$B23,$S24:$S$42,"&gt;0")=0,PROJ_LIMIT,_xlfn.MINIFS($S24:$S$42,$F24:$F$42,$B23)),IF(COUNTIFS($I24:$I$42,$B23,$U24:$U$42,"&gt;0")=0,PROJ_LIMIT,_xlfn.MINIFS($U24:$U$42,$I24:$I$42,$B23)))</f>
        <v>45891</v>
      </c>
      <c r="S23" s="2" t="n">
        <f aca="false">IF(OR($F23="",$G23="SS"),"",WORKDAY.INTL($O23,-(1+$H23),"0000001",HOL))</f>
        <v>45821</v>
      </c>
      <c r="T23" s="2" t="str">
        <f aca="false">IF(OR($F23="",$G23&lt;&gt;"SS"),"",WORKDAY.INTL($O23,-$H23,"0000001",HOL))</f>
        <v/>
      </c>
      <c r="U23" s="2" t="str">
        <f aca="false">IF(OR($I23="",$J23="SS"),"",WORKDAY.INTL($O23,-(1+$K23),"0000001",HOL))</f>
        <v/>
      </c>
      <c r="V23" s="2" t="str">
        <f aca="false">IF(OR($I23="",$J23&lt;&gt;"SS"),"",WORKDAY.INTL($O23,-$K23,"0000001",HOL))</f>
        <v/>
      </c>
      <c r="W23" s="2" t="n">
        <f aca="false">$M23</f>
        <v>45659</v>
      </c>
      <c r="X23" s="2" t="n">
        <f aca="false">$N23</f>
        <v>45723</v>
      </c>
      <c r="Y23" s="2" t="n">
        <f aca="false">$O23</f>
        <v>45834</v>
      </c>
      <c r="Z23" s="2" t="n">
        <f aca="false">$P23</f>
        <v>45891</v>
      </c>
      <c r="AA23" s="0" t="n">
        <f aca="false">$Q23</f>
        <v>141</v>
      </c>
      <c r="AB23" s="0" t="str">
        <f aca="false">IF($AA23&lt;=0,"GĂNG","")</f>
        <v/>
      </c>
      <c r="AC23" s="2" t="n">
        <v>45681</v>
      </c>
      <c r="AD23" s="2" t="n">
        <v>45745</v>
      </c>
      <c r="AE23" s="0" t="n">
        <f aca="false">IF($AC23="","",$W23-$AC23)</f>
        <v>-22</v>
      </c>
      <c r="AF23" s="0" t="n">
        <f aca="false">IF($AD23="","",$X23-$AD23)</f>
        <v>-22</v>
      </c>
      <c r="AG23" s="0" t="str">
        <f aca="false">IF(ISNA(MATCH($F23,$B5:$B$22,0)),"TIỀN NHIỆM PHẢI Ở TRÊN","")</f>
        <v/>
      </c>
    </row>
    <row r="24" customFormat="false" ht="15" hidden="false" customHeight="false" outlineLevel="0" collapsed="false">
      <c r="A24" s="0" t="n">
        <v>19</v>
      </c>
      <c r="B24" s="0" t="s">
        <v>79</v>
      </c>
      <c r="C24" s="0" t="s">
        <v>80</v>
      </c>
      <c r="D24" s="6" t="s">
        <v>46</v>
      </c>
      <c r="E24" s="0" t="n">
        <v>28</v>
      </c>
      <c r="F24" s="0" t="s">
        <v>77</v>
      </c>
      <c r="G24" s="0" t="s">
        <v>49</v>
      </c>
      <c r="H24" s="0" t="n">
        <v>5</v>
      </c>
      <c r="M24" s="2" t="n">
        <f aca="false">MAX(WORKDAY.INTL(PROJ_START-1,1,"0000001",HOL),N($L24),IF($F24="",0,IF($G24="SS",WORKDAY.INTL(INDEX($M5:$M$23,MATCH($F24,$B5:$B$23,0)),$H24,"0000001",HOL),WORKDAY.INTL(INDEX($N5:$N$23,MATCH($F24,$B5:$B$23,0)),1+$H24,"0000001",HOL))),IF($I24="",0,IF($J24="SS",WORKDAY.INTL(INDEX($M5:$M$23,MATCH($I24,$B5:$B$23,0)),$K24,"0000001",HOL),WORKDAY.INTL(INDEX($N5:$N$23,MATCH($I24,$B5:$B$23,0)),1+$K24,"0000001",HOL))))</f>
        <v>45730</v>
      </c>
      <c r="N24" s="2" t="n">
        <f aca="false">IF($E24=0,$M24,WORKDAY.INTL($M24,$E24-1,"0000001",HOL))</f>
        <v>45763</v>
      </c>
      <c r="O24" s="2" t="n">
        <f aca="false">MIN(IF($E24=0,$R24,WORKDAY.INTL($R24,-($E24-1),"0000001",HOL)),IF(COUNTIFS($F25:$F$42,$B24,$T25:$T$42,"&gt;0")=0,IF($E24=0,$R24,WORKDAY.INTL($R24,-($E24-1),"0000001",HOL)),_xlfn.MINIFS($T25:$T$42,$F25:$F$42,$B24)),IF(COUNTIFS($I25:$I$42,$B24,$V25:$V$42,"&gt;0")=0,IF($E24=0,$R24,WORKDAY.INTL($R24,-($E24-1),"0000001",HOL)),_xlfn.MINIFS($V25:$V$42,$I25:$I$42,$B24)))</f>
        <v>45898</v>
      </c>
      <c r="P24" s="2" t="n">
        <f aca="false">IF($E24=0,$O24,WORKDAY.INTL($O24,$E24-1,"0000001",HOL))</f>
        <v>45932</v>
      </c>
      <c r="Q24" s="0" t="n">
        <f aca="false">IF($O24&gt;=$M24,NETWORKDAYS.INTL($M24,$O24,"0000001",HOL)-1,-(NETWORKDAYS.INTL($O24,$M24,"0000001",HOL)-1))</f>
        <v>141</v>
      </c>
      <c r="R24" s="2" t="n">
        <f aca="false">MIN(PROJ_LIMIT,IF(COUNTIFS($F25:$F$42,$B24,$S25:$S$42,"&gt;0")=0,PROJ_LIMIT,_xlfn.MINIFS($S25:$S$42,$F25:$F$42,$B24)),IF(COUNTIFS($I25:$I$42,$B24,$U25:$U$42,"&gt;0")=0,PROJ_LIMIT,_xlfn.MINIFS($U25:$U$42,$I25:$I$42,$B24)))</f>
        <v>45932</v>
      </c>
      <c r="S24" s="2" t="n">
        <f aca="false">IF(OR($F24="",$G24="SS"),"",WORKDAY.INTL($O24,-(1+$H24),"0000001",HOL))</f>
        <v>45891</v>
      </c>
      <c r="T24" s="2" t="str">
        <f aca="false">IF(OR($F24="",$G24&lt;&gt;"SS"),"",WORKDAY.INTL($O24,-$H24,"0000001",HOL))</f>
        <v/>
      </c>
      <c r="U24" s="2" t="str">
        <f aca="false">IF(OR($I24="",$J24="SS"),"",WORKDAY.INTL($O24,-(1+$K24),"0000001",HOL))</f>
        <v/>
      </c>
      <c r="V24" s="2" t="str">
        <f aca="false">IF(OR($I24="",$J24&lt;&gt;"SS"),"",WORKDAY.INTL($O24,-$K24,"0000001",HOL))</f>
        <v/>
      </c>
      <c r="W24" s="2" t="n">
        <f aca="false">$M24</f>
        <v>45730</v>
      </c>
      <c r="X24" s="2" t="n">
        <f aca="false">$N24</f>
        <v>45763</v>
      </c>
      <c r="Y24" s="2" t="n">
        <f aca="false">$O24</f>
        <v>45898</v>
      </c>
      <c r="Z24" s="2" t="n">
        <f aca="false">$P24</f>
        <v>45932</v>
      </c>
      <c r="AA24" s="0" t="n">
        <f aca="false">$Q24</f>
        <v>141</v>
      </c>
      <c r="AB24" s="0" t="str">
        <f aca="false">IF($AA24&lt;=0,"GĂNG","")</f>
        <v/>
      </c>
      <c r="AC24" s="2" t="n">
        <v>45751</v>
      </c>
      <c r="AD24" s="2" t="n">
        <v>45786</v>
      </c>
      <c r="AE24" s="0" t="n">
        <f aca="false">IF($AC24="","",$W24-$AC24)</f>
        <v>-21</v>
      </c>
      <c r="AF24" s="0" t="n">
        <f aca="false">IF($AD24="","",$X24-$AD24)</f>
        <v>-23</v>
      </c>
      <c r="AG24" s="0" t="str">
        <f aca="false">IF(ISNA(MATCH($F24,$B5:$B$23,0)),"TIỀN NHIỆM PHẢI Ở TRÊN","")</f>
        <v/>
      </c>
    </row>
    <row r="25" customFormat="false" ht="15" hidden="false" customHeight="false" outlineLevel="0" collapsed="false">
      <c r="A25" s="0" t="n">
        <v>20</v>
      </c>
      <c r="B25" s="5" t="s">
        <v>81</v>
      </c>
      <c r="C25" s="5" t="s">
        <v>82</v>
      </c>
      <c r="D25" s="5" t="s">
        <v>41</v>
      </c>
      <c r="E25" s="0" t="n">
        <v>630</v>
      </c>
      <c r="M25" s="2"/>
      <c r="N25" s="2"/>
      <c r="O25" s="2"/>
      <c r="P25" s="2"/>
      <c r="R25" s="2"/>
      <c r="S25" s="2"/>
      <c r="T25" s="2"/>
      <c r="U25" s="2"/>
      <c r="V25" s="2"/>
      <c r="W25" s="2" t="n">
        <f aca="false">_xlfn.MINIFS($M6:$M$42,$B6:$B$42,$B25&amp;".*")</f>
        <v>45309</v>
      </c>
      <c r="X25" s="2" t="n">
        <f aca="false">_xlfn.MAXIFS($N6:$N$42,$B6:$B$42,$B25&amp;".*")</f>
        <v>45812</v>
      </c>
      <c r="Y25" s="2" t="n">
        <f aca="false">_xlfn.MINIFS($O6:$O$42,$B6:$B$42,$B25&amp;".*")</f>
        <v>45309</v>
      </c>
      <c r="Z25" s="2" t="n">
        <f aca="false">_xlfn.MAXIFS($P6:$P$42,$B6:$B$42,$B25&amp;".*")</f>
        <v>45932</v>
      </c>
      <c r="AA25" s="0" t="n">
        <f aca="false">_xlfn.MINIFS($Q6:$Q$42,$B6:$B$42,$B25&amp;".*")</f>
        <v>0</v>
      </c>
      <c r="AB25" s="0" t="str">
        <f aca="false">IF($AA25&lt;=0,"GĂNG","")</f>
        <v>GĂNG</v>
      </c>
      <c r="AC25" s="2" t="n">
        <v>45305</v>
      </c>
      <c r="AD25" s="2" t="n">
        <v>45841</v>
      </c>
      <c r="AE25" s="0" t="n">
        <f aca="false">IF($AC25="","",$W25-$AC25)</f>
        <v>4</v>
      </c>
      <c r="AF25" s="0" t="n">
        <f aca="false">IF($AD25="","",$X25-$AD25)</f>
        <v>-29</v>
      </c>
    </row>
    <row r="26" customFormat="false" ht="15" hidden="false" customHeight="false" outlineLevel="0" collapsed="false">
      <c r="A26" s="0" t="n">
        <v>21</v>
      </c>
      <c r="B26" s="0" t="s">
        <v>83</v>
      </c>
      <c r="C26" s="0" t="s">
        <v>84</v>
      </c>
      <c r="D26" s="6" t="s">
        <v>46</v>
      </c>
      <c r="E26" s="0" t="n">
        <v>45</v>
      </c>
      <c r="F26" s="0" t="s">
        <v>50</v>
      </c>
      <c r="G26" s="0" t="s">
        <v>49</v>
      </c>
      <c r="H26" s="0" t="n">
        <v>15</v>
      </c>
      <c r="M26" s="2" t="n">
        <f aca="false">MAX(WORKDAY.INTL(PROJ_START-1,1,"0000001",HOL),N($L26),IF($F26="",0,IF($G26="SS",WORKDAY.INTL(INDEX($M5:$M$25,MATCH($F26,$B5:$B$25,0)),$H26,"0000001",HOL),WORKDAY.INTL(INDEX($N5:$N$25,MATCH($F26,$B5:$B$25,0)),1+$H26,"0000001",HOL))),IF($I26="",0,IF($J26="SS",WORKDAY.INTL(INDEX($M5:$M$25,MATCH($I26,$B5:$B$25,0)),$K26,"0000001",HOL),WORKDAY.INTL(INDEX($N5:$N$25,MATCH($I26,$B5:$B$25,0)),1+$K26,"0000001",HOL))))</f>
        <v>45309</v>
      </c>
      <c r="N26" s="2" t="n">
        <f aca="false">IF($E26=0,$M26,WORKDAY.INTL($M26,$E26-1,"0000001",HOL))</f>
        <v>45367</v>
      </c>
      <c r="O26" s="2" t="n">
        <f aca="false">MIN(IF($E26=0,$R26,WORKDAY.INTL($R26,-($E26-1),"0000001",HOL)),IF(COUNTIFS($F27:$F$42,$B26,$T27:$T$42,"&gt;0")=0,IF($E26=0,$R26,WORKDAY.INTL($R26,-($E26-1),"0000001",HOL)),_xlfn.MINIFS($T27:$T$42,$F27:$F$42,$B26)),IF(COUNTIFS($I27:$I$42,$B26,$V27:$V$42,"&gt;0")=0,IF($E26=0,$R26,WORKDAY.INTL($R26,-($E26-1),"0000001",HOL)),_xlfn.MINIFS($V27:$V$42,$I27:$I$42,$B26)))</f>
        <v>45309</v>
      </c>
      <c r="P26" s="2" t="n">
        <f aca="false">IF($E26=0,$O26,WORKDAY.INTL($O26,$E26-1,"0000001",HOL))</f>
        <v>45367</v>
      </c>
      <c r="Q26" s="0" t="n">
        <f aca="false">IF($O26&gt;=$M26,NETWORKDAYS.INTL($M26,$O26,"0000001",HOL)-1,-(NETWORKDAYS.INTL($O26,$M26,"0000001",HOL)-1))</f>
        <v>0</v>
      </c>
      <c r="R26" s="2" t="n">
        <f aca="false">MIN(PROJ_LIMIT,IF(COUNTIFS($F27:$F$42,$B26,$S27:$S$42,"&gt;0")=0,PROJ_LIMIT,_xlfn.MINIFS($S27:$S$42,$F27:$F$42,$B26)),IF(COUNTIFS($I27:$I$42,$B26,$U27:$U$42,"&gt;0")=0,PROJ_LIMIT,_xlfn.MINIFS($U27:$U$42,$I27:$I$42,$B26)))</f>
        <v>45932</v>
      </c>
      <c r="S26" s="2" t="n">
        <f aca="false">IF(OR($F26="",$G26="SS"),"",WORKDAY.INTL($O26,-(1+$H26),"0000001",HOL))</f>
        <v>45289</v>
      </c>
      <c r="T26" s="2" t="str">
        <f aca="false">IF(OR($F26="",$G26&lt;&gt;"SS"),"",WORKDAY.INTL($O26,-$H26,"0000001",HOL))</f>
        <v/>
      </c>
      <c r="U26" s="2" t="str">
        <f aca="false">IF(OR($I26="",$J26="SS"),"",WORKDAY.INTL($O26,-(1+$K26),"0000001",HOL))</f>
        <v/>
      </c>
      <c r="V26" s="2" t="str">
        <f aca="false">IF(OR($I26="",$J26&lt;&gt;"SS"),"",WORKDAY.INTL($O26,-$K26,"0000001",HOL))</f>
        <v/>
      </c>
      <c r="W26" s="2" t="n">
        <f aca="false">$M26</f>
        <v>45309</v>
      </c>
      <c r="X26" s="2" t="n">
        <f aca="false">$N26</f>
        <v>45367</v>
      </c>
      <c r="Y26" s="2" t="n">
        <f aca="false">$O26</f>
        <v>45309</v>
      </c>
      <c r="Z26" s="2" t="n">
        <f aca="false">$P26</f>
        <v>45367</v>
      </c>
      <c r="AA26" s="0" t="n">
        <f aca="false">$Q26</f>
        <v>0</v>
      </c>
      <c r="AB26" s="0" t="str">
        <f aca="false">IF($AA26&lt;=0,"GĂNG","")</f>
        <v>GĂNG</v>
      </c>
      <c r="AC26" s="2" t="n">
        <v>45305</v>
      </c>
      <c r="AD26" s="2" t="n">
        <v>45364</v>
      </c>
      <c r="AE26" s="0" t="n">
        <f aca="false">IF($AC26="","",$W26-$AC26)</f>
        <v>4</v>
      </c>
      <c r="AF26" s="0" t="n">
        <f aca="false">IF($AD26="","",$X26-$AD26)</f>
        <v>3</v>
      </c>
      <c r="AG26" s="0" t="str">
        <f aca="false">IF(ISNA(MATCH($F26,$B5:$B$25,0)),"TIỀN NHIỆM PHẢI Ở TRÊN","")</f>
        <v/>
      </c>
    </row>
    <row r="27" customFormat="false" ht="15" hidden="false" customHeight="false" outlineLevel="0" collapsed="false">
      <c r="A27" s="0" t="n">
        <v>22</v>
      </c>
      <c r="B27" s="0" t="s">
        <v>85</v>
      </c>
      <c r="C27" s="0" t="s">
        <v>86</v>
      </c>
      <c r="D27" s="6" t="s">
        <v>46</v>
      </c>
      <c r="E27" s="0" t="n">
        <v>96</v>
      </c>
      <c r="F27" s="0" t="s">
        <v>83</v>
      </c>
      <c r="G27" s="0" t="s">
        <v>60</v>
      </c>
      <c r="H27" s="0" t="n">
        <v>15</v>
      </c>
      <c r="M27" s="2" t="n">
        <f aca="false">MAX(WORKDAY.INTL(PROJ_START-1,1,"0000001",HOL),N($L27),IF($F27="",0,IF($G27="SS",WORKDAY.INTL(INDEX($M5:$M$26,MATCH($F27,$B5:$B$26,0)),$H27,"0000001",HOL),WORKDAY.INTL(INDEX($N5:$N$26,MATCH($F27,$B5:$B$26,0)),1+$H27,"0000001",HOL))),IF($I27="",0,IF($J27="SS",WORKDAY.INTL(INDEX($M5:$M$26,MATCH($I27,$B5:$B$26,0)),$K27,"0000001",HOL),WORKDAY.INTL(INDEX($N5:$N$26,MATCH($I27,$B5:$B$26,0)),1+$K27,"0000001",HOL))))</f>
        <v>45327</v>
      </c>
      <c r="N27" s="2" t="n">
        <f aca="false">IF($E27=0,$M27,WORKDAY.INTL($M27,$E27-1,"0000001",HOL))</f>
        <v>45448</v>
      </c>
      <c r="O27" s="2" t="n">
        <f aca="false">MIN(IF($E27=0,$R27,WORKDAY.INTL($R27,-($E27-1),"0000001",HOL)),IF(COUNTIFS($F28:$F$42,$B27,$T28:$T$42,"&gt;0")=0,IF($E27=0,$R27,WORKDAY.INTL($R27,-($E27-1),"0000001",HOL)),_xlfn.MINIFS($T28:$T$42,$F28:$F$42,$B27)),IF(COUNTIFS($I28:$I$42,$B27,$V28:$V$42,"&gt;0")=0,IF($E27=0,$R27,WORKDAY.INTL($R27,-($E27-1),"0000001",HOL)),_xlfn.MINIFS($V28:$V$42,$I28:$I$42,$B27)))</f>
        <v>45327</v>
      </c>
      <c r="P27" s="2" t="n">
        <f aca="false">IF($E27=0,$O27,WORKDAY.INTL($O27,$E27-1,"0000001",HOL))</f>
        <v>45448</v>
      </c>
      <c r="Q27" s="0" t="n">
        <f aca="false">IF($O27&gt;=$M27,NETWORKDAYS.INTL($M27,$O27,"0000001",HOL)-1,-(NETWORKDAYS.INTL($O27,$M27,"0000001",HOL)-1))</f>
        <v>0</v>
      </c>
      <c r="R27" s="2" t="n">
        <f aca="false">MIN(PROJ_LIMIT,IF(COUNTIFS($F28:$F$42,$B27,$S28:$S$42,"&gt;0")=0,PROJ_LIMIT,_xlfn.MINIFS($S28:$S$42,$F28:$F$42,$B27)),IF(COUNTIFS($I28:$I$42,$B27,$U28:$U$42,"&gt;0")=0,PROJ_LIMIT,_xlfn.MINIFS($U28:$U$42,$I28:$I$42,$B27)))</f>
        <v>45932</v>
      </c>
      <c r="S27" s="2" t="str">
        <f aca="false">IF(OR($F27="",$G27="SS"),"",WORKDAY.INTL($O27,-(1+$H27),"0000001",HOL))</f>
        <v/>
      </c>
      <c r="T27" s="2" t="n">
        <f aca="false">IF(OR($F27="",$G27&lt;&gt;"SS"),"",WORKDAY.INTL($O27,-$H27,"0000001",HOL))</f>
        <v>45309</v>
      </c>
      <c r="U27" s="2" t="str">
        <f aca="false">IF(OR($I27="",$J27="SS"),"",WORKDAY.INTL($O27,-(1+$K27),"0000001",HOL))</f>
        <v/>
      </c>
      <c r="V27" s="2" t="str">
        <f aca="false">IF(OR($I27="",$J27&lt;&gt;"SS"),"",WORKDAY.INTL($O27,-$K27,"0000001",HOL))</f>
        <v/>
      </c>
      <c r="W27" s="2" t="n">
        <f aca="false">$M27</f>
        <v>45327</v>
      </c>
      <c r="X27" s="2" t="n">
        <f aca="false">$N27</f>
        <v>45448</v>
      </c>
      <c r="Y27" s="2" t="n">
        <f aca="false">$O27</f>
        <v>45327</v>
      </c>
      <c r="Z27" s="2" t="n">
        <f aca="false">$P27</f>
        <v>45448</v>
      </c>
      <c r="AA27" s="0" t="n">
        <f aca="false">$Q27</f>
        <v>0</v>
      </c>
      <c r="AB27" s="0" t="str">
        <f aca="false">IF($AA27&lt;=0,"GĂNG","")</f>
        <v>GĂNG</v>
      </c>
      <c r="AC27" s="2" t="n">
        <v>45320</v>
      </c>
      <c r="AD27" s="2" t="n">
        <v>45441</v>
      </c>
      <c r="AE27" s="0" t="n">
        <f aca="false">IF($AC27="","",$W27-$AC27)</f>
        <v>7</v>
      </c>
      <c r="AF27" s="0" t="n">
        <f aca="false">IF($AD27="","",$X27-$AD27)</f>
        <v>7</v>
      </c>
      <c r="AG27" s="0" t="str">
        <f aca="false">IF(ISNA(MATCH($F27,$B5:$B$26,0)),"TIỀN NHIỆM PHẢI Ở TRÊN","")</f>
        <v/>
      </c>
    </row>
    <row r="28" customFormat="false" ht="15" hidden="false" customHeight="false" outlineLevel="0" collapsed="false">
      <c r="A28" s="0" t="n">
        <v>23</v>
      </c>
      <c r="B28" s="0" t="s">
        <v>87</v>
      </c>
      <c r="C28" s="0" t="s">
        <v>88</v>
      </c>
      <c r="D28" s="6" t="s">
        <v>46</v>
      </c>
      <c r="E28" s="0" t="n">
        <v>162</v>
      </c>
      <c r="F28" s="0" t="s">
        <v>85</v>
      </c>
      <c r="G28" s="0" t="s">
        <v>60</v>
      </c>
      <c r="H28" s="0" t="n">
        <v>15</v>
      </c>
      <c r="M28" s="2" t="n">
        <f aca="false">MAX(WORKDAY.INTL(PROJ_START-1,1,"0000001",HOL),N($L28),IF($F28="",0,IF($G28="SS",WORKDAY.INTL(INDEX($M5:$M$27,MATCH($F28,$B5:$B$27,0)),$H28,"0000001",HOL),WORKDAY.INTL(INDEX($N5:$N$27,MATCH($F28,$B5:$B$27,0)),1+$H28,"0000001",HOL))),IF($I28="",0,IF($J28="SS",WORKDAY.INTL(INDEX($M5:$M$27,MATCH($I28,$B5:$B$27,0)),$K28,"0000001",HOL),WORKDAY.INTL(INDEX($N5:$N$27,MATCH($I28,$B5:$B$27,0)),1+$K28,"0000001",HOL))))</f>
        <v>45351</v>
      </c>
      <c r="N28" s="2" t="n">
        <f aca="false">IF($E28=0,$M28,WORKDAY.INTL($M28,$E28-1,"0000001",HOL))</f>
        <v>45545</v>
      </c>
      <c r="O28" s="2" t="n">
        <f aca="false">MIN(IF($E28=0,$R28,WORKDAY.INTL($R28,-($E28-1),"0000001",HOL)),IF(COUNTIFS($F29:$F$42,$B28,$T29:$T$42,"&gt;0")=0,IF($E28=0,$R28,WORKDAY.INTL($R28,-($E28-1),"0000001",HOL)),_xlfn.MINIFS($T29:$T$42,$F29:$F$42,$B28)),IF(COUNTIFS($I29:$I$42,$B28,$V29:$V$42,"&gt;0")=0,IF($E28=0,$R28,WORKDAY.INTL($R28,-($E28-1),"0000001",HOL)),_xlfn.MINIFS($V29:$V$42,$I29:$I$42,$B28)))</f>
        <v>45738</v>
      </c>
      <c r="P28" s="2" t="n">
        <f aca="false">IF($E28=0,$O28,WORKDAY.INTL($O28,$E28-1,"0000001",HOL))</f>
        <v>45932</v>
      </c>
      <c r="Q28" s="0" t="n">
        <f aca="false">IF($O28&gt;=$M28,NETWORKDAYS.INTL($M28,$O28,"0000001",HOL)-1,-(NETWORKDAYS.INTL($O28,$M28,"0000001",HOL)-1))</f>
        <v>320</v>
      </c>
      <c r="R28" s="2" t="n">
        <f aca="false">MIN(PROJ_LIMIT,IF(COUNTIFS($F29:$F$42,$B28,$S29:$S$42,"&gt;0")=0,PROJ_LIMIT,_xlfn.MINIFS($S29:$S$42,$F29:$F$42,$B28)),IF(COUNTIFS($I29:$I$42,$B28,$U29:$U$42,"&gt;0")=0,PROJ_LIMIT,_xlfn.MINIFS($U29:$U$42,$I29:$I$42,$B28)))</f>
        <v>45932</v>
      </c>
      <c r="S28" s="2" t="str">
        <f aca="false">IF(OR($F28="",$G28="SS"),"",WORKDAY.INTL($O28,-(1+$H28),"0000001",HOL))</f>
        <v/>
      </c>
      <c r="T28" s="2" t="n">
        <f aca="false">IF(OR($F28="",$G28&lt;&gt;"SS"),"",WORKDAY.INTL($O28,-$H28,"0000001",HOL))</f>
        <v>45721</v>
      </c>
      <c r="U28" s="2" t="str">
        <f aca="false">IF(OR($I28="",$J28="SS"),"",WORKDAY.INTL($O28,-(1+$K28),"0000001",HOL))</f>
        <v/>
      </c>
      <c r="V28" s="2" t="str">
        <f aca="false">IF(OR($I28="",$J28&lt;&gt;"SS"),"",WORKDAY.INTL($O28,-$K28,"0000001",HOL))</f>
        <v/>
      </c>
      <c r="W28" s="2" t="n">
        <f aca="false">$M28</f>
        <v>45351</v>
      </c>
      <c r="X28" s="2" t="n">
        <f aca="false">$N28</f>
        <v>45545</v>
      </c>
      <c r="Y28" s="2" t="n">
        <f aca="false">$O28</f>
        <v>45738</v>
      </c>
      <c r="Z28" s="2" t="n">
        <f aca="false">$P28</f>
        <v>45932</v>
      </c>
      <c r="AA28" s="0" t="n">
        <f aca="false">$Q28</f>
        <v>320</v>
      </c>
      <c r="AB28" s="0" t="str">
        <f aca="false">IF($AA28&lt;=0,"GĂNG","")</f>
        <v/>
      </c>
      <c r="AC28" s="2" t="n">
        <v>45335</v>
      </c>
      <c r="AD28" s="2" t="n">
        <v>45528</v>
      </c>
      <c r="AE28" s="0" t="n">
        <f aca="false">IF($AC28="","",$W28-$AC28)</f>
        <v>16</v>
      </c>
      <c r="AF28" s="0" t="n">
        <f aca="false">IF($AD28="","",$X28-$AD28)</f>
        <v>17</v>
      </c>
      <c r="AG28" s="0" t="str">
        <f aca="false">IF(ISNA(MATCH($F28,$B5:$B$27,0)),"TIỀN NHIỆM PHẢI Ở TRÊN","")</f>
        <v/>
      </c>
    </row>
    <row r="29" customFormat="false" ht="15" hidden="false" customHeight="false" outlineLevel="0" collapsed="false">
      <c r="A29" s="0" t="n">
        <v>24</v>
      </c>
      <c r="B29" s="0" t="s">
        <v>89</v>
      </c>
      <c r="C29" s="0" t="s">
        <v>90</v>
      </c>
      <c r="D29" s="6" t="s">
        <v>46</v>
      </c>
      <c r="E29" s="0" t="n">
        <v>133</v>
      </c>
      <c r="F29" s="0" t="s">
        <v>85</v>
      </c>
      <c r="G29" s="0" t="s">
        <v>60</v>
      </c>
      <c r="H29" s="0" t="n">
        <v>40</v>
      </c>
      <c r="M29" s="2" t="n">
        <f aca="false">MAX(WORKDAY.INTL(PROJ_START-1,1,"0000001",HOL),N($L29),IF($F29="",0,IF($G29="SS",WORKDAY.INTL(INDEX($M5:$M$28,MATCH($F29,$B5:$B$28,0)),$H29,"0000001",HOL),WORKDAY.INTL(INDEX($N5:$N$28,MATCH($F29,$B5:$B$28,0)),1+$H29,"0000001",HOL))),IF($I29="",0,IF($J29="SS",WORKDAY.INTL(INDEX($M5:$M$28,MATCH($I29,$B5:$B$28,0)),$K29,"0000001",HOL),WORKDAY.INTL(INDEX($N5:$N$28,MATCH($I29,$B5:$B$28,0)),1+$K29,"0000001",HOL))))</f>
        <v>45380</v>
      </c>
      <c r="N29" s="2" t="n">
        <f aca="false">IF($E29=0,$M29,WORKDAY.INTL($M29,$E29-1,"0000001",HOL))</f>
        <v>45540</v>
      </c>
      <c r="O29" s="2" t="n">
        <f aca="false">MIN(IF($E29=0,$R29,WORKDAY.INTL($R29,-($E29-1),"0000001",HOL)),IF(COUNTIFS($F30:$F$42,$B29,$T30:$T$42,"&gt;0")=0,IF($E29=0,$R29,WORKDAY.INTL($R29,-($E29-1),"0000001",HOL)),_xlfn.MINIFS($T30:$T$42,$F30:$F$42,$B29)),IF(COUNTIFS($I30:$I$42,$B29,$V30:$V$42,"&gt;0")=0,IF($E29=0,$R29,WORKDAY.INTL($R29,-($E29-1),"0000001",HOL)),_xlfn.MINIFS($V30:$V$42,$I30:$I$42,$B29)))</f>
        <v>45380</v>
      </c>
      <c r="P29" s="2" t="n">
        <f aca="false">IF($E29=0,$O29,WORKDAY.INTL($O29,$E29-1,"0000001",HOL))</f>
        <v>45540</v>
      </c>
      <c r="Q29" s="0" t="n">
        <f aca="false">IF($O29&gt;=$M29,NETWORKDAYS.INTL($M29,$O29,"0000001",HOL)-1,-(NETWORKDAYS.INTL($O29,$M29,"0000001",HOL)-1))</f>
        <v>0</v>
      </c>
      <c r="R29" s="2" t="n">
        <f aca="false">MIN(PROJ_LIMIT,IF(COUNTIFS($F30:$F$42,$B29,$S30:$S$42,"&gt;0")=0,PROJ_LIMIT,_xlfn.MINIFS($S30:$S$42,$F30:$F$42,$B29)),IF(COUNTIFS($I30:$I$42,$B29,$U30:$U$42,"&gt;0")=0,PROJ_LIMIT,_xlfn.MINIFS($U30:$U$42,$I30:$I$42,$B29)))</f>
        <v>45540</v>
      </c>
      <c r="S29" s="2" t="str">
        <f aca="false">IF(OR($F29="",$G29="SS"),"",WORKDAY.INTL($O29,-(1+$H29),"0000001",HOL))</f>
        <v/>
      </c>
      <c r="T29" s="2" t="n">
        <f aca="false">IF(OR($F29="",$G29&lt;&gt;"SS"),"",WORKDAY.INTL($O29,-$H29,"0000001",HOL))</f>
        <v>45327</v>
      </c>
      <c r="U29" s="2" t="str">
        <f aca="false">IF(OR($I29="",$J29="SS"),"",WORKDAY.INTL($O29,-(1+$K29),"0000001",HOL))</f>
        <v/>
      </c>
      <c r="V29" s="2" t="str">
        <f aca="false">IF(OR($I29="",$J29&lt;&gt;"SS"),"",WORKDAY.INTL($O29,-$K29,"0000001",HOL))</f>
        <v/>
      </c>
      <c r="W29" s="2" t="n">
        <f aca="false">$M29</f>
        <v>45380</v>
      </c>
      <c r="X29" s="2" t="n">
        <f aca="false">$N29</f>
        <v>45540</v>
      </c>
      <c r="Y29" s="2" t="n">
        <f aca="false">$O29</f>
        <v>45380</v>
      </c>
      <c r="Z29" s="2" t="n">
        <f aca="false">$P29</f>
        <v>45540</v>
      </c>
      <c r="AA29" s="0" t="n">
        <f aca="false">$Q29</f>
        <v>0</v>
      </c>
      <c r="AB29" s="0" t="str">
        <f aca="false">IF($AA29&lt;=0,"GĂNG","")</f>
        <v>GĂNG</v>
      </c>
      <c r="AC29" s="2" t="n">
        <v>45360</v>
      </c>
      <c r="AD29" s="2" t="n">
        <v>45572</v>
      </c>
      <c r="AE29" s="0" t="n">
        <f aca="false">IF($AC29="","",$W29-$AC29)</f>
        <v>20</v>
      </c>
      <c r="AF29" s="0" t="n">
        <f aca="false">IF($AD29="","",$X29-$AD29)</f>
        <v>-32</v>
      </c>
      <c r="AG29" s="0" t="str">
        <f aca="false">IF(ISNA(MATCH($F29,$B5:$B$28,0)),"TIỀN NHIỆM PHẢI Ở TRÊN","")</f>
        <v/>
      </c>
    </row>
    <row r="30" customFormat="false" ht="15" hidden="false" customHeight="false" outlineLevel="0" collapsed="false">
      <c r="A30" s="0" t="n">
        <v>25</v>
      </c>
      <c r="B30" s="0" t="s">
        <v>91</v>
      </c>
      <c r="C30" s="0" t="s">
        <v>92</v>
      </c>
      <c r="D30" s="6" t="s">
        <v>46</v>
      </c>
      <c r="E30" s="0" t="n">
        <v>68</v>
      </c>
      <c r="F30" s="0" t="s">
        <v>89</v>
      </c>
      <c r="G30" s="0" t="s">
        <v>49</v>
      </c>
      <c r="H30" s="0" t="n">
        <v>0</v>
      </c>
      <c r="M30" s="2" t="n">
        <f aca="false">MAX(WORKDAY.INTL(PROJ_START-1,1,"0000001",HOL),N($L30),IF($F30="",0,IF($G30="SS",WORKDAY.INTL(INDEX($M5:$M$29,MATCH($F30,$B5:$B$29,0)),$H30,"0000001",HOL),WORKDAY.INTL(INDEX($N5:$N$29,MATCH($F30,$B5:$B$29,0)),1+$H30,"0000001",HOL))),IF($I30="",0,IF($J30="SS",WORKDAY.INTL(INDEX($M5:$M$29,MATCH($I30,$B5:$B$29,0)),$K30,"0000001",HOL),WORKDAY.INTL(INDEX($N5:$N$29,MATCH($I30,$B5:$B$29,0)),1+$K30,"0000001",HOL))))</f>
        <v>45541</v>
      </c>
      <c r="N30" s="2" t="n">
        <f aca="false">IF($E30=0,$M30,WORKDAY.INTL($M30,$E30-1,"0000001",HOL))</f>
        <v>45619</v>
      </c>
      <c r="O30" s="2" t="n">
        <f aca="false">MIN(IF($E30=0,$R30,WORKDAY.INTL($R30,-($E30-1),"0000001",HOL)),IF(COUNTIFS($F31:$F$42,$B30,$T31:$T$42,"&gt;0")=0,IF($E30=0,$R30,WORKDAY.INTL($R30,-($E30-1),"0000001",HOL)),_xlfn.MINIFS($T31:$T$42,$F31:$F$42,$B30)),IF(COUNTIFS($I31:$I$42,$B30,$V31:$V$42,"&gt;0")=0,IF($E30=0,$R30,WORKDAY.INTL($R30,-($E30-1),"0000001",HOL)),_xlfn.MINIFS($V31:$V$42,$I31:$I$42,$B30)))</f>
        <v>45541</v>
      </c>
      <c r="P30" s="2" t="n">
        <f aca="false">IF($E30=0,$O30,WORKDAY.INTL($O30,$E30-1,"0000001",HOL))</f>
        <v>45619</v>
      </c>
      <c r="Q30" s="0" t="n">
        <f aca="false">IF($O30&gt;=$M30,NETWORKDAYS.INTL($M30,$O30,"0000001",HOL)-1,-(NETWORKDAYS.INTL($O30,$M30,"0000001",HOL)-1))</f>
        <v>0</v>
      </c>
      <c r="R30" s="2" t="n">
        <f aca="false">MIN(PROJ_LIMIT,IF(COUNTIFS($F31:$F$42,$B30,$S31:$S$42,"&gt;0")=0,PROJ_LIMIT,_xlfn.MINIFS($S31:$S$42,$F31:$F$42,$B30)),IF(COUNTIFS($I31:$I$42,$B30,$U31:$U$42,"&gt;0")=0,PROJ_LIMIT,_xlfn.MINIFS($U31:$U$42,$I31:$I$42,$B30)))</f>
        <v>45619</v>
      </c>
      <c r="S30" s="2" t="n">
        <f aca="false">IF(OR($F30="",$G30="SS"),"",WORKDAY.INTL($O30,-(1+$H30),"0000001",HOL))</f>
        <v>45540</v>
      </c>
      <c r="T30" s="2" t="str">
        <f aca="false">IF(OR($F30="",$G30&lt;&gt;"SS"),"",WORKDAY.INTL($O30,-$H30,"0000001",HOL))</f>
        <v/>
      </c>
      <c r="U30" s="2" t="str">
        <f aca="false">IF(OR($I30="",$J30="SS"),"",WORKDAY.INTL($O30,-(1+$K30),"0000001",HOL))</f>
        <v/>
      </c>
      <c r="V30" s="2" t="str">
        <f aca="false">IF(OR($I30="",$J30&lt;&gt;"SS"),"",WORKDAY.INTL($O30,-$K30,"0000001",HOL))</f>
        <v/>
      </c>
      <c r="W30" s="2" t="n">
        <f aca="false">$M30</f>
        <v>45541</v>
      </c>
      <c r="X30" s="2" t="n">
        <f aca="false">$N30</f>
        <v>45619</v>
      </c>
      <c r="Y30" s="2" t="n">
        <f aca="false">$O30</f>
        <v>45541</v>
      </c>
      <c r="Z30" s="2" t="n">
        <f aca="false">$P30</f>
        <v>45619</v>
      </c>
      <c r="AA30" s="0" t="n">
        <f aca="false">$Q30</f>
        <v>0</v>
      </c>
      <c r="AB30" s="0" t="str">
        <f aca="false">IF($AA30&lt;=0,"GĂNG","")</f>
        <v>GĂNG</v>
      </c>
      <c r="AC30" s="2" t="n">
        <v>45573</v>
      </c>
      <c r="AD30" s="2" t="n">
        <v>45651</v>
      </c>
      <c r="AE30" s="0" t="n">
        <f aca="false">IF($AC30="","",$W30-$AC30)</f>
        <v>-32</v>
      </c>
      <c r="AF30" s="0" t="n">
        <f aca="false">IF($AD30="","",$X30-$AD30)</f>
        <v>-32</v>
      </c>
      <c r="AG30" s="0" t="str">
        <f aca="false">IF(ISNA(MATCH($F30,$B5:$B$29,0)),"TIỀN NHIỆM PHẢI Ở TRÊN","")</f>
        <v/>
      </c>
    </row>
    <row r="31" customFormat="false" ht="15" hidden="false" customHeight="false" outlineLevel="0" collapsed="false">
      <c r="A31" s="0" t="n">
        <v>26</v>
      </c>
      <c r="B31" s="0" t="s">
        <v>93</v>
      </c>
      <c r="C31" s="0" t="s">
        <v>94</v>
      </c>
      <c r="D31" s="6" t="s">
        <v>46</v>
      </c>
      <c r="E31" s="0" t="n">
        <v>35</v>
      </c>
      <c r="F31" s="0" t="s">
        <v>85</v>
      </c>
      <c r="G31" s="0" t="s">
        <v>60</v>
      </c>
      <c r="H31" s="0" t="n">
        <v>25</v>
      </c>
      <c r="M31" s="2" t="n">
        <f aca="false">MAX(WORKDAY.INTL(PROJ_START-1,1,"0000001",HOL),N($L31),IF($F31="",0,IF($G31="SS",WORKDAY.INTL(INDEX($M5:$M$30,MATCH($F31,$B5:$B$30,0)),$H31,"0000001",HOL),WORKDAY.INTL(INDEX($N5:$N$30,MATCH($F31,$B5:$B$30,0)),1+$H31,"0000001",HOL))),IF($I31="",0,IF($J31="SS",WORKDAY.INTL(INDEX($M5:$M$30,MATCH($I31,$B5:$B$30,0)),$K31,"0000001",HOL),WORKDAY.INTL(INDEX($N5:$N$30,MATCH($I31,$B5:$B$30,0)),1+$K31,"0000001",HOL))))</f>
        <v>45363</v>
      </c>
      <c r="N31" s="2" t="n">
        <f aca="false">IF($E31=0,$M31,WORKDAY.INTL($M31,$E31-1,"0000001",HOL))</f>
        <v>45404</v>
      </c>
      <c r="O31" s="2" t="n">
        <f aca="false">MIN(IF($E31=0,$R31,WORKDAY.INTL($R31,-($E31-1),"0000001",HOL)),IF(COUNTIFS($F32:$F$42,$B31,$T32:$T$42,"&gt;0")=0,IF($E31=0,$R31,WORKDAY.INTL($R31,-($E31-1),"0000001",HOL)),_xlfn.MINIFS($T32:$T$42,$F32:$F$42,$B31)),IF(COUNTIFS($I32:$I$42,$B31,$V32:$V$42,"&gt;0")=0,IF($E31=0,$R31,WORKDAY.INTL($R31,-($E31-1),"0000001",HOL)),_xlfn.MINIFS($V32:$V$42,$I32:$I$42,$B31)))</f>
        <v>45890</v>
      </c>
      <c r="P31" s="2" t="n">
        <f aca="false">IF($E31=0,$O31,WORKDAY.INTL($O31,$E31-1,"0000001",HOL))</f>
        <v>45932</v>
      </c>
      <c r="Q31" s="0" t="n">
        <f aca="false">IF($O31&gt;=$M31,NETWORKDAYS.INTL($M31,$O31,"0000001",HOL)-1,-(NETWORKDAYS.INTL($O31,$M31,"0000001",HOL)-1))</f>
        <v>437</v>
      </c>
      <c r="R31" s="2" t="n">
        <f aca="false">MIN(PROJ_LIMIT,IF(COUNTIFS($F32:$F$42,$B31,$S32:$S$42,"&gt;0")=0,PROJ_LIMIT,_xlfn.MINIFS($S32:$S$42,$F32:$F$42,$B31)),IF(COUNTIFS($I32:$I$42,$B31,$U32:$U$42,"&gt;0")=0,PROJ_LIMIT,_xlfn.MINIFS($U32:$U$42,$I32:$I$42,$B31)))</f>
        <v>45932</v>
      </c>
      <c r="S31" s="2" t="str">
        <f aca="false">IF(OR($F31="",$G31="SS"),"",WORKDAY.INTL($O31,-(1+$H31),"0000001",HOL))</f>
        <v/>
      </c>
      <c r="T31" s="2" t="n">
        <f aca="false">IF(OR($F31="",$G31&lt;&gt;"SS"),"",WORKDAY.INTL($O31,-$H31,"0000001",HOL))</f>
        <v>45861</v>
      </c>
      <c r="U31" s="2" t="str">
        <f aca="false">IF(OR($I31="",$J31="SS"),"",WORKDAY.INTL($O31,-(1+$K31),"0000001",HOL))</f>
        <v/>
      </c>
      <c r="V31" s="2" t="str">
        <f aca="false">IF(OR($I31="",$J31&lt;&gt;"SS"),"",WORKDAY.INTL($O31,-$K31,"0000001",HOL))</f>
        <v/>
      </c>
      <c r="W31" s="2" t="n">
        <f aca="false">$M31</f>
        <v>45363</v>
      </c>
      <c r="X31" s="2" t="n">
        <f aca="false">$N31</f>
        <v>45404</v>
      </c>
      <c r="Y31" s="2" t="n">
        <f aca="false">$O31</f>
        <v>45890</v>
      </c>
      <c r="Z31" s="2" t="n">
        <f aca="false">$P31</f>
        <v>45932</v>
      </c>
      <c r="AA31" s="0" t="n">
        <f aca="false">$Q31</f>
        <v>437</v>
      </c>
      <c r="AB31" s="0" t="str">
        <f aca="false">IF($AA31&lt;=0,"GĂNG","")</f>
        <v/>
      </c>
      <c r="AC31" s="2" t="n">
        <v>45345</v>
      </c>
      <c r="AD31" s="2" t="n">
        <v>45385</v>
      </c>
      <c r="AE31" s="0" t="n">
        <f aca="false">IF($AC31="","",$W31-$AC31)</f>
        <v>18</v>
      </c>
      <c r="AF31" s="0" t="n">
        <f aca="false">IF($AD31="","",$X31-$AD31)</f>
        <v>19</v>
      </c>
      <c r="AG31" s="0" t="str">
        <f aca="false">IF(ISNA(MATCH($F31,$B5:$B$30,0)),"TIỀN NHIỆM PHẢI Ở TRÊN","")</f>
        <v/>
      </c>
    </row>
    <row r="32" customFormat="false" ht="15" hidden="false" customHeight="false" outlineLevel="0" collapsed="false">
      <c r="A32" s="0" t="n">
        <v>27</v>
      </c>
      <c r="B32" s="0" t="s">
        <v>95</v>
      </c>
      <c r="C32" s="0" t="s">
        <v>96</v>
      </c>
      <c r="D32" s="6" t="s">
        <v>46</v>
      </c>
      <c r="E32" s="0" t="n">
        <v>65</v>
      </c>
      <c r="F32" s="0" t="s">
        <v>91</v>
      </c>
      <c r="G32" s="0" t="s">
        <v>60</v>
      </c>
      <c r="H32" s="0" t="n">
        <v>10</v>
      </c>
      <c r="M32" s="2" t="n">
        <f aca="false">MAX(WORKDAY.INTL(PROJ_START-1,1,"0000001",HOL),N($L32),IF($F32="",0,IF($G32="SS",WORKDAY.INTL(INDEX($M5:$M$31,MATCH($F32,$B5:$B$31,0)),$H32,"0000001",HOL),WORKDAY.INTL(INDEX($N5:$N$31,MATCH($F32,$B5:$B$31,0)),1+$H32,"0000001",HOL))),IF($I32="",0,IF($J32="SS",WORKDAY.INTL(INDEX($M5:$M$31,MATCH($I32,$B5:$B$31,0)),$K32,"0000001",HOL),WORKDAY.INTL(INDEX($N5:$N$31,MATCH($I32,$B5:$B$31,0)),1+$K32,"0000001",HOL))))</f>
        <v>45553</v>
      </c>
      <c r="N32" s="2" t="n">
        <f aca="false">IF($E32=0,$M32,WORKDAY.INTL($M32,$E32-1,"0000001",HOL))</f>
        <v>45628</v>
      </c>
      <c r="O32" s="2" t="n">
        <f aca="false">MIN(IF($E32=0,$R32,WORKDAY.INTL($R32,-($E32-1),"0000001",HOL)),IF(COUNTIFS($F33:$F$42,$B32,$T33:$T$42,"&gt;0")=0,IF($E32=0,$R32,WORKDAY.INTL($R32,-($E32-1),"0000001",HOL)),_xlfn.MINIFS($T33:$T$42,$F33:$F$42,$B32)),IF(COUNTIFS($I33:$I$42,$B32,$V33:$V$42,"&gt;0")=0,IF($E32=0,$R32,WORKDAY.INTL($R32,-($E32-1),"0000001",HOL)),_xlfn.MINIFS($V33:$V$42,$I33:$I$42,$B32)))</f>
        <v>45855</v>
      </c>
      <c r="P32" s="2" t="n">
        <f aca="false">IF($E32=0,$O32,WORKDAY.INTL($O32,$E32-1,"0000001",HOL))</f>
        <v>45932</v>
      </c>
      <c r="Q32" s="0" t="n">
        <f aca="false">IF($O32&gt;=$M32,NETWORKDAYS.INTL($M32,$O32,"0000001",HOL)-1,-(NETWORKDAYS.INTL($O32,$M32,"0000001",HOL)-1))</f>
        <v>249</v>
      </c>
      <c r="R32" s="2" t="n">
        <f aca="false">MIN(PROJ_LIMIT,IF(COUNTIFS($F33:$F$42,$B32,$S33:$S$42,"&gt;0")=0,PROJ_LIMIT,_xlfn.MINIFS($S33:$S$42,$F33:$F$42,$B32)),IF(COUNTIFS($I33:$I$42,$B32,$U33:$U$42,"&gt;0")=0,PROJ_LIMIT,_xlfn.MINIFS($U33:$U$42,$I33:$I$42,$B32)))</f>
        <v>45932</v>
      </c>
      <c r="S32" s="2" t="str">
        <f aca="false">IF(OR($F32="",$G32="SS"),"",WORKDAY.INTL($O32,-(1+$H32),"0000001",HOL))</f>
        <v/>
      </c>
      <c r="T32" s="2" t="n">
        <f aca="false">IF(OR($F32="",$G32&lt;&gt;"SS"),"",WORKDAY.INTL($O32,-$H32,"0000001",HOL))</f>
        <v>45843</v>
      </c>
      <c r="U32" s="2" t="str">
        <f aca="false">IF(OR($I32="",$J32="SS"),"",WORKDAY.INTL($O32,-(1+$K32),"0000001",HOL))</f>
        <v/>
      </c>
      <c r="V32" s="2" t="str">
        <f aca="false">IF(OR($I32="",$J32&lt;&gt;"SS"),"",WORKDAY.INTL($O32,-$K32,"0000001",HOL))</f>
        <v/>
      </c>
      <c r="W32" s="2" t="n">
        <f aca="false">$M32</f>
        <v>45553</v>
      </c>
      <c r="X32" s="2" t="n">
        <f aca="false">$N32</f>
        <v>45628</v>
      </c>
      <c r="Y32" s="2" t="n">
        <f aca="false">$O32</f>
        <v>45855</v>
      </c>
      <c r="Z32" s="2" t="n">
        <f aca="false">$P32</f>
        <v>45932</v>
      </c>
      <c r="AA32" s="0" t="n">
        <f aca="false">$Q32</f>
        <v>249</v>
      </c>
      <c r="AB32" s="0" t="str">
        <f aca="false">IF($AA32&lt;=0,"GĂNG","")</f>
        <v/>
      </c>
      <c r="AC32" s="2" t="n">
        <v>45583</v>
      </c>
      <c r="AD32" s="2" t="n">
        <v>45659</v>
      </c>
      <c r="AE32" s="0" t="n">
        <f aca="false">IF($AC32="","",$W32-$AC32)</f>
        <v>-30</v>
      </c>
      <c r="AF32" s="0" t="n">
        <f aca="false">IF($AD32="","",$X32-$AD32)</f>
        <v>-31</v>
      </c>
      <c r="AG32" s="0" t="str">
        <f aca="false">IF(ISNA(MATCH($F32,$B5:$B$31,0)),"TIỀN NHIỆM PHẢI Ở TRÊN","")</f>
        <v/>
      </c>
    </row>
    <row r="33" customFormat="false" ht="15" hidden="false" customHeight="false" outlineLevel="0" collapsed="false">
      <c r="A33" s="0" t="n">
        <v>28</v>
      </c>
      <c r="B33" s="0" t="s">
        <v>97</v>
      </c>
      <c r="C33" s="0" t="s">
        <v>98</v>
      </c>
      <c r="D33" s="6" t="s">
        <v>46</v>
      </c>
      <c r="E33" s="0" t="n">
        <v>21</v>
      </c>
      <c r="F33" s="0" t="s">
        <v>91</v>
      </c>
      <c r="G33" s="0" t="s">
        <v>49</v>
      </c>
      <c r="H33" s="0" t="n">
        <v>0</v>
      </c>
      <c r="M33" s="2" t="n">
        <f aca="false">MAX(WORKDAY.INTL(PROJ_START-1,1,"0000001",HOL),N($L33),IF($F33="",0,IF($G33="SS",WORKDAY.INTL(INDEX($M5:$M$32,MATCH($F33,$B5:$B$32,0)),$H33,"0000001",HOL),WORKDAY.INTL(INDEX($N5:$N$32,MATCH($F33,$B5:$B$32,0)),1+$H33,"0000001",HOL))),IF($I33="",0,IF($J33="SS",WORKDAY.INTL(INDEX($M5:$M$32,MATCH($I33,$B5:$B$32,0)),$K33,"0000001",HOL),WORKDAY.INTL(INDEX($N5:$N$32,MATCH($I33,$B5:$B$32,0)),1+$K33,"0000001",HOL))))</f>
        <v>45621</v>
      </c>
      <c r="N33" s="2" t="n">
        <f aca="false">IF($E33=0,$M33,WORKDAY.INTL($M33,$E33-1,"0000001",HOL))</f>
        <v>45644</v>
      </c>
      <c r="O33" s="2" t="n">
        <f aca="false">MIN(IF($E33=0,$R33,WORKDAY.INTL($R33,-($E33-1),"0000001",HOL)),IF(COUNTIFS($F34:$F$42,$B33,$T34:$T$42,"&gt;0")=0,IF($E33=0,$R33,WORKDAY.INTL($R33,-($E33-1),"0000001",HOL)),_xlfn.MINIFS($T34:$T$42,$F34:$F$42,$B33)),IF(COUNTIFS($I34:$I$42,$B33,$V34:$V$42,"&gt;0")=0,IF($E33=0,$R33,WORKDAY.INTL($R33,-($E33-1),"0000001",HOL)),_xlfn.MINIFS($V34:$V$42,$I34:$I$42,$B33)))</f>
        <v>45621</v>
      </c>
      <c r="P33" s="2" t="n">
        <f aca="false">IF($E33=0,$O33,WORKDAY.INTL($O33,$E33-1,"0000001",HOL))</f>
        <v>45644</v>
      </c>
      <c r="Q33" s="0" t="n">
        <f aca="false">IF($O33&gt;=$M33,NETWORKDAYS.INTL($M33,$O33,"0000001",HOL)-1,-(NETWORKDAYS.INTL($O33,$M33,"0000001",HOL)-1))</f>
        <v>0</v>
      </c>
      <c r="R33" s="2" t="n">
        <f aca="false">MIN(PROJ_LIMIT,IF(COUNTIFS($F34:$F$42,$B33,$S34:$S$42,"&gt;0")=0,PROJ_LIMIT,_xlfn.MINIFS($S34:$S$42,$F34:$F$42,$B33)),IF(COUNTIFS($I34:$I$42,$B33,$U34:$U$42,"&gt;0")=0,PROJ_LIMIT,_xlfn.MINIFS($U34:$U$42,$I34:$I$42,$B33)))</f>
        <v>45644</v>
      </c>
      <c r="S33" s="2" t="n">
        <f aca="false">IF(OR($F33="",$G33="SS"),"",WORKDAY.INTL($O33,-(1+$H33),"0000001",HOL))</f>
        <v>45619</v>
      </c>
      <c r="T33" s="2" t="str">
        <f aca="false">IF(OR($F33="",$G33&lt;&gt;"SS"),"",WORKDAY.INTL($O33,-$H33,"0000001",HOL))</f>
        <v/>
      </c>
      <c r="U33" s="2" t="str">
        <f aca="false">IF(OR($I33="",$J33="SS"),"",WORKDAY.INTL($O33,-(1+$K33),"0000001",HOL))</f>
        <v/>
      </c>
      <c r="V33" s="2" t="str">
        <f aca="false">IF(OR($I33="",$J33&lt;&gt;"SS"),"",WORKDAY.INTL($O33,-$K33,"0000001",HOL))</f>
        <v/>
      </c>
      <c r="W33" s="2" t="n">
        <f aca="false">$M33</f>
        <v>45621</v>
      </c>
      <c r="X33" s="2" t="n">
        <f aca="false">$N33</f>
        <v>45644</v>
      </c>
      <c r="Y33" s="2" t="n">
        <f aca="false">$O33</f>
        <v>45621</v>
      </c>
      <c r="Z33" s="2" t="n">
        <f aca="false">$P33</f>
        <v>45644</v>
      </c>
      <c r="AA33" s="0" t="n">
        <f aca="false">$Q33</f>
        <v>0</v>
      </c>
      <c r="AB33" s="0" t="str">
        <f aca="false">IF($AA33&lt;=0,"GĂNG","")</f>
        <v>GĂNG</v>
      </c>
      <c r="AC33" s="2" t="n">
        <v>45652</v>
      </c>
      <c r="AD33" s="2" t="n">
        <v>45677</v>
      </c>
      <c r="AE33" s="0" t="n">
        <f aca="false">IF($AC33="","",$W33-$AC33)</f>
        <v>-31</v>
      </c>
      <c r="AF33" s="0" t="n">
        <f aca="false">IF($AD33="","",$X33-$AD33)</f>
        <v>-33</v>
      </c>
      <c r="AG33" s="0" t="str">
        <f aca="false">IF(ISNA(MATCH($F33,$B5:$B$32,0)),"TIỀN NHIỆM PHẢI Ở TRÊN","")</f>
        <v/>
      </c>
    </row>
    <row r="34" customFormat="false" ht="15" hidden="false" customHeight="false" outlineLevel="0" collapsed="false">
      <c r="A34" s="0" t="n">
        <v>29</v>
      </c>
      <c r="B34" s="0" t="s">
        <v>99</v>
      </c>
      <c r="C34" s="0" t="s">
        <v>100</v>
      </c>
      <c r="D34" s="6" t="s">
        <v>46</v>
      </c>
      <c r="E34" s="0" t="n">
        <v>21</v>
      </c>
      <c r="F34" s="0" t="s">
        <v>97</v>
      </c>
      <c r="G34" s="0" t="s">
        <v>49</v>
      </c>
      <c r="H34" s="0" t="n">
        <v>1</v>
      </c>
      <c r="M34" s="2" t="n">
        <f aca="false">MAX(WORKDAY.INTL(PROJ_START-1,1,"0000001",HOL),N($L34),IF($F34="",0,IF($G34="SS",WORKDAY.INTL(INDEX($M5:$M$33,MATCH($F34,$B5:$B$33,0)),$H34,"0000001",HOL),WORKDAY.INTL(INDEX($N5:$N$33,MATCH($F34,$B5:$B$33,0)),1+$H34,"0000001",HOL))),IF($I34="",0,IF($J34="SS",WORKDAY.INTL(INDEX($M5:$M$33,MATCH($I34,$B5:$B$33,0)),$K34,"0000001",HOL),WORKDAY.INTL(INDEX($N5:$N$33,MATCH($I34,$B5:$B$33,0)),1+$K34,"0000001",HOL))))</f>
        <v>45646</v>
      </c>
      <c r="N34" s="2" t="n">
        <f aca="false">IF($E34=0,$M34,WORKDAY.INTL($M34,$E34-1,"0000001",HOL))</f>
        <v>45671</v>
      </c>
      <c r="O34" s="2" t="n">
        <f aca="false">MIN(IF($E34=0,$R34,WORKDAY.INTL($R34,-($E34-1),"0000001",HOL)),IF(COUNTIFS($F35:$F$42,$B34,$T35:$T$42,"&gt;0")=0,IF($E34=0,$R34,WORKDAY.INTL($R34,-($E34-1),"0000001",HOL)),_xlfn.MINIFS($T35:$T$42,$F35:$F$42,$B34)),IF(COUNTIFS($I35:$I$42,$B34,$V35:$V$42,"&gt;0")=0,IF($E34=0,$R34,WORKDAY.INTL($R34,-($E34-1),"0000001",HOL)),_xlfn.MINIFS($V35:$V$42,$I35:$I$42,$B34)))</f>
        <v>45646</v>
      </c>
      <c r="P34" s="2" t="n">
        <f aca="false">IF($E34=0,$O34,WORKDAY.INTL($O34,$E34-1,"0000001",HOL))</f>
        <v>45671</v>
      </c>
      <c r="Q34" s="0" t="n">
        <f aca="false">IF($O34&gt;=$M34,NETWORKDAYS.INTL($M34,$O34,"0000001",HOL)-1,-(NETWORKDAYS.INTL($O34,$M34,"0000001",HOL)-1))</f>
        <v>0</v>
      </c>
      <c r="R34" s="2" t="n">
        <f aca="false">MIN(PROJ_LIMIT,IF(COUNTIFS($F35:$F$42,$B34,$S35:$S$42,"&gt;0")=0,PROJ_LIMIT,_xlfn.MINIFS($S35:$S$42,$F35:$F$42,$B34)),IF(COUNTIFS($I35:$I$42,$B34,$U35:$U$42,"&gt;0")=0,PROJ_LIMIT,_xlfn.MINIFS($U35:$U$42,$I35:$I$42,$B34)))</f>
        <v>45671</v>
      </c>
      <c r="S34" s="2" t="n">
        <f aca="false">IF(OR($F34="",$G34="SS"),"",WORKDAY.INTL($O34,-(1+$H34),"0000001",HOL))</f>
        <v>45644</v>
      </c>
      <c r="T34" s="2" t="str">
        <f aca="false">IF(OR($F34="",$G34&lt;&gt;"SS"),"",WORKDAY.INTL($O34,-$H34,"0000001",HOL))</f>
        <v/>
      </c>
      <c r="U34" s="2" t="str">
        <f aca="false">IF(OR($I34="",$J34="SS"),"",WORKDAY.INTL($O34,-(1+$K34),"0000001",HOL))</f>
        <v/>
      </c>
      <c r="V34" s="2" t="str">
        <f aca="false">IF(OR($I34="",$J34&lt;&gt;"SS"),"",WORKDAY.INTL($O34,-$K34,"0000001",HOL))</f>
        <v/>
      </c>
      <c r="W34" s="2" t="n">
        <f aca="false">$M34</f>
        <v>45646</v>
      </c>
      <c r="X34" s="2" t="n">
        <f aca="false">$N34</f>
        <v>45671</v>
      </c>
      <c r="Y34" s="2" t="n">
        <f aca="false">$O34</f>
        <v>45646</v>
      </c>
      <c r="Z34" s="2" t="n">
        <f aca="false">$P34</f>
        <v>45671</v>
      </c>
      <c r="AA34" s="0" t="n">
        <f aca="false">$Q34</f>
        <v>0</v>
      </c>
      <c r="AB34" s="0" t="str">
        <f aca="false">IF($AA34&lt;=0,"GĂNG","")</f>
        <v>GĂNG</v>
      </c>
      <c r="AC34" s="2" t="n">
        <v>45679</v>
      </c>
      <c r="AD34" s="2" t="n">
        <v>45709</v>
      </c>
      <c r="AE34" s="0" t="n">
        <f aca="false">IF($AC34="","",$W34-$AC34)</f>
        <v>-33</v>
      </c>
      <c r="AF34" s="0" t="n">
        <f aca="false">IF($AD34="","",$X34-$AD34)</f>
        <v>-38</v>
      </c>
      <c r="AG34" s="0" t="str">
        <f aca="false">IF(ISNA(MATCH($F34,$B5:$B$33,0)),"TIỀN NHIỆM PHẢI Ở TRÊN","")</f>
        <v/>
      </c>
    </row>
    <row r="35" customFormat="false" ht="15" hidden="false" customHeight="false" outlineLevel="0" collapsed="false">
      <c r="A35" s="0" t="n">
        <v>30</v>
      </c>
      <c r="B35" s="0" t="s">
        <v>101</v>
      </c>
      <c r="C35" s="0" t="s">
        <v>102</v>
      </c>
      <c r="D35" s="6" t="s">
        <v>46</v>
      </c>
      <c r="E35" s="0" t="n">
        <v>16</v>
      </c>
      <c r="F35" s="0" t="s">
        <v>99</v>
      </c>
      <c r="G35" s="0" t="s">
        <v>49</v>
      </c>
      <c r="H35" s="0" t="n">
        <v>1</v>
      </c>
      <c r="M35" s="2" t="n">
        <f aca="false">MAX(WORKDAY.INTL(PROJ_START-1,1,"0000001",HOL),N($L35),IF($F35="",0,IF($G35="SS",WORKDAY.INTL(INDEX($M5:$M$34,MATCH($F35,$B5:$B$34,0)),$H35,"0000001",HOL),WORKDAY.INTL(INDEX($N5:$N$34,MATCH($F35,$B5:$B$34,0)),1+$H35,"0000001",HOL))),IF($I35="",0,IF($J35="SS",WORKDAY.INTL(INDEX($M5:$M$34,MATCH($I35,$B5:$B$34,0)),$K35,"0000001",HOL),WORKDAY.INTL(INDEX($N5:$N$34,MATCH($I35,$B5:$B$34,0)),1+$K35,"0000001",HOL))))</f>
        <v>45673</v>
      </c>
      <c r="N35" s="2" t="n">
        <f aca="false">IF($E35=0,$M35,WORKDAY.INTL($M35,$E35-1,"0000001",HOL))</f>
        <v>45698</v>
      </c>
      <c r="O35" s="2" t="n">
        <f aca="false">MIN(IF($E35=0,$R35,WORKDAY.INTL($R35,-($E35-1),"0000001",HOL)),IF(COUNTIFS($F36:$F$42,$B35,$T36:$T$42,"&gt;0")=0,IF($E35=0,$R35,WORKDAY.INTL($R35,-($E35-1),"0000001",HOL)),_xlfn.MINIFS($T36:$T$42,$F36:$F$42,$B35)),IF(COUNTIFS($I36:$I$42,$B35,$V36:$V$42,"&gt;0")=0,IF($E35=0,$R35,WORKDAY.INTL($R35,-($E35-1),"0000001",HOL)),_xlfn.MINIFS($V36:$V$42,$I36:$I$42,$B35)))</f>
        <v>45673</v>
      </c>
      <c r="P35" s="2" t="n">
        <f aca="false">IF($E35=0,$O35,WORKDAY.INTL($O35,$E35-1,"0000001",HOL))</f>
        <v>45698</v>
      </c>
      <c r="Q35" s="0" t="n">
        <f aca="false">IF($O35&gt;=$M35,NETWORKDAYS.INTL($M35,$O35,"0000001",HOL)-1,-(NETWORKDAYS.INTL($O35,$M35,"0000001",HOL)-1))</f>
        <v>0</v>
      </c>
      <c r="R35" s="2" t="n">
        <f aca="false">MIN(PROJ_LIMIT,IF(COUNTIFS($F36:$F$42,$B35,$S36:$S$42,"&gt;0")=0,PROJ_LIMIT,_xlfn.MINIFS($S36:$S$42,$F36:$F$42,$B35)),IF(COUNTIFS($I36:$I$42,$B35,$U36:$U$42,"&gt;0")=0,PROJ_LIMIT,_xlfn.MINIFS($U36:$U$42,$I36:$I$42,$B35)))</f>
        <v>45698</v>
      </c>
      <c r="S35" s="2" t="n">
        <f aca="false">IF(OR($F35="",$G35="SS"),"",WORKDAY.INTL($O35,-(1+$H35),"0000001",HOL))</f>
        <v>45671</v>
      </c>
      <c r="T35" s="2" t="str">
        <f aca="false">IF(OR($F35="",$G35&lt;&gt;"SS"),"",WORKDAY.INTL($O35,-$H35,"0000001",HOL))</f>
        <v/>
      </c>
      <c r="U35" s="2" t="str">
        <f aca="false">IF(OR($I35="",$J35="SS"),"",WORKDAY.INTL($O35,-(1+$K35),"0000001",HOL))</f>
        <v/>
      </c>
      <c r="V35" s="2" t="str">
        <f aca="false">IF(OR($I35="",$J35&lt;&gt;"SS"),"",WORKDAY.INTL($O35,-$K35,"0000001",HOL))</f>
        <v/>
      </c>
      <c r="W35" s="2" t="n">
        <f aca="false">$M35</f>
        <v>45673</v>
      </c>
      <c r="X35" s="2" t="n">
        <f aca="false">$N35</f>
        <v>45698</v>
      </c>
      <c r="Y35" s="2" t="n">
        <f aca="false">$O35</f>
        <v>45673</v>
      </c>
      <c r="Z35" s="2" t="n">
        <f aca="false">$P35</f>
        <v>45698</v>
      </c>
      <c r="AA35" s="0" t="n">
        <f aca="false">$Q35</f>
        <v>0</v>
      </c>
      <c r="AB35" s="0" t="str">
        <f aca="false">IF($AA35&lt;=0,"GĂNG","")</f>
        <v>GĂNG</v>
      </c>
      <c r="AC35" s="2" t="n">
        <v>45711</v>
      </c>
      <c r="AD35" s="2" t="n">
        <v>45729</v>
      </c>
      <c r="AE35" s="0" t="n">
        <f aca="false">IF($AC35="","",$W35-$AC35)</f>
        <v>-38</v>
      </c>
      <c r="AF35" s="0" t="n">
        <f aca="false">IF($AD35="","",$X35-$AD35)</f>
        <v>-31</v>
      </c>
      <c r="AG35" s="0" t="str">
        <f aca="false">IF(ISNA(MATCH($F35,$B5:$B$34,0)),"TIỀN NHIỆM PHẢI Ở TRÊN","")</f>
        <v/>
      </c>
    </row>
    <row r="36" customFormat="false" ht="15" hidden="false" customHeight="false" outlineLevel="0" collapsed="false">
      <c r="A36" s="0" t="n">
        <v>31</v>
      </c>
      <c r="B36" s="0" t="s">
        <v>103</v>
      </c>
      <c r="C36" s="0" t="s">
        <v>104</v>
      </c>
      <c r="D36" s="6" t="s">
        <v>46</v>
      </c>
      <c r="E36" s="0" t="n">
        <v>52</v>
      </c>
      <c r="F36" s="0" t="s">
        <v>101</v>
      </c>
      <c r="G36" s="0" t="s">
        <v>49</v>
      </c>
      <c r="H36" s="0" t="n">
        <v>10</v>
      </c>
      <c r="M36" s="2" t="n">
        <f aca="false">MAX(WORKDAY.INTL(PROJ_START-1,1,"0000001",HOL),N($L36),IF($F36="",0,IF($G36="SS",WORKDAY.INTL(INDEX($M5:$M$35,MATCH($F36,$B5:$B$35,0)),$H36,"0000001",HOL),WORKDAY.INTL(INDEX($N5:$N$35,MATCH($F36,$B5:$B$35,0)),1+$H36,"0000001",HOL))),IF($I36="",0,IF($J36="SS",WORKDAY.INTL(INDEX($M5:$M$35,MATCH($I36,$B5:$B$35,0)),$K36,"0000001",HOL),WORKDAY.INTL(INDEX($N5:$N$35,MATCH($I36,$B5:$B$35,0)),1+$K36,"0000001",HOL))))</f>
        <v>45710</v>
      </c>
      <c r="N36" s="2" t="n">
        <f aca="false">IF($E36=0,$M36,WORKDAY.INTL($M36,$E36-1,"0000001",HOL))</f>
        <v>45771</v>
      </c>
      <c r="O36" s="2" t="n">
        <f aca="false">MIN(IF($E36=0,$R36,WORKDAY.INTL($R36,-($E36-1),"0000001",HOL)),IF(COUNTIFS($F37:$F$42,$B36,$T37:$T$42,"&gt;0")=0,IF($E36=0,$R36,WORKDAY.INTL($R36,-($E36-1),"0000001",HOL)),_xlfn.MINIFS($T37:$T$42,$F37:$F$42,$B36)),IF(COUNTIFS($I37:$I$42,$B36,$V37:$V$42,"&gt;0")=0,IF($E36=0,$R36,WORKDAY.INTL($R36,-($E36-1),"0000001",HOL)),_xlfn.MINIFS($V37:$V$42,$I37:$I$42,$B36)))</f>
        <v>45710</v>
      </c>
      <c r="P36" s="2" t="n">
        <f aca="false">IF($E36=0,$O36,WORKDAY.INTL($O36,$E36-1,"0000001",HOL))</f>
        <v>45771</v>
      </c>
      <c r="Q36" s="0" t="n">
        <f aca="false">IF($O36&gt;=$M36,NETWORKDAYS.INTL($M36,$O36,"0000001",HOL)-1,-(NETWORKDAYS.INTL($O36,$M36,"0000001",HOL)-1))</f>
        <v>0</v>
      </c>
      <c r="R36" s="2" t="n">
        <f aca="false">MIN(PROJ_LIMIT,IF(COUNTIFS($F37:$F$42,$B36,$S37:$S$42,"&gt;0")=0,PROJ_LIMIT,_xlfn.MINIFS($S37:$S$42,$F37:$F$42,$B36)),IF(COUNTIFS($I37:$I$42,$B36,$U37:$U$42,"&gt;0")=0,PROJ_LIMIT,_xlfn.MINIFS($U37:$U$42,$I37:$I$42,$B36)))</f>
        <v>45771</v>
      </c>
      <c r="S36" s="2" t="n">
        <f aca="false">IF(OR($F36="",$G36="SS"),"",WORKDAY.INTL($O36,-(1+$H36),"0000001",HOL))</f>
        <v>45698</v>
      </c>
      <c r="T36" s="2" t="str">
        <f aca="false">IF(OR($F36="",$G36&lt;&gt;"SS"),"",WORKDAY.INTL($O36,-$H36,"0000001",HOL))</f>
        <v/>
      </c>
      <c r="U36" s="2" t="str">
        <f aca="false">IF(OR($I36="",$J36="SS"),"",WORKDAY.INTL($O36,-(1+$K36),"0000001",HOL))</f>
        <v/>
      </c>
      <c r="V36" s="2" t="str">
        <f aca="false">IF(OR($I36="",$J36&lt;&gt;"SS"),"",WORKDAY.INTL($O36,-$K36,"0000001",HOL))</f>
        <v/>
      </c>
      <c r="W36" s="2" t="n">
        <f aca="false">$M36</f>
        <v>45710</v>
      </c>
      <c r="X36" s="2" t="n">
        <f aca="false">$N36</f>
        <v>45771</v>
      </c>
      <c r="Y36" s="2" t="n">
        <f aca="false">$O36</f>
        <v>45710</v>
      </c>
      <c r="Z36" s="2" t="n">
        <f aca="false">$P36</f>
        <v>45771</v>
      </c>
      <c r="AA36" s="0" t="n">
        <f aca="false">$Q36</f>
        <v>0</v>
      </c>
      <c r="AB36" s="0" t="str">
        <f aca="false">IF($AA36&lt;=0,"GĂNG","")</f>
        <v>GĂNG</v>
      </c>
      <c r="AC36" s="2" t="n">
        <v>45740</v>
      </c>
      <c r="AD36" s="2" t="n">
        <v>45803</v>
      </c>
      <c r="AE36" s="0" t="n">
        <f aca="false">IF($AC36="","",$W36-$AC36)</f>
        <v>-30</v>
      </c>
      <c r="AF36" s="0" t="n">
        <f aca="false">IF($AD36="","",$X36-$AD36)</f>
        <v>-32</v>
      </c>
      <c r="AG36" s="0" t="str">
        <f aca="false">IF(ISNA(MATCH($F36,$B5:$B$35,0)),"TIỀN NHIỆM PHẢI Ở TRÊN","")</f>
        <v/>
      </c>
    </row>
    <row r="37" customFormat="false" ht="15" hidden="false" customHeight="false" outlineLevel="0" collapsed="false">
      <c r="A37" s="0" t="n">
        <v>32</v>
      </c>
      <c r="B37" s="0" t="s">
        <v>105</v>
      </c>
      <c r="C37" s="0" t="s">
        <v>106</v>
      </c>
      <c r="D37" s="6" t="s">
        <v>46</v>
      </c>
      <c r="E37" s="0" t="n">
        <v>28</v>
      </c>
      <c r="F37" s="0" t="s">
        <v>103</v>
      </c>
      <c r="G37" s="0" t="s">
        <v>49</v>
      </c>
      <c r="H37" s="0" t="n">
        <v>5</v>
      </c>
      <c r="M37" s="2" t="n">
        <f aca="false">MAX(WORKDAY.INTL(PROJ_START-1,1,"0000001",HOL),N($L37),IF($F37="",0,IF($G37="SS",WORKDAY.INTL(INDEX($M5:$M$36,MATCH($F37,$B5:$B$36,0)),$H37,"0000001",HOL),WORKDAY.INTL(INDEX($N5:$N$36,MATCH($F37,$B5:$B$36,0)),1+$H37,"0000001",HOL))),IF($I37="",0,IF($J37="SS",WORKDAY.INTL(INDEX($M5:$M$36,MATCH($I37,$B5:$B$36,0)),$K37,"0000001",HOL),WORKDAY.INTL(INDEX($N5:$N$36,MATCH($I37,$B5:$B$36,0)),1+$K37,"0000001",HOL))))</f>
        <v>45780</v>
      </c>
      <c r="N37" s="2" t="n">
        <f aca="false">IF($E37=0,$M37,WORKDAY.INTL($M37,$E37-1,"0000001",HOL))</f>
        <v>45812</v>
      </c>
      <c r="O37" s="2" t="n">
        <f aca="false">MIN(IF($E37=0,$R37,WORKDAY.INTL($R37,-($E37-1),"0000001",HOL)),IF(COUNTIFS($F38:$F$42,$B37,$T38:$T$42,"&gt;0")=0,IF($E37=0,$R37,WORKDAY.INTL($R37,-($E37-1),"0000001",HOL)),_xlfn.MINIFS($T38:$T$42,$F38:$F$42,$B37)),IF(COUNTIFS($I38:$I$42,$B37,$V38:$V$42,"&gt;0")=0,IF($E37=0,$R37,WORKDAY.INTL($R37,-($E37-1),"0000001",HOL)),_xlfn.MINIFS($V38:$V$42,$I38:$I$42,$B37)))</f>
        <v>45780</v>
      </c>
      <c r="P37" s="2" t="n">
        <f aca="false">IF($E37=0,$O37,WORKDAY.INTL($O37,$E37-1,"0000001",HOL))</f>
        <v>45812</v>
      </c>
      <c r="Q37" s="0" t="n">
        <f aca="false">IF($O37&gt;=$M37,NETWORKDAYS.INTL($M37,$O37,"0000001",HOL)-1,-(NETWORKDAYS.INTL($O37,$M37,"0000001",HOL)-1))</f>
        <v>0</v>
      </c>
      <c r="R37" s="2" t="n">
        <f aca="false">MIN(PROJ_LIMIT,IF(COUNTIFS($F38:$F$42,$B37,$S38:$S$42,"&gt;0")=0,PROJ_LIMIT,_xlfn.MINIFS($S38:$S$42,$F38:$F$42,$B37)),IF(COUNTIFS($I38:$I$42,$B37,$U38:$U$42,"&gt;0")=0,PROJ_LIMIT,_xlfn.MINIFS($U38:$U$42,$I38:$I$42,$B37)))</f>
        <v>45812</v>
      </c>
      <c r="S37" s="2" t="n">
        <f aca="false">IF(OR($F37="",$G37="SS"),"",WORKDAY.INTL($O37,-(1+$H37),"0000001",HOL))</f>
        <v>45771</v>
      </c>
      <c r="T37" s="2" t="str">
        <f aca="false">IF(OR($F37="",$G37&lt;&gt;"SS"),"",WORKDAY.INTL($O37,-$H37,"0000001",HOL))</f>
        <v/>
      </c>
      <c r="U37" s="2" t="str">
        <f aca="false">IF(OR($I37="",$J37="SS"),"",WORKDAY.INTL($O37,-(1+$K37),"0000001",HOL))</f>
        <v/>
      </c>
      <c r="V37" s="2" t="str">
        <f aca="false">IF(OR($I37="",$J37&lt;&gt;"SS"),"",WORKDAY.INTL($O37,-$K37,"0000001",HOL))</f>
        <v/>
      </c>
      <c r="W37" s="2" t="n">
        <f aca="false">$M37</f>
        <v>45780</v>
      </c>
      <c r="X37" s="2" t="n">
        <f aca="false">$N37</f>
        <v>45812</v>
      </c>
      <c r="Y37" s="2" t="n">
        <f aca="false">$O37</f>
        <v>45780</v>
      </c>
      <c r="Z37" s="2" t="n">
        <f aca="false">$P37</f>
        <v>45812</v>
      </c>
      <c r="AA37" s="0" t="n">
        <f aca="false">$Q37</f>
        <v>0</v>
      </c>
      <c r="AB37" s="0" t="str">
        <f aca="false">IF($AA37&lt;=0,"GĂNG","")</f>
        <v>GĂNG</v>
      </c>
      <c r="AC37" s="2" t="n">
        <v>45809</v>
      </c>
      <c r="AD37" s="2" t="n">
        <v>45841</v>
      </c>
      <c r="AE37" s="0" t="n">
        <f aca="false">IF($AC37="","",$W37-$AC37)</f>
        <v>-29</v>
      </c>
      <c r="AF37" s="0" t="n">
        <f aca="false">IF($AD37="","",$X37-$AD37)</f>
        <v>-29</v>
      </c>
      <c r="AG37" s="0" t="str">
        <f aca="false">IF(ISNA(MATCH($F37,$B5:$B$36,0)),"TIỀN NHIỆM PHẢI Ở TRÊN","")</f>
        <v/>
      </c>
    </row>
    <row r="38" customFormat="false" ht="15" hidden="false" customHeight="false" outlineLevel="0" collapsed="false">
      <c r="A38" s="0" t="n">
        <v>33</v>
      </c>
      <c r="B38" s="5" t="s">
        <v>107</v>
      </c>
      <c r="C38" s="5" t="s">
        <v>108</v>
      </c>
      <c r="D38" s="5" t="s">
        <v>41</v>
      </c>
      <c r="E38" s="0" t="n">
        <v>120</v>
      </c>
      <c r="M38" s="2"/>
      <c r="N38" s="2"/>
      <c r="O38" s="2"/>
      <c r="P38" s="2"/>
      <c r="R38" s="2"/>
      <c r="S38" s="2"/>
      <c r="T38" s="2"/>
      <c r="U38" s="2"/>
      <c r="V38" s="2"/>
      <c r="W38" s="2" t="n">
        <f aca="false">_xlfn.MINIFS($M6:$M$42,$B6:$B$42,$B38&amp;".*")</f>
        <v>45819</v>
      </c>
      <c r="X38" s="2" t="n">
        <f aca="false">_xlfn.MAXIFS($N6:$N$42,$B6:$B$42,$B38&amp;".*")</f>
        <v>45932</v>
      </c>
      <c r="Y38" s="2" t="n">
        <f aca="false">_xlfn.MINIFS($O6:$O$42,$B6:$B$42,$B38&amp;".*")</f>
        <v>45819</v>
      </c>
      <c r="Z38" s="2" t="n">
        <f aca="false">_xlfn.MAXIFS($P6:$P$42,$B6:$B$42,$B38&amp;".*")</f>
        <v>45932</v>
      </c>
      <c r="AA38" s="0" t="n">
        <f aca="false">_xlfn.MINIFS($Q6:$Q$42,$B6:$B$42,$B38&amp;".*")</f>
        <v>0</v>
      </c>
      <c r="AB38" s="0" t="str">
        <f aca="false">IF($AA38&lt;=0,"GĂNG","")</f>
        <v>GĂNG</v>
      </c>
      <c r="AC38" s="2" t="n">
        <v>45847</v>
      </c>
      <c r="AD38" s="2" t="n">
        <v>45959</v>
      </c>
      <c r="AE38" s="0" t="n">
        <f aca="false">IF($AC38="","",$W38-$AC38)</f>
        <v>-28</v>
      </c>
      <c r="AF38" s="0" t="n">
        <f aca="false">IF($AD38="","",$X38-$AD38)</f>
        <v>-27</v>
      </c>
    </row>
    <row r="39" customFormat="false" ht="15" hidden="false" customHeight="false" outlineLevel="0" collapsed="false">
      <c r="A39" s="0" t="n">
        <v>34</v>
      </c>
      <c r="B39" s="0" t="s">
        <v>109</v>
      </c>
      <c r="C39" s="0" t="s">
        <v>110</v>
      </c>
      <c r="D39" s="6" t="s">
        <v>46</v>
      </c>
      <c r="E39" s="0" t="n">
        <v>20</v>
      </c>
      <c r="F39" s="0" t="s">
        <v>105</v>
      </c>
      <c r="G39" s="0" t="s">
        <v>49</v>
      </c>
      <c r="H39" s="0" t="n">
        <v>5</v>
      </c>
      <c r="M39" s="2" t="n">
        <f aca="false">MAX(WORKDAY.INTL(PROJ_START-1,1,"0000001",HOL),N($L39),IF($F39="",0,IF($G39="SS",WORKDAY.INTL(INDEX($M5:$M$38,MATCH($F39,$B5:$B$38,0)),$H39,"0000001",HOL),WORKDAY.INTL(INDEX($N5:$N$38,MATCH($F39,$B5:$B$38,0)),1+$H39,"0000001",HOL))),IF($I39="",0,IF($J39="SS",WORKDAY.INTL(INDEX($M5:$M$38,MATCH($I39,$B5:$B$38,0)),$K39,"0000001",HOL),WORKDAY.INTL(INDEX($N5:$N$38,MATCH($I39,$B5:$B$38,0)),1+$K39,"0000001",HOL))))</f>
        <v>45819</v>
      </c>
      <c r="N39" s="2" t="n">
        <f aca="false">IF($E39=0,$M39,WORKDAY.INTL($M39,$E39-1,"0000001",HOL))</f>
        <v>45841</v>
      </c>
      <c r="O39" s="2" t="n">
        <f aca="false">MIN(IF($E39=0,$R39,WORKDAY.INTL($R39,-($E39-1),"0000001",HOL)),IF(COUNTIFS($F40:$F$42,$B39,$T40:$T$42,"&gt;0")=0,IF($E39=0,$R39,WORKDAY.INTL($R39,-($E39-1),"0000001",HOL)),_xlfn.MINIFS($T40:$T$42,$F40:$F$42,$B39)),IF(COUNTIFS($I40:$I$42,$B39,$V40:$V$42,"&gt;0")=0,IF($E39=0,$R39,WORKDAY.INTL($R39,-($E39-1),"0000001",HOL)),_xlfn.MINIFS($V40:$V$42,$I40:$I$42,$B39)))</f>
        <v>45819</v>
      </c>
      <c r="P39" s="2" t="n">
        <f aca="false">IF($E39=0,$O39,WORKDAY.INTL($O39,$E39-1,"0000001",HOL))</f>
        <v>45841</v>
      </c>
      <c r="Q39" s="0" t="n">
        <f aca="false">IF($O39&gt;=$M39,NETWORKDAYS.INTL($M39,$O39,"0000001",HOL)-1,-(NETWORKDAYS.INTL($O39,$M39,"0000001",HOL)-1))</f>
        <v>0</v>
      </c>
      <c r="R39" s="2" t="n">
        <f aca="false">MIN(PROJ_LIMIT,IF(COUNTIFS($F40:$F$42,$B39,$S40:$S$42,"&gt;0")=0,PROJ_LIMIT,_xlfn.MINIFS($S40:$S$42,$F40:$F$42,$B39)),IF(COUNTIFS($I40:$I$42,$B39,$U40:$U$42,"&gt;0")=0,PROJ_LIMIT,_xlfn.MINIFS($U40:$U$42,$I40:$I$42,$B39)))</f>
        <v>45841</v>
      </c>
      <c r="S39" s="2" t="n">
        <f aca="false">IF(OR($F39="",$G39="SS"),"",WORKDAY.INTL($O39,-(1+$H39),"0000001",HOL))</f>
        <v>45812</v>
      </c>
      <c r="T39" s="2" t="str">
        <f aca="false">IF(OR($F39="",$G39&lt;&gt;"SS"),"",WORKDAY.INTL($O39,-$H39,"0000001",HOL))</f>
        <v/>
      </c>
      <c r="U39" s="2" t="str">
        <f aca="false">IF(OR($I39="",$J39="SS"),"",WORKDAY.INTL($O39,-(1+$K39),"0000001",HOL))</f>
        <v/>
      </c>
      <c r="V39" s="2" t="str">
        <f aca="false">IF(OR($I39="",$J39&lt;&gt;"SS"),"",WORKDAY.INTL($O39,-$K39,"0000001",HOL))</f>
        <v/>
      </c>
      <c r="W39" s="2" t="n">
        <f aca="false">$M39</f>
        <v>45819</v>
      </c>
      <c r="X39" s="2" t="n">
        <f aca="false">$N39</f>
        <v>45841</v>
      </c>
      <c r="Y39" s="2" t="n">
        <f aca="false">$O39</f>
        <v>45819</v>
      </c>
      <c r="Z39" s="2" t="n">
        <f aca="false">$P39</f>
        <v>45841</v>
      </c>
      <c r="AA39" s="0" t="n">
        <f aca="false">$Q39</f>
        <v>0</v>
      </c>
      <c r="AB39" s="0" t="str">
        <f aca="false">IF($AA39&lt;=0,"GĂNG","")</f>
        <v>GĂNG</v>
      </c>
      <c r="AC39" s="2" t="n">
        <v>45847</v>
      </c>
      <c r="AD39" s="2" t="n">
        <v>45869</v>
      </c>
      <c r="AE39" s="0" t="n">
        <f aca="false">IF($AC39="","",$W39-$AC39)</f>
        <v>-28</v>
      </c>
      <c r="AF39" s="0" t="n">
        <f aca="false">IF($AD39="","",$X39-$AD39)</f>
        <v>-28</v>
      </c>
      <c r="AG39" s="0" t="str">
        <f aca="false">IF(ISNA(MATCH($F39,$B5:$B$38,0)),"TIỀN NHIỆM PHẢI Ở TRÊN","")</f>
        <v/>
      </c>
    </row>
    <row r="40" customFormat="false" ht="15" hidden="false" customHeight="false" outlineLevel="0" collapsed="false">
      <c r="A40" s="0" t="n">
        <v>35</v>
      </c>
      <c r="B40" s="0" t="s">
        <v>111</v>
      </c>
      <c r="C40" s="0" t="s">
        <v>112</v>
      </c>
      <c r="D40" s="6" t="s">
        <v>46</v>
      </c>
      <c r="E40" s="0" t="n">
        <v>25</v>
      </c>
      <c r="F40" s="0" t="s">
        <v>109</v>
      </c>
      <c r="G40" s="0" t="s">
        <v>49</v>
      </c>
      <c r="H40" s="0" t="n">
        <v>0</v>
      </c>
      <c r="M40" s="2" t="n">
        <f aca="false">MAX(WORKDAY.INTL(PROJ_START-1,1,"0000001",HOL),N($L40),IF($F40="",0,IF($G40="SS",WORKDAY.INTL(INDEX($M5:$M$39,MATCH($F40,$B5:$B$39,0)),$H40,"0000001",HOL),WORKDAY.INTL(INDEX($N5:$N$39,MATCH($F40,$B5:$B$39,0)),1+$H40,"0000001",HOL))),IF($I40="",0,IF($J40="SS",WORKDAY.INTL(INDEX($M5:$M$39,MATCH($I40,$B5:$B$39,0)),$K40,"0000001",HOL),WORKDAY.INTL(INDEX($N5:$N$39,MATCH($I40,$B5:$B$39,0)),1+$K40,"0000001",HOL))))</f>
        <v>45842</v>
      </c>
      <c r="N40" s="2" t="n">
        <f aca="false">IF($E40=0,$M40,WORKDAY.INTL($M40,$E40-1,"0000001",HOL))</f>
        <v>45870</v>
      </c>
      <c r="O40" s="2" t="n">
        <f aca="false">MIN(IF($E40=0,$R40,WORKDAY.INTL($R40,-($E40-1),"0000001",HOL)),IF(COUNTIFS($F41:$F$42,$B40,$T41:$T$42,"&gt;0")=0,IF($E40=0,$R40,WORKDAY.INTL($R40,-($E40-1),"0000001",HOL)),_xlfn.MINIFS($T41:$T$42,$F41:$F$42,$B40)),IF(COUNTIFS($I41:$I$42,$B40,$V41:$V$42,"&gt;0")=0,IF($E40=0,$R40,WORKDAY.INTL($R40,-($E40-1),"0000001",HOL)),_xlfn.MINIFS($V41:$V$42,$I41:$I$42,$B40)))</f>
        <v>45842</v>
      </c>
      <c r="P40" s="2" t="n">
        <f aca="false">IF($E40=0,$O40,WORKDAY.INTL($O40,$E40-1,"0000001",HOL))</f>
        <v>45870</v>
      </c>
      <c r="Q40" s="0" t="n">
        <f aca="false">IF($O40&gt;=$M40,NETWORKDAYS.INTL($M40,$O40,"0000001",HOL)-1,-(NETWORKDAYS.INTL($O40,$M40,"0000001",HOL)-1))</f>
        <v>0</v>
      </c>
      <c r="R40" s="2" t="n">
        <f aca="false">MIN(PROJ_LIMIT,IF(COUNTIFS($F41:$F$42,$B40,$S41:$S$42,"&gt;0")=0,PROJ_LIMIT,_xlfn.MINIFS($S41:$S$42,$F41:$F$42,$B40)),IF(COUNTIFS($I41:$I$42,$B40,$U41:$U$42,"&gt;0")=0,PROJ_LIMIT,_xlfn.MINIFS($U41:$U$42,$I41:$I$42,$B40)))</f>
        <v>45870</v>
      </c>
      <c r="S40" s="2" t="n">
        <f aca="false">IF(OR($F40="",$G40="SS"),"",WORKDAY.INTL($O40,-(1+$H40),"0000001",HOL))</f>
        <v>45841</v>
      </c>
      <c r="T40" s="2" t="str">
        <f aca="false">IF(OR($F40="",$G40&lt;&gt;"SS"),"",WORKDAY.INTL($O40,-$H40,"0000001",HOL))</f>
        <v/>
      </c>
      <c r="U40" s="2" t="str">
        <f aca="false">IF(OR($I40="",$J40="SS"),"",WORKDAY.INTL($O40,-(1+$K40),"0000001",HOL))</f>
        <v/>
      </c>
      <c r="V40" s="2" t="str">
        <f aca="false">IF(OR($I40="",$J40&lt;&gt;"SS"),"",WORKDAY.INTL($O40,-$K40,"0000001",HOL))</f>
        <v/>
      </c>
      <c r="W40" s="2" t="n">
        <f aca="false">$M40</f>
        <v>45842</v>
      </c>
      <c r="X40" s="2" t="n">
        <f aca="false">$N40</f>
        <v>45870</v>
      </c>
      <c r="Y40" s="2" t="n">
        <f aca="false">$O40</f>
        <v>45842</v>
      </c>
      <c r="Z40" s="2" t="n">
        <f aca="false">$P40</f>
        <v>45870</v>
      </c>
      <c r="AA40" s="0" t="n">
        <f aca="false">$Q40</f>
        <v>0</v>
      </c>
      <c r="AB40" s="0" t="str">
        <f aca="false">IF($AA40&lt;=0,"GĂNG","")</f>
        <v>GĂNG</v>
      </c>
      <c r="AC40" s="2" t="n">
        <v>45870</v>
      </c>
      <c r="AD40" s="2" t="n">
        <v>45898</v>
      </c>
      <c r="AE40" s="0" t="n">
        <f aca="false">IF($AC40="","",$W40-$AC40)</f>
        <v>-28</v>
      </c>
      <c r="AF40" s="0" t="n">
        <f aca="false">IF($AD40="","",$X40-$AD40)</f>
        <v>-28</v>
      </c>
      <c r="AG40" s="0" t="str">
        <f aca="false">IF(ISNA(MATCH($F40,$B5:$B$39,0)),"TIỀN NHIỆM PHẢI Ở TRÊN","")</f>
        <v/>
      </c>
    </row>
    <row r="41" customFormat="false" ht="15" hidden="false" customHeight="false" outlineLevel="0" collapsed="false">
      <c r="A41" s="0" t="n">
        <v>36</v>
      </c>
      <c r="B41" s="0" t="s">
        <v>113</v>
      </c>
      <c r="C41" s="0" t="s">
        <v>114</v>
      </c>
      <c r="D41" s="6" t="s">
        <v>46</v>
      </c>
      <c r="E41" s="0" t="n">
        <v>45</v>
      </c>
      <c r="F41" s="0" t="s">
        <v>111</v>
      </c>
      <c r="G41" s="0" t="s">
        <v>49</v>
      </c>
      <c r="H41" s="0" t="n">
        <v>0</v>
      </c>
      <c r="M41" s="2" t="n">
        <f aca="false">MAX(WORKDAY.INTL(PROJ_START-1,1,"0000001",HOL),N($L41),IF($F41="",0,IF($G41="SS",WORKDAY.INTL(INDEX($M5:$M$40,MATCH($F41,$B5:$B$40,0)),$H41,"0000001",HOL),WORKDAY.INTL(INDEX($N5:$N$40,MATCH($F41,$B5:$B$40,0)),1+$H41,"0000001",HOL))),IF($I41="",0,IF($J41="SS",WORKDAY.INTL(INDEX($M5:$M$40,MATCH($I41,$B5:$B$40,0)),$K41,"0000001",HOL),WORKDAY.INTL(INDEX($N5:$N$40,MATCH($I41,$B5:$B$40,0)),1+$K41,"0000001",HOL))))</f>
        <v>45871</v>
      </c>
      <c r="N41" s="2" t="n">
        <f aca="false">IF($E41=0,$M41,WORKDAY.INTL($M41,$E41-1,"0000001",HOL))</f>
        <v>45925</v>
      </c>
      <c r="O41" s="2" t="n">
        <f aca="false">MIN(IF($E41=0,$R41,WORKDAY.INTL($R41,-($E41-1),"0000001",HOL)),IF(COUNTIFS($F42:$F$42,$B41,$T42:$T$42,"&gt;0")=0,IF($E41=0,$R41,WORKDAY.INTL($R41,-($E41-1),"0000001",HOL)),_xlfn.MINIFS($T42:$T$42,$F42:$F$42,$B41)),IF(COUNTIFS($I42:$I$42,$B41,$V42:$V$42,"&gt;0")=0,IF($E41=0,$R41,WORKDAY.INTL($R41,-($E41-1),"0000001",HOL)),_xlfn.MINIFS($V42:$V$42,$I42:$I$42,$B41)))</f>
        <v>45871</v>
      </c>
      <c r="P41" s="2" t="n">
        <f aca="false">IF($E41=0,$O41,WORKDAY.INTL($O41,$E41-1,"0000001",HOL))</f>
        <v>45925</v>
      </c>
      <c r="Q41" s="0" t="n">
        <f aca="false">IF($O41&gt;=$M41,NETWORKDAYS.INTL($M41,$O41,"0000001",HOL)-1,-(NETWORKDAYS.INTL($O41,$M41,"0000001",HOL)-1))</f>
        <v>0</v>
      </c>
      <c r="R41" s="2" t="n">
        <f aca="false">MIN(PROJ_LIMIT,IF(COUNTIFS($F42:$F$42,$B41,$S42:$S$42,"&gt;0")=0,PROJ_LIMIT,_xlfn.MINIFS($S42:$S$42,$F42:$F$42,$B41)),IF(COUNTIFS($I42:$I$42,$B41,$U42:$U$42,"&gt;0")=0,PROJ_LIMIT,_xlfn.MINIFS($U42:$U$42,$I42:$I$42,$B41)))</f>
        <v>45925</v>
      </c>
      <c r="S41" s="2" t="n">
        <f aca="false">IF(OR($F41="",$G41="SS"),"",WORKDAY.INTL($O41,-(1+$H41),"0000001",HOL))</f>
        <v>45870</v>
      </c>
      <c r="T41" s="2" t="str">
        <f aca="false">IF(OR($F41="",$G41&lt;&gt;"SS"),"",WORKDAY.INTL($O41,-$H41,"0000001",HOL))</f>
        <v/>
      </c>
      <c r="U41" s="2" t="str">
        <f aca="false">IF(OR($I41="",$J41="SS"),"",WORKDAY.INTL($O41,-(1+$K41),"0000001",HOL))</f>
        <v/>
      </c>
      <c r="V41" s="2" t="str">
        <f aca="false">IF(OR($I41="",$J41&lt;&gt;"SS"),"",WORKDAY.INTL($O41,-$K41,"0000001",HOL))</f>
        <v/>
      </c>
      <c r="W41" s="2" t="n">
        <f aca="false">$M41</f>
        <v>45871</v>
      </c>
      <c r="X41" s="2" t="n">
        <f aca="false">$N41</f>
        <v>45925</v>
      </c>
      <c r="Y41" s="2" t="n">
        <f aca="false">$O41</f>
        <v>45871</v>
      </c>
      <c r="Z41" s="2" t="n">
        <f aca="false">$P41</f>
        <v>45925</v>
      </c>
      <c r="AA41" s="0" t="n">
        <f aca="false">$Q41</f>
        <v>0</v>
      </c>
      <c r="AB41" s="0" t="str">
        <f aca="false">IF($AA41&lt;=0,"GĂNG","")</f>
        <v>GĂNG</v>
      </c>
      <c r="AC41" s="2" t="n">
        <v>45899</v>
      </c>
      <c r="AD41" s="2" t="n">
        <v>45953</v>
      </c>
      <c r="AE41" s="0" t="n">
        <f aca="false">IF($AC41="","",$W41-$AC41)</f>
        <v>-28</v>
      </c>
      <c r="AF41" s="0" t="n">
        <f aca="false">IF($AD41="","",$X41-$AD41)</f>
        <v>-28</v>
      </c>
      <c r="AG41" s="0" t="str">
        <f aca="false">IF(ISNA(MATCH($F41,$B5:$B$40,0)),"TIỀN NHIỆM PHẢI Ở TRÊN","")</f>
        <v/>
      </c>
    </row>
    <row r="42" customFormat="false" ht="15" hidden="false" customHeight="false" outlineLevel="0" collapsed="false">
      <c r="A42" s="0" t="n">
        <v>37</v>
      </c>
      <c r="B42" s="0" t="s">
        <v>115</v>
      </c>
      <c r="C42" s="0" t="s">
        <v>116</v>
      </c>
      <c r="D42" s="6" t="s">
        <v>117</v>
      </c>
      <c r="E42" s="0" t="n">
        <v>0</v>
      </c>
      <c r="F42" s="0" t="s">
        <v>113</v>
      </c>
      <c r="G42" s="0" t="s">
        <v>49</v>
      </c>
      <c r="H42" s="0" t="n">
        <v>5</v>
      </c>
      <c r="M42" s="2" t="n">
        <f aca="false">MAX(WORKDAY.INTL(PROJ_START-1,1,"0000001",HOL),N($L42),IF($F42="",0,IF($G42="SS",WORKDAY.INTL(INDEX($M5:$M$41,MATCH($F42,$B5:$B$41,0)),$H42,"0000001",HOL),WORKDAY.INTL(INDEX($N5:$N$41,MATCH($F42,$B5:$B$41,0)),1+$H42,"0000001",HOL))),IF($I42="",0,IF($J42="SS",WORKDAY.INTL(INDEX($M5:$M$41,MATCH($I42,$B5:$B$41,0)),$K42,"0000001",HOL),WORKDAY.INTL(INDEX($N5:$N$41,MATCH($I42,$B5:$B$41,0)),1+$K42,"0000001",HOL))))</f>
        <v>45932</v>
      </c>
      <c r="N42" s="2" t="n">
        <f aca="false">IF($E42=0,$M42,WORKDAY.INTL($M42,$E42-1,"0000001",HOL))</f>
        <v>45932</v>
      </c>
      <c r="O42" s="2" t="n">
        <f aca="false">IF($E42=0,$R42,WORKDAY.INTL($R42,-($E42-1),"0000001",HOL))</f>
        <v>45932</v>
      </c>
      <c r="P42" s="2" t="n">
        <f aca="false">IF($E42=0,$O42,WORKDAY.INTL($O42,$E42-1,"0000001",HOL))</f>
        <v>45932</v>
      </c>
      <c r="Q42" s="0" t="n">
        <f aca="false">IF($O42&gt;=$M42,NETWORKDAYS.INTL($M42,$O42,"0000001",HOL)-1,-(NETWORKDAYS.INTL($O42,$M42,"0000001",HOL)-1))</f>
        <v>0</v>
      </c>
      <c r="R42" s="2" t="n">
        <f aca="false">PROJ_LIMIT</f>
        <v>45932</v>
      </c>
      <c r="S42" s="2" t="n">
        <f aca="false">IF(OR($F42="",$G42="SS"),"",WORKDAY.INTL($O42,-(1+$H42),"0000001",HOL))</f>
        <v>45925</v>
      </c>
      <c r="T42" s="2" t="str">
        <f aca="false">IF(OR($F42="",$G42&lt;&gt;"SS"),"",WORKDAY.INTL($O42,-$H42,"0000001",HOL))</f>
        <v/>
      </c>
      <c r="U42" s="2" t="str">
        <f aca="false">IF(OR($I42="",$J42="SS"),"",WORKDAY.INTL($O42,-(1+$K42),"0000001",HOL))</f>
        <v/>
      </c>
      <c r="V42" s="2" t="str">
        <f aca="false">IF(OR($I42="",$J42&lt;&gt;"SS"),"",WORKDAY.INTL($O42,-$K42,"0000001",HOL))</f>
        <v/>
      </c>
      <c r="W42" s="2" t="n">
        <f aca="false">$M42</f>
        <v>45932</v>
      </c>
      <c r="X42" s="2" t="n">
        <f aca="false">$N42</f>
        <v>45932</v>
      </c>
      <c r="Y42" s="2" t="n">
        <f aca="false">$O42</f>
        <v>45932</v>
      </c>
      <c r="Z42" s="2" t="n">
        <f aca="false">$P42</f>
        <v>45932</v>
      </c>
      <c r="AA42" s="0" t="n">
        <f aca="false">$Q42</f>
        <v>0</v>
      </c>
      <c r="AB42" s="0" t="str">
        <f aca="false">IF($AA42&lt;=0,"GĂNG","")</f>
        <v>GĂNG</v>
      </c>
      <c r="AC42" s="2" t="n">
        <v>45959</v>
      </c>
      <c r="AD42" s="2" t="n">
        <v>45959</v>
      </c>
      <c r="AE42" s="0" t="n">
        <f aca="false">IF($AC42="","",$W42-$AC42)</f>
        <v>-27</v>
      </c>
      <c r="AF42" s="0" t="n">
        <f aca="false">IF($AD42="","",$X42-$AD42)</f>
        <v>-27</v>
      </c>
      <c r="AG42" s="0" t="str">
        <f aca="false">IF(ISNA(MATCH($F42,$B5:$B$41,0)),"TIỀN NHIỆM PHẢI Ở TRÊN","")</f>
        <v/>
      </c>
    </row>
  </sheetData>
  <conditionalFormatting sqref="A6:AB42">
    <cfRule type="expression" priority="2" aboveAverage="0" equalAverage="0" bottom="0" percent="0" rank="0" text="" dxfId="0">
      <formula>$AB6="GĂNG"</formula>
    </cfRule>
  </conditionalFormatting>
  <dataValidations count="2">
    <dataValidation allowBlank="true" errorStyle="stop" operator="between" showDropDown="false" showErrorMessage="false" showInputMessage="false" sqref="G6:G42 J6:J42" type="list">
      <formula1>"FS,SS"</formula1>
      <formula2>0</formula2>
    </dataValidation>
    <dataValidation allowBlank="false" errorStyle="stop" operator="between" showDropDown="false" showErrorMessage="false" showInputMessage="false" sqref="D6:D42" type="list">
      <formula1>"Task,Milestone,Summary"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5" t="s">
        <v>118</v>
      </c>
    </row>
    <row r="2" customFormat="false" ht="15" hidden="false" customHeight="false" outlineLevel="0" collapsed="false">
      <c r="A2" s="2" t="n">
        <v>45292</v>
      </c>
    </row>
    <row r="3" customFormat="false" ht="15" hidden="false" customHeight="false" outlineLevel="0" collapsed="false">
      <c r="A3" s="2" t="n">
        <v>45330</v>
      </c>
    </row>
    <row r="4" customFormat="false" ht="15" hidden="false" customHeight="false" outlineLevel="0" collapsed="false">
      <c r="A4" s="2" t="n">
        <v>45331</v>
      </c>
    </row>
    <row r="5" customFormat="false" ht="15" hidden="false" customHeight="false" outlineLevel="0" collapsed="false">
      <c r="A5" s="2" t="n">
        <v>45332</v>
      </c>
    </row>
    <row r="6" customFormat="false" ht="15" hidden="false" customHeight="false" outlineLevel="0" collapsed="false">
      <c r="A6" s="2" t="n">
        <v>45333</v>
      </c>
    </row>
    <row r="7" customFormat="false" ht="15" hidden="false" customHeight="false" outlineLevel="0" collapsed="false">
      <c r="A7" s="2" t="n">
        <v>45334</v>
      </c>
    </row>
    <row r="8" customFormat="false" ht="15" hidden="false" customHeight="false" outlineLevel="0" collapsed="false">
      <c r="A8" s="2" t="n">
        <v>45335</v>
      </c>
    </row>
    <row r="9" customFormat="false" ht="15" hidden="false" customHeight="false" outlineLevel="0" collapsed="false">
      <c r="A9" s="2" t="n">
        <v>45336</v>
      </c>
    </row>
    <row r="10" customFormat="false" ht="15" hidden="false" customHeight="false" outlineLevel="0" collapsed="false">
      <c r="A10" s="2" t="n">
        <v>45400</v>
      </c>
    </row>
    <row r="11" customFormat="false" ht="15" hidden="false" customHeight="false" outlineLevel="0" collapsed="false">
      <c r="A11" s="2" t="n">
        <v>45412</v>
      </c>
    </row>
    <row r="12" customFormat="false" ht="15" hidden="false" customHeight="false" outlineLevel="0" collapsed="false">
      <c r="A12" s="2" t="n">
        <v>45413</v>
      </c>
    </row>
    <row r="13" customFormat="false" ht="15" hidden="false" customHeight="false" outlineLevel="0" collapsed="false">
      <c r="A13" s="2" t="n">
        <v>45537</v>
      </c>
    </row>
    <row r="14" customFormat="false" ht="15" hidden="false" customHeight="false" outlineLevel="0" collapsed="false">
      <c r="A14" s="2" t="n">
        <v>45538</v>
      </c>
    </row>
    <row r="15" customFormat="false" ht="15" hidden="false" customHeight="false" outlineLevel="0" collapsed="false">
      <c r="A15" s="2" t="n">
        <v>45658</v>
      </c>
    </row>
    <row r="16" customFormat="false" ht="15" hidden="false" customHeight="false" outlineLevel="0" collapsed="false">
      <c r="A16" s="2" t="n">
        <v>45684</v>
      </c>
    </row>
    <row r="17" customFormat="false" ht="15" hidden="false" customHeight="false" outlineLevel="0" collapsed="false">
      <c r="A17" s="2" t="n">
        <v>45685</v>
      </c>
    </row>
    <row r="18" customFormat="false" ht="15" hidden="false" customHeight="false" outlineLevel="0" collapsed="false">
      <c r="A18" s="2" t="n">
        <v>45686</v>
      </c>
    </row>
    <row r="19" customFormat="false" ht="15" hidden="false" customHeight="false" outlineLevel="0" collapsed="false">
      <c r="A19" s="2" t="n">
        <v>45687</v>
      </c>
    </row>
    <row r="20" customFormat="false" ht="15" hidden="false" customHeight="false" outlineLevel="0" collapsed="false">
      <c r="A20" s="2" t="n">
        <v>45688</v>
      </c>
    </row>
    <row r="21" customFormat="false" ht="15" hidden="false" customHeight="false" outlineLevel="0" collapsed="false">
      <c r="A21" s="2" t="n">
        <v>45689</v>
      </c>
    </row>
    <row r="22" customFormat="false" ht="15" hidden="false" customHeight="false" outlineLevel="0" collapsed="false">
      <c r="A22" s="2" t="n">
        <v>45690</v>
      </c>
    </row>
    <row r="23" customFormat="false" ht="15" hidden="false" customHeight="false" outlineLevel="0" collapsed="false">
      <c r="A23" s="2" t="n">
        <v>45754</v>
      </c>
    </row>
    <row r="24" customFormat="false" ht="15" hidden="false" customHeight="false" outlineLevel="0" collapsed="false">
      <c r="A24" s="2" t="n">
        <v>45777</v>
      </c>
    </row>
    <row r="25" customFormat="false" ht="15" hidden="false" customHeight="false" outlineLevel="0" collapsed="false">
      <c r="A25" s="2" t="n">
        <v>45778</v>
      </c>
    </row>
    <row r="26" customFormat="false" ht="15" hidden="false" customHeight="false" outlineLevel="0" collapsed="false">
      <c r="A26" s="2" t="n">
        <v>45902</v>
      </c>
    </row>
    <row r="27" customFormat="false" ht="15" hidden="false" customHeight="false" outlineLevel="0" collapsed="false">
      <c r="A27" s="2" t="n">
        <v>45903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2026-10-10T16:55:46Z</dcterms:created>
  <dc:creator>openpyxl</dc:creator>
  <dc:description/>
  <dc:language>en-US</dc:language>
  <cp:lastModifiedBy/>
  <dcterms:modified xsi:type="dcterms:W3CDTF">2026-10-10T16:55:46Z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